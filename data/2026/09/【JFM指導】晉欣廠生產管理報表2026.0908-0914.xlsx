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2" i="33"/>
  <c r="Z2" i="33" s="1"/>
  <c r="AE2" i="33" s="1"/>
  <c r="AJ2" i="33" s="1"/>
  <c r="AO2" i="33" s="1"/>
  <c r="AT2" i="33" s="1"/>
  <c r="AJ2" i="8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11" i="37" l="1"/>
  <c r="M9" i="36"/>
  <c r="M13" i="35"/>
  <c r="M12" i="35"/>
  <c r="M31" i="33"/>
  <c r="M9" i="33"/>
  <c r="M8" i="32"/>
  <c r="M11" i="8"/>
  <c r="M11" i="35"/>
  <c r="M15" i="8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I11" i="39" s="1"/>
  <c r="V26" i="5"/>
  <c r="V6" i="5"/>
  <c r="P26" i="5"/>
  <c r="P12" i="5"/>
  <c r="I9" i="39" s="1"/>
  <c r="M12" i="5"/>
  <c r="I8" i="39" s="1"/>
  <c r="M26" i="5"/>
  <c r="G12" i="5"/>
  <c r="I6" i="39" s="1"/>
  <c r="G26" i="5"/>
  <c r="G6" i="5"/>
  <c r="S33" i="3"/>
  <c r="S26" i="3"/>
  <c r="S19" i="3"/>
  <c r="S12" i="3"/>
  <c r="B10" i="39" s="1"/>
  <c r="S6" i="3"/>
  <c r="M33" i="3"/>
  <c r="M26" i="3"/>
  <c r="M19" i="3"/>
  <c r="M12" i="3"/>
  <c r="B8" i="39" s="1"/>
  <c r="M6" i="3"/>
  <c r="J12" i="3"/>
  <c r="B7" i="39" s="1"/>
  <c r="J19" i="3"/>
  <c r="J26" i="3"/>
  <c r="J33" i="3"/>
  <c r="J6" i="3"/>
  <c r="G19" i="3"/>
  <c r="G26" i="3"/>
  <c r="G33" i="3"/>
  <c r="G12" i="3"/>
  <c r="B6" i="39" s="1"/>
  <c r="G6" i="3"/>
  <c r="V19" i="3" l="1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B9" i="39" s="1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P19" i="3"/>
  <c r="V12" i="3"/>
  <c r="B11" i="39" s="1"/>
  <c r="M30" i="30"/>
  <c r="M33" i="32"/>
  <c r="L87" i="36"/>
  <c r="L67" i="34"/>
  <c r="L47" i="35"/>
  <c r="L87" i="32"/>
  <c r="L47" i="30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B36" i="39" s="1"/>
  <c r="L27" i="35"/>
  <c r="B34" i="39" s="1"/>
  <c r="L27" i="32"/>
  <c r="B30" i="39" s="1"/>
  <c r="L27" i="30"/>
  <c r="B29" i="39" s="1"/>
  <c r="L27" i="34"/>
  <c r="B33" i="39" s="1"/>
  <c r="L27" i="36"/>
  <c r="B35" i="39" s="1"/>
  <c r="M81" i="37"/>
  <c r="L47" i="36"/>
  <c r="M81" i="35"/>
  <c r="M69" i="37"/>
  <c r="L67" i="35"/>
  <c r="L87" i="35"/>
  <c r="L27" i="31"/>
  <c r="B31" i="39" s="1"/>
  <c r="D31" i="39" s="1"/>
  <c r="L47" i="31"/>
  <c r="M81" i="32"/>
  <c r="L87" i="30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L107" i="37" l="1"/>
  <c r="M121" i="31"/>
  <c r="M107" i="31"/>
  <c r="M107" i="32"/>
  <c r="M121" i="32"/>
  <c r="L107" i="35"/>
  <c r="L107" i="32"/>
  <c r="L107" i="36"/>
  <c r="L42" i="8"/>
  <c r="B28" i="39" s="1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I7" i="39" s="1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<sst xmlns="http://schemas.openxmlformats.org/spreadsheetml/2006/main" count="8553" uniqueCount="780">
  <si>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</si>
  <si>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</si>
  <si>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</si>
  <si>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</si>
  <si>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</si>
  <si>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</si>
  <si>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</si>
  <si>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</si>
  <si>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</si>
  <si>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</si>
  <si>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</si>
  <si>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</si>
  <si>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</si>
  <si>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</si>
  <si>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</si>
  <si>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</si>
  <si>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</si>
  <si>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</si>
  <si>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</si>
  <si>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</si>
  <si>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</si>
  <si>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</si>
  <si>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</si>
  <si>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</si>
  <si>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</si>
  <si>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</si>
  <si>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</si>
  <si>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</si>
  <si>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</si>
  <si>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</si>
  <si>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</si>
  <si>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</si>
  <si>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</si>
  <si>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</si>
  <si>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</si>
  <si>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</si>
  <si>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</si>
  <si>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</si>
  <si>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</si>
  <si>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</si>
  <si>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</si>
  <si>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</si>
  <si>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</si>
  <si>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</si>
  <si>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</si>
  <si>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</si>
  <si>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</si>
  <si>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</si>
  <si>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</si>
  <si>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</si>
  <si>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</si>
  <si>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</si>
  <si>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</si>
  <si>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</si>
  <si>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</si>
  <si>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</si>
  <si>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</si>
  <si>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</si>
  <si>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</si>
  <si>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</si>
  <si>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</si>
  <si>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</si>
  <si>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</si>
  <si>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</si>
  <si>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</si>
  <si>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</si>
  <si>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</si>
  <si>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</si>
  <si>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</si>
  <si>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</si>
  <si>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</si>
  <si>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</si>
  <si>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</si>
  <si>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</si>
  <si>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</si>
  <si>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</si>
  <si>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</si>
  <si>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</si>
  <si>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</si>
  <si>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</si>
  <si>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</si>
  <si>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</si>
  <si>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</si>
  <si>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</si>
  <si>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</si>
  <si>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</si>
  <si>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</si>
  <si>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</si>
  <si>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</si>
  <si>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</si>
  <si>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</si>
  <si>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</si>
  <si>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</si>
  <si>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</si>
  <si>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</si>
  <si>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</si>
  <si>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</si>
  <si>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</si>
  <si>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</si>
  <si>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</si>
  <si>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</si>
  <si>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</si>
  <si>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</si>
  <si>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</si>
  <si>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</si>
  <si>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</si>
  <si>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</si>
  <si>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</si>
  <si>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</si>
  <si>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</si>
  <si>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</si>
  <si>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</si>
  <si>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</si>
  <si>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</si>
  <si>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</si>
  <si>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</si>
  <si>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</si>
  <si>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</si>
  <si>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</si>
  <si>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</si>
  <si>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</si>
  <si>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</si>
  <si>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</si>
  <si>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</si>
  <si>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</si>
  <si>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</si>
  <si>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</si>
  <si>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</si>
  <si>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</si>
  <si>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</si>
  <si>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</si>
  <si>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</si>
  <si>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</si>
  <si>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</si>
  <si>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</si>
  <si>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</si>
  <si>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</si>
  <si>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</si>
  <si>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</si>
  <si>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</si>
  <si>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</si>
  <si>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</si>
  <si>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</si>
  <si>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</si>
  <si>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</si>
  <si>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</si>
  <si>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</si>
  <si>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</si>
  <si>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</si>
  <si>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</si>
  <si>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</si>
  <si>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</si>
  <si>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</si>
  <si>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</si>
  <si>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</si>
  <si>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</si>
  <si>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</si>
  <si>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</si>
  <si>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</si>
  <si>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</si>
  <si>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</si>
  <si>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</si>
  <si>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</si>
  <si>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</si>
  <si>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</si>
  <si>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</si>
  <si>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</si>
  <si>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</si>
  <si>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</si>
  <si>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</si>
  <si>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</si>
  <si>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</si>
  <si>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</si>
  <si>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</si>
  <si>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</si>
  <si>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</si>
  <si>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</si>
  <si>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</si>
  <si>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</si>
  <si>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</si>
  <si>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</si>
  <si>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</si>
  <si>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</si>
  <si>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</si>
  <si>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</si>
  <si>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</si>
  <si>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</si>
  <si>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</si>
  <si>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</si>
  <si>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</si>
  <si>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</si>
  <si>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</si>
  <si>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</si>
  <si>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</si>
  <si>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</si>
  <si>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</si>
  <si>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</si>
  <si>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</si>
  <si>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</si>
  <si>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</si>
  <si>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</si>
  <si>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</si>
  <si>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</si>
  <si>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</si>
  <si>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</si>
  <si>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</si>
  <si>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</si>
  <si>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</si>
  <si>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</si>
  <si>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</si>
  <si>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</si>
  <si>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</si>
  <si>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</si>
  <si>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</si>
  <si>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</si>
  <si>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</si>
  <si>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</si>
  <si>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</si>
  <si>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</si>
  <si>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</si>
  <si>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</si>
  <si>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</si>
  <si>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</si>
  <si>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</si>
  <si>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</si>
  <si>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</si>
  <si>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</si>
  <si>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</si>
  <si>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</si>
  <si>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</si>
  <si>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</si>
  <si>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</si>
  <si>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</si>
  <si>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</si>
  <si>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</si>
  <si>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</si>
  <si>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</si>
  <si>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</si>
  <si>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</si>
  <si>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</si>
  <si>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</si>
  <si>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</si>
  <si>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</si>
  <si>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</si>
  <si>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</si>
  <si>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</si>
  <si>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</si>
  <si>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</si>
  <si>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</si>
  <si>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</si>
  <si>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</si>
  <si>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</si>
  <si>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</si>
  <si>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</si>
  <si>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</si>
  <si>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</si>
  <si>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</si>
  <si>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</si>
  <si>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</si>
  <si>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</si>
  <si>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</si>
  <si>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</si>
  <si>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</si>
  <si>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</si>
  <si>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</si>
  <si>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</si>
  <si>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</si>
  <si>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</si>
  <si>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</si>
  <si>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</si>
  <si>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</si>
  <si>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</si>
  <si>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</si>
  <si>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</si>
  <si>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</si>
  <si>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</si>
  <si>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</si>
  <si>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</si>
  <si>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</si>
  <si>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</si>
  <si>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</si>
  <si>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</si>
  <si>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</si>
  <si>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</si>
  <si>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</si>
  <si>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</si>
  <si>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</si>
  <si>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</si>
  <si>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</si>
  <si>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</si>
  <si>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</si>
  <si>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</si>
  <si>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</si>
  <si>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</si>
  <si>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</si>
  <si>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</si>
  <si>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</si>
  <si>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</si>
  <si>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</si>
  <si>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</si>
  <si>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</si>
  <si>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</si>
  <si>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</si>
  <si>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</si>
  <si>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</si>
  <si>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</si>
  <si>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</si>
  <si>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</si>
  <si>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</si>
  <si>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</si>
  <si>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</si>
  <si>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</si>
  <si>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</si>
  <si>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</si>
  <si>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</si>
  <si>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</si>
  <si>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</si>
  <si>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</si>
  <si>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</si>
  <si>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</si>
  <si>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</si>
  <si>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</si>
  <si>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</si>
  <si>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</si>
  <si>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</si>
  <si>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</si>
  <si>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</si>
  <si>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</si>
  <si>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</si>
  <si>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</si>
  <si>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</si>
  <si>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</si>
  <si>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</si>
  <si>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</si>
  <si>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</si>
  <si>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</si>
  <si>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</si>
  <si>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</si>
  <si>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</si>
  <si>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二配哞哞培根奶香海陸焗飯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</si>
  <si>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</si>
  <si>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</si>
  <si>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</si>
  <si>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</si>
  <si>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</si>
  <si>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</si>
  <si>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</si>
  <si>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</si>
  <si>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</si>
  <si>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</si>
  <si>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</si>
  <si>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</si>
  <si>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</si>
  <si>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</si>
  <si>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</si>
  <si>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</si>
  <si>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</si>
  <si>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</si>
  <si>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</si>
  <si>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</si>
  <si>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</si>
  <si>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</si>
  <si>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</si>
  <si>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</si>
  <si>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</si>
  <si>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</si>
  <si>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</si>
  <si>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</si>
  <si>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</si>
  <si>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</si>
  <si>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</si>
  <si>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</si>
  <si>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</si>
  <si>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</si>
  <si>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</si>
  <si>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</si>
  <si>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</si>
  <si>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</si>
  <si>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</si>
  <si>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</si>
  <si>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</si>
  <si>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</si>
  <si>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</si>
  <si>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</si>
  <si>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</si>
  <si>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</si>
  <si>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</si>
  <si>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</si>
  <si>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</si>
  <si>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</si>
  <si>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</si>
  <si>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</si>
  <si>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</si>
  <si>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</si>
  <si>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</si>
  <si>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</si>
  <si>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</si>
  <si>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</si>
  <si>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</si>
  <si>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</si>
  <si>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</si>
  <si>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</si>
  <si>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</si>
  <si>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</si>
  <si>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</si>
  <si>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</si>
  <si>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</si>
  <si>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</si>
  <si>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</si>
  <si>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</si>
  <si>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</si>
  <si>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</si>
  <si>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</si>
  <si>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</si>
  <si>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</si>
  <si>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</si>
  <si>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</si>
  <si>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</si>
  <si>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</si>
  <si>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</si>
  <si>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</si>
  <si>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</si>
  <si>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</si>
  <si>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</si>
  <si>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</si>
  <si>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</si>
  <si>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</si>
  <si>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</si>
  <si>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</si>
  <si>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</si>
  <si>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</si>
  <si>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</si>
  <si>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</si>
  <si>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</si>
  <si>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</si>
  <si>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</si>
  <si>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</si>
  <si>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</si>
  <si>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</si>
  <si>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</si>
  <si>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</si>
  <si>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</si>
  <si>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</si>
  <si>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</si>
  <si>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</si>
  <si>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</si>
  <si>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</si>
  <si>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</si>
  <si>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</si>
  <si>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</si>
  <si>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</si>
  <si>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</si>
  <si>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</si>
  <si>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</si>
  <si>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</si>
  <si>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</si>
  <si>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</si>
  <si>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</si>
  <si>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</si>
  <si>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</si>
  <si>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</si>
  <si>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</si>
  <si>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</si>
  <si>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</si>
  <si>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</si>
  <si>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</si>
  <si>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</si>
  <si>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</si>
  <si>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</si>
  <si>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</si>
  <si>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</si>
  <si>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</si>
  <si>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</si>
  <si>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</si>
  <si>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</si>
  <si>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</si>
  <si>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</si>
  <si>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</si>
  <si>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</si>
  <si>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</si>
  <si>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</si>
  <si>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</si>
  <si>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</si>
  <si>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</si>
  <si>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</si>
  <si>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</si>
  <si>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</si>
  <si>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</si>
  <si>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</si>
  <si>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</si>
  <si>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</si>
  <si>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</si>
  <si>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</si>
  <si>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</si>
  <si>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</si>
  <si>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</si>
  <si>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</si>
  <si>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</si>
  <si>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</si>
  <si>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</si>
  <si>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</si>
  <si>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</si>
  <si>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</si>
  <si>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</si>
  <si>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</si>
  <si>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</si>
  <si>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</si>
  <si>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</si>
  <si>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</si>
  <si>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</si>
  <si>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</si>
  <si>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</si>
  <si>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</si>
  <si>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</si>
  <si>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</si>
  <si>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</si>
  <si>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</si>
  <si>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</si>
  <si>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</si>
  <si>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</si>
  <si>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</si>
  <si>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</si>
  <si>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</si>
  <si>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</si>
  <si>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</si>
  <si>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</si>
  <si>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</si>
  <si>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</si>
  <si>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</si>
  <si>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</si>
  <si>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</si>
  <si>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</si>
  <si>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</si>
  <si>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</si>
  <si>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</si>
  <si>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</si>
  <si>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</si>
  <si>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</si>
  <si>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</si>
  <si>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</si>
  <si>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</si>
  <si>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</si>
  <si>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</si>
  <si>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</si>
  <si>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</si>
  <si>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</si>
  <si>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</si>
  <si>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</si>
  <si>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</si>
  <si>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</si>
  <si>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</si>
  <si>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</si>
  <si>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</si>
  <si>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</si>
  <si>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長野稻荷壽司</t>
  </si>
  <si>
    <t>大口歐風焙煎咖哩漢堡排飯糰</t>
  </si>
  <si>
    <t>二配香辣醬蒜味香腸蛋炒飯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</si>
  <si>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</si>
  <si>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</si>
  <si>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</si>
  <si>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</si>
  <si>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</si>
  <si>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</si>
  <si>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</si>
  <si>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</si>
  <si>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</si>
  <si>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</si>
  <si>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</si>
  <si>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</si>
  <si>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</si>
  <si>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</si>
  <si>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</si>
  <si>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</si>
  <si>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</si>
  <si>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</si>
  <si>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</si>
  <si>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</si>
  <si>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</si>
  <si>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</si>
  <si>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</si>
  <si>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</si>
  <si>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</si>
  <si>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</si>
  <si>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</si>
  <si>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</si>
  <si>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</si>
  <si>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蒸-醬香雞肉絲CL(全)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</si>
  <si>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</si>
  <si>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</si>
  <si>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</si>
  <si>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</si>
  <si>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</si>
  <si>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</si>
  <si>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</si>
  <si>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</si>
  <si>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</si>
  <si>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</si>
  <si>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</si>
  <si>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</si>
  <si>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二配西班牙烤雞腿丁(115年)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</si>
  <si>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</si>
  <si>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</si>
  <si>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</si>
  <si>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</si>
  <si>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</si>
  <si>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</si>
  <si>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</si>
  <si>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</si>
  <si>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</si>
  <si>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</si>
  <si>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</si>
  <si>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</si>
  <si>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</si>
  <si>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</si>
  <si>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</si>
  <si>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</si>
  <si>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</si>
  <si>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</si>
  <si>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</si>
  <si>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</si>
  <si>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</si>
  <si>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</si>
  <si>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</si>
  <si>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</si>
  <si>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</si>
  <si>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</si>
  <si>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</si>
  <si>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</si>
  <si>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</si>
  <si>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</si>
  <si>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</si>
  <si>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</si>
  <si>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</si>
  <si>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</si>
  <si>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</si>
  <si>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</si>
  <si>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</si>
  <si>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</si>
  <si>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</si>
  <si>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營業額合計</t>
    <phoneticPr fontId="81" type="noConversion"/>
  </si>
  <si>
    <t>大口法式蕈菇起司雞排飯糰</t>
  </si>
  <si>
    <t>比例</t>
  </si>
  <si>
    <t>項目</t>
  </si>
  <si>
    <t>超用</t>
  </si>
  <si>
    <t>二配玉米濃湯焗烤飯</t>
  </si>
  <si>
    <t>二配美味蟹煲</t>
  </si>
  <si>
    <t>二配蒸紅雪蟹肉</t>
  </si>
  <si>
    <t>業績金額</t>
  </si>
  <si>
    <t>川燙青花菜</t>
  </si>
  <si>
    <t>二配烤鹹蛋黃碎</t>
  </si>
  <si>
    <t>炒鼎泰豐香辣醬</t>
  </si>
  <si>
    <t>蒜炒紅K高麗菜(111年)</t>
  </si>
  <si>
    <t>二配蒸燻腸片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</si>
  <si>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</si>
  <si>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</si>
  <si>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</si>
  <si>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</si>
  <si>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</si>
  <si>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</si>
  <si>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</si>
  <si>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</si>
  <si>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</si>
  <si>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</si>
  <si>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</si>
  <si>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</si>
  <si>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</si>
  <si>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</si>
  <si>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</si>
  <si>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確認飯袋覆蓋狀況是否良好</t>
  </si>
  <si>
    <t>二配排骨蛋炒飯</t>
  </si>
  <si>
    <t>韓式泡菜冷麵</t>
  </si>
  <si>
    <t>紹興醉雞風味飯糰(區)</t>
  </si>
  <si>
    <t>炒泡麵炒蛋</t>
  </si>
  <si>
    <t>二配蟹粉燴汁(115年)</t>
  </si>
  <si>
    <t>切-究極燒肉片</t>
  </si>
  <si>
    <t>飯糰排名前段品項，皆是使用GKK生產的單餡飯糰，產能及人時生產性差異小。對比上週差異小。</t>
    <phoneticPr fontId="13" type="noConversion"/>
  </si>
  <si>
    <t>香烤鱈魚輕蔬餐盒</t>
  </si>
  <si>
    <t>二配蒸-全熟雞肉絲CL(升)</t>
  </si>
  <si>
    <t>二配雞肉飯飯糰</t>
  </si>
  <si>
    <t>蒸益活雞胸丁</t>
  </si>
  <si>
    <t>益活雞胸補力餐盒</t>
  </si>
  <si>
    <t>日式牛培根(115年)</t>
  </si>
  <si>
    <t>柚見極炙烤牛</t>
  </si>
  <si>
    <t>大口益活烤雞蛋白青醬飯糰</t>
  </si>
  <si>
    <t>愛恨椒芝麵</t>
  </si>
  <si>
    <t>二配泰式椰香綠咖哩醬</t>
  </si>
  <si>
    <t>嫩烤魚排佐花椰菜義大利麵</t>
  </si>
  <si>
    <t>切烤雞胸肉</t>
  </si>
  <si>
    <t>二配叉燒蛋炒飯</t>
  </si>
  <si>
    <t>二配油亮台式叉燒丁</t>
  </si>
  <si>
    <t>醬燒炙烤牛飯糰</t>
  </si>
  <si>
    <t>沙茶牛肉炒麵</t>
  </si>
  <si>
    <t>炒沙茶醬</t>
  </si>
  <si>
    <t>拌燒肉片</t>
  </si>
  <si>
    <t>二配炒綠咖哩腿肉片</t>
  </si>
  <si>
    <t>煮黑嚕嚕炸醬</t>
  </si>
  <si>
    <t>炒沙茶牛肉</t>
  </si>
  <si>
    <t>和風滷肉</t>
  </si>
  <si>
    <t>人工放料加上飯糰生產速度較快，易有放料差異</t>
  </si>
  <si>
    <t>尋找、測試輔助器具穩定放料</t>
  </si>
  <si>
    <t>卵黃牛挽肉飯糰</t>
  </si>
  <si>
    <t>112年拌鹽烤豬肉片</t>
  </si>
  <si>
    <t>炒泡麵豬肉片</t>
  </si>
  <si>
    <t>農產品原物料的大小、長短、厚薄分布差異導致取樣易有不穩定的狀況</t>
  </si>
  <si>
    <t>二配112年拌鹽烤豬肉片</t>
  </si>
  <si>
    <t>二配鹽蔥燒肉飯糰</t>
  </si>
  <si>
    <t>9月總報廢合計</t>
  </si>
  <si>
    <t>9月總報廢率</t>
  </si>
  <si>
    <t>9月總超用A合計金額
(多展)</t>
  </si>
  <si>
    <t>9月總超用率A
(多展)</t>
  </si>
  <si>
    <t>9月總超用B合計金額
(多展-報廢)</t>
  </si>
  <si>
    <t>9月總超用率B
(多展-報廢)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</si>
  <si>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</si>
  <si>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</si>
  <si>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</si>
  <si>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</si>
  <si>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</si>
  <si>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</si>
  <si>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</si>
  <si>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</si>
  <si>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</si>
  <si>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</si>
  <si>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</si>
  <si>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</si>
  <si>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</si>
  <si>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</si>
  <si>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</si>
  <si>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</si>
  <si>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</si>
  <si>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</si>
  <si>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</si>
  <si>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</si>
  <si>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</si>
  <si>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</si>
  <si>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</si>
  <si>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椒麻滷三寶(區)</t>
  </si>
  <si>
    <t>兩支品項皆需要排列主菜，使用人數較多，產能較低，人時生產性低且接近。</t>
    <phoneticPr fontId="13" type="noConversion"/>
  </si>
  <si>
    <t>本週無此類別品項</t>
    <phoneticPr fontId="13" type="noConversion"/>
  </si>
  <si>
    <t>W2</t>
    <phoneticPr fontId="13" type="noConversion"/>
  </si>
  <si>
    <t>9/8-9/14</t>
  </si>
  <si>
    <r>
      <rPr>
        <sz val="10"/>
        <color rgb="FF000000"/>
        <rFont val="Meiryo UI"/>
        <family val="2"/>
        <charset val="128"/>
      </rP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</si>
  <si>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r>
      <rPr>
        <b/>
        <sz val="14"/>
        <color theme="1"/>
        <rFont val="Meiryo UI"/>
        <family val="2"/>
        <charset val="128"/>
      </rPr>
      <t>調理多</t>
    </r>
    <r>
      <rPr>
        <b/>
        <sz val="14"/>
        <color theme="1"/>
        <rFont val="Arial"/>
        <family val="2"/>
      </rPr>
      <t>產</t>
    </r>
  </si>
  <si>
    <r>
      <rPr>
        <sz val="10"/>
        <color rgb="FF000000"/>
        <rFont val="Meiryo UI"/>
        <family val="2"/>
        <charset val="128"/>
      </rPr>
      <t>調理多</t>
    </r>
    <r>
      <rPr>
        <sz val="10"/>
        <color rgb="FF000000"/>
        <rFont val="Arial"/>
        <family val="2"/>
      </rPr>
      <t>產</t>
    </r>
  </si>
  <si>
    <t>煮洋蔥豬肉</t>
  </si>
  <si>
    <t>二配蒸珍珍蟹味絲CL</t>
  </si>
  <si>
    <t>二配燉飯青醬(115年)</t>
  </si>
  <si>
    <t>丼飯-滑蛋(112年)</t>
  </si>
  <si>
    <t>清洗青蔥絲</t>
  </si>
  <si>
    <t>二配鼎泰豐-煮麻婆豆腐(113年)</t>
  </si>
  <si>
    <t>炒泰式打拋肉</t>
  </si>
  <si>
    <t>炒泡麵高麗菜</t>
  </si>
  <si>
    <t>115年炙燒牛五花</t>
  </si>
  <si>
    <t>二配經典肉鬆飯糰</t>
  </si>
  <si>
    <t>二配焙炒芝麻肉鬆</t>
  </si>
  <si>
    <t>切-鹽烤牛肉(115年)</t>
  </si>
  <si>
    <t>二配115年炙燒牛五花</t>
  </si>
  <si>
    <t>二配醬燒炙烤牛飯糰</t>
  </si>
  <si>
    <t>台式燒肉片</t>
  </si>
  <si>
    <t>二配濃辛辣咖哩醬(114年)</t>
  </si>
  <si>
    <t>二配炒打拋肉醬</t>
  </si>
  <si>
    <t>備料異常</t>
  </si>
  <si>
    <t>回饋調理課級連續追蹤備料狀況</t>
  </si>
  <si>
    <t>9/8-9/14</t>
    <phoneticPr fontId="13" type="noConversion"/>
  </si>
  <si>
    <t>二配蒸果香甘口咖哩腿丁</t>
  </si>
  <si>
    <t>廢棄週合計</t>
  </si>
  <si>
    <t>超用週合計</t>
  </si>
  <si>
    <t>日期</t>
  </si>
  <si>
    <t>營業額</t>
  </si>
  <si>
    <t>報廢額</t>
  </si>
  <si>
    <r>
      <rPr>
        <b/>
        <sz val="16"/>
        <color theme="1"/>
        <rFont val="微軟正黑體"/>
        <family val="2"/>
        <charset val="136"/>
      </rP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</si>
  <si>
    <t>超用額A</t>
  </si>
  <si>
    <t>超用率A</t>
  </si>
  <si>
    <t>超用額B</t>
  </si>
  <si>
    <t>超用率B</t>
  </si>
  <si>
    <t>二配起司棉被海陸白醬焗烤飯</t>
  </si>
  <si>
    <t>兩支雙手捲為同性質商品，主要差異在人員組裝熟悉度。對比上週差異小。</t>
    <phoneticPr fontId="13" type="noConversion"/>
  </si>
  <si>
    <t>兩支商品性質相同，半成品數少，使用人數少，人時生產性高。對比上週差異小。</t>
    <phoneticPr fontId="13" type="noConversion"/>
  </si>
  <si>
    <t>9/14上市新品，半成品數對比其他主食品項較多，使用人數較多，人時生產性較低。</t>
    <phoneticPr fontId="13" type="noConversion"/>
  </si>
  <si>
    <t>使用機台生產，產能及人時生產性相近。對比上週差異小。</t>
    <phoneticPr fontId="13" type="noConversion"/>
  </si>
  <si>
    <t>品項僅需擦拭、打印、貼標，主要差異在訂單量。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</si>
</sst>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3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name val="Meiryo UI"/>
      <family val="2"/>
    </font>
    <font>
      <sz val="10"/>
      <color theme="1"/>
      <name val="Microsoft JhengHei"/>
      <family val="2"/>
    </font>
    <font>
      <sz val="8"/>
      <color theme="1"/>
      <name val="細明體"/>
      <family val="3"/>
      <charset val="136"/>
    </font>
    <font>
      <sz val="11"/>
      <color rgb="FFFF0000"/>
      <name val="Meiryo UI"/>
      <family val="2"/>
      <charset val="128"/>
    </font>
    <font>
      <sz val="10"/>
      <color rgb="FF000000"/>
      <name val="標楷體"/>
      <family val="4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Meiryo UI"/>
      <family val="2"/>
      <charset val="128"/>
    </font>
    <font>
      <b/>
      <sz val="14"/>
      <color theme="1"/>
      <name val="Arial"/>
      <family val="2"/>
    </font>
    <font>
      <sz val="10"/>
      <color theme="1"/>
      <name val="Meiryo UI"/>
      <family val="2"/>
      <charset val="128"/>
    </font>
    <font>
      <sz val="11"/>
      <color theme="1"/>
      <name val="Microsoft JhengHei"/>
      <charset val="134"/>
    </font>
    <font>
      <sz val="12"/>
      <color rgb="FF00000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1"/>
      <name val="Microsoft JhengHei"/>
      <charset val="134"/>
    </font>
    <font>
      <sz val="12"/>
      <color theme="1"/>
      <name val="細明體"/>
      <family val="3"/>
      <charset val="136"/>
    </font>
    <font>
      <sz val="14"/>
      <color theme="1"/>
      <name val="Noto Sans CJK SC"/>
      <family val="1"/>
    </font>
    <font>
      <sz val="8"/>
      <color theme="1"/>
      <name val="Microsoft JhengHei"/>
      <family val="2"/>
    </font>
    <font>
      <sz val="8"/>
      <color theme="1"/>
      <name val="Meiryo UI"/>
      <family val="2"/>
    </font>
    <font>
      <sz val="9"/>
      <color theme="1"/>
      <name val="Microsoft JhengHei"/>
      <family val="2"/>
      <charset val="136"/>
    </font>
    <font>
      <sz val="9"/>
      <color theme="1"/>
      <name val="Meiryo UI"/>
      <family val="2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8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2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3" fillId="9" borderId="22" xfId="0" applyNumberFormat="1" applyFont="1" applyFill="1" applyBorder="1" applyAlignment="1"/>
    <xf numFmtId="186" fontId="103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5" fillId="0" borderId="27" xfId="0" applyFont="1" applyBorder="1" applyAlignment="1">
      <alignment horizontal="left" vertical="center"/>
    </xf>
    <xf numFmtId="0" fontId="104" fillId="0" borderId="27" xfId="0" applyFont="1" applyBorder="1" applyAlignment="1">
      <alignment vertical="center"/>
    </xf>
    <xf numFmtId="0" fontId="104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7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08" fillId="0" borderId="23" xfId="581" applyFont="1" applyBorder="1" applyAlignment="1">
      <alignment horizontal="center" vertical="center" wrapText="1"/>
    </xf>
    <xf numFmtId="0" fontId="108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0" fontId="99" fillId="0" borderId="23" xfId="581" applyNumberFormat="1" applyFont="1" applyBorder="1" applyAlignment="1">
      <alignment horizontal="center" vertical="center"/>
    </xf>
    <xf numFmtId="194" fontId="108" fillId="0" borderId="23" xfId="581" applyNumberFormat="1" applyFont="1" applyBorder="1" applyAlignment="1">
      <alignment horizontal="center" vertical="center"/>
    </xf>
    <xf numFmtId="10" fontId="108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09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0" fillId="0" borderId="0" xfId="581" applyNumberFormat="1" applyFont="1">
      <alignment vertical="center"/>
    </xf>
    <xf numFmtId="195" fontId="107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7" fillId="8" borderId="22" xfId="581" applyNumberFormat="1" applyFont="1" applyFill="1" applyBorder="1" applyAlignment="1">
      <alignment horizontal="center" vertical="center"/>
    </xf>
    <xf numFmtId="194" fontId="107" fillId="8" borderId="22" xfId="582" applyNumberFormat="1" applyFont="1" applyFill="1" applyBorder="1" applyAlignment="1">
      <alignment horizontal="center" vertical="center"/>
    </xf>
    <xf numFmtId="189" fontId="107" fillId="0" borderId="22" xfId="581" applyNumberFormat="1" applyFont="1" applyBorder="1" applyAlignment="1">
      <alignment horizontal="center" vertical="center"/>
    </xf>
    <xf numFmtId="10" fontId="107" fillId="0" borderId="22" xfId="3" applyNumberFormat="1" applyFont="1" applyBorder="1" applyAlignment="1">
      <alignment horizontal="center" vertical="center"/>
    </xf>
    <xf numFmtId="194" fontId="111" fillId="8" borderId="22" xfId="582" applyNumberFormat="1" applyFont="1" applyFill="1" applyBorder="1" applyAlignment="1">
      <alignment horizontal="center" vertical="center"/>
    </xf>
    <xf numFmtId="10" fontId="111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7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105" fillId="0" borderId="27" xfId="0" applyFont="1" applyBorder="1" applyAlignment="1">
      <alignment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shrinkToFit="1"/>
    </xf>
    <xf numFmtId="194" fontId="99" fillId="0" borderId="23" xfId="581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28" fillId="0" borderId="0" xfId="11" applyFont="1" applyFill="1" applyBorder="1" applyAlignment="1">
      <alignment vertical="center" shrinkToFit="1"/>
    </xf>
    <xf numFmtId="0" fontId="120" fillId="0" borderId="51" xfId="11" applyFont="1" applyBorder="1" applyAlignment="1">
      <alignment shrinkToFit="1"/>
    </xf>
    <xf numFmtId="184" fontId="96" fillId="13" borderId="52" xfId="11" applyNumberFormat="1" applyFont="1" applyFill="1" applyBorder="1" applyAlignment="1">
      <alignment shrinkToFit="1"/>
    </xf>
    <xf numFmtId="0" fontId="121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125" fillId="0" borderId="44" xfId="11" applyFont="1" applyFill="1" applyBorder="1" applyAlignment="1">
      <alignment horizontal="center" shrinkToFit="1"/>
    </xf>
    <xf numFmtId="3" fontId="80" fillId="20" borderId="6" xfId="11" applyNumberFormat="1" applyFont="1" applyFill="1" applyBorder="1" applyAlignment="1">
      <alignment shrinkToFit="1"/>
    </xf>
    <xf numFmtId="10" fontId="80" fillId="0" borderId="60" xfId="11" applyNumberFormat="1" applyFont="1" applyFill="1" applyBorder="1" applyAlignment="1">
      <alignment shrinkToFit="1"/>
    </xf>
    <xf numFmtId="0" fontId="125" fillId="0" borderId="61" xfId="11" applyFont="1" applyFill="1" applyBorder="1" applyAlignment="1">
      <alignment horizontal="center" shrinkToFit="1"/>
    </xf>
    <xf numFmtId="3" fontId="28" fillId="20" borderId="4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125" fillId="0" borderId="62" xfId="11" applyFont="1" applyFill="1" applyBorder="1" applyAlignment="1">
      <alignment horizontal="center" shrinkToFit="1"/>
    </xf>
    <xf numFmtId="3" fontId="80" fillId="20" borderId="45" xfId="11" applyNumberFormat="1" applyFont="1" applyFill="1" applyBorder="1" applyAlignment="1">
      <alignment shrinkToFit="1"/>
    </xf>
    <xf numFmtId="10" fontId="80" fillId="0" borderId="63" xfId="11" applyNumberFormat="1" applyFont="1" applyFill="1" applyBorder="1" applyAlignment="1">
      <alignment shrinkToFit="1"/>
    </xf>
    <xf numFmtId="0" fontId="125" fillId="0" borderId="64" xfId="11" applyFont="1" applyFill="1" applyBorder="1" applyAlignment="1">
      <alignment horizontal="center" shrinkToFit="1"/>
    </xf>
    <xf numFmtId="3" fontId="28" fillId="20" borderId="65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0" fontId="7" fillId="2" borderId="16" xfId="0" applyFont="1" applyFill="1" applyBorder="1" applyAlignment="1">
      <alignment horizontal="center" shrinkToFit="1"/>
    </xf>
    <xf numFmtId="0" fontId="127" fillId="0" borderId="22" xfId="11" applyFont="1" applyBorder="1" applyAlignment="1">
      <alignment horizontal="center" vertical="center"/>
    </xf>
    <xf numFmtId="0" fontId="127" fillId="8" borderId="22" xfId="11" applyFont="1" applyFill="1" applyBorder="1" applyAlignment="1">
      <alignment horizontal="left" vertical="center"/>
    </xf>
    <xf numFmtId="197" fontId="80" fillId="4" borderId="22" xfId="11" applyNumberFormat="1" applyFont="1" applyFill="1" applyBorder="1" applyAlignment="1">
      <alignment horizontal="center" vertical="center"/>
    </xf>
    <xf numFmtId="192" fontId="80" fillId="8" borderId="22" xfId="11" applyNumberFormat="1" applyFont="1" applyFill="1" applyBorder="1" applyAlignment="1">
      <alignment horizontal="center" vertical="center"/>
    </xf>
    <xf numFmtId="198" fontId="80" fillId="8" borderId="22" xfId="11" applyNumberFormat="1" applyFont="1" applyFill="1" applyBorder="1" applyAlignment="1">
      <alignment horizontal="center" vertical="center"/>
    </xf>
    <xf numFmtId="185" fontId="80" fillId="0" borderId="22" xfId="13" applyNumberFormat="1" applyFont="1" applyFill="1" applyBorder="1" applyAlignment="1">
      <alignment horizontal="center" vertical="center"/>
    </xf>
    <xf numFmtId="198" fontId="80" fillId="8" borderId="22" xfId="13" applyNumberFormat="1" applyFont="1" applyFill="1" applyBorder="1" applyAlignment="1">
      <alignment horizontal="center" vertical="center"/>
    </xf>
    <xf numFmtId="198" fontId="80" fillId="0" borderId="22" xfId="11" applyNumberFormat="1" applyFont="1" applyBorder="1" applyAlignment="1">
      <alignment horizontal="center" vertical="center"/>
    </xf>
    <xf numFmtId="197" fontId="80" fillId="0" borderId="22" xfId="11" applyNumberFormat="1" applyFont="1" applyBorder="1" applyAlignment="1">
      <alignment horizontal="center" vertical="center"/>
    </xf>
    <xf numFmtId="198" fontId="128" fillId="0" borderId="22" xfId="11" applyNumberFormat="1" applyFont="1" applyBorder="1" applyAlignment="1">
      <alignment horizontal="center" vertical="center"/>
    </xf>
    <xf numFmtId="185" fontId="128" fillId="0" borderId="22" xfId="13" applyNumberFormat="1" applyFont="1" applyFill="1" applyBorder="1" applyAlignment="1">
      <alignment horizontal="center" vertical="center"/>
    </xf>
    <xf numFmtId="197" fontId="128" fillId="0" borderId="22" xfId="13" applyNumberFormat="1" applyFont="1" applyFill="1" applyBorder="1" applyAlignment="1">
      <alignment horizontal="center" vertical="center"/>
    </xf>
    <xf numFmtId="0" fontId="129" fillId="0" borderId="22" xfId="11" applyFont="1" applyBorder="1" applyAlignment="1">
      <alignment horizontal="center" vertical="center"/>
    </xf>
    <xf numFmtId="0" fontId="130" fillId="0" borderId="22" xfId="11" applyFont="1" applyBorder="1" applyAlignment="1">
      <alignment horizontal="center" vertical="center"/>
    </xf>
    <xf numFmtId="0" fontId="80" fillId="0" borderId="22" xfId="11" applyFont="1" applyBorder="1" applyAlignment="1">
      <alignment horizontal="left" vertical="center"/>
    </xf>
    <xf numFmtId="197" fontId="80" fillId="0" borderId="22" xfId="13" applyNumberFormat="1" applyFont="1" applyFill="1" applyBorder="1" applyAlignment="1">
      <alignment horizontal="center" vertical="center"/>
    </xf>
    <xf numFmtId="193" fontId="82" fillId="21" borderId="22" xfId="5" applyNumberFormat="1" applyFont="1" applyFill="1" applyBorder="1" applyAlignment="1">
      <alignment horizontal="center" vertical="center"/>
    </xf>
    <xf numFmtId="193" fontId="82" fillId="22" borderId="22" xfId="5" applyNumberFormat="1" applyFont="1" applyFill="1" applyBorder="1" applyAlignment="1">
      <alignment horizontal="center" vertical="center"/>
    </xf>
    <xf numFmtId="194" fontId="131" fillId="8" borderId="22" xfId="4" applyNumberFormat="1" applyFont="1" applyFill="1" applyBorder="1" applyAlignment="1">
      <alignment horizontal="center" vertical="center"/>
    </xf>
    <xf numFmtId="194" fontId="131" fillId="8" borderId="22" xfId="6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132" fillId="0" borderId="31" xfId="0" applyFont="1" applyBorder="1" applyAlignment="1">
      <alignment horizontal="center" vertical="center" wrapText="1" shrinkToFit="1"/>
    </xf>
    <xf numFmtId="0" fontId="133" fillId="0" borderId="32" xfId="0" applyFont="1" applyBorder="1" applyAlignment="1">
      <alignment horizontal="center" vertical="center" wrapText="1" shrinkToFit="1"/>
    </xf>
    <xf numFmtId="0" fontId="133" fillId="0" borderId="35" xfId="0" applyFont="1" applyBorder="1" applyAlignment="1">
      <alignment horizontal="center" vertical="center" wrapText="1" shrinkToFit="1"/>
    </xf>
    <xf numFmtId="0" fontId="133" fillId="0" borderId="36" xfId="0" applyFont="1" applyBorder="1" applyAlignment="1">
      <alignment horizontal="center" vertical="center" wrapText="1"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113" fillId="0" borderId="22" xfId="0" applyFont="1" applyBorder="1" applyAlignment="1">
      <alignment horizontal="center" shrinkToFit="1"/>
    </xf>
    <xf numFmtId="179" fontId="116" fillId="0" borderId="22" xfId="0" applyNumberFormat="1" applyFont="1" applyBorder="1" applyAlignment="1">
      <alignment horizontal="center" vertical="center" shrinkToFit="1"/>
    </xf>
    <xf numFmtId="0" fontId="117" fillId="0" borderId="22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5" fillId="0" borderId="22" xfId="0" applyFont="1" applyBorder="1" applyAlignment="1">
      <alignment horizontal="center" vertical="center" shrinkToFit="1"/>
    </xf>
    <xf numFmtId="0" fontId="112" fillId="0" borderId="22" xfId="0" applyFont="1" applyBorder="1" applyAlignment="1">
      <alignment horizontal="center" vertical="center" wrapText="1" shrinkToFit="1"/>
    </xf>
    <xf numFmtId="0" fontId="103" fillId="0" borderId="22" xfId="0" applyFont="1" applyBorder="1" applyAlignment="1">
      <alignment horizontal="center" vertical="center" wrapText="1" shrinkToFit="1"/>
    </xf>
    <xf numFmtId="0" fontId="52" fillId="0" borderId="22" xfId="0" applyFont="1" applyBorder="1" applyAlignment="1">
      <alignment horizontal="center" vertical="center" shrinkToFit="1"/>
    </xf>
    <xf numFmtId="0" fontId="119" fillId="0" borderId="31" xfId="0" applyFont="1" applyBorder="1" applyAlignment="1">
      <alignment horizontal="center" vertical="center" wrapText="1" shrinkToFit="1"/>
    </xf>
    <xf numFmtId="0" fontId="119" fillId="0" borderId="32" xfId="0" applyFont="1" applyBorder="1" applyAlignment="1">
      <alignment horizontal="center" vertical="center" wrapText="1" shrinkToFit="1"/>
    </xf>
    <xf numFmtId="0" fontId="119" fillId="0" borderId="35" xfId="0" applyFont="1" applyBorder="1" applyAlignment="1">
      <alignment horizontal="center" vertical="center" wrapText="1" shrinkToFit="1"/>
    </xf>
    <xf numFmtId="0" fontId="119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118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116" fillId="0" borderId="31" xfId="0" applyFont="1" applyBorder="1" applyAlignment="1">
      <alignment horizontal="center" vertical="center" shrinkToFit="1"/>
    </xf>
    <xf numFmtId="0" fontId="116" fillId="0" borderId="32" xfId="0" applyFont="1" applyBorder="1" applyAlignment="1">
      <alignment horizontal="center" vertical="center" shrinkToFit="1"/>
    </xf>
    <xf numFmtId="0" fontId="116" fillId="0" borderId="33" xfId="0" applyFont="1" applyBorder="1" applyAlignment="1">
      <alignment horizontal="center" vertical="center" shrinkToFit="1"/>
    </xf>
    <xf numFmtId="0" fontId="116" fillId="0" borderId="34" xfId="0" applyFont="1" applyBorder="1" applyAlignment="1">
      <alignment horizontal="center" vertical="center" shrinkToFit="1"/>
    </xf>
    <xf numFmtId="0" fontId="116" fillId="0" borderId="35" xfId="0" applyFont="1" applyBorder="1" applyAlignment="1">
      <alignment horizontal="center" vertical="center" shrinkToFit="1"/>
    </xf>
    <xf numFmtId="0" fontId="116" fillId="0" borderId="36" xfId="0" applyFont="1" applyBorder="1" applyAlignment="1">
      <alignment horizontal="center" vertical="center" shrinkToFit="1"/>
    </xf>
    <xf numFmtId="0" fontId="116" fillId="0" borderId="27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shrinkToFit="1"/>
    </xf>
    <xf numFmtId="0" fontId="134" fillId="0" borderId="31" xfId="0" applyFont="1" applyBorder="1" applyAlignment="1">
      <alignment horizontal="center" wrapText="1" shrinkToFit="1"/>
    </xf>
    <xf numFmtId="0" fontId="135" fillId="0" borderId="32" xfId="0" applyFont="1" applyBorder="1" applyAlignment="1">
      <alignment horizontal="center" wrapText="1" shrinkToFit="1"/>
    </xf>
    <xf numFmtId="0" fontId="135" fillId="0" borderId="35" xfId="0" applyFont="1" applyBorder="1" applyAlignment="1">
      <alignment horizontal="center" wrapText="1" shrinkToFit="1"/>
    </xf>
    <xf numFmtId="0" fontId="135" fillId="0" borderId="36" xfId="0" applyFont="1" applyBorder="1" applyAlignment="1">
      <alignment horizontal="center" wrapText="1" shrinkToFit="1"/>
    </xf>
    <xf numFmtId="0" fontId="113" fillId="0" borderId="31" xfId="0" applyFont="1" applyBorder="1" applyAlignment="1">
      <alignment horizontal="center" vertical="center" wrapText="1" shrinkToFit="1"/>
    </xf>
    <xf numFmtId="0" fontId="28" fillId="0" borderId="32" xfId="0" applyFont="1" applyBorder="1" applyAlignment="1">
      <alignment horizontal="center" vertical="center" wrapText="1" shrinkToFit="1"/>
    </xf>
    <xf numFmtId="0" fontId="28" fillId="0" borderId="33" xfId="0" applyFont="1" applyBorder="1" applyAlignment="1">
      <alignment horizontal="center" vertical="center" wrapText="1" shrinkToFit="1"/>
    </xf>
    <xf numFmtId="0" fontId="28" fillId="0" borderId="34" xfId="0" applyFont="1" applyBorder="1" applyAlignment="1">
      <alignment horizontal="center" vertical="center" wrapText="1" shrinkToFit="1"/>
    </xf>
    <xf numFmtId="0" fontId="28" fillId="0" borderId="35" xfId="0" applyFont="1" applyBorder="1" applyAlignment="1">
      <alignment horizontal="center" vertical="center" wrapText="1" shrinkToFit="1"/>
    </xf>
    <xf numFmtId="0" fontId="28" fillId="0" borderId="36" xfId="0" applyFont="1" applyBorder="1" applyAlignment="1">
      <alignment horizontal="center" vertical="center" wrapText="1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116" fillId="0" borderId="27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123" fillId="0" borderId="27" xfId="11" applyFont="1" applyFill="1" applyBorder="1" applyAlignment="1">
      <alignment horizontal="center" vertical="center" shrinkToFit="1"/>
    </xf>
    <xf numFmtId="0" fontId="123" fillId="0" borderId="50" xfId="11" applyFont="1" applyFill="1" applyBorder="1" applyAlignment="1">
      <alignment horizontal="center" vertical="center" shrinkToFit="1"/>
    </xf>
    <xf numFmtId="0" fontId="26" fillId="17" borderId="54" xfId="11" applyFont="1" applyFill="1" applyBorder="1" applyAlignment="1">
      <alignment horizontal="center" vertical="center" shrinkToFit="1"/>
    </xf>
    <xf numFmtId="0" fontId="26" fillId="17" borderId="55" xfId="11" applyFont="1" applyFill="1" applyBorder="1" applyAlignment="1">
      <alignment horizontal="center" vertical="center" shrinkToFit="1"/>
    </xf>
    <xf numFmtId="0" fontId="26" fillId="17" borderId="56" xfId="11" applyFont="1" applyFill="1" applyBorder="1" applyAlignment="1">
      <alignment horizontal="center" vertical="center" shrinkToFit="1"/>
    </xf>
    <xf numFmtId="0" fontId="120" fillId="0" borderId="78" xfId="11" applyFont="1" applyFill="1" applyBorder="1" applyAlignment="1">
      <alignment horizontal="center" vertical="center"/>
    </xf>
    <xf numFmtId="0" fontId="120" fillId="0" borderId="79" xfId="11" applyFont="1" applyFill="1" applyBorder="1" applyAlignment="1">
      <alignment horizontal="center" vertical="center"/>
    </xf>
    <xf numFmtId="0" fontId="120" fillId="0" borderId="57" xfId="11" applyFont="1" applyFill="1" applyBorder="1" applyAlignment="1">
      <alignment horizontal="center" vertical="center"/>
    </xf>
    <xf numFmtId="0" fontId="28" fillId="0" borderId="31" xfId="11" applyFont="1" applyFill="1" applyBorder="1" applyAlignment="1">
      <alignment horizontal="center" vertical="center" shrinkToFit="1"/>
    </xf>
    <xf numFmtId="0" fontId="28" fillId="0" borderId="77" xfId="11" applyFont="1" applyFill="1" applyBorder="1" applyAlignment="1">
      <alignment horizontal="center" vertical="center" shrinkToFit="1"/>
    </xf>
    <xf numFmtId="0" fontId="28" fillId="0" borderId="35" xfId="11" applyFont="1" applyFill="1" applyBorder="1" applyAlignment="1">
      <alignment horizontal="center" vertical="center" shrinkToFit="1"/>
    </xf>
    <xf numFmtId="0" fontId="28" fillId="0" borderId="58" xfId="11" applyFont="1" applyFill="1" applyBorder="1" applyAlignment="1">
      <alignment horizontal="center" vertical="center" shrinkToFit="1"/>
    </xf>
    <xf numFmtId="0" fontId="120" fillId="0" borderId="74" xfId="11" applyFont="1" applyFill="1" applyBorder="1" applyAlignment="1">
      <alignment horizontal="center" vertical="center"/>
    </xf>
    <xf numFmtId="0" fontId="120" fillId="0" borderId="75" xfId="11" applyFont="1" applyFill="1" applyBorder="1" applyAlignment="1">
      <alignment horizontal="center" vertical="center"/>
    </xf>
    <xf numFmtId="0" fontId="120" fillId="0" borderId="76" xfId="11" applyFont="1" applyFill="1" applyBorder="1" applyAlignment="1">
      <alignment horizontal="center" vertical="center"/>
    </xf>
    <xf numFmtId="0" fontId="26" fillId="0" borderId="72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73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123" fillId="0" borderId="59" xfId="11" applyFont="1" applyFill="1" applyBorder="1" applyAlignment="1">
      <alignment horizontal="center" vertical="center" shrinkToFit="1"/>
    </xf>
    <xf numFmtId="0" fontId="123" fillId="0" borderId="25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125" fillId="2" borderId="4" xfId="0" applyFont="1" applyFill="1" applyBorder="1" applyAlignment="1">
      <alignment horizontal="center" vertical="center" shrinkToFit="1"/>
    </xf>
    <xf numFmtId="0" fontId="125" fillId="2" borderId="3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26" fillId="0" borderId="4" xfId="0" applyFont="1" applyBorder="1" applyAlignment="1">
      <alignment horizontal="center" shrinkToFit="1"/>
    </xf>
    <xf numFmtId="0" fontId="126" fillId="0" borderId="3" xfId="0" applyFont="1" applyBorder="1" applyAlignment="1">
      <alignment horizont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horizontal="center" shrinkToFit="1"/>
    </xf>
    <xf numFmtId="0" fontId="7" fillId="0" borderId="49" xfId="0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4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07" fillId="5" borderId="22" xfId="581" applyNumberFormat="1" applyFont="1" applyFill="1" applyBorder="1" applyAlignment="1">
      <alignment horizontal="center" vertical="center"/>
    </xf>
    <xf numFmtId="195" fontId="107" fillId="14" borderId="22" xfId="581" applyNumberFormat="1" applyFont="1" applyFill="1" applyBorder="1" applyAlignment="1">
      <alignment horizontal="center" vertical="center"/>
    </xf>
    <xf numFmtId="195" fontId="107" fillId="22" borderId="23" xfId="581" applyNumberFormat="1" applyFont="1" applyFill="1" applyBorder="1" applyAlignment="1">
      <alignment horizontal="center" vertical="center"/>
    </xf>
    <xf numFmtId="195" fontId="107" fillId="22" borderId="29" xfId="581" applyNumberFormat="1" applyFont="1" applyFill="1" applyBorder="1" applyAlignment="1">
      <alignment horizontal="center" vertical="center"/>
    </xf>
    <xf numFmtId="195" fontId="107" fillId="22" borderId="30" xfId="581" applyNumberFormat="1" applyFont="1" applyFill="1" applyBorder="1" applyAlignment="1">
      <alignment horizontal="center" vertical="center"/>
    </xf>
    <xf numFmtId="195" fontId="107" fillId="21" borderId="23" xfId="581" applyNumberFormat="1" applyFont="1" applyFill="1" applyBorder="1" applyAlignment="1">
      <alignment horizontal="center" vertical="center"/>
    </xf>
    <xf numFmtId="195" fontId="107" fillId="21" borderId="29" xfId="581" applyNumberFormat="1" applyFont="1" applyFill="1" applyBorder="1" applyAlignment="1">
      <alignment horizontal="center" vertical="center"/>
    </xf>
    <xf numFmtId="195" fontId="107" fillId="21" borderId="30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14" t="s">
        <v>12</v>
      </c>
      <c r="D21" s="597"/>
      <c r="E21" s="590"/>
      <c r="F21" s="50" t="s">
        <v>46</v>
      </c>
      <c r="G21" s="50" t="s">
        <v>48</v>
      </c>
      <c r="H21" s="50" t="s">
        <v>49</v>
      </c>
      <c r="I21" s="8" t="s">
        <v>13</v>
      </c>
      <c r="J21" s="606" t="s">
        <v>51</v>
      </c>
      <c r="K21" s="59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9" t="s">
        <v>14</v>
      </c>
      <c r="D22" s="597"/>
      <c r="E22" s="590"/>
      <c r="F22" s="4">
        <v>3</v>
      </c>
      <c r="G22" s="4">
        <v>3000</v>
      </c>
      <c r="H22" s="4">
        <v>1000</v>
      </c>
      <c r="I22" s="4">
        <v>10</v>
      </c>
      <c r="J22" s="596" t="s">
        <v>76</v>
      </c>
      <c r="K22" s="590"/>
      <c r="M22" s="53" t="s">
        <v>26</v>
      </c>
      <c r="N22" s="58" t="s">
        <v>47</v>
      </c>
      <c r="O22" s="602" t="s">
        <v>12</v>
      </c>
      <c r="P22" s="597"/>
      <c r="Q22" s="590"/>
      <c r="R22" s="608" t="s">
        <v>53</v>
      </c>
      <c r="S22" s="597"/>
      <c r="T22" s="59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6" t="s">
        <v>51</v>
      </c>
      <c r="AA22" s="590"/>
    </row>
    <row r="23" spans="1:27" ht="15.75" customHeight="1">
      <c r="A23" s="23"/>
      <c r="B23" s="6">
        <v>2</v>
      </c>
      <c r="C23" s="611"/>
      <c r="D23" s="597"/>
      <c r="E23" s="590"/>
      <c r="F23" s="4"/>
      <c r="G23" s="4"/>
      <c r="H23" s="4"/>
      <c r="I23" s="4"/>
      <c r="J23" s="611"/>
      <c r="K23" s="590"/>
      <c r="M23" s="57" t="s">
        <v>42</v>
      </c>
      <c r="N23" s="24">
        <v>1</v>
      </c>
      <c r="O23" s="596" t="s">
        <v>82</v>
      </c>
      <c r="P23" s="597"/>
      <c r="Q23" s="590"/>
      <c r="R23" s="596" t="s">
        <v>85</v>
      </c>
      <c r="S23" s="597"/>
      <c r="T23" s="59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6" t="s">
        <v>86</v>
      </c>
      <c r="AA23" s="590"/>
    </row>
    <row r="24" spans="1:27" ht="15.75" customHeight="1">
      <c r="A24" s="23"/>
      <c r="B24" s="6">
        <v>3</v>
      </c>
      <c r="C24" s="611"/>
      <c r="D24" s="597"/>
      <c r="E24" s="590"/>
      <c r="F24" s="4"/>
      <c r="G24" s="4"/>
      <c r="H24" s="4"/>
      <c r="I24" s="4"/>
      <c r="J24" s="611"/>
      <c r="K24" s="590"/>
      <c r="M24" s="25"/>
      <c r="N24" s="24">
        <v>2</v>
      </c>
      <c r="O24" s="589"/>
      <c r="P24" s="597"/>
      <c r="Q24" s="590"/>
      <c r="R24" s="589"/>
      <c r="S24" s="597"/>
      <c r="T24" s="590"/>
      <c r="U24" s="4"/>
      <c r="V24" s="14"/>
      <c r="W24" s="4"/>
      <c r="X24" s="16">
        <f>W24*U24</f>
        <v>0</v>
      </c>
      <c r="Y24" s="4"/>
      <c r="Z24" s="589"/>
      <c r="AA24" s="590"/>
    </row>
    <row r="25" spans="1:27" ht="15.75" customHeight="1">
      <c r="A25" s="23"/>
      <c r="B25" s="6">
        <v>4</v>
      </c>
      <c r="C25" s="611"/>
      <c r="D25" s="597"/>
      <c r="E25" s="590"/>
      <c r="F25" s="4"/>
      <c r="G25" s="4"/>
      <c r="H25" s="4"/>
      <c r="I25" s="4"/>
      <c r="J25" s="611"/>
      <c r="K25" s="590"/>
      <c r="M25" s="25"/>
      <c r="N25" s="24">
        <v>3</v>
      </c>
      <c r="O25" s="589"/>
      <c r="P25" s="597"/>
      <c r="Q25" s="590"/>
      <c r="R25" s="589"/>
      <c r="S25" s="597"/>
      <c r="T25" s="590"/>
      <c r="U25" s="4"/>
      <c r="V25" s="14"/>
      <c r="W25" s="4"/>
      <c r="X25" s="16">
        <f>W25*U25</f>
        <v>0</v>
      </c>
      <c r="Y25" s="4"/>
      <c r="Z25" s="589"/>
      <c r="AA25" s="590"/>
    </row>
    <row r="26" spans="1:27" ht="15.75" customHeight="1">
      <c r="A26" s="23"/>
      <c r="B26" s="26">
        <v>5</v>
      </c>
      <c r="C26" s="615"/>
      <c r="D26" s="598"/>
      <c r="E26" s="592"/>
      <c r="F26" s="27"/>
      <c r="G26" s="27"/>
      <c r="H26" s="27"/>
      <c r="I26" s="27"/>
      <c r="J26" s="615"/>
      <c r="K26" s="592"/>
      <c r="M26" s="25"/>
      <c r="N26" s="24">
        <v>4</v>
      </c>
      <c r="O26" s="589"/>
      <c r="P26" s="597"/>
      <c r="Q26" s="590"/>
      <c r="R26" s="589"/>
      <c r="S26" s="597"/>
      <c r="T26" s="590"/>
      <c r="U26" s="4"/>
      <c r="V26" s="14"/>
      <c r="W26" s="4"/>
      <c r="X26" s="16">
        <f>W26*U26</f>
        <v>0</v>
      </c>
      <c r="Y26" s="4"/>
      <c r="Z26" s="589"/>
      <c r="AA26" s="590"/>
    </row>
    <row r="27" spans="1:27" ht="15.75" customHeight="1">
      <c r="A27" s="23"/>
      <c r="B27" s="70" t="s">
        <v>101</v>
      </c>
      <c r="C27" s="599" t="s">
        <v>75</v>
      </c>
      <c r="D27" s="600"/>
      <c r="E27" s="601"/>
      <c r="F27" s="28">
        <v>4</v>
      </c>
      <c r="G27" s="28">
        <v>2800</v>
      </c>
      <c r="H27" s="28">
        <v>700</v>
      </c>
      <c r="I27" s="28" t="s">
        <v>15</v>
      </c>
      <c r="J27" s="599" t="s">
        <v>77</v>
      </c>
      <c r="K27" s="601"/>
      <c r="M27" s="25"/>
      <c r="N27" s="29">
        <v>5</v>
      </c>
      <c r="O27" s="591"/>
      <c r="P27" s="598"/>
      <c r="Q27" s="592"/>
      <c r="R27" s="591"/>
      <c r="S27" s="598"/>
      <c r="T27" s="592"/>
      <c r="U27" s="27"/>
      <c r="V27" s="30"/>
      <c r="W27" s="27"/>
      <c r="X27" s="31">
        <f>W27*U27</f>
        <v>0</v>
      </c>
      <c r="Y27" s="4"/>
      <c r="Z27" s="591"/>
      <c r="AA27" s="592"/>
    </row>
    <row r="28" spans="1:27" ht="15.75" customHeight="1">
      <c r="A28" s="23"/>
      <c r="B28" s="71" t="s">
        <v>102</v>
      </c>
      <c r="C28" s="611"/>
      <c r="D28" s="597"/>
      <c r="E28" s="590"/>
      <c r="F28" s="4"/>
      <c r="G28" s="4"/>
      <c r="H28" s="4"/>
      <c r="I28" s="4"/>
      <c r="J28" s="611"/>
      <c r="K28" s="590"/>
      <c r="M28" s="32"/>
      <c r="N28" s="56"/>
      <c r="O28" s="593"/>
      <c r="P28" s="597"/>
      <c r="Q28" s="597"/>
      <c r="R28" s="593"/>
      <c r="S28" s="597"/>
      <c r="T28" s="597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3"/>
      <c r="AA28" s="590"/>
    </row>
    <row r="29" spans="1:27" ht="15.75" customHeight="1">
      <c r="A29" s="23"/>
      <c r="B29" s="71" t="s">
        <v>100</v>
      </c>
      <c r="C29" s="611"/>
      <c r="D29" s="597"/>
      <c r="E29" s="590"/>
      <c r="F29" s="4"/>
      <c r="G29" s="4"/>
      <c r="H29" s="4"/>
      <c r="I29" s="4"/>
      <c r="J29" s="611"/>
      <c r="K29" s="590"/>
      <c r="M29" s="57" t="s">
        <v>43</v>
      </c>
      <c r="N29" s="24">
        <v>1</v>
      </c>
      <c r="O29" s="612" t="s">
        <v>16</v>
      </c>
      <c r="P29" s="613"/>
      <c r="Q29" s="595"/>
      <c r="R29" s="594" t="s">
        <v>87</v>
      </c>
      <c r="S29" s="613"/>
      <c r="T29" s="59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4" t="s">
        <v>88</v>
      </c>
      <c r="AA29" s="595"/>
    </row>
    <row r="30" spans="1:27" ht="15.75" customHeight="1">
      <c r="A30" s="23"/>
      <c r="B30" s="71" t="s">
        <v>99</v>
      </c>
      <c r="C30" s="611"/>
      <c r="D30" s="597"/>
      <c r="E30" s="590"/>
      <c r="F30" s="4"/>
      <c r="G30" s="4"/>
      <c r="H30" s="4"/>
      <c r="I30" s="4"/>
      <c r="J30" s="611"/>
      <c r="K30" s="590"/>
      <c r="M30" s="25"/>
      <c r="N30" s="24">
        <v>2</v>
      </c>
      <c r="O30" s="589"/>
      <c r="P30" s="597"/>
      <c r="Q30" s="590"/>
      <c r="R30" s="589"/>
      <c r="S30" s="597"/>
      <c r="T30" s="590"/>
      <c r="U30" s="4"/>
      <c r="V30" s="14"/>
      <c r="W30" s="4"/>
      <c r="X30" s="16">
        <f>W30*U30</f>
        <v>0</v>
      </c>
      <c r="Y30" s="4"/>
      <c r="Z30" s="589"/>
      <c r="AA30" s="590"/>
    </row>
    <row r="31" spans="1:27" ht="15.75" customHeight="1">
      <c r="A31" s="20"/>
      <c r="B31" s="71" t="s">
        <v>103</v>
      </c>
      <c r="C31" s="611"/>
      <c r="D31" s="597"/>
      <c r="E31" s="590"/>
      <c r="F31" s="4"/>
      <c r="G31" s="4"/>
      <c r="H31" s="4"/>
      <c r="I31" s="4"/>
      <c r="J31" s="611"/>
      <c r="K31" s="590"/>
      <c r="M31" s="25"/>
      <c r="N31" s="24">
        <v>3</v>
      </c>
      <c r="O31" s="589"/>
      <c r="P31" s="597"/>
      <c r="Q31" s="590"/>
      <c r="R31" s="589"/>
      <c r="S31" s="597"/>
      <c r="T31" s="590"/>
      <c r="U31" s="4"/>
      <c r="V31" s="14"/>
      <c r="W31" s="4"/>
      <c r="X31" s="16">
        <f>W31*U31</f>
        <v>0</v>
      </c>
      <c r="Y31" s="4"/>
      <c r="Z31" s="589"/>
      <c r="AA31" s="590"/>
    </row>
    <row r="32" spans="1:27" ht="15.75" customHeight="1">
      <c r="A32" s="68"/>
      <c r="M32" s="25"/>
      <c r="N32" s="24">
        <v>4</v>
      </c>
      <c r="O32" s="589"/>
      <c r="P32" s="597"/>
      <c r="Q32" s="590"/>
      <c r="R32" s="589"/>
      <c r="S32" s="597"/>
      <c r="T32" s="590"/>
      <c r="U32" s="4"/>
      <c r="V32" s="14"/>
      <c r="W32" s="4"/>
      <c r="X32" s="16">
        <f>W32*U32</f>
        <v>0</v>
      </c>
      <c r="Y32" s="4"/>
      <c r="Z32" s="589"/>
      <c r="AA32" s="590"/>
    </row>
    <row r="33" spans="1:27" ht="15.75" customHeight="1">
      <c r="A33" s="18"/>
      <c r="B33" s="50" t="s">
        <v>47</v>
      </c>
      <c r="C33" s="614" t="s">
        <v>12</v>
      </c>
      <c r="D33" s="597"/>
      <c r="E33" s="590"/>
      <c r="F33" s="50" t="s">
        <v>46</v>
      </c>
      <c r="G33" s="50" t="s">
        <v>48</v>
      </c>
      <c r="H33" s="50" t="s">
        <v>49</v>
      </c>
      <c r="I33" s="8" t="s">
        <v>13</v>
      </c>
      <c r="J33" s="606" t="s">
        <v>51</v>
      </c>
      <c r="K33" s="590"/>
      <c r="M33" s="25"/>
      <c r="N33" s="29">
        <v>5</v>
      </c>
      <c r="O33" s="589"/>
      <c r="P33" s="597"/>
      <c r="Q33" s="590"/>
      <c r="R33" s="589"/>
      <c r="S33" s="597"/>
      <c r="T33" s="590"/>
      <c r="U33" s="27"/>
      <c r="V33" s="30"/>
      <c r="W33" s="27"/>
      <c r="X33" s="31">
        <f>W33*U33</f>
        <v>0</v>
      </c>
      <c r="Y33" s="4"/>
      <c r="Z33" s="589"/>
      <c r="AA33" s="590"/>
    </row>
    <row r="34" spans="1:27" ht="15.75" customHeight="1">
      <c r="A34" s="53" t="s">
        <v>35</v>
      </c>
      <c r="B34" s="6">
        <v>1</v>
      </c>
      <c r="C34" s="596" t="s">
        <v>79</v>
      </c>
      <c r="D34" s="597"/>
      <c r="E34" s="590"/>
      <c r="F34" s="4">
        <v>3</v>
      </c>
      <c r="G34" s="4">
        <v>2500</v>
      </c>
      <c r="H34" s="4">
        <v>833.33</v>
      </c>
      <c r="I34" s="4">
        <v>20</v>
      </c>
      <c r="J34" s="596" t="s">
        <v>78</v>
      </c>
      <c r="K34" s="590"/>
      <c r="M34" s="69"/>
      <c r="N34" s="45"/>
      <c r="O34" s="593"/>
      <c r="P34" s="597"/>
      <c r="Q34" s="597"/>
      <c r="R34" s="593"/>
      <c r="S34" s="597"/>
      <c r="T34" s="597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3"/>
      <c r="AA34" s="590"/>
    </row>
    <row r="35" spans="1:27" ht="15.75" customHeight="1">
      <c r="A35" s="23"/>
      <c r="B35" s="6">
        <v>2</v>
      </c>
      <c r="C35" s="589"/>
      <c r="D35" s="597"/>
      <c r="E35" s="590"/>
      <c r="F35" s="4"/>
      <c r="G35" s="4"/>
      <c r="H35" s="4"/>
      <c r="I35" s="4"/>
      <c r="J35" s="589"/>
      <c r="K35" s="590"/>
      <c r="M35" s="1"/>
      <c r="N35" s="1"/>
      <c r="O35" s="604"/>
      <c r="P35" s="605"/>
      <c r="Q35" s="605"/>
      <c r="R35" s="604"/>
      <c r="S35" s="605"/>
      <c r="T35" s="605"/>
      <c r="U35" s="1"/>
      <c r="V35" s="38"/>
      <c r="W35" s="1"/>
      <c r="X35" s="1"/>
      <c r="Y35" s="604"/>
      <c r="Z35" s="605"/>
      <c r="AA35" s="605"/>
    </row>
    <row r="36" spans="1:27" ht="15.75" customHeight="1">
      <c r="A36" s="23"/>
      <c r="B36" s="6">
        <v>3</v>
      </c>
      <c r="C36" s="589"/>
      <c r="D36" s="597"/>
      <c r="E36" s="590"/>
      <c r="F36" s="4"/>
      <c r="G36" s="4"/>
      <c r="H36" s="4"/>
      <c r="I36" s="4"/>
      <c r="J36" s="589"/>
      <c r="K36" s="590"/>
      <c r="M36" s="53" t="s">
        <v>27</v>
      </c>
      <c r="N36" s="58" t="s">
        <v>47</v>
      </c>
      <c r="O36" s="602" t="s">
        <v>12</v>
      </c>
      <c r="P36" s="593"/>
      <c r="Q36" s="603"/>
      <c r="R36" s="608" t="s">
        <v>53</v>
      </c>
      <c r="S36" s="609"/>
      <c r="T36" s="61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6" t="s">
        <v>51</v>
      </c>
      <c r="AA36" s="607"/>
    </row>
    <row r="37" spans="1:27" ht="15.75" customHeight="1">
      <c r="A37" s="23"/>
      <c r="B37" s="6">
        <v>4</v>
      </c>
      <c r="C37" s="589"/>
      <c r="D37" s="597"/>
      <c r="E37" s="590"/>
      <c r="F37" s="4"/>
      <c r="G37" s="4"/>
      <c r="H37" s="4"/>
      <c r="I37" s="4"/>
      <c r="J37" s="589"/>
      <c r="K37" s="590"/>
      <c r="M37" s="57" t="s">
        <v>42</v>
      </c>
      <c r="N37" s="24">
        <v>1</v>
      </c>
      <c r="O37" s="596" t="s">
        <v>89</v>
      </c>
      <c r="P37" s="597"/>
      <c r="Q37" s="590"/>
      <c r="R37" s="596" t="s">
        <v>90</v>
      </c>
      <c r="S37" s="597"/>
      <c r="T37" s="59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6" t="s">
        <v>91</v>
      </c>
      <c r="AA37" s="590"/>
    </row>
    <row r="38" spans="1:27" ht="15.75" customHeight="1">
      <c r="A38" s="23"/>
      <c r="B38" s="26">
        <v>5</v>
      </c>
      <c r="C38" s="591"/>
      <c r="D38" s="598"/>
      <c r="E38" s="592"/>
      <c r="F38" s="27"/>
      <c r="G38" s="27"/>
      <c r="H38" s="27"/>
      <c r="I38" s="27"/>
      <c r="J38" s="591"/>
      <c r="K38" s="592"/>
      <c r="M38" s="25"/>
      <c r="N38" s="24">
        <v>2</v>
      </c>
      <c r="O38" s="589"/>
      <c r="P38" s="597"/>
      <c r="Q38" s="590"/>
      <c r="R38" s="589"/>
      <c r="S38" s="597"/>
      <c r="T38" s="590"/>
      <c r="U38" s="4"/>
      <c r="V38" s="14"/>
      <c r="W38" s="4"/>
      <c r="X38" s="16">
        <f>W38*U38</f>
        <v>0</v>
      </c>
      <c r="Y38" s="4"/>
      <c r="Z38" s="589"/>
      <c r="AA38" s="590"/>
    </row>
    <row r="39" spans="1:27" ht="14.25">
      <c r="A39" s="23"/>
      <c r="B39" s="70" t="s">
        <v>101</v>
      </c>
      <c r="C39" s="599" t="s">
        <v>80</v>
      </c>
      <c r="D39" s="600"/>
      <c r="E39" s="601"/>
      <c r="F39" s="28">
        <v>7</v>
      </c>
      <c r="G39" s="28">
        <v>2200</v>
      </c>
      <c r="H39" s="28">
        <v>314.29000000000002</v>
      </c>
      <c r="I39" s="28">
        <v>-15</v>
      </c>
      <c r="J39" s="599" t="s">
        <v>81</v>
      </c>
      <c r="K39" s="601"/>
      <c r="M39" s="25"/>
      <c r="N39" s="24">
        <v>3</v>
      </c>
      <c r="O39" s="589"/>
      <c r="P39" s="597"/>
      <c r="Q39" s="590"/>
      <c r="R39" s="589"/>
      <c r="S39" s="597"/>
      <c r="T39" s="590"/>
      <c r="U39" s="4"/>
      <c r="V39" s="14"/>
      <c r="W39" s="4"/>
      <c r="X39" s="16">
        <f>W39*U39</f>
        <v>0</v>
      </c>
      <c r="Y39" s="4"/>
      <c r="Z39" s="589"/>
      <c r="AA39" s="590"/>
    </row>
    <row r="40" spans="1:27" ht="14.25">
      <c r="A40" s="23"/>
      <c r="B40" s="71" t="s">
        <v>102</v>
      </c>
      <c r="C40" s="589"/>
      <c r="D40" s="597"/>
      <c r="E40" s="590"/>
      <c r="F40" s="4"/>
      <c r="G40" s="4"/>
      <c r="H40" s="4"/>
      <c r="I40" s="4"/>
      <c r="J40" s="589"/>
      <c r="K40" s="590"/>
      <c r="M40" s="25"/>
      <c r="N40" s="24">
        <v>4</v>
      </c>
      <c r="O40" s="589"/>
      <c r="P40" s="597"/>
      <c r="Q40" s="590"/>
      <c r="R40" s="589"/>
      <c r="S40" s="597"/>
      <c r="T40" s="590"/>
      <c r="U40" s="4"/>
      <c r="V40" s="14"/>
      <c r="W40" s="4"/>
      <c r="X40" s="16">
        <f>W40*U40</f>
        <v>0</v>
      </c>
      <c r="Y40" s="4"/>
      <c r="Z40" s="589"/>
      <c r="AA40" s="590"/>
    </row>
    <row r="41" spans="1:27" ht="14.25">
      <c r="A41" s="23"/>
      <c r="B41" s="71" t="s">
        <v>100</v>
      </c>
      <c r="C41" s="589"/>
      <c r="D41" s="597"/>
      <c r="E41" s="590"/>
      <c r="F41" s="4"/>
      <c r="G41" s="4"/>
      <c r="H41" s="4"/>
      <c r="I41" s="4"/>
      <c r="J41" s="589"/>
      <c r="K41" s="590"/>
      <c r="M41" s="25"/>
      <c r="N41" s="29">
        <v>5</v>
      </c>
      <c r="O41" s="591"/>
      <c r="P41" s="598"/>
      <c r="Q41" s="592"/>
      <c r="R41" s="591"/>
      <c r="S41" s="598"/>
      <c r="T41" s="592"/>
      <c r="U41" s="27"/>
      <c r="V41" s="30"/>
      <c r="W41" s="27"/>
      <c r="X41" s="31">
        <f>W41*U41</f>
        <v>0</v>
      </c>
      <c r="Y41" s="4"/>
      <c r="Z41" s="589"/>
      <c r="AA41" s="590"/>
    </row>
    <row r="42" spans="1:27" ht="14.25">
      <c r="A42" s="23"/>
      <c r="B42" s="71" t="s">
        <v>99</v>
      </c>
      <c r="C42" s="589"/>
      <c r="D42" s="597"/>
      <c r="E42" s="590"/>
      <c r="F42" s="4"/>
      <c r="G42" s="4"/>
      <c r="H42" s="4"/>
      <c r="I42" s="4"/>
      <c r="J42" s="589"/>
      <c r="K42" s="590"/>
      <c r="M42" s="32"/>
      <c r="N42" s="55"/>
      <c r="O42" s="593"/>
      <c r="P42" s="597"/>
      <c r="Q42" s="597"/>
      <c r="R42" s="593"/>
      <c r="S42" s="597"/>
      <c r="T42" s="597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3"/>
      <c r="AA42" s="590"/>
    </row>
    <row r="43" spans="1:27" ht="14.25">
      <c r="A43" s="20"/>
      <c r="B43" s="71" t="s">
        <v>103</v>
      </c>
      <c r="C43" s="589"/>
      <c r="D43" s="597"/>
      <c r="E43" s="590"/>
      <c r="F43" s="4"/>
      <c r="G43" s="4"/>
      <c r="H43" s="4"/>
      <c r="I43" s="4"/>
      <c r="J43" s="589"/>
      <c r="K43" s="590"/>
      <c r="M43" s="57" t="s">
        <v>43</v>
      </c>
      <c r="N43" s="24">
        <v>1</v>
      </c>
      <c r="O43" s="596" t="s">
        <v>89</v>
      </c>
      <c r="P43" s="597"/>
      <c r="Q43" s="590"/>
      <c r="R43" s="594" t="s">
        <v>93</v>
      </c>
      <c r="S43" s="613"/>
      <c r="T43" s="59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6" t="s">
        <v>92</v>
      </c>
      <c r="AA43" s="590"/>
    </row>
    <row r="44" spans="1:27" ht="14.25">
      <c r="A44" s="68"/>
      <c r="M44" s="25"/>
      <c r="N44" s="24">
        <v>2</v>
      </c>
      <c r="O44" s="589"/>
      <c r="P44" s="597"/>
      <c r="Q44" s="590"/>
      <c r="R44" s="589"/>
      <c r="S44" s="597"/>
      <c r="T44" s="590"/>
      <c r="U44" s="4"/>
      <c r="V44" s="14"/>
      <c r="W44" s="4"/>
      <c r="X44" s="37">
        <f>W44*U44</f>
        <v>0</v>
      </c>
      <c r="Y44" s="4"/>
      <c r="Z44" s="589"/>
      <c r="AA44" s="590"/>
    </row>
    <row r="45" spans="1:27" ht="14.25">
      <c r="A45" s="18"/>
      <c r="B45" s="50" t="s">
        <v>47</v>
      </c>
      <c r="C45" s="614" t="s">
        <v>12</v>
      </c>
      <c r="D45" s="597"/>
      <c r="E45" s="590"/>
      <c r="F45" s="50" t="s">
        <v>46</v>
      </c>
      <c r="G45" s="50" t="s">
        <v>48</v>
      </c>
      <c r="H45" s="50" t="s">
        <v>49</v>
      </c>
      <c r="I45" s="8" t="s">
        <v>13</v>
      </c>
      <c r="J45" s="606" t="s">
        <v>51</v>
      </c>
      <c r="K45" s="590"/>
      <c r="M45" s="25"/>
      <c r="N45" s="24">
        <v>3</v>
      </c>
      <c r="O45" s="589"/>
      <c r="P45" s="597"/>
      <c r="Q45" s="590"/>
      <c r="R45" s="589"/>
      <c r="S45" s="597"/>
      <c r="T45" s="590"/>
      <c r="U45" s="4"/>
      <c r="V45" s="14"/>
      <c r="W45" s="4"/>
      <c r="X45" s="37">
        <f>W45*U45</f>
        <v>0</v>
      </c>
      <c r="Y45" s="4"/>
      <c r="Z45" s="589"/>
      <c r="AA45" s="590"/>
    </row>
    <row r="46" spans="1:27" ht="14.25">
      <c r="A46" s="53" t="s">
        <v>36</v>
      </c>
      <c r="B46" s="6">
        <v>1</v>
      </c>
      <c r="C46" s="596" t="s">
        <v>82</v>
      </c>
      <c r="D46" s="597"/>
      <c r="E46" s="590"/>
      <c r="F46" s="4">
        <v>15</v>
      </c>
      <c r="G46" s="4">
        <v>1200</v>
      </c>
      <c r="H46" s="4">
        <v>80</v>
      </c>
      <c r="I46" s="4">
        <v>5</v>
      </c>
      <c r="J46" s="596" t="s">
        <v>83</v>
      </c>
      <c r="K46" s="590"/>
      <c r="M46" s="25"/>
      <c r="N46" s="24">
        <v>4</v>
      </c>
      <c r="O46" s="589"/>
      <c r="P46" s="597"/>
      <c r="Q46" s="590"/>
      <c r="R46" s="589"/>
      <c r="S46" s="597"/>
      <c r="T46" s="590"/>
      <c r="U46" s="4"/>
      <c r="V46" s="14"/>
      <c r="W46" s="4"/>
      <c r="X46" s="37">
        <f>W46*U46</f>
        <v>0</v>
      </c>
      <c r="Y46" s="4"/>
      <c r="Z46" s="589"/>
      <c r="AA46" s="590"/>
    </row>
    <row r="47" spans="1:27" ht="14.25">
      <c r="A47" s="23"/>
      <c r="B47" s="6">
        <v>2</v>
      </c>
      <c r="C47" s="589"/>
      <c r="D47" s="597"/>
      <c r="E47" s="590"/>
      <c r="F47" s="4"/>
      <c r="G47" s="4"/>
      <c r="H47" s="4"/>
      <c r="I47" s="4"/>
      <c r="J47" s="589"/>
      <c r="K47" s="590"/>
      <c r="M47" s="25"/>
      <c r="N47" s="29">
        <v>5</v>
      </c>
      <c r="O47" s="589"/>
      <c r="P47" s="597"/>
      <c r="Q47" s="590"/>
      <c r="R47" s="589"/>
      <c r="S47" s="597"/>
      <c r="T47" s="590"/>
      <c r="U47" s="27"/>
      <c r="V47" s="30"/>
      <c r="W47" s="27"/>
      <c r="X47" s="40">
        <f>W47*U47</f>
        <v>0</v>
      </c>
      <c r="Y47" s="4"/>
      <c r="Z47" s="589"/>
      <c r="AA47" s="590"/>
    </row>
    <row r="48" spans="1:27" ht="14.25">
      <c r="A48" s="23"/>
      <c r="B48" s="6">
        <v>3</v>
      </c>
      <c r="C48" s="589"/>
      <c r="D48" s="597"/>
      <c r="E48" s="590"/>
      <c r="F48" s="4"/>
      <c r="G48" s="4"/>
      <c r="H48" s="4"/>
      <c r="I48" s="4"/>
      <c r="J48" s="589"/>
      <c r="K48" s="590"/>
      <c r="M48" s="69"/>
      <c r="N48" s="45"/>
      <c r="O48" s="593"/>
      <c r="P48" s="597"/>
      <c r="Q48" s="597"/>
      <c r="R48" s="593"/>
      <c r="S48" s="597"/>
      <c r="T48" s="597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3"/>
      <c r="AA48" s="590"/>
    </row>
    <row r="49" spans="1:27" ht="14.25">
      <c r="A49" s="23"/>
      <c r="B49" s="6">
        <v>4</v>
      </c>
      <c r="C49" s="589"/>
      <c r="D49" s="597"/>
      <c r="E49" s="590"/>
      <c r="F49" s="4"/>
      <c r="G49" s="4"/>
      <c r="H49" s="4"/>
      <c r="I49" s="4"/>
      <c r="J49" s="589"/>
      <c r="K49" s="59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1"/>
      <c r="D50" s="598"/>
      <c r="E50" s="592"/>
      <c r="F50" s="27"/>
      <c r="G50" s="27"/>
      <c r="H50" s="27"/>
      <c r="I50" s="27"/>
      <c r="J50" s="591"/>
      <c r="K50" s="592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99" t="s">
        <v>89</v>
      </c>
      <c r="D51" s="600"/>
      <c r="E51" s="601"/>
      <c r="F51" s="28">
        <v>18</v>
      </c>
      <c r="G51" s="28">
        <v>800</v>
      </c>
      <c r="H51" s="28">
        <v>44.44</v>
      </c>
      <c r="I51" s="28">
        <v>-15</v>
      </c>
      <c r="J51" s="599" t="s">
        <v>84</v>
      </c>
      <c r="K51" s="601"/>
      <c r="M51" s="8"/>
      <c r="N51" s="8" t="s">
        <v>18</v>
      </c>
      <c r="O51" s="602" t="s">
        <v>12</v>
      </c>
      <c r="P51" s="593"/>
      <c r="Q51" s="603"/>
      <c r="R51" s="608" t="s">
        <v>53</v>
      </c>
      <c r="S51" s="609"/>
      <c r="T51" s="610"/>
      <c r="U51" s="58" t="s">
        <v>54</v>
      </c>
      <c r="V51" s="39" t="s">
        <v>19</v>
      </c>
      <c r="W51" s="58" t="s">
        <v>57</v>
      </c>
      <c r="X51" s="8" t="s">
        <v>2</v>
      </c>
      <c r="Y51" s="602" t="s">
        <v>50</v>
      </c>
      <c r="Z51" s="593"/>
      <c r="AA51" s="603"/>
    </row>
    <row r="52" spans="1:27" ht="14.25">
      <c r="A52" s="23"/>
      <c r="B52" s="71" t="s">
        <v>102</v>
      </c>
      <c r="C52" s="589"/>
      <c r="D52" s="597"/>
      <c r="E52" s="590"/>
      <c r="F52" s="4"/>
      <c r="G52" s="4"/>
      <c r="H52" s="4"/>
      <c r="I52" s="4"/>
      <c r="J52" s="589"/>
      <c r="K52" s="590"/>
      <c r="M52" s="57" t="s">
        <v>42</v>
      </c>
      <c r="N52" s="24">
        <v>1</v>
      </c>
      <c r="O52" s="596" t="s">
        <v>89</v>
      </c>
      <c r="P52" s="597"/>
      <c r="Q52" s="590"/>
      <c r="R52" s="594" t="s">
        <v>93</v>
      </c>
      <c r="S52" s="613"/>
      <c r="T52" s="59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6" t="s">
        <v>97</v>
      </c>
      <c r="Z52" s="597"/>
      <c r="AA52" s="590"/>
    </row>
    <row r="53" spans="1:27" ht="14.25">
      <c r="A53" s="23"/>
      <c r="B53" s="71" t="s">
        <v>100</v>
      </c>
      <c r="C53" s="589"/>
      <c r="D53" s="597"/>
      <c r="E53" s="590"/>
      <c r="F53" s="4"/>
      <c r="G53" s="4"/>
      <c r="H53" s="4"/>
      <c r="I53" s="4"/>
      <c r="J53" s="589"/>
      <c r="K53" s="590"/>
      <c r="M53" s="25"/>
      <c r="N53" s="29">
        <v>2</v>
      </c>
      <c r="O53" s="591"/>
      <c r="P53" s="598"/>
      <c r="Q53" s="592"/>
      <c r="R53" s="591"/>
      <c r="S53" s="598"/>
      <c r="T53" s="592"/>
      <c r="U53" s="27"/>
      <c r="V53" s="30"/>
      <c r="W53" s="30"/>
      <c r="X53" s="41">
        <f>W53-V53</f>
        <v>0</v>
      </c>
      <c r="Y53" s="591"/>
      <c r="Z53" s="598"/>
      <c r="AA53" s="592"/>
    </row>
    <row r="54" spans="1:27" ht="14.25">
      <c r="A54" s="23"/>
      <c r="B54" s="71" t="s">
        <v>99</v>
      </c>
      <c r="C54" s="589"/>
      <c r="D54" s="597"/>
      <c r="E54" s="590"/>
      <c r="F54" s="4"/>
      <c r="G54" s="4"/>
      <c r="H54" s="4"/>
      <c r="I54" s="4"/>
      <c r="J54" s="589"/>
      <c r="K54" s="590"/>
      <c r="M54" s="57" t="s">
        <v>43</v>
      </c>
      <c r="N54" s="42">
        <v>1</v>
      </c>
      <c r="O54" s="599" t="s">
        <v>94</v>
      </c>
      <c r="P54" s="600"/>
      <c r="Q54" s="601"/>
      <c r="R54" s="599" t="s">
        <v>95</v>
      </c>
      <c r="S54" s="600"/>
      <c r="T54" s="60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9" t="s">
        <v>96</v>
      </c>
      <c r="Z54" s="600"/>
      <c r="AA54" s="601"/>
    </row>
    <row r="55" spans="1:27" ht="14.25">
      <c r="A55" s="20"/>
      <c r="B55" s="71" t="s">
        <v>103</v>
      </c>
      <c r="C55" s="589"/>
      <c r="D55" s="597"/>
      <c r="E55" s="590"/>
      <c r="F55" s="4"/>
      <c r="G55" s="4"/>
      <c r="H55" s="4"/>
      <c r="I55" s="4"/>
      <c r="J55" s="589"/>
      <c r="K55" s="590"/>
      <c r="M55" s="22"/>
      <c r="N55" s="24">
        <v>2</v>
      </c>
      <c r="O55" s="589"/>
      <c r="P55" s="597"/>
      <c r="Q55" s="590"/>
      <c r="R55" s="589"/>
      <c r="S55" s="597"/>
      <c r="T55" s="590"/>
      <c r="U55" s="4"/>
      <c r="V55" s="14"/>
      <c r="W55" s="14"/>
      <c r="X55" s="13">
        <f>W55-V55</f>
        <v>0</v>
      </c>
      <c r="Y55" s="589"/>
      <c r="Z55" s="597"/>
      <c r="AA55" s="59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2" ht="15.75" customHeight="1">
      <c r="A1" s="616" t="s">
        <v>356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114"/>
    </row>
    <row r="2" spans="1:12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2" ht="21.6" customHeight="1">
      <c r="A3" s="134" t="s">
        <v>306</v>
      </c>
      <c r="B3" s="135">
        <v>10</v>
      </c>
      <c r="C3" s="134" t="s">
        <v>20</v>
      </c>
      <c r="D3" s="617" t="s">
        <v>355</v>
      </c>
      <c r="E3" s="617"/>
      <c r="F3" s="125"/>
      <c r="G3" s="126"/>
      <c r="H3" s="125"/>
      <c r="I3" s="125"/>
      <c r="J3" s="125"/>
      <c r="K3" s="125"/>
    </row>
    <row r="4" spans="1:12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2" s="120" customFormat="1" ht="15.75" customHeight="1">
      <c r="A5" s="141" t="s">
        <v>178</v>
      </c>
      <c r="B5" s="136" t="s">
        <v>22</v>
      </c>
      <c r="C5" s="136" t="s">
        <v>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22</v>
      </c>
      <c r="J5" s="136" t="s">
        <v>67</v>
      </c>
      <c r="K5" s="136" t="s">
        <v>3</v>
      </c>
      <c r="L5" s="121" t="s">
        <v>60</v>
      </c>
    </row>
    <row r="6" spans="1:12" s="116" customFormat="1" ht="18" customHeight="1">
      <c r="A6" s="123" t="s">
        <v>24</v>
      </c>
      <c r="B6" s="137">
        <f>'（１）收支狀況'!H10/1000</f>
        <v>114657.473</v>
      </c>
      <c r="C6" s="263">
        <v>224463.48699999999</v>
      </c>
      <c r="D6" s="137">
        <f t="shared" ref="D6:D11" si="0">B6-C6</f>
        <v>-109806.014</v>
      </c>
      <c r="E6" s="137">
        <f t="shared" ref="E6:E11" si="1">B6</f>
        <v>114657.473</v>
      </c>
      <c r="F6" s="128"/>
      <c r="G6" s="123" t="s">
        <v>179</v>
      </c>
      <c r="H6" s="266">
        <v>266</v>
      </c>
      <c r="I6" s="139">
        <f>'（２）ＫＰＩ達成進度'!H6</f>
        <v>0</v>
      </c>
      <c r="J6" s="278">
        <v>330.21457859125206</v>
      </c>
      <c r="K6" s="139">
        <f t="shared" ref="K6:K11" si="2">I6</f>
        <v>0</v>
      </c>
      <c r="L6" s="117" t="s">
        <v>175</v>
      </c>
    </row>
    <row r="7" spans="1:12" s="116" customFormat="1" ht="18" customHeight="1">
      <c r="A7" s="123" t="s">
        <v>25</v>
      </c>
      <c r="B7" s="137">
        <f>'（１）收支狀況'!K10</f>
        <v>3624620</v>
      </c>
      <c r="C7" s="263">
        <v>6964636</v>
      </c>
      <c r="D7" s="137">
        <f t="shared" si="0"/>
        <v>-3340016</v>
      </c>
      <c r="E7" s="137">
        <f t="shared" si="1"/>
        <v>3624620</v>
      </c>
      <c r="F7" s="128"/>
      <c r="G7" s="123" t="s">
        <v>180</v>
      </c>
      <c r="H7" s="246">
        <v>0.8</v>
      </c>
      <c r="I7" s="138">
        <f>'（２）ＫＰＩ達成進度'!K6</f>
        <v>0</v>
      </c>
      <c r="J7" s="264">
        <v>0.90222562456626254</v>
      </c>
      <c r="K7" s="138">
        <f t="shared" si="2"/>
        <v>0</v>
      </c>
      <c r="L7" s="117" t="s">
        <v>4</v>
      </c>
    </row>
    <row r="8" spans="1:12" s="116" customFormat="1" ht="18" customHeight="1">
      <c r="A8" s="123" t="s">
        <v>5</v>
      </c>
      <c r="B8" s="137">
        <f>'（１）收支狀況'!N10/1000</f>
        <v>77756.062000000005</v>
      </c>
      <c r="C8" s="263">
        <v>150244.29199999999</v>
      </c>
      <c r="D8" s="137">
        <f>B8-C8</f>
        <v>-72488.229999999981</v>
      </c>
      <c r="E8" s="137">
        <f t="shared" si="1"/>
        <v>77756.062000000005</v>
      </c>
      <c r="F8" s="128"/>
      <c r="G8" s="123" t="s">
        <v>181</v>
      </c>
      <c r="H8" s="241">
        <v>2.5000000000000001E-3</v>
      </c>
      <c r="I8" s="241">
        <f>'（２）ＫＰＩ達成進度'!N6</f>
        <v>0</v>
      </c>
      <c r="J8" s="279">
        <v>2.4646256819628254E-3</v>
      </c>
      <c r="K8" s="241">
        <f t="shared" si="2"/>
        <v>0</v>
      </c>
      <c r="L8" s="117" t="s">
        <v>55</v>
      </c>
    </row>
    <row r="9" spans="1:12" s="116" customFormat="1" ht="18" customHeight="1">
      <c r="A9" s="123" t="s">
        <v>6</v>
      </c>
      <c r="B9" s="138">
        <f>'（１）收支狀況'!Q10</f>
        <v>0.67815956488069473</v>
      </c>
      <c r="C9" s="264">
        <v>0.66934847180735457</v>
      </c>
      <c r="D9" s="138">
        <f t="shared" si="0"/>
        <v>8.8110930733401593E-3</v>
      </c>
      <c r="E9" s="138">
        <f t="shared" si="1"/>
        <v>0.67815956488069473</v>
      </c>
      <c r="F9" s="128"/>
      <c r="G9" s="123" t="s">
        <v>182</v>
      </c>
      <c r="H9" s="241">
        <v>2.5999999999999999E-3</v>
      </c>
      <c r="I9" s="241">
        <f>'（２）ＫＰＩ達成進度'!Q6</f>
        <v>0</v>
      </c>
      <c r="J9" s="279">
        <v>2.3405370745029669E-3</v>
      </c>
      <c r="K9" s="241">
        <f t="shared" si="2"/>
        <v>0</v>
      </c>
      <c r="L9" s="117" t="s">
        <v>98</v>
      </c>
    </row>
    <row r="10" spans="1:12" s="116" customFormat="1" ht="18" customHeight="1">
      <c r="A10" s="123" t="s">
        <v>64</v>
      </c>
      <c r="B10" s="137">
        <f>'（１）收支狀況'!T10/1000</f>
        <v>13878.389901340361</v>
      </c>
      <c r="C10" s="263">
        <v>32105.786706827967</v>
      </c>
      <c r="D10" s="137">
        <f t="shared" si="0"/>
        <v>-18227.396805487606</v>
      </c>
      <c r="E10" s="137">
        <f t="shared" si="1"/>
        <v>13878.389901340361</v>
      </c>
      <c r="F10" s="128"/>
      <c r="G10" s="123" t="s">
        <v>183</v>
      </c>
      <c r="H10" s="243">
        <v>0.8</v>
      </c>
      <c r="I10" s="243">
        <f>'（２）ＫＰＩ達成進度'!T6</f>
        <v>0</v>
      </c>
      <c r="J10" s="280">
        <v>0.91666666666666707</v>
      </c>
      <c r="K10" s="243">
        <f t="shared" si="2"/>
        <v>0</v>
      </c>
      <c r="L10" s="117" t="s">
        <v>7</v>
      </c>
    </row>
    <row r="11" spans="1:12" s="116" customFormat="1" ht="18" customHeight="1">
      <c r="A11" s="123" t="s">
        <v>65</v>
      </c>
      <c r="B11" s="138">
        <f>'（１）收支狀況'!W10</f>
        <v>0.12104217490769538</v>
      </c>
      <c r="C11" s="264">
        <v>0.14303344894053066</v>
      </c>
      <c r="D11" s="138">
        <f t="shared" si="0"/>
        <v>-2.1991274032835281E-2</v>
      </c>
      <c r="E11" s="138">
        <f t="shared" si="1"/>
        <v>0.12104217490769538</v>
      </c>
      <c r="F11" s="128"/>
      <c r="G11" s="123" t="s">
        <v>184</v>
      </c>
      <c r="H11" s="243">
        <v>1</v>
      </c>
      <c r="I11" s="138">
        <f>'（２）ＫＰＩ達成進度'!W6</f>
        <v>0</v>
      </c>
      <c r="J11" s="264">
        <v>0.84941935483870945</v>
      </c>
      <c r="K11" s="138">
        <f t="shared" si="2"/>
        <v>0</v>
      </c>
      <c r="L11" s="117" t="s">
        <v>62</v>
      </c>
    </row>
    <row r="12" spans="1:12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2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2" s="122" customFormat="1" ht="14.25">
      <c r="A14" s="140"/>
      <c r="B14" s="140" t="s">
        <v>22</v>
      </c>
      <c r="C14" s="140" t="s">
        <v>66</v>
      </c>
      <c r="D14" s="140" t="s">
        <v>67</v>
      </c>
      <c r="E14" s="140" t="s">
        <v>68</v>
      </c>
      <c r="F14" s="131"/>
      <c r="G14" s="140"/>
      <c r="H14" s="140" t="s">
        <v>22</v>
      </c>
      <c r="I14" s="140" t="s">
        <v>66</v>
      </c>
      <c r="J14" s="140" t="s">
        <v>67</v>
      </c>
      <c r="K14" s="140" t="s">
        <v>68</v>
      </c>
    </row>
    <row r="15" spans="1:12" s="116" customFormat="1" ht="18" customHeight="1">
      <c r="A15" s="123" t="s">
        <v>208</v>
      </c>
      <c r="B15" s="137">
        <f>'（３）業績構成比'!M50/1000</f>
        <v>28954.777380487209</v>
      </c>
      <c r="C15" s="138">
        <f>IFERROR(B15/$B$6,"")</f>
        <v>0.25253284084228167</v>
      </c>
      <c r="D15" s="264">
        <v>0.19061185820038584</v>
      </c>
      <c r="E15" s="138">
        <f>IFERROR(C15-D15,"")</f>
        <v>6.1920982641895828E-2</v>
      </c>
      <c r="F15" s="128"/>
      <c r="G15" s="123" t="s">
        <v>213</v>
      </c>
      <c r="H15" s="137">
        <f>'（４）訂單數量構成比'!M50</f>
        <v>1576264</v>
      </c>
      <c r="I15" s="138">
        <f t="shared" ref="I15:I23" si="3">IFERROR(H15/$B$7,"")</f>
        <v>0.43487703538577838</v>
      </c>
      <c r="J15" s="264">
        <v>0.33067557299476957</v>
      </c>
      <c r="K15" s="138">
        <f t="shared" ref="K15:K23" si="4">IFERROR(I15-J15,"")</f>
        <v>0.1042014623910088</v>
      </c>
    </row>
    <row r="16" spans="1:12" s="116" customFormat="1" ht="18" customHeight="1">
      <c r="A16" s="123" t="s">
        <v>203</v>
      </c>
      <c r="B16" s="137">
        <f>'（３）業績構成比'!S50/1000</f>
        <v>2891.6903087193027</v>
      </c>
      <c r="C16" s="138">
        <f t="shared" ref="C16:C23" si="5">IFERROR(B16/$B$6,"")</f>
        <v>2.5220251528823619E-2</v>
      </c>
      <c r="D16" s="264">
        <v>4.2789233591899609E-2</v>
      </c>
      <c r="E16" s="138">
        <f t="shared" ref="E16:E23" si="6">IFERROR(C16-D16,"")</f>
        <v>-1.7568982063075989E-2</v>
      </c>
      <c r="F16" s="128"/>
      <c r="G16" s="123" t="s">
        <v>232</v>
      </c>
      <c r="H16" s="137">
        <f>'（４）訂單數量構成比'!S51</f>
        <v>107560</v>
      </c>
      <c r="I16" s="138">
        <f t="shared" si="3"/>
        <v>2.9674834879242513E-2</v>
      </c>
      <c r="J16" s="264">
        <v>6.1681041191528174E-2</v>
      </c>
      <c r="K16" s="138">
        <f t="shared" si="4"/>
        <v>-3.2006206312285665E-2</v>
      </c>
    </row>
    <row r="17" spans="1:18" s="116" customFormat="1" ht="18" customHeight="1">
      <c r="A17" s="123" t="s">
        <v>199</v>
      </c>
      <c r="B17" s="137">
        <f>'（３）業績構成比'!U50/1000</f>
        <v>14152.957415717203</v>
      </c>
      <c r="C17" s="138">
        <f t="shared" si="5"/>
        <v>0.12343685104343093</v>
      </c>
      <c r="D17" s="264">
        <v>8.6938303169141445E-2</v>
      </c>
      <c r="E17" s="138">
        <f t="shared" si="6"/>
        <v>3.649854787428948E-2</v>
      </c>
      <c r="F17" s="128"/>
      <c r="G17" s="123" t="s">
        <v>214</v>
      </c>
      <c r="H17" s="137">
        <f>'（４）訂單數量構成比'!U50</f>
        <v>428580</v>
      </c>
      <c r="I17" s="138">
        <f t="shared" si="3"/>
        <v>0.11824136047364965</v>
      </c>
      <c r="J17" s="264">
        <v>8.2530228428305513E-2</v>
      </c>
      <c r="K17" s="138">
        <f t="shared" si="4"/>
        <v>3.5711132045344138E-2</v>
      </c>
    </row>
    <row r="18" spans="1:18" s="116" customFormat="1" ht="18" customHeight="1">
      <c r="A18" s="123" t="s">
        <v>201</v>
      </c>
      <c r="B18" s="137">
        <f>'（３）業績構成比'!W50/1000</f>
        <v>0</v>
      </c>
      <c r="C18" s="138">
        <f t="shared" si="5"/>
        <v>0</v>
      </c>
      <c r="D18" s="264">
        <v>1.4659145993880142E-2</v>
      </c>
      <c r="E18" s="138">
        <f t="shared" si="6"/>
        <v>-1.4659145993880142E-2</v>
      </c>
      <c r="F18" s="128"/>
      <c r="G18" s="123" t="s">
        <v>200</v>
      </c>
      <c r="H18" s="137">
        <f>'（４）訂單數量構成比'!W50</f>
        <v>0</v>
      </c>
      <c r="I18" s="138">
        <f t="shared" si="3"/>
        <v>0</v>
      </c>
      <c r="J18" s="264">
        <v>1.6773740939224964E-2</v>
      </c>
      <c r="K18" s="138">
        <f t="shared" si="4"/>
        <v>-1.6773740939224964E-2</v>
      </c>
    </row>
    <row r="19" spans="1:18" s="116" customFormat="1" ht="18" customHeight="1">
      <c r="A19" s="123" t="s">
        <v>205</v>
      </c>
      <c r="B19" s="137">
        <f>'（３）業績構成比'!AC50/1000</f>
        <v>24021.278775205235</v>
      </c>
      <c r="C19" s="138">
        <f t="shared" si="5"/>
        <v>0.20950469382144185</v>
      </c>
      <c r="D19" s="264">
        <v>0.24409177848792188</v>
      </c>
      <c r="E19" s="138">
        <f t="shared" si="6"/>
        <v>-3.4587084666480028E-2</v>
      </c>
      <c r="F19" s="128"/>
      <c r="G19" s="123" t="s">
        <v>204</v>
      </c>
      <c r="H19" s="137">
        <f>'（４）訂單數量構成比'!AC50</f>
        <v>666234</v>
      </c>
      <c r="I19" s="138">
        <f t="shared" si="3"/>
        <v>0.18380795779971418</v>
      </c>
      <c r="J19" s="264">
        <v>0.19673059726308739</v>
      </c>
      <c r="K19" s="138">
        <f t="shared" si="4"/>
        <v>-1.2922639463373214E-2</v>
      </c>
    </row>
    <row r="20" spans="1:18" s="116" customFormat="1" ht="18" customHeight="1">
      <c r="A20" s="123" t="s">
        <v>207</v>
      </c>
      <c r="B20" s="137">
        <f>'（３）業績構成比'!AE50/1000</f>
        <v>18058.3679959699</v>
      </c>
      <c r="C20" s="138">
        <f t="shared" si="5"/>
        <v>0.15749839520682529</v>
      </c>
      <c r="D20" s="264">
        <v>0.1397972381723295</v>
      </c>
      <c r="E20" s="138">
        <f t="shared" si="6"/>
        <v>1.770115703449579E-2</v>
      </c>
      <c r="F20" s="128"/>
      <c r="G20" s="123" t="s">
        <v>206</v>
      </c>
      <c r="H20" s="137">
        <f>'（４）訂單數量構成比'!AE50</f>
        <v>309033</v>
      </c>
      <c r="I20" s="138">
        <f t="shared" si="3"/>
        <v>8.5259420297851912E-2</v>
      </c>
      <c r="J20" s="264">
        <v>7.9797709456746913E-2</v>
      </c>
      <c r="K20" s="138">
        <f t="shared" si="4"/>
        <v>5.4617108411049997E-3</v>
      </c>
    </row>
    <row r="21" spans="1:18" s="116" customFormat="1" ht="18" customHeight="1">
      <c r="A21" s="123" t="s">
        <v>209</v>
      </c>
      <c r="B21" s="137">
        <f>'（３）業績構成比'!AG50/1000</f>
        <v>11373.97420631756</v>
      </c>
      <c r="C21" s="138">
        <f>IFERROR(B21/$B$6,"")</f>
        <v>9.9199589077962322E-2</v>
      </c>
      <c r="D21" s="264">
        <v>0.13619626613806221</v>
      </c>
      <c r="E21" s="138">
        <f>IFERROR(C21-D21,"")</f>
        <v>-3.6996677060099889E-2</v>
      </c>
      <c r="F21" s="128"/>
      <c r="G21" s="123" t="s">
        <v>215</v>
      </c>
      <c r="H21" s="137">
        <f>'（４）訂單數量構成比'!AG50</f>
        <v>235789</v>
      </c>
      <c r="I21" s="138">
        <f>IFERROR(H21/$B$7,"")</f>
        <v>6.5052060629803954E-2</v>
      </c>
      <c r="J21" s="264">
        <v>9.0009011239065476E-2</v>
      </c>
      <c r="K21" s="138">
        <f>IFERROR(I21-J21,"")</f>
        <v>-2.4956950609261522E-2</v>
      </c>
    </row>
    <row r="22" spans="1:18" s="116" customFormat="1" ht="18" customHeight="1">
      <c r="A22" s="123" t="s">
        <v>210</v>
      </c>
      <c r="B22" s="137">
        <f>'（３）業績構成比'!AI50/1000</f>
        <v>10557.248601501295</v>
      </c>
      <c r="C22" s="138">
        <f t="shared" si="5"/>
        <v>9.2076410941843226E-2</v>
      </c>
      <c r="D22" s="264">
        <v>6.8175373790099608E-2</v>
      </c>
      <c r="E22" s="138">
        <f t="shared" si="6"/>
        <v>2.3901037151743618E-2</v>
      </c>
      <c r="F22" s="128"/>
      <c r="G22" s="123" t="s">
        <v>216</v>
      </c>
      <c r="H22" s="137">
        <f>'（４）訂單數量構成比'!AI50</f>
        <v>292794</v>
      </c>
      <c r="I22" s="138">
        <f t="shared" si="3"/>
        <v>8.0779226512020574E-2</v>
      </c>
      <c r="J22" s="264">
        <v>5.972113976954431E-2</v>
      </c>
      <c r="K22" s="138">
        <f t="shared" si="4"/>
        <v>2.1058086742476265E-2</v>
      </c>
    </row>
    <row r="23" spans="1:18" s="116" customFormat="1" ht="18" customHeight="1">
      <c r="A23" s="123" t="s">
        <v>212</v>
      </c>
      <c r="B23" s="137">
        <f>'（３）業績構成比'!AK50/1000</f>
        <v>9428.5276374421483</v>
      </c>
      <c r="C23" s="138">
        <f t="shared" si="5"/>
        <v>8.2232124873728454E-2</v>
      </c>
      <c r="D23" s="264">
        <v>7.674080245627983E-2</v>
      </c>
      <c r="E23" s="138">
        <f t="shared" si="6"/>
        <v>5.4913224174486241E-3</v>
      </c>
      <c r="F23" s="128"/>
      <c r="G23" s="123" t="s">
        <v>211</v>
      </c>
      <c r="H23" s="137">
        <f>'（４）訂單數量構成比'!AK50</f>
        <v>319097</v>
      </c>
      <c r="I23" s="138">
        <f t="shared" si="3"/>
        <v>8.8035987220729348E-2</v>
      </c>
      <c r="J23" s="264">
        <v>8.2080958717727678E-2</v>
      </c>
      <c r="K23" s="138">
        <f t="shared" si="4"/>
        <v>5.9550285030016692E-3</v>
      </c>
    </row>
    <row r="24" spans="1:18" s="116" customFormat="1" ht="15.75" customHeight="1">
      <c r="A24" s="128"/>
      <c r="B24" s="128"/>
      <c r="C24" s="132">
        <f>SUM(C15:C23)</f>
        <v>1.0417011573363375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1.0857278831987904</v>
      </c>
      <c r="J24" s="132">
        <f>SUM(J15:J23)</f>
        <v>1</v>
      </c>
      <c r="K24" s="128"/>
    </row>
    <row r="25" spans="1:18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8" s="116" customFormat="1" ht="15.75" customHeight="1">
      <c r="A26" s="127" t="s">
        <v>177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s="116" customFormat="1" ht="15.75" customHeight="1">
      <c r="A27" s="123" t="s">
        <v>167</v>
      </c>
      <c r="B27" s="123" t="s">
        <v>22</v>
      </c>
      <c r="C27" s="123" t="s">
        <v>1</v>
      </c>
      <c r="D27" s="123" t="s">
        <v>2</v>
      </c>
      <c r="E27" s="123" t="s">
        <v>3</v>
      </c>
      <c r="F27" s="128"/>
      <c r="G27" s="128"/>
      <c r="H27" s="128"/>
      <c r="I27" s="128"/>
      <c r="M27" s="130" t="s">
        <v>416</v>
      </c>
      <c r="N27" s="130" t="s">
        <v>417</v>
      </c>
      <c r="O27" s="130" t="s">
        <v>418</v>
      </c>
      <c r="P27" s="130" t="s">
        <v>419</v>
      </c>
      <c r="Q27" s="130" t="s">
        <v>420</v>
      </c>
      <c r="R27" s="128"/>
    </row>
    <row r="28" spans="1:18" s="116" customFormat="1" ht="18" customHeight="1">
      <c r="A28" s="123" t="s">
        <v>213</v>
      </c>
      <c r="B28" s="265">
        <f>'（５-1）品群別人時生產性（18℃-飯糰）'!$C$1</f>
        <v>855.93379550292775</v>
      </c>
      <c r="C28" s="294">
        <v>756.20246993670457</v>
      </c>
      <c r="D28" s="238">
        <f t="shared" ref="D28:D36" si="7">B28-C28</f>
        <v>99.731325566223177</v>
      </c>
      <c r="E28" s="265">
        <f>R28</f>
        <v>786.73066521544365</v>
      </c>
      <c r="F28" s="128"/>
      <c r="G28" s="142"/>
      <c r="H28" s="142"/>
      <c r="I28" s="142"/>
      <c r="M28" s="265">
        <v>717.52753492795955</v>
      </c>
      <c r="N28" s="265">
        <f>B28</f>
        <v>855.93379550292775</v>
      </c>
      <c r="O28" s="265"/>
      <c r="P28" s="265"/>
      <c r="Q28" s="265"/>
      <c r="R28" s="281">
        <f>AVERAGE(M28:Q28)</f>
        <v>786.73066521544365</v>
      </c>
    </row>
    <row r="29" spans="1:18" s="116" customFormat="1" ht="18" customHeight="1">
      <c r="A29" s="123" t="s">
        <v>202</v>
      </c>
      <c r="B29" s="265">
        <f>'（５-2）品群別人時生產性（18-壽司手卷)'!$C$1</f>
        <v>139.48505839602774</v>
      </c>
      <c r="C29" s="294">
        <v>198.82982221081653</v>
      </c>
      <c r="D29" s="238">
        <f t="shared" si="7"/>
        <v>-59.344763814788791</v>
      </c>
      <c r="E29" s="265">
        <f t="shared" ref="E29:E36" si="8">R29</f>
        <v>168.55888764116793</v>
      </c>
      <c r="F29" s="128"/>
      <c r="G29" s="143"/>
      <c r="H29" s="143"/>
      <c r="I29" s="143"/>
      <c r="M29" s="265">
        <v>197.63271688630809</v>
      </c>
      <c r="N29" s="265">
        <f t="shared" ref="N29:N36" si="9">B29</f>
        <v>139.48505839602774</v>
      </c>
      <c r="O29" s="265"/>
      <c r="P29" s="265"/>
      <c r="Q29" s="265"/>
      <c r="R29" s="281">
        <f t="shared" ref="R29:R36" si="10">AVERAGE(M29:Q29)</f>
        <v>168.55888764116793</v>
      </c>
    </row>
    <row r="30" spans="1:18" s="116" customFormat="1" ht="18" customHeight="1">
      <c r="A30" s="123" t="s">
        <v>214</v>
      </c>
      <c r="B30" s="265">
        <f>'（５-3）品群別人時生產性（4℃-飯糰)'!$C$1</f>
        <v>222.71105771092982</v>
      </c>
      <c r="C30" s="294">
        <v>253.36933201602551</v>
      </c>
      <c r="D30" s="238">
        <f t="shared" si="7"/>
        <v>-30.658274305095688</v>
      </c>
      <c r="E30" s="265">
        <f t="shared" si="8"/>
        <v>231.58481454461653</v>
      </c>
      <c r="F30" s="128"/>
      <c r="G30" s="128"/>
      <c r="H30" s="128"/>
      <c r="I30" s="128"/>
      <c r="M30" s="265">
        <v>240.45857137830325</v>
      </c>
      <c r="N30" s="265">
        <f t="shared" si="9"/>
        <v>222.71105771092982</v>
      </c>
      <c r="O30" s="265"/>
      <c r="P30" s="265"/>
      <c r="Q30" s="265"/>
      <c r="R30" s="281">
        <f t="shared" si="10"/>
        <v>231.58481454461653</v>
      </c>
    </row>
    <row r="31" spans="1:18" s="116" customFormat="1" ht="18" customHeight="1">
      <c r="A31" s="123" t="s">
        <v>200</v>
      </c>
      <c r="B31" s="265" t="e">
        <f>'（５-4）品群別人時生產性（4℃-壽司手卷)'!$C$1</f>
        <v>#DIV/0!</v>
      </c>
      <c r="C31" s="294">
        <v>112.99131142028241</v>
      </c>
      <c r="D31" s="238" t="e">
        <f t="shared" si="7"/>
        <v>#DIV/0!</v>
      </c>
      <c r="E31" s="265" t="e">
        <f t="shared" si="8"/>
        <v>#DIV/0!</v>
      </c>
      <c r="F31" s="128"/>
      <c r="G31" s="128"/>
      <c r="H31" s="128"/>
      <c r="I31" s="128"/>
      <c r="M31" s="265">
        <v>106.86512290813759</v>
      </c>
      <c r="N31" s="265" t="e">
        <f t="shared" si="9"/>
        <v>#DIV/0!</v>
      </c>
      <c r="O31" s="265"/>
      <c r="P31" s="265"/>
      <c r="Q31" s="265"/>
      <c r="R31" s="281" t="e">
        <f t="shared" si="10"/>
        <v>#DIV/0!</v>
      </c>
    </row>
    <row r="32" spans="1:18" s="116" customFormat="1" ht="18" customHeight="1">
      <c r="A32" s="123" t="s">
        <v>204</v>
      </c>
      <c r="B32" s="265">
        <f>'（５-5）品群別人時生產性(主食) '!$C$1</f>
        <v>88.380299556037428</v>
      </c>
      <c r="C32" s="294">
        <v>85.495684450909806</v>
      </c>
      <c r="D32" s="238">
        <f t="shared" si="7"/>
        <v>2.8846151051276223</v>
      </c>
      <c r="E32" s="265">
        <f t="shared" si="8"/>
        <v>88.845363980385358</v>
      </c>
      <c r="F32" s="128"/>
      <c r="G32" s="128"/>
      <c r="H32" s="128"/>
      <c r="I32" s="128"/>
      <c r="M32" s="265">
        <v>89.310428404733287</v>
      </c>
      <c r="N32" s="265">
        <f t="shared" si="9"/>
        <v>88.380299556037428</v>
      </c>
      <c r="O32" s="265"/>
      <c r="P32" s="265"/>
      <c r="Q32" s="265"/>
      <c r="R32" s="281">
        <f t="shared" si="10"/>
        <v>88.845363980385358</v>
      </c>
    </row>
    <row r="33" spans="1:18" s="116" customFormat="1" ht="18" customHeight="1">
      <c r="A33" s="123" t="s">
        <v>206</v>
      </c>
      <c r="B33" s="265">
        <f>'（５-6）品群別人時生產性(便當)'!$C$1</f>
        <v>72.043647887251836</v>
      </c>
      <c r="C33" s="294">
        <v>66.943613625537381</v>
      </c>
      <c r="D33" s="238">
        <f t="shared" si="7"/>
        <v>5.1000342617144554</v>
      </c>
      <c r="E33" s="265">
        <f t="shared" si="8"/>
        <v>68.858195173265798</v>
      </c>
      <c r="F33" s="128"/>
      <c r="G33" s="128"/>
      <c r="H33" s="128"/>
      <c r="I33" s="128"/>
      <c r="M33" s="265">
        <v>65.67274245927976</v>
      </c>
      <c r="N33" s="265">
        <f t="shared" si="9"/>
        <v>72.043647887251836</v>
      </c>
      <c r="O33" s="265"/>
      <c r="P33" s="265"/>
      <c r="Q33" s="265"/>
      <c r="R33" s="281">
        <f t="shared" si="10"/>
        <v>68.858195173265798</v>
      </c>
    </row>
    <row r="34" spans="1:18" s="116" customFormat="1" ht="18" customHeight="1">
      <c r="A34" s="123" t="s">
        <v>215</v>
      </c>
      <c r="B34" s="265">
        <f>'（５-7）品群別人時生產性(熱食義麵) '!$C$1</f>
        <v>80.917896186628695</v>
      </c>
      <c r="C34" s="294">
        <v>80.555861357885718</v>
      </c>
      <c r="D34" s="238">
        <f t="shared" si="7"/>
        <v>0.36203482874297777</v>
      </c>
      <c r="E34" s="265">
        <f t="shared" si="8"/>
        <v>78.198232604290737</v>
      </c>
      <c r="F34" s="128"/>
      <c r="G34" s="128"/>
      <c r="H34" s="128"/>
      <c r="I34" s="128"/>
      <c r="M34" s="265">
        <v>75.478569021952779</v>
      </c>
      <c r="N34" s="265">
        <f t="shared" si="9"/>
        <v>80.917896186628695</v>
      </c>
      <c r="O34" s="265"/>
      <c r="P34" s="265"/>
      <c r="Q34" s="265"/>
      <c r="R34" s="281">
        <f t="shared" si="10"/>
        <v>78.198232604290737</v>
      </c>
    </row>
    <row r="35" spans="1:18" s="116" customFormat="1" ht="18" customHeight="1">
      <c r="A35" s="123" t="s">
        <v>216</v>
      </c>
      <c r="B35" s="265">
        <f>'（５-8）品群別人時生產性(季節調理麵) '!$C$1</f>
        <v>128.42011176440411</v>
      </c>
      <c r="C35" s="294">
        <v>121.13262609451999</v>
      </c>
      <c r="D35" s="238">
        <f t="shared" si="7"/>
        <v>7.2874856698841199</v>
      </c>
      <c r="E35" s="265">
        <f t="shared" si="8"/>
        <v>121.46284189550357</v>
      </c>
      <c r="F35" s="128"/>
      <c r="G35" s="128"/>
      <c r="H35" s="128"/>
      <c r="I35" s="128"/>
      <c r="M35" s="265">
        <v>114.50557202660302</v>
      </c>
      <c r="N35" s="265">
        <f t="shared" si="9"/>
        <v>128.42011176440411</v>
      </c>
      <c r="O35" s="265"/>
      <c r="P35" s="265"/>
      <c r="Q35" s="265"/>
      <c r="R35" s="281">
        <f t="shared" si="10"/>
        <v>121.46284189550357</v>
      </c>
    </row>
    <row r="36" spans="1:18" s="116" customFormat="1" ht="18" customHeight="1">
      <c r="A36" s="119" t="s">
        <v>211</v>
      </c>
      <c r="B36" s="265">
        <f>'（５-9）品群別人時生產性(微波小吃)'!$C$1</f>
        <v>155.48562195124262</v>
      </c>
      <c r="C36" s="294">
        <v>115.3662253913358</v>
      </c>
      <c r="D36" s="238">
        <f t="shared" si="7"/>
        <v>40.119396559906818</v>
      </c>
      <c r="E36" s="265">
        <f t="shared" si="8"/>
        <v>127.56698199655418</v>
      </c>
      <c r="F36" s="128"/>
      <c r="G36" s="128"/>
      <c r="H36" s="128"/>
      <c r="I36" s="128"/>
      <c r="M36" s="265">
        <v>99.648342041865732</v>
      </c>
      <c r="N36" s="265">
        <f t="shared" si="9"/>
        <v>155.48562195124262</v>
      </c>
      <c r="O36" s="265"/>
      <c r="P36" s="265"/>
      <c r="Q36" s="265"/>
      <c r="R36" s="281">
        <f t="shared" si="10"/>
        <v>127.56698199655418</v>
      </c>
    </row>
    <row r="37" spans="1:18" s="116" customFormat="1" ht="15.75" customHeight="1"/>
    <row r="38" spans="1:18" s="116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I31" sqref="I3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8" ht="15.75" customHeight="1">
      <c r="A1" s="616" t="s">
        <v>356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114"/>
    </row>
    <row r="2" spans="1:18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</row>
    <row r="3" spans="1:18" ht="21.6" customHeight="1">
      <c r="A3" s="134" t="s">
        <v>306</v>
      </c>
      <c r="B3" s="209">
        <v>9</v>
      </c>
      <c r="C3" s="211" t="s">
        <v>307</v>
      </c>
      <c r="D3" s="209" t="s">
        <v>738</v>
      </c>
      <c r="E3" s="134" t="s">
        <v>20</v>
      </c>
      <c r="F3" s="617" t="s">
        <v>355</v>
      </c>
      <c r="G3" s="617"/>
      <c r="H3" s="125"/>
      <c r="I3" s="126"/>
      <c r="J3" s="125"/>
      <c r="K3" s="125"/>
      <c r="L3" s="125"/>
      <c r="M3" s="125"/>
      <c r="N3" s="115"/>
    </row>
    <row r="4" spans="1:18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8" s="120" customFormat="1" ht="15.75" customHeight="1">
      <c r="A5" s="141" t="s">
        <v>178</v>
      </c>
      <c r="B5" s="141" t="s">
        <v>309</v>
      </c>
      <c r="C5" s="141" t="s">
        <v>311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308</v>
      </c>
      <c r="J5" s="136" t="s">
        <v>310</v>
      </c>
      <c r="K5" s="136" t="s">
        <v>3</v>
      </c>
      <c r="L5" s="121" t="s">
        <v>60</v>
      </c>
    </row>
    <row r="6" spans="1:18" s="116" customFormat="1" ht="18" customHeight="1">
      <c r="A6" s="123" t="s">
        <v>24</v>
      </c>
      <c r="B6" s="218">
        <f>'（１）收支狀況'!G12/1000</f>
        <v>62019.999000000003</v>
      </c>
      <c r="C6" s="247">
        <v>62106.324000000001</v>
      </c>
      <c r="D6" s="137">
        <f t="shared" ref="D6:D11" si="0">B6-C6</f>
        <v>-86.32499999999709</v>
      </c>
      <c r="E6" s="230">
        <f>'（１）收支狀況'!H10/1000</f>
        <v>114657.473</v>
      </c>
      <c r="F6" s="128"/>
      <c r="G6" s="123" t="s">
        <v>179</v>
      </c>
      <c r="H6" s="266">
        <v>366</v>
      </c>
      <c r="I6" s="232">
        <f>'（２）ＫＰＩ達成進度'!G12</f>
        <v>365.58234938974783</v>
      </c>
      <c r="J6" s="252">
        <v>357.07494184699289</v>
      </c>
      <c r="K6" s="253">
        <f>'（２）ＫＰＩ達成進度'!H10</f>
        <v>362.06456095246807</v>
      </c>
      <c r="L6" s="117" t="s">
        <v>175</v>
      </c>
    </row>
    <row r="7" spans="1:18" s="116" customFormat="1" ht="18" customHeight="1">
      <c r="A7" s="123" t="s">
        <v>25</v>
      </c>
      <c r="B7" s="218">
        <f>'（１）收支狀況'!J12</f>
        <v>1951749</v>
      </c>
      <c r="C7" s="247">
        <v>1983602</v>
      </c>
      <c r="D7" s="137">
        <f t="shared" si="0"/>
        <v>-31853</v>
      </c>
      <c r="E7" s="230">
        <f>'（１）收支狀況'!K10</f>
        <v>3624620</v>
      </c>
      <c r="F7" s="128"/>
      <c r="G7" s="123" t="s">
        <v>180</v>
      </c>
      <c r="H7" s="246">
        <v>0.8</v>
      </c>
      <c r="I7" s="245">
        <f>'（２）ＫＰＩ達成進度'!J12</f>
        <v>0.99885887811406504</v>
      </c>
      <c r="J7" s="250">
        <v>0.97561459521036309</v>
      </c>
      <c r="K7" s="246">
        <f>'（２）ＫＰＩ達成進度'!K10</f>
        <v>0.41484569825331263</v>
      </c>
      <c r="L7" s="117" t="s">
        <v>4</v>
      </c>
    </row>
    <row r="8" spans="1:18" s="116" customFormat="1" ht="18" customHeight="1">
      <c r="A8" s="123" t="s">
        <v>5</v>
      </c>
      <c r="B8" s="218">
        <f>'（１）收支狀況'!M12/1000</f>
        <v>42028.050999999999</v>
      </c>
      <c r="C8" s="247">
        <v>42383.152000000002</v>
      </c>
      <c r="D8" s="137">
        <f>B8-C8</f>
        <v>-355.10100000000239</v>
      </c>
      <c r="E8" s="230">
        <f>'（１）收支狀況'!N10/1000</f>
        <v>77756.062000000005</v>
      </c>
      <c r="F8" s="128"/>
      <c r="G8" s="123" t="s">
        <v>181</v>
      </c>
      <c r="H8" s="241">
        <v>2.5000000000000001E-3</v>
      </c>
      <c r="I8" s="231">
        <f>'（２）ＫＰＩ達成進度'!M12</f>
        <v>2.4083147713834787E-3</v>
      </c>
      <c r="J8" s="249">
        <v>2.4078289211901019E-3</v>
      </c>
      <c r="K8" s="241">
        <f>'（２）ＫＰＩ達成進度'!N10</f>
        <v>2.4085937121271521E-3</v>
      </c>
      <c r="L8" s="117" t="s">
        <v>55</v>
      </c>
    </row>
    <row r="9" spans="1:18" s="116" customFormat="1" ht="18" customHeight="1">
      <c r="A9" s="123" t="s">
        <v>6</v>
      </c>
      <c r="B9" s="219">
        <f>'（１）收支狀況'!P12</f>
        <v>0.6776532034449082</v>
      </c>
      <c r="C9" s="248">
        <v>0.68242892623945994</v>
      </c>
      <c r="D9" s="138">
        <f t="shared" si="0"/>
        <v>-4.77572279455174E-3</v>
      </c>
      <c r="E9" s="138">
        <f>'（１）收支狀況'!Q10</f>
        <v>0.67815956488069473</v>
      </c>
      <c r="F9" s="128"/>
      <c r="G9" s="123" t="s">
        <v>182</v>
      </c>
      <c r="H9" s="241">
        <v>2.5999999999999999E-3</v>
      </c>
      <c r="I9" s="231">
        <f>'（２）ＫＰＩ達成進度'!P12</f>
        <v>4.0048614927021822E-3</v>
      </c>
      <c r="J9" s="249">
        <v>4.0048614927021822E-3</v>
      </c>
      <c r="K9" s="241">
        <f>'（２）ＫＰＩ達成進度'!Q10</f>
        <v>4.006848385808187E-3</v>
      </c>
      <c r="L9" s="117" t="s">
        <v>98</v>
      </c>
    </row>
    <row r="10" spans="1:18" s="116" customFormat="1" ht="18" customHeight="1">
      <c r="A10" s="123" t="s">
        <v>64</v>
      </c>
      <c r="B10" s="218">
        <f>'（１）收支狀況'!S12/1000</f>
        <v>7371.3197696704492</v>
      </c>
      <c r="C10" s="247">
        <v>7577.0951892364192</v>
      </c>
      <c r="D10" s="137">
        <f t="shared" si="0"/>
        <v>-205.77541956596997</v>
      </c>
      <c r="E10" s="230">
        <f>'（１）收支狀況'!T10/1000</f>
        <v>13878.389901340361</v>
      </c>
      <c r="F10" s="128"/>
      <c r="G10" s="123" t="s">
        <v>183</v>
      </c>
      <c r="H10" s="243">
        <v>0.8</v>
      </c>
      <c r="I10" s="242">
        <v>0.91400000000000003</v>
      </c>
      <c r="J10" s="250">
        <v>0.91400000000000003</v>
      </c>
      <c r="K10" s="243">
        <v>0.91700000000000004</v>
      </c>
      <c r="L10" s="117" t="s">
        <v>7</v>
      </c>
    </row>
    <row r="11" spans="1:18" s="116" customFormat="1" ht="18" customHeight="1">
      <c r="A11" s="123" t="s">
        <v>65</v>
      </c>
      <c r="B11" s="219">
        <f>'（１）收支狀況'!V12</f>
        <v>0.11885391629352411</v>
      </c>
      <c r="C11" s="248">
        <v>0.12200199112149061</v>
      </c>
      <c r="D11" s="138">
        <f t="shared" si="0"/>
        <v>-3.1480748279665016E-3</v>
      </c>
      <c r="E11" s="138">
        <f>'（１）收支狀況'!W10</f>
        <v>0.12104217490769538</v>
      </c>
      <c r="F11" s="128"/>
      <c r="G11" s="123" t="s">
        <v>184</v>
      </c>
      <c r="H11" s="243">
        <v>1</v>
      </c>
      <c r="I11" s="242">
        <f>'（２）ＫＰＩ達成進度'!V12</f>
        <v>0.74714285714285722</v>
      </c>
      <c r="J11" s="250">
        <v>0.71371428571428575</v>
      </c>
      <c r="K11" s="243">
        <f>'（２）ＫＰＩ達成進度'!W10</f>
        <v>0.73276923076923084</v>
      </c>
      <c r="L11" s="117" t="s">
        <v>62</v>
      </c>
    </row>
    <row r="12" spans="1:18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8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8" s="122" customFormat="1" ht="14.25">
      <c r="A14" s="140"/>
      <c r="B14" s="212" t="s">
        <v>309</v>
      </c>
      <c r="C14" s="140" t="s">
        <v>66</v>
      </c>
      <c r="D14" s="212" t="s">
        <v>312</v>
      </c>
      <c r="E14" s="140" t="s">
        <v>68</v>
      </c>
      <c r="F14" s="131"/>
      <c r="G14" s="140"/>
      <c r="H14" s="212" t="s">
        <v>309</v>
      </c>
      <c r="I14" s="140" t="s">
        <v>66</v>
      </c>
      <c r="J14" s="212" t="s">
        <v>312</v>
      </c>
      <c r="K14" s="140" t="s">
        <v>68</v>
      </c>
      <c r="M14" s="116"/>
      <c r="N14" s="116"/>
      <c r="O14" s="116"/>
      <c r="P14" s="116"/>
      <c r="Q14" s="116"/>
      <c r="R14" s="116"/>
    </row>
    <row r="15" spans="1:18" s="116" customFormat="1" ht="18" customHeight="1">
      <c r="A15" s="123" t="s">
        <v>316</v>
      </c>
      <c r="B15" s="233">
        <f>SUM('（３）業績構成比'!I14:I49,'（３）業績構成比'!K14:K49)/1000</f>
        <v>15424.410859225649</v>
      </c>
      <c r="C15" s="138">
        <f>IFERROR(B15/$B$6,"")</f>
        <v>0.24870059832193239</v>
      </c>
      <c r="D15" s="248">
        <v>0.25796175765046914</v>
      </c>
      <c r="E15" s="138">
        <f>IFERROR(C15-D15,"")</f>
        <v>-9.2611593285367444E-3</v>
      </c>
      <c r="F15" s="128"/>
      <c r="G15" s="123" t="s">
        <v>316</v>
      </c>
      <c r="H15" s="233">
        <f>SUM(,'（４）訂單數量構成比'!I14:I49,'（４）訂單數量構成比'!K14:K49)</f>
        <v>772867</v>
      </c>
      <c r="I15" s="138">
        <f t="shared" ref="I15:I23" si="1">IFERROR(H15/$B$7,"")</f>
        <v>0.39598688150986627</v>
      </c>
      <c r="J15" s="248">
        <v>0.40501925285415119</v>
      </c>
      <c r="K15" s="138">
        <f t="shared" ref="K15:K23" si="2">IFERROR(I15-J15,"")</f>
        <v>-9.0323713442849174E-3</v>
      </c>
    </row>
    <row r="16" spans="1:18" s="116" customFormat="1" ht="18" customHeight="1">
      <c r="A16" s="123" t="s">
        <v>203</v>
      </c>
      <c r="B16" s="233">
        <f>SUM('（３）業績構成比'!O14:O49,'（３）業績構成比'!Q14:Q49)/1000</f>
        <v>1567.7565463641374</v>
      </c>
      <c r="C16" s="138">
        <f t="shared" ref="C16:C23" si="3">IFERROR(B16/$B$6,"")</f>
        <v>2.5278242045185091E-2</v>
      </c>
      <c r="D16" s="248">
        <v>2.4975476102556099E-2</v>
      </c>
      <c r="E16" s="138">
        <f t="shared" ref="E16:E23" si="4">IFERROR(C16-D16,"")</f>
        <v>3.027659426289922E-4</v>
      </c>
      <c r="F16" s="128"/>
      <c r="G16" s="123" t="s">
        <v>232</v>
      </c>
      <c r="H16" s="233">
        <f>SUM('（４）訂單數量構成比'!O14:O49,'（４）訂單數量構成比'!Q14:Q49)</f>
        <v>53677</v>
      </c>
      <c r="I16" s="138">
        <f t="shared" si="1"/>
        <v>2.7501999488663758E-2</v>
      </c>
      <c r="J16" s="248">
        <v>2.7164219435148785E-2</v>
      </c>
      <c r="K16" s="138">
        <f t="shared" si="2"/>
        <v>3.3778005351497303E-4</v>
      </c>
    </row>
    <row r="17" spans="1:11" s="116" customFormat="1" ht="18" customHeight="1">
      <c r="A17" s="123" t="s">
        <v>199</v>
      </c>
      <c r="B17" s="233">
        <f>SUM('（３）業績構成比'!U14:U49)/1000</f>
        <v>7271.3912268012591</v>
      </c>
      <c r="C17" s="138">
        <f t="shared" si="3"/>
        <v>0.11724268532802232</v>
      </c>
      <c r="D17" s="248">
        <v>0.1108029866478001</v>
      </c>
      <c r="E17" s="138">
        <f t="shared" si="4"/>
        <v>6.4396986802222195E-3</v>
      </c>
      <c r="F17" s="128"/>
      <c r="G17" s="123" t="s">
        <v>214</v>
      </c>
      <c r="H17" s="233">
        <f>SUM('（４）訂單數量構成比'!U14:U49)</f>
        <v>218314</v>
      </c>
      <c r="I17" s="138">
        <f t="shared" si="1"/>
        <v>0.11185557159245374</v>
      </c>
      <c r="J17" s="248">
        <v>0.1060021113106359</v>
      </c>
      <c r="K17" s="138">
        <f t="shared" si="2"/>
        <v>5.8534602818178377E-3</v>
      </c>
    </row>
    <row r="18" spans="1:11" s="116" customFormat="1" ht="18" customHeight="1">
      <c r="A18" s="123" t="s">
        <v>201</v>
      </c>
      <c r="B18" s="233">
        <f>SUM('（３）業績構成比'!W14:W49)/1000</f>
        <v>0</v>
      </c>
      <c r="C18" s="138">
        <f t="shared" si="3"/>
        <v>0</v>
      </c>
      <c r="D18" s="248">
        <v>0</v>
      </c>
      <c r="E18" s="138">
        <f t="shared" si="4"/>
        <v>0</v>
      </c>
      <c r="F18" s="128"/>
      <c r="G18" s="123" t="s">
        <v>200</v>
      </c>
      <c r="H18" s="233">
        <f>SUM('（４）訂單數量構成比'!W14:W49)</f>
        <v>0</v>
      </c>
      <c r="I18" s="138">
        <f t="shared" si="1"/>
        <v>0</v>
      </c>
      <c r="J18" s="248">
        <v>0</v>
      </c>
      <c r="K18" s="138">
        <f t="shared" si="2"/>
        <v>0</v>
      </c>
    </row>
    <row r="19" spans="1:11" s="116" customFormat="1" ht="18" customHeight="1">
      <c r="A19" s="123" t="s">
        <v>205</v>
      </c>
      <c r="B19" s="233">
        <f>SUM('（３）業績構成比'!Y14:Y49,'（３）業績構成比'!AA14:AA49)/1000</f>
        <v>12904.492242895001</v>
      </c>
      <c r="C19" s="138">
        <f t="shared" si="3"/>
        <v>0.20806985570726952</v>
      </c>
      <c r="D19" s="248">
        <v>0.21070955646059455</v>
      </c>
      <c r="E19" s="138">
        <f t="shared" si="4"/>
        <v>-2.6397007533250361E-3</v>
      </c>
      <c r="F19" s="128"/>
      <c r="G19" s="123" t="s">
        <v>204</v>
      </c>
      <c r="H19" s="233">
        <f>SUM('（４）訂單數量構成比'!Y14:Y49,'（４）訂單數量構成比'!AA14:AA49)</f>
        <v>331698</v>
      </c>
      <c r="I19" s="138">
        <f t="shared" si="1"/>
        <v>0.1699491071854014</v>
      </c>
      <c r="J19" s="248">
        <v>0.16865076764391243</v>
      </c>
      <c r="K19" s="138">
        <f t="shared" si="2"/>
        <v>1.2983395414889742E-3</v>
      </c>
    </row>
    <row r="20" spans="1:11" s="116" customFormat="1" ht="18" customHeight="1">
      <c r="A20" s="123" t="s">
        <v>207</v>
      </c>
      <c r="B20" s="233">
        <f>SUM('（３）業績構成比'!AE14:AE49)/1000</f>
        <v>9399.2144030357686</v>
      </c>
      <c r="C20" s="138">
        <f t="shared" si="3"/>
        <v>0.15155134722004379</v>
      </c>
      <c r="D20" s="248">
        <v>0.1394246678153763</v>
      </c>
      <c r="E20" s="138">
        <f t="shared" si="4"/>
        <v>1.2126679404667495E-2</v>
      </c>
      <c r="F20" s="128"/>
      <c r="G20" s="123" t="s">
        <v>206</v>
      </c>
      <c r="H20" s="233">
        <f>SUM('（４）訂單數量構成比'!AE14:AE49)</f>
        <v>159275</v>
      </c>
      <c r="I20" s="138">
        <f t="shared" si="1"/>
        <v>8.1606292612420958E-2</v>
      </c>
      <c r="J20" s="248">
        <v>7.5498008168977448E-2</v>
      </c>
      <c r="K20" s="138">
        <f t="shared" si="2"/>
        <v>6.1082844434435096E-3</v>
      </c>
    </row>
    <row r="21" spans="1:11" s="116" customFormat="1" ht="18" customHeight="1">
      <c r="A21" s="123" t="s">
        <v>209</v>
      </c>
      <c r="B21" s="233">
        <f>SUM('（３）業績構成比'!AG14:AG49)/1000</f>
        <v>5395.8378476713351</v>
      </c>
      <c r="C21" s="138">
        <f t="shared" si="3"/>
        <v>8.7001579082117281E-2</v>
      </c>
      <c r="D21" s="248">
        <v>9.6256483617452926E-2</v>
      </c>
      <c r="E21" s="138">
        <f t="shared" si="4"/>
        <v>-9.2549045353356452E-3</v>
      </c>
      <c r="F21" s="128"/>
      <c r="G21" s="123" t="s">
        <v>215</v>
      </c>
      <c r="H21" s="233">
        <f>SUM('（４）訂單數量構成比'!AG14:AG49)</f>
        <v>110778</v>
      </c>
      <c r="I21" s="138">
        <f t="shared" si="1"/>
        <v>5.6758322919596732E-2</v>
      </c>
      <c r="J21" s="248">
        <v>6.302221917501595E-2</v>
      </c>
      <c r="K21" s="138">
        <f t="shared" si="2"/>
        <v>-6.2638962554192185E-3</v>
      </c>
    </row>
    <row r="22" spans="1:11" s="116" customFormat="1" ht="18" customHeight="1">
      <c r="A22" s="123" t="s">
        <v>210</v>
      </c>
      <c r="B22" s="233">
        <f>SUM('（３）業績構成比'!AI14:AI49)/1000</f>
        <v>5318.7575443663136</v>
      </c>
      <c r="C22" s="138">
        <f t="shared" si="3"/>
        <v>8.5758749276444085E-2</v>
      </c>
      <c r="D22" s="248">
        <v>8.4347144054685672E-2</v>
      </c>
      <c r="E22" s="138">
        <f t="shared" si="4"/>
        <v>1.4116052217584135E-3</v>
      </c>
      <c r="F22" s="128"/>
      <c r="G22" s="123" t="s">
        <v>216</v>
      </c>
      <c r="H22" s="233">
        <f>SUM('（４）訂單數量構成比'!AI14:AI49)</f>
        <v>146443</v>
      </c>
      <c r="I22" s="138">
        <f t="shared" si="1"/>
        <v>7.5031676716626985E-2</v>
      </c>
      <c r="J22" s="248">
        <v>7.3780425710399569E-2</v>
      </c>
      <c r="K22" s="138">
        <f t="shared" si="2"/>
        <v>1.2512510062274163E-3</v>
      </c>
    </row>
    <row r="23" spans="1:11" s="116" customFormat="1" ht="18" customHeight="1">
      <c r="A23" s="123" t="s">
        <v>212</v>
      </c>
      <c r="B23" s="233">
        <f>SUM('（３）業績構成比'!AK14:AK49)/1000</f>
        <v>4738.1383296405347</v>
      </c>
      <c r="C23" s="138">
        <f t="shared" si="3"/>
        <v>7.6396943018985447E-2</v>
      </c>
      <c r="D23" s="248">
        <v>7.552192765106519E-2</v>
      </c>
      <c r="E23" s="138">
        <f t="shared" si="4"/>
        <v>8.7501536792025658E-4</v>
      </c>
      <c r="F23" s="128"/>
      <c r="G23" s="123" t="s">
        <v>211</v>
      </c>
      <c r="H23" s="233">
        <f>SUM('（４）訂單數量構成比'!AK14:AK49)</f>
        <v>158697</v>
      </c>
      <c r="I23" s="138">
        <f t="shared" si="1"/>
        <v>8.1310147974970146E-2</v>
      </c>
      <c r="J23" s="248">
        <v>8.0862995701758714E-2</v>
      </c>
      <c r="K23" s="138">
        <f t="shared" si="2"/>
        <v>4.4715227321143192E-4</v>
      </c>
    </row>
    <row r="24" spans="1:11" s="116" customFormat="1" ht="15.75" customHeight="1">
      <c r="A24" s="128"/>
      <c r="B24" s="128"/>
      <c r="C24" s="132">
        <f>SUM(C15:C23)</f>
        <v>1</v>
      </c>
      <c r="D24" s="132">
        <f>SUM(D15:D23)</f>
        <v>1</v>
      </c>
      <c r="E24" s="128"/>
      <c r="F24" s="128"/>
      <c r="G24" s="128"/>
      <c r="H24" s="128"/>
      <c r="I24" s="132">
        <f>SUM(I15:I23)</f>
        <v>1</v>
      </c>
      <c r="J24" s="132">
        <f>SUM(J15:J23)</f>
        <v>0.99999999999999989</v>
      </c>
      <c r="K24" s="128"/>
    </row>
    <row r="25" spans="1:11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s="116" customFormat="1" ht="15.75" customHeight="1">
      <c r="A26" s="127" t="s">
        <v>437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s="116" customFormat="1" ht="15.75" customHeight="1">
      <c r="A27" s="123" t="s">
        <v>167</v>
      </c>
      <c r="B27" s="213" t="s">
        <v>309</v>
      </c>
      <c r="C27" s="213" t="s">
        <v>311</v>
      </c>
      <c r="D27" s="123" t="s">
        <v>2</v>
      </c>
      <c r="E27" s="123" t="s">
        <v>357</v>
      </c>
      <c r="G27" s="128"/>
      <c r="H27" s="128"/>
      <c r="I27" s="128"/>
      <c r="J27" s="128"/>
      <c r="K27" s="128"/>
    </row>
    <row r="28" spans="1:11" s="116" customFormat="1" ht="18" customHeight="1">
      <c r="A28" s="123" t="s">
        <v>316</v>
      </c>
      <c r="B28" s="237">
        <f>'（５-1）品群別人時生產性（18℃-飯糰）'!L42</f>
        <v>850.15179928319549</v>
      </c>
      <c r="C28" s="251">
        <v>861.7157917226599</v>
      </c>
      <c r="D28" s="238">
        <f t="shared" ref="D28:D36" si="5">B28-C28</f>
        <v>-11.563992439464414</v>
      </c>
      <c r="E28" s="124">
        <f>'（５-1）品群別人時生產性（18℃-飯糰）'!C1</f>
        <v>855.93379550292775</v>
      </c>
      <c r="G28" s="142"/>
      <c r="H28" s="490"/>
      <c r="I28" s="142"/>
      <c r="J28" s="142"/>
      <c r="K28" s="128"/>
    </row>
    <row r="29" spans="1:11" s="116" customFormat="1" ht="18" customHeight="1">
      <c r="A29" s="123" t="s">
        <v>202</v>
      </c>
      <c r="B29" s="237">
        <f>'（５-2）品群別人時生產性（18-壽司手卷)'!L27</f>
        <v>142.29811815231</v>
      </c>
      <c r="C29" s="251">
        <v>136.67199863974548</v>
      </c>
      <c r="D29" s="238">
        <f t="shared" si="5"/>
        <v>5.6261195125645145</v>
      </c>
      <c r="E29" s="124">
        <f>'（５-2）品群別人時生產性（18-壽司手卷)'!C1</f>
        <v>139.48505839602774</v>
      </c>
      <c r="G29" s="143"/>
      <c r="H29" s="490"/>
      <c r="I29" s="144"/>
      <c r="J29" s="145"/>
      <c r="K29" s="128"/>
    </row>
    <row r="30" spans="1:11" s="116" customFormat="1" ht="18" customHeight="1">
      <c r="A30" s="123" t="s">
        <v>214</v>
      </c>
      <c r="B30" s="237">
        <f>'（５-3）品群別人時生產性（4℃-飯糰)'!L27</f>
        <v>213.77486863295312</v>
      </c>
      <c r="C30" s="251">
        <v>231.6472467889065</v>
      </c>
      <c r="D30" s="238">
        <f t="shared" si="5"/>
        <v>-17.872378155953385</v>
      </c>
      <c r="E30" s="124">
        <f>'（５-3）品群別人時生產性（4℃-飯糰)'!C1</f>
        <v>222.71105771092982</v>
      </c>
      <c r="G30" s="128"/>
      <c r="H30" s="490"/>
      <c r="I30" s="128"/>
      <c r="J30" s="128"/>
      <c r="K30" s="128"/>
    </row>
    <row r="31" spans="1:11" s="116" customFormat="1" ht="18" customHeight="1">
      <c r="A31" s="123" t="s">
        <v>200</v>
      </c>
      <c r="B31" s="237" t="str">
        <f>'（５-4）品群別人時生產性（4℃-壽司手卷)'!L27</f>
        <v>-</v>
      </c>
      <c r="C31" s="251" t="s">
        <v>8</v>
      </c>
      <c r="D31" s="238" t="e">
        <f t="shared" si="5"/>
        <v>#VALUE!</v>
      </c>
      <c r="E31" s="124" t="e">
        <f>'（５-4）品群別人時生產性（4℃-壽司手卷)'!C1</f>
        <v>#DIV/0!</v>
      </c>
      <c r="G31" s="519" t="s">
        <v>737</v>
      </c>
      <c r="H31" s="490"/>
      <c r="I31" s="128"/>
      <c r="J31" s="128"/>
      <c r="K31" s="128"/>
    </row>
    <row r="32" spans="1:11" s="116" customFormat="1" ht="18" customHeight="1">
      <c r="A32" s="123" t="s">
        <v>204</v>
      </c>
      <c r="B32" s="237">
        <f>'（５-5）品群別人時生產性(主食) '!L42</f>
        <v>87.880800827640869</v>
      </c>
      <c r="C32" s="251">
        <v>88.879798284433988</v>
      </c>
      <c r="D32" s="238">
        <f t="shared" si="5"/>
        <v>-0.99899745679311991</v>
      </c>
      <c r="E32" s="124">
        <f>'（５-5）品群別人時生產性(主食) '!C1</f>
        <v>88.380299556037428</v>
      </c>
      <c r="G32" s="128"/>
      <c r="H32" s="490"/>
      <c r="I32" s="128"/>
      <c r="J32" s="128"/>
      <c r="K32" s="128"/>
    </row>
    <row r="33" spans="1:11" s="116" customFormat="1" ht="18" customHeight="1">
      <c r="A33" s="123" t="s">
        <v>206</v>
      </c>
      <c r="B33" s="237">
        <f>'（５-6）品群別人時生產性(便當)'!L27</f>
        <v>71.662979679162916</v>
      </c>
      <c r="C33" s="251">
        <v>72.424316095340771</v>
      </c>
      <c r="D33" s="238">
        <f t="shared" si="5"/>
        <v>-0.76133641617785486</v>
      </c>
      <c r="E33" s="124">
        <f>'（５-6）品群別人時生產性(便當)'!C1</f>
        <v>72.043647887251836</v>
      </c>
      <c r="G33" s="128"/>
      <c r="H33" s="490"/>
      <c r="I33" s="128"/>
      <c r="J33" s="128"/>
      <c r="K33" s="128"/>
    </row>
    <row r="34" spans="1:11" s="116" customFormat="1" ht="18" customHeight="1">
      <c r="A34" s="123" t="s">
        <v>215</v>
      </c>
      <c r="B34" s="237">
        <f>'（５-7）品群別人時生產性(熱食義麵) '!L27</f>
        <v>80.939539542757799</v>
      </c>
      <c r="C34" s="251">
        <v>80.896252830499606</v>
      </c>
      <c r="D34" s="238">
        <f t="shared" si="5"/>
        <v>4.3286712258193916E-2</v>
      </c>
      <c r="E34" s="124">
        <f>'（５-7）品群別人時生產性(熱食義麵) '!C1</f>
        <v>80.917896186628695</v>
      </c>
      <c r="G34" s="128"/>
      <c r="H34" s="490"/>
      <c r="I34" s="128"/>
      <c r="J34" s="128"/>
      <c r="K34" s="128"/>
    </row>
    <row r="35" spans="1:11" s="116" customFormat="1" ht="18" customHeight="1">
      <c r="A35" s="123" t="s">
        <v>216</v>
      </c>
      <c r="B35" s="237">
        <f>'（５-8）品群別人時生產性(季節調理麵) '!L27</f>
        <v>128.64390792457328</v>
      </c>
      <c r="C35" s="251">
        <v>128.19631560423497</v>
      </c>
      <c r="D35" s="238">
        <f t="shared" si="5"/>
        <v>0.44759232033831609</v>
      </c>
      <c r="E35" s="124">
        <f>'（５-8）品群別人時生產性(季節調理麵) '!C1</f>
        <v>128.42011176440411</v>
      </c>
      <c r="G35" s="128"/>
      <c r="H35" s="490"/>
      <c r="I35" s="128"/>
      <c r="J35" s="128"/>
      <c r="K35" s="128"/>
    </row>
    <row r="36" spans="1:11" s="116" customFormat="1" ht="18" customHeight="1">
      <c r="A36" s="119" t="s">
        <v>211</v>
      </c>
      <c r="B36" s="237">
        <f>'（５-9）品群別人時生產性(微波小吃)'!L27</f>
        <v>156.34807899611332</v>
      </c>
      <c r="C36" s="251">
        <v>154.62316490637193</v>
      </c>
      <c r="D36" s="238">
        <f t="shared" si="5"/>
        <v>1.7249140897413895</v>
      </c>
      <c r="E36" s="124">
        <f>'（５-9）品群別人時生產性(微波小吃)'!C1</f>
        <v>155.48562195124262</v>
      </c>
      <c r="G36" s="128"/>
      <c r="H36" s="490"/>
      <c r="I36" s="128"/>
      <c r="J36" s="128"/>
      <c r="K36" s="128"/>
    </row>
    <row r="37" spans="1:11" s="116" customFormat="1" ht="15.75" customHeight="1">
      <c r="D37" s="288"/>
    </row>
    <row r="38" spans="1:11" s="116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18" sqref="I18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19" t="s">
        <v>121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</row>
    <row r="3" spans="1:23" s="84" customFormat="1" ht="23.45" customHeight="1">
      <c r="B3" s="97"/>
      <c r="C3" s="623" t="s">
        <v>116</v>
      </c>
      <c r="D3" s="624" t="s">
        <v>105</v>
      </c>
      <c r="E3" s="624"/>
      <c r="F3" s="622" t="s">
        <v>331</v>
      </c>
      <c r="G3" s="622"/>
      <c r="H3" s="622"/>
      <c r="I3" s="620" t="s">
        <v>119</v>
      </c>
      <c r="J3" s="620"/>
      <c r="K3" s="620"/>
      <c r="L3" s="621" t="s">
        <v>120</v>
      </c>
      <c r="M3" s="621"/>
      <c r="N3" s="621"/>
      <c r="O3" s="618" t="s">
        <v>122</v>
      </c>
      <c r="P3" s="618"/>
      <c r="Q3" s="618"/>
      <c r="R3" s="625" t="s">
        <v>123</v>
      </c>
      <c r="S3" s="625"/>
      <c r="T3" s="625"/>
      <c r="U3" s="618" t="s">
        <v>124</v>
      </c>
      <c r="V3" s="618"/>
      <c r="W3" s="618"/>
    </row>
    <row r="4" spans="1:23" s="84" customFormat="1" ht="23.45" customHeight="1">
      <c r="A4" s="97"/>
      <c r="B4" s="97"/>
      <c r="C4" s="623"/>
      <c r="D4" s="624"/>
      <c r="E4" s="624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292" t="s">
        <v>445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2" t="s">
        <v>445</v>
      </c>
    </row>
    <row r="5" spans="1:23">
      <c r="A5" s="97"/>
      <c r="B5" s="97"/>
      <c r="C5" s="97"/>
      <c r="D5" s="291">
        <v>46266</v>
      </c>
      <c r="E5" s="291" t="s">
        <v>439</v>
      </c>
      <c r="F5" s="405">
        <v>9468849.9999999981</v>
      </c>
      <c r="H5" s="308"/>
      <c r="I5" s="401">
        <v>310731</v>
      </c>
      <c r="K5" s="309"/>
      <c r="L5" s="398">
        <v>6655141</v>
      </c>
      <c r="M5" s="289"/>
      <c r="N5" s="308"/>
      <c r="O5" s="89">
        <f t="shared" ref="O5:O39" si="0">L5/F5</f>
        <v>0.70284575212407008</v>
      </c>
      <c r="P5" s="290"/>
      <c r="Q5" s="307"/>
      <c r="R5" s="398">
        <v>1092896.3742262351</v>
      </c>
      <c r="S5" s="289"/>
      <c r="T5" s="308"/>
      <c r="U5" s="89">
        <f t="shared" ref="U5:U40" si="1">R5/F5</f>
        <v>0.11542018029921641</v>
      </c>
      <c r="V5" s="290"/>
      <c r="W5" s="307"/>
    </row>
    <row r="6" spans="1:23">
      <c r="A6" s="97"/>
      <c r="B6" s="97"/>
      <c r="C6" s="97"/>
      <c r="D6" s="291">
        <f t="shared" ref="D6" si="2">D5+1</f>
        <v>46267</v>
      </c>
      <c r="E6" s="291" t="s">
        <v>440</v>
      </c>
      <c r="F6" s="405">
        <v>9882798</v>
      </c>
      <c r="G6" s="289">
        <f>SUM(F5:F11)</f>
        <v>62106324</v>
      </c>
      <c r="H6" s="308"/>
      <c r="I6" s="401">
        <v>288038</v>
      </c>
      <c r="J6" s="87">
        <f>SUM(I5:I11)</f>
        <v>1983602</v>
      </c>
      <c r="K6" s="309"/>
      <c r="L6" s="398">
        <v>6273450</v>
      </c>
      <c r="M6" s="289">
        <f>SUM(L5:L11)</f>
        <v>42383152</v>
      </c>
      <c r="N6" s="308"/>
      <c r="O6" s="89">
        <f t="shared" si="0"/>
        <v>0.63478480487003786</v>
      </c>
      <c r="P6" s="89">
        <f>M6/G6</f>
        <v>0.68242892623945994</v>
      </c>
      <c r="Q6" s="307"/>
      <c r="R6" s="398">
        <v>1091853.4752540127</v>
      </c>
      <c r="S6" s="289">
        <f>SUM(R5:R11)</f>
        <v>7599966.5058961436</v>
      </c>
      <c r="T6" s="308"/>
      <c r="U6" s="89">
        <f t="shared" si="1"/>
        <v>0.11048019753656937</v>
      </c>
      <c r="V6" s="89">
        <f>S6/G6</f>
        <v>0.12237025179426404</v>
      </c>
      <c r="W6" s="307"/>
    </row>
    <row r="7" spans="1:23" ht="16.5" customHeight="1">
      <c r="A7" s="97"/>
      <c r="B7" s="97"/>
      <c r="C7" s="97"/>
      <c r="D7" s="291">
        <f>D6+1</f>
        <v>46268</v>
      </c>
      <c r="E7" s="291" t="s">
        <v>441</v>
      </c>
      <c r="F7" s="405">
        <v>9127133</v>
      </c>
      <c r="I7" s="401">
        <v>265421</v>
      </c>
      <c r="L7" s="398">
        <v>5655947</v>
      </c>
      <c r="M7" s="86"/>
      <c r="N7" s="86"/>
      <c r="O7" s="89">
        <f t="shared" si="0"/>
        <v>0.61968495473879914</v>
      </c>
      <c r="R7" s="398">
        <v>1071886.8768685958</v>
      </c>
      <c r="S7" s="86"/>
      <c r="T7" s="86"/>
      <c r="U7" s="89">
        <f t="shared" si="1"/>
        <v>0.11743960308988549</v>
      </c>
      <c r="V7" s="89"/>
    </row>
    <row r="8" spans="1:23" ht="16.5" customHeight="1">
      <c r="A8" s="97"/>
      <c r="B8" s="97"/>
      <c r="C8" s="97"/>
      <c r="D8" s="291">
        <f t="shared" ref="D8:D11" si="3">D7+1</f>
        <v>46269</v>
      </c>
      <c r="E8" s="291" t="s">
        <v>442</v>
      </c>
      <c r="F8" s="405">
        <v>8353572</v>
      </c>
      <c r="G8" s="289"/>
      <c r="H8" s="308"/>
      <c r="I8" s="401">
        <v>233074</v>
      </c>
      <c r="K8" s="309"/>
      <c r="L8" s="398">
        <v>5305070</v>
      </c>
      <c r="M8" s="289"/>
      <c r="N8" s="308"/>
      <c r="O8" s="89">
        <f t="shared" si="0"/>
        <v>0.6350660531806035</v>
      </c>
      <c r="P8" s="290"/>
      <c r="Q8" s="307"/>
      <c r="R8" s="398">
        <v>1074646.7875977624</v>
      </c>
      <c r="S8" s="289"/>
      <c r="T8" s="308"/>
      <c r="U8" s="89">
        <f t="shared" si="1"/>
        <v>0.12864518167770175</v>
      </c>
      <c r="V8" s="290"/>
      <c r="W8" s="307"/>
    </row>
    <row r="9" spans="1:23" ht="16.5" customHeight="1">
      <c r="A9" s="97"/>
      <c r="B9" s="97"/>
      <c r="C9" s="97"/>
      <c r="D9" s="291">
        <f t="shared" si="3"/>
        <v>46270</v>
      </c>
      <c r="E9" s="291" t="s">
        <v>443</v>
      </c>
      <c r="F9" s="405">
        <v>7218005.9999999981</v>
      </c>
      <c r="G9" s="289"/>
      <c r="H9" s="308"/>
      <c r="I9" s="401">
        <v>246794</v>
      </c>
      <c r="K9" s="309"/>
      <c r="L9" s="398">
        <v>5156932</v>
      </c>
      <c r="M9" s="289"/>
      <c r="N9" s="308"/>
      <c r="O9" s="89">
        <f t="shared" si="0"/>
        <v>0.71445382561333437</v>
      </c>
      <c r="P9" s="290"/>
      <c r="Q9" s="307"/>
      <c r="R9" s="398">
        <v>1057525.6319033182</v>
      </c>
      <c r="S9" s="289"/>
      <c r="T9" s="308"/>
      <c r="U9" s="89">
        <f t="shared" si="1"/>
        <v>0.14651215749935903</v>
      </c>
      <c r="V9" s="290"/>
      <c r="W9" s="307"/>
    </row>
    <row r="10" spans="1:23" ht="16.5" customHeight="1">
      <c r="A10" s="97"/>
      <c r="B10" s="97"/>
      <c r="C10" s="97"/>
      <c r="D10" s="291">
        <f t="shared" si="3"/>
        <v>46271</v>
      </c>
      <c r="E10" s="291" t="s">
        <v>444</v>
      </c>
      <c r="F10" s="405">
        <v>7784935.0000000019</v>
      </c>
      <c r="H10" s="308">
        <f>SUM(F6:F36)</f>
        <v>114657473</v>
      </c>
      <c r="I10" s="401">
        <v>321787</v>
      </c>
      <c r="K10" s="309">
        <f>SUM(I6:I36)</f>
        <v>3624620</v>
      </c>
      <c r="L10" s="398">
        <v>6554201</v>
      </c>
      <c r="M10" s="86"/>
      <c r="N10" s="308">
        <f>SUM(L6:L36)</f>
        <v>77756062</v>
      </c>
      <c r="O10" s="89">
        <f t="shared" si="0"/>
        <v>0.84190824971563649</v>
      </c>
      <c r="P10" s="290"/>
      <c r="Q10" s="307">
        <f>N10/H10</f>
        <v>0.67815956488069473</v>
      </c>
      <c r="R10" s="398">
        <v>1129977.969465818</v>
      </c>
      <c r="S10" s="86"/>
      <c r="T10" s="308">
        <f>SUM(R6:R36)</f>
        <v>13878389.90134036</v>
      </c>
      <c r="U10" s="89">
        <f t="shared" si="1"/>
        <v>0.14514931331678654</v>
      </c>
      <c r="V10" s="290"/>
      <c r="W10" s="307">
        <f>T10/H10</f>
        <v>0.12104217490769538</v>
      </c>
    </row>
    <row r="11" spans="1:23" ht="16.5" customHeight="1">
      <c r="A11" s="97"/>
      <c r="B11" s="97"/>
      <c r="C11" s="97"/>
      <c r="D11" s="291">
        <f t="shared" si="3"/>
        <v>46272</v>
      </c>
      <c r="E11" s="291" t="s">
        <v>438</v>
      </c>
      <c r="F11" s="405">
        <v>10271030.000000002</v>
      </c>
      <c r="G11" s="289"/>
      <c r="H11" s="308"/>
      <c r="I11" s="401">
        <v>317757</v>
      </c>
      <c r="K11" s="309"/>
      <c r="L11" s="398">
        <v>6782411</v>
      </c>
      <c r="M11" s="289"/>
      <c r="N11" s="308"/>
      <c r="O11" s="89">
        <f t="shared" si="0"/>
        <v>0.66034380193612507</v>
      </c>
      <c r="Q11" s="307"/>
      <c r="R11" s="398">
        <v>1081179.3905804013</v>
      </c>
      <c r="S11" s="289"/>
      <c r="T11" s="308"/>
      <c r="U11" s="89">
        <f t="shared" si="1"/>
        <v>0.10526494329978602</v>
      </c>
      <c r="V11" s="89"/>
      <c r="W11" s="307"/>
    </row>
    <row r="12" spans="1:23" ht="16.5" customHeight="1">
      <c r="A12" s="97"/>
      <c r="B12" s="97"/>
      <c r="C12" s="97"/>
      <c r="D12" s="344">
        <f t="shared" ref="D12:D34" si="4">D11+1</f>
        <v>46273</v>
      </c>
      <c r="E12" s="344" t="s">
        <v>439</v>
      </c>
      <c r="F12" s="224">
        <v>10129657</v>
      </c>
      <c r="G12" s="289">
        <f>SUM(F12:F18)</f>
        <v>62019999</v>
      </c>
      <c r="H12" s="308"/>
      <c r="I12" s="225">
        <v>304561</v>
      </c>
      <c r="J12" s="87">
        <f>SUM(I12:I18)</f>
        <v>1951749</v>
      </c>
      <c r="K12" s="309"/>
      <c r="L12" s="224">
        <v>6641307</v>
      </c>
      <c r="M12" s="289">
        <f>SUM(L12:L18)</f>
        <v>42028051</v>
      </c>
      <c r="N12" s="308"/>
      <c r="O12" s="89">
        <f t="shared" si="0"/>
        <v>0.65562999813320433</v>
      </c>
      <c r="P12" s="89">
        <f>M12/G12</f>
        <v>0.6776532034449082</v>
      </c>
      <c r="Q12" s="307"/>
      <c r="R12" s="226">
        <v>1058859.2833095684</v>
      </c>
      <c r="S12" s="289">
        <f>SUM(R12:R18)</f>
        <v>7371319.7696704492</v>
      </c>
      <c r="T12" s="308"/>
      <c r="U12" s="89">
        <f t="shared" si="1"/>
        <v>0.10453061572663007</v>
      </c>
      <c r="V12" s="89">
        <f>S12/G12</f>
        <v>0.11885391629352411</v>
      </c>
      <c r="W12" s="307"/>
    </row>
    <row r="13" spans="1:23" ht="16.5" customHeight="1">
      <c r="A13" s="97"/>
      <c r="B13" s="97"/>
      <c r="C13" s="97"/>
      <c r="D13" s="344">
        <f t="shared" si="4"/>
        <v>46274</v>
      </c>
      <c r="E13" s="344" t="s">
        <v>440</v>
      </c>
      <c r="F13" s="224">
        <v>9577217</v>
      </c>
      <c r="H13" s="308"/>
      <c r="I13" s="225">
        <v>287325</v>
      </c>
      <c r="K13" s="309"/>
      <c r="L13" s="224">
        <v>6169761</v>
      </c>
      <c r="M13" s="86"/>
      <c r="N13" s="308"/>
      <c r="O13" s="89">
        <f t="shared" si="0"/>
        <v>0.64421230092207371</v>
      </c>
      <c r="P13" s="290"/>
      <c r="Q13" s="307"/>
      <c r="R13" s="224">
        <v>1040183.7889449846</v>
      </c>
      <c r="S13" s="86"/>
      <c r="T13" s="308"/>
      <c r="U13" s="89">
        <f t="shared" si="1"/>
        <v>0.10861023499258549</v>
      </c>
      <c r="V13" s="290"/>
      <c r="W13" s="307"/>
    </row>
    <row r="14" spans="1:23" ht="16.5" customHeight="1">
      <c r="A14" s="97"/>
      <c r="B14" s="97"/>
      <c r="C14" s="97"/>
      <c r="D14" s="344">
        <f t="shared" si="4"/>
        <v>46275</v>
      </c>
      <c r="E14" s="344" t="s">
        <v>441</v>
      </c>
      <c r="F14" s="224">
        <v>9006445</v>
      </c>
      <c r="G14" s="289"/>
      <c r="H14" s="308"/>
      <c r="I14" s="225">
        <v>267049</v>
      </c>
      <c r="K14" s="309"/>
      <c r="L14" s="224">
        <v>5914967</v>
      </c>
      <c r="M14" s="289"/>
      <c r="N14" s="308"/>
      <c r="O14" s="89">
        <f t="shared" si="0"/>
        <v>0.65674825083592914</v>
      </c>
      <c r="P14" s="290"/>
      <c r="Q14" s="307"/>
      <c r="R14" s="224">
        <v>1048971.7978373461</v>
      </c>
      <c r="S14" s="289"/>
      <c r="T14" s="308"/>
      <c r="U14" s="89">
        <f t="shared" si="1"/>
        <v>0.11646901722459262</v>
      </c>
      <c r="V14" s="290"/>
      <c r="W14" s="307"/>
    </row>
    <row r="15" spans="1:23" ht="16.5" customHeight="1">
      <c r="A15" s="97"/>
      <c r="B15" s="97"/>
      <c r="C15" s="97"/>
      <c r="D15" s="344">
        <f t="shared" si="4"/>
        <v>46276</v>
      </c>
      <c r="E15" s="344" t="s">
        <v>442</v>
      </c>
      <c r="F15" s="224">
        <v>8305286</v>
      </c>
      <c r="G15" s="289"/>
      <c r="H15" s="308"/>
      <c r="I15" s="225">
        <v>231474</v>
      </c>
      <c r="K15" s="309"/>
      <c r="L15" s="224">
        <v>4867527</v>
      </c>
      <c r="M15" s="289"/>
      <c r="N15" s="308"/>
      <c r="O15" s="89">
        <f t="shared" si="0"/>
        <v>0.58607578354315548</v>
      </c>
      <c r="Q15" s="307"/>
      <c r="R15" s="224">
        <v>1036993.8943963738</v>
      </c>
      <c r="S15" s="289"/>
      <c r="T15" s="308"/>
      <c r="U15" s="89">
        <f t="shared" si="1"/>
        <v>0.1248595044645511</v>
      </c>
      <c r="V15" s="89"/>
      <c r="W15" s="307"/>
    </row>
    <row r="16" spans="1:23" ht="16.5" customHeight="1">
      <c r="A16" s="97"/>
      <c r="B16" s="97"/>
      <c r="C16" s="97"/>
      <c r="D16" s="344">
        <f t="shared" si="4"/>
        <v>46277</v>
      </c>
      <c r="E16" s="344" t="s">
        <v>443</v>
      </c>
      <c r="F16" s="224">
        <v>7221047</v>
      </c>
      <c r="G16" s="289"/>
      <c r="H16" s="308"/>
      <c r="I16" s="225">
        <v>248035</v>
      </c>
      <c r="K16" s="309"/>
      <c r="L16" s="224">
        <v>5452160</v>
      </c>
      <c r="M16" s="289"/>
      <c r="N16" s="308"/>
      <c r="O16" s="89">
        <f t="shared" si="0"/>
        <v>0.75503732353493891</v>
      </c>
      <c r="P16" s="290"/>
      <c r="Q16" s="307"/>
      <c r="R16" s="224">
        <v>1020059.4652540123</v>
      </c>
      <c r="S16" s="289"/>
      <c r="T16" s="308"/>
      <c r="U16" s="89">
        <f t="shared" si="1"/>
        <v>0.1412619894669031</v>
      </c>
      <c r="V16" s="290"/>
      <c r="W16" s="307"/>
    </row>
    <row r="17" spans="1:23" ht="16.5" customHeight="1">
      <c r="A17" s="97"/>
      <c r="B17" s="97"/>
      <c r="C17" s="97"/>
      <c r="D17" s="344">
        <f t="shared" si="4"/>
        <v>46278</v>
      </c>
      <c r="E17" s="344" t="s">
        <v>444</v>
      </c>
      <c r="F17" s="224">
        <v>7812022</v>
      </c>
      <c r="H17" s="308"/>
      <c r="I17" s="225">
        <v>311122</v>
      </c>
      <c r="K17" s="309"/>
      <c r="L17" s="224">
        <v>6401903</v>
      </c>
      <c r="M17" s="86"/>
      <c r="N17" s="308"/>
      <c r="O17" s="89">
        <f t="shared" si="0"/>
        <v>0.81949372390400332</v>
      </c>
      <c r="P17" s="290"/>
      <c r="Q17" s="307"/>
      <c r="R17" s="224">
        <v>1069599.4060179014</v>
      </c>
      <c r="S17" s="86"/>
      <c r="T17" s="308"/>
      <c r="U17" s="89">
        <f t="shared" si="1"/>
        <v>0.13691710110620545</v>
      </c>
      <c r="V17" s="290"/>
      <c r="W17" s="307"/>
    </row>
    <row r="18" spans="1:23" ht="16.5" customHeight="1">
      <c r="A18" s="97"/>
      <c r="B18" s="97"/>
      <c r="C18" s="97"/>
      <c r="D18" s="344">
        <f t="shared" si="4"/>
        <v>46279</v>
      </c>
      <c r="E18" s="344" t="s">
        <v>438</v>
      </c>
      <c r="F18" s="224">
        <v>9968325</v>
      </c>
      <c r="G18" s="289"/>
      <c r="H18" s="308"/>
      <c r="I18" s="225">
        <v>302183</v>
      </c>
      <c r="K18" s="309"/>
      <c r="L18" s="224">
        <v>6580426</v>
      </c>
      <c r="M18" s="289"/>
      <c r="N18" s="308"/>
      <c r="O18" s="89">
        <f t="shared" si="0"/>
        <v>0.66013357309277132</v>
      </c>
      <c r="P18" s="290"/>
      <c r="Q18" s="307"/>
      <c r="R18" s="224">
        <v>1096652.1339102625</v>
      </c>
      <c r="S18" s="289"/>
      <c r="T18" s="308"/>
      <c r="U18" s="89">
        <f t="shared" si="1"/>
        <v>0.11001368172789937</v>
      </c>
      <c r="V18" s="290"/>
      <c r="W18" s="307"/>
    </row>
    <row r="19" spans="1:23" ht="16.5" customHeight="1">
      <c r="A19" s="97"/>
      <c r="B19" s="97"/>
      <c r="C19" s="97"/>
      <c r="D19" s="291">
        <f t="shared" si="4"/>
        <v>46280</v>
      </c>
      <c r="E19" s="291" t="s">
        <v>439</v>
      </c>
      <c r="F19" s="224"/>
      <c r="G19" s="289">
        <f>SUM(F19:F25)</f>
        <v>0</v>
      </c>
      <c r="H19" s="308"/>
      <c r="I19" s="225"/>
      <c r="J19" s="87">
        <f>SUM(I19:I25)</f>
        <v>0</v>
      </c>
      <c r="K19" s="309"/>
      <c r="L19" s="224"/>
      <c r="M19" s="289">
        <f>SUM(L19:L25)</f>
        <v>0</v>
      </c>
      <c r="N19" s="308"/>
      <c r="O19" s="89" t="e">
        <f t="shared" si="0"/>
        <v>#DIV/0!</v>
      </c>
      <c r="P19" s="89" t="e">
        <f>M19/G19</f>
        <v>#DIV/0!</v>
      </c>
      <c r="Q19" s="307"/>
      <c r="R19" s="224"/>
      <c r="S19" s="289">
        <f>SUM(R19:R25)</f>
        <v>0</v>
      </c>
      <c r="T19" s="308"/>
      <c r="U19" s="89" t="e">
        <f t="shared" si="1"/>
        <v>#DIV/0!</v>
      </c>
      <c r="V19" s="89" t="e">
        <f>S19/G19</f>
        <v>#DIV/0!</v>
      </c>
      <c r="W19" s="307"/>
    </row>
    <row r="20" spans="1:23" ht="16.5" customHeight="1">
      <c r="A20" s="97"/>
      <c r="B20" s="97"/>
      <c r="C20" s="97"/>
      <c r="D20" s="291">
        <f t="shared" si="4"/>
        <v>46281</v>
      </c>
      <c r="E20" s="291" t="s">
        <v>440</v>
      </c>
      <c r="F20" s="224"/>
      <c r="G20" s="289"/>
      <c r="H20" s="308"/>
      <c r="I20" s="225"/>
      <c r="K20" s="309"/>
      <c r="L20" s="224"/>
      <c r="M20" s="289"/>
      <c r="N20" s="308"/>
      <c r="O20" s="89" t="e">
        <f t="shared" si="0"/>
        <v>#DIV/0!</v>
      </c>
      <c r="P20" s="290"/>
      <c r="Q20" s="307"/>
      <c r="R20" s="224"/>
      <c r="S20" s="289"/>
      <c r="T20" s="308"/>
      <c r="U20" s="89" t="e">
        <f t="shared" si="1"/>
        <v>#DIV/0!</v>
      </c>
      <c r="V20" s="290"/>
      <c r="W20" s="307"/>
    </row>
    <row r="21" spans="1:23" ht="16.5" customHeight="1">
      <c r="A21" s="97"/>
      <c r="B21" s="97"/>
      <c r="C21" s="97"/>
      <c r="D21" s="291">
        <f t="shared" si="4"/>
        <v>46282</v>
      </c>
      <c r="E21" s="291" t="s">
        <v>441</v>
      </c>
      <c r="F21" s="224"/>
      <c r="H21" s="308"/>
      <c r="I21" s="225"/>
      <c r="K21" s="309"/>
      <c r="L21" s="224"/>
      <c r="M21" s="86"/>
      <c r="N21" s="308"/>
      <c r="O21" s="89" t="e">
        <f t="shared" si="0"/>
        <v>#DIV/0!</v>
      </c>
      <c r="P21" s="290"/>
      <c r="Q21" s="307"/>
      <c r="R21" s="224"/>
      <c r="S21" s="86"/>
      <c r="T21" s="308"/>
      <c r="U21" s="89" t="e">
        <f t="shared" si="1"/>
        <v>#DIV/0!</v>
      </c>
      <c r="V21" s="290"/>
      <c r="W21" s="307"/>
    </row>
    <row r="22" spans="1:23" ht="16.5" customHeight="1">
      <c r="A22" s="97"/>
      <c r="B22" s="97"/>
      <c r="C22" s="97"/>
      <c r="D22" s="291">
        <f t="shared" si="4"/>
        <v>46283</v>
      </c>
      <c r="E22" s="291" t="s">
        <v>442</v>
      </c>
      <c r="F22" s="224"/>
      <c r="G22" s="289"/>
      <c r="H22" s="308"/>
      <c r="I22" s="225"/>
      <c r="K22" s="309"/>
      <c r="L22" s="224"/>
      <c r="M22" s="289"/>
      <c r="N22" s="308"/>
      <c r="O22" s="89" t="e">
        <f t="shared" si="0"/>
        <v>#DIV/0!</v>
      </c>
      <c r="Q22" s="307"/>
      <c r="R22" s="224"/>
      <c r="S22" s="289"/>
      <c r="T22" s="308"/>
      <c r="U22" s="89" t="e">
        <f t="shared" si="1"/>
        <v>#DIV/0!</v>
      </c>
      <c r="V22" s="89"/>
      <c r="W22" s="307"/>
    </row>
    <row r="23" spans="1:23" ht="16.5" customHeight="1">
      <c r="A23" s="97"/>
      <c r="B23" s="97"/>
      <c r="C23" s="97"/>
      <c r="D23" s="291">
        <f t="shared" si="4"/>
        <v>46284</v>
      </c>
      <c r="E23" s="291" t="s">
        <v>443</v>
      </c>
      <c r="F23" s="224"/>
      <c r="G23" s="289"/>
      <c r="H23" s="308"/>
      <c r="I23" s="225"/>
      <c r="K23" s="309"/>
      <c r="L23" s="224"/>
      <c r="M23" s="289"/>
      <c r="N23" s="308"/>
      <c r="O23" s="89" t="e">
        <f t="shared" si="0"/>
        <v>#DIV/0!</v>
      </c>
      <c r="P23" s="290"/>
      <c r="Q23" s="307"/>
      <c r="R23" s="224"/>
      <c r="S23" s="289"/>
      <c r="T23" s="308"/>
      <c r="U23" s="89" t="e">
        <f t="shared" si="1"/>
        <v>#DIV/0!</v>
      </c>
      <c r="V23" s="290"/>
      <c r="W23" s="307"/>
    </row>
    <row r="24" spans="1:23" ht="16.5" customHeight="1">
      <c r="A24" s="97"/>
      <c r="B24" s="97"/>
      <c r="C24" s="97"/>
      <c r="D24" s="291">
        <f t="shared" si="4"/>
        <v>46285</v>
      </c>
      <c r="E24" s="291" t="s">
        <v>444</v>
      </c>
      <c r="F24" s="224"/>
      <c r="G24" s="289"/>
      <c r="H24" s="308"/>
      <c r="I24" s="225"/>
      <c r="K24" s="309"/>
      <c r="L24" s="224"/>
      <c r="M24" s="289"/>
      <c r="N24" s="308"/>
      <c r="O24" s="89" t="e">
        <f t="shared" si="0"/>
        <v>#DIV/0!</v>
      </c>
      <c r="P24" s="290"/>
      <c r="Q24" s="307"/>
      <c r="R24" s="224"/>
      <c r="S24" s="289"/>
      <c r="T24" s="308"/>
      <c r="U24" s="89" t="e">
        <f t="shared" si="1"/>
        <v>#DIV/0!</v>
      </c>
      <c r="V24" s="290"/>
      <c r="W24" s="307"/>
    </row>
    <row r="25" spans="1:23" ht="16.5" customHeight="1">
      <c r="A25" s="97"/>
      <c r="B25" s="97"/>
      <c r="C25" s="97"/>
      <c r="D25" s="291">
        <f t="shared" si="4"/>
        <v>46286</v>
      </c>
      <c r="E25" s="291" t="s">
        <v>438</v>
      </c>
      <c r="F25" s="224"/>
      <c r="H25" s="308"/>
      <c r="I25" s="225"/>
      <c r="K25" s="309"/>
      <c r="L25" s="224"/>
      <c r="M25" s="86"/>
      <c r="N25" s="308"/>
      <c r="O25" s="89" t="e">
        <f t="shared" si="0"/>
        <v>#DIV/0!</v>
      </c>
      <c r="P25" s="290"/>
      <c r="Q25" s="307"/>
      <c r="R25" s="224"/>
      <c r="S25" s="86"/>
      <c r="T25" s="308"/>
      <c r="U25" s="89" t="e">
        <f t="shared" si="1"/>
        <v>#DIV/0!</v>
      </c>
      <c r="V25" s="290"/>
      <c r="W25" s="307"/>
    </row>
    <row r="26" spans="1:23" ht="16.5" customHeight="1">
      <c r="A26" s="97"/>
      <c r="B26" s="97"/>
      <c r="C26" s="97"/>
      <c r="D26" s="344">
        <f t="shared" si="4"/>
        <v>46287</v>
      </c>
      <c r="E26" s="344" t="s">
        <v>439</v>
      </c>
      <c r="F26" s="224"/>
      <c r="G26" s="289">
        <f>SUM(F26:F32)</f>
        <v>0</v>
      </c>
      <c r="H26" s="308"/>
      <c r="I26" s="225"/>
      <c r="J26" s="87">
        <f>SUM(I26:I32)</f>
        <v>0</v>
      </c>
      <c r="K26" s="309"/>
      <c r="L26" s="224"/>
      <c r="M26" s="289">
        <f>SUM(L26:L32)</f>
        <v>0</v>
      </c>
      <c r="N26" s="308"/>
      <c r="O26" s="89" t="e">
        <f t="shared" si="0"/>
        <v>#DIV/0!</v>
      </c>
      <c r="P26" s="89" t="e">
        <f>M26/G26</f>
        <v>#DIV/0!</v>
      </c>
      <c r="Q26" s="307"/>
      <c r="R26" s="224"/>
      <c r="S26" s="289">
        <f>SUM(R26:R32)</f>
        <v>0</v>
      </c>
      <c r="T26" s="308"/>
      <c r="U26" s="89" t="e">
        <f t="shared" si="1"/>
        <v>#DIV/0!</v>
      </c>
      <c r="V26" s="89" t="e">
        <f>S26/G26</f>
        <v>#DIV/0!</v>
      </c>
      <c r="W26" s="307"/>
    </row>
    <row r="27" spans="1:23">
      <c r="A27" s="97"/>
      <c r="B27" s="97"/>
      <c r="C27" s="97"/>
      <c r="D27" s="344">
        <f t="shared" si="4"/>
        <v>46288</v>
      </c>
      <c r="E27" s="344" t="s">
        <v>440</v>
      </c>
      <c r="F27" s="224"/>
      <c r="G27" s="289"/>
      <c r="H27" s="308"/>
      <c r="I27" s="225"/>
      <c r="K27" s="309"/>
      <c r="L27" s="224"/>
      <c r="M27" s="289"/>
      <c r="N27" s="308"/>
      <c r="O27" s="89" t="e">
        <f t="shared" si="0"/>
        <v>#DIV/0!</v>
      </c>
      <c r="P27" s="290"/>
      <c r="Q27" s="307"/>
      <c r="R27" s="224"/>
      <c r="S27" s="289"/>
      <c r="T27" s="308"/>
      <c r="U27" s="89" t="e">
        <f t="shared" si="1"/>
        <v>#DIV/0!</v>
      </c>
      <c r="V27" s="290"/>
      <c r="W27" s="307"/>
    </row>
    <row r="28" spans="1:23">
      <c r="A28" s="97"/>
      <c r="B28" s="97"/>
      <c r="C28" s="97"/>
      <c r="D28" s="344">
        <f t="shared" si="4"/>
        <v>46289</v>
      </c>
      <c r="E28" s="344" t="s">
        <v>441</v>
      </c>
      <c r="F28" s="224"/>
      <c r="H28" s="308"/>
      <c r="I28" s="225"/>
      <c r="K28" s="309"/>
      <c r="L28" s="224"/>
      <c r="M28" s="86"/>
      <c r="N28" s="308"/>
      <c r="O28" s="89" t="e">
        <f t="shared" si="0"/>
        <v>#DIV/0!</v>
      </c>
      <c r="P28" s="290"/>
      <c r="Q28" s="307"/>
      <c r="R28" s="224"/>
      <c r="S28" s="86"/>
      <c r="T28" s="308"/>
      <c r="U28" s="89" t="e">
        <f t="shared" si="1"/>
        <v>#DIV/0!</v>
      </c>
      <c r="V28" s="290"/>
      <c r="W28" s="307"/>
    </row>
    <row r="29" spans="1:23">
      <c r="A29" s="97"/>
      <c r="B29" s="97"/>
      <c r="C29" s="97"/>
      <c r="D29" s="344">
        <f t="shared" si="4"/>
        <v>46290</v>
      </c>
      <c r="E29" s="344" t="s">
        <v>442</v>
      </c>
      <c r="F29" s="224"/>
      <c r="G29" s="289"/>
      <c r="H29" s="308"/>
      <c r="I29" s="225"/>
      <c r="K29" s="309"/>
      <c r="L29" s="224"/>
      <c r="M29" s="289"/>
      <c r="N29" s="308"/>
      <c r="O29" s="89" t="e">
        <f t="shared" si="0"/>
        <v>#DIV/0!</v>
      </c>
      <c r="Q29" s="307"/>
      <c r="R29" s="224"/>
      <c r="S29" s="289"/>
      <c r="T29" s="308"/>
      <c r="U29" s="89" t="e">
        <f t="shared" si="1"/>
        <v>#DIV/0!</v>
      </c>
      <c r="V29" s="89"/>
      <c r="W29" s="307"/>
    </row>
    <row r="30" spans="1:23">
      <c r="A30" s="97"/>
      <c r="B30" s="97"/>
      <c r="C30" s="97"/>
      <c r="D30" s="344">
        <f t="shared" si="4"/>
        <v>46291</v>
      </c>
      <c r="E30" s="344" t="s">
        <v>443</v>
      </c>
      <c r="F30" s="224"/>
      <c r="G30" s="289"/>
      <c r="H30" s="308"/>
      <c r="I30" s="225"/>
      <c r="K30" s="309"/>
      <c r="L30" s="224"/>
      <c r="M30" s="289"/>
      <c r="N30" s="308"/>
      <c r="O30" s="89" t="e">
        <f t="shared" si="0"/>
        <v>#DIV/0!</v>
      </c>
      <c r="P30" s="290"/>
      <c r="Q30" s="307"/>
      <c r="R30" s="224"/>
      <c r="S30" s="289"/>
      <c r="T30" s="308"/>
      <c r="U30" s="89" t="e">
        <f t="shared" si="1"/>
        <v>#DIV/0!</v>
      </c>
      <c r="V30" s="290"/>
      <c r="W30" s="307"/>
    </row>
    <row r="31" spans="1:23">
      <c r="A31" s="97"/>
      <c r="B31" s="97"/>
      <c r="C31" s="97"/>
      <c r="D31" s="344">
        <f t="shared" si="4"/>
        <v>46292</v>
      </c>
      <c r="E31" s="344" t="s">
        <v>444</v>
      </c>
      <c r="F31" s="224"/>
      <c r="G31" s="289"/>
      <c r="H31" s="308"/>
      <c r="I31" s="225"/>
      <c r="K31" s="309"/>
      <c r="L31" s="224"/>
      <c r="M31" s="289"/>
      <c r="N31" s="308"/>
      <c r="O31" s="89" t="e">
        <f t="shared" si="0"/>
        <v>#DIV/0!</v>
      </c>
      <c r="P31" s="290"/>
      <c r="Q31" s="307"/>
      <c r="R31" s="224"/>
      <c r="S31" s="289"/>
      <c r="T31" s="308"/>
      <c r="U31" s="89" t="e">
        <f t="shared" si="1"/>
        <v>#DIV/0!</v>
      </c>
      <c r="V31" s="290"/>
      <c r="W31" s="307"/>
    </row>
    <row r="32" spans="1:23">
      <c r="A32" s="97"/>
      <c r="B32" s="97"/>
      <c r="C32" s="97"/>
      <c r="D32" s="344">
        <f t="shared" si="4"/>
        <v>46293</v>
      </c>
      <c r="E32" s="344" t="s">
        <v>438</v>
      </c>
      <c r="F32" s="224"/>
      <c r="H32" s="308"/>
      <c r="I32" s="225"/>
      <c r="K32" s="309"/>
      <c r="L32" s="224"/>
      <c r="M32" s="86"/>
      <c r="N32" s="308"/>
      <c r="O32" s="89" t="e">
        <f t="shared" si="0"/>
        <v>#DIV/0!</v>
      </c>
      <c r="P32" s="290"/>
      <c r="Q32" s="307"/>
      <c r="R32" s="224"/>
      <c r="S32" s="86"/>
      <c r="T32" s="308"/>
      <c r="U32" s="89" t="e">
        <f t="shared" si="1"/>
        <v>#DIV/0!</v>
      </c>
      <c r="V32" s="290"/>
      <c r="W32" s="307"/>
    </row>
    <row r="33" spans="1:23" s="403" customFormat="1">
      <c r="A33" s="397"/>
      <c r="B33" s="397"/>
      <c r="C33" s="397"/>
      <c r="D33" s="291">
        <f t="shared" si="4"/>
        <v>46294</v>
      </c>
      <c r="E33" s="291" t="s">
        <v>439</v>
      </c>
      <c r="F33" s="405"/>
      <c r="G33" s="406">
        <f>SUM(F33:F39)</f>
        <v>0</v>
      </c>
      <c r="H33" s="407"/>
      <c r="I33" s="408"/>
      <c r="J33" s="325">
        <f>SUM(I33:I39)</f>
        <v>0</v>
      </c>
      <c r="K33" s="409"/>
      <c r="L33" s="224"/>
      <c r="M33" s="406">
        <f>SUM(L33:L39)</f>
        <v>0</v>
      </c>
      <c r="N33" s="407"/>
      <c r="O33" s="410" t="e">
        <f t="shared" si="0"/>
        <v>#DIV/0!</v>
      </c>
      <c r="P33" s="410" t="e">
        <f>M33/G33</f>
        <v>#DIV/0!</v>
      </c>
      <c r="Q33" s="411"/>
      <c r="R33" s="405"/>
      <c r="S33" s="406">
        <f>SUM(R33:R39)</f>
        <v>0</v>
      </c>
      <c r="T33" s="407"/>
      <c r="U33" s="410" t="e">
        <f t="shared" si="1"/>
        <v>#DIV/0!</v>
      </c>
      <c r="V33" s="410" t="e">
        <f>S33/G33</f>
        <v>#DIV/0!</v>
      </c>
      <c r="W33" s="402"/>
    </row>
    <row r="34" spans="1:23" s="403" customFormat="1">
      <c r="A34" s="397"/>
      <c r="B34" s="397"/>
      <c r="C34" s="397"/>
      <c r="D34" s="291">
        <f t="shared" si="4"/>
        <v>46295</v>
      </c>
      <c r="E34" s="291" t="s">
        <v>440</v>
      </c>
      <c r="F34" s="405"/>
      <c r="G34" s="412"/>
      <c r="H34" s="407"/>
      <c r="I34" s="408"/>
      <c r="J34" s="325"/>
      <c r="K34" s="409"/>
      <c r="L34" s="224"/>
      <c r="M34" s="406"/>
      <c r="N34" s="407"/>
      <c r="O34" s="410" t="e">
        <f t="shared" si="0"/>
        <v>#DIV/0!</v>
      </c>
      <c r="P34" s="410"/>
      <c r="Q34" s="411"/>
      <c r="R34" s="405"/>
      <c r="S34" s="406"/>
      <c r="T34" s="407"/>
      <c r="U34" s="410" t="e">
        <f t="shared" si="1"/>
        <v>#DIV/0!</v>
      </c>
      <c r="V34" s="410"/>
      <c r="W34" s="402"/>
    </row>
    <row r="35" spans="1:23" s="403" customFormat="1">
      <c r="A35" s="397"/>
      <c r="B35" s="397"/>
      <c r="D35" s="291">
        <f>D34+1</f>
        <v>46296</v>
      </c>
      <c r="E35" s="291" t="s">
        <v>441</v>
      </c>
      <c r="F35" s="405"/>
      <c r="G35" s="406"/>
      <c r="H35" s="412"/>
      <c r="I35" s="408"/>
      <c r="J35" s="325"/>
      <c r="K35" s="325"/>
      <c r="L35" s="224"/>
      <c r="M35" s="406"/>
      <c r="N35" s="412"/>
      <c r="O35" s="410" t="e">
        <f t="shared" si="0"/>
        <v>#DIV/0!</v>
      </c>
      <c r="P35" s="410"/>
      <c r="Q35" s="412"/>
      <c r="R35" s="405"/>
      <c r="S35" s="406"/>
      <c r="T35" s="412"/>
      <c r="U35" s="410" t="e">
        <f t="shared" si="1"/>
        <v>#DIV/0!</v>
      </c>
      <c r="V35" s="410"/>
      <c r="W35" s="404"/>
    </row>
    <row r="36" spans="1:23" s="403" customFormat="1">
      <c r="A36" s="397"/>
      <c r="B36" s="397"/>
      <c r="C36" s="397"/>
      <c r="D36" s="291">
        <f t="shared" ref="D36:D39" si="5">D35+1</f>
        <v>46297</v>
      </c>
      <c r="E36" s="291" t="s">
        <v>442</v>
      </c>
      <c r="F36" s="405"/>
      <c r="G36" s="406"/>
      <c r="H36" s="407"/>
      <c r="I36" s="408"/>
      <c r="J36" s="325"/>
      <c r="K36" s="409"/>
      <c r="L36" s="224"/>
      <c r="M36" s="406"/>
      <c r="N36" s="407"/>
      <c r="O36" s="410" t="e">
        <f t="shared" si="0"/>
        <v>#DIV/0!</v>
      </c>
      <c r="P36" s="410"/>
      <c r="Q36" s="411"/>
      <c r="R36" s="405"/>
      <c r="S36" s="406"/>
      <c r="T36" s="407"/>
      <c r="U36" s="410" t="e">
        <f t="shared" si="1"/>
        <v>#DIV/0!</v>
      </c>
      <c r="V36" s="410"/>
      <c r="W36" s="402"/>
    </row>
    <row r="37" spans="1:23" s="403" customFormat="1">
      <c r="A37" s="397"/>
      <c r="B37" s="397"/>
      <c r="D37" s="291">
        <f t="shared" si="5"/>
        <v>46298</v>
      </c>
      <c r="E37" s="291" t="s">
        <v>443</v>
      </c>
      <c r="F37" s="405"/>
      <c r="G37" s="406"/>
      <c r="H37" s="412"/>
      <c r="I37" s="408"/>
      <c r="J37" s="325"/>
      <c r="K37" s="325"/>
      <c r="L37" s="405"/>
      <c r="M37" s="406"/>
      <c r="N37" s="412"/>
      <c r="O37" s="410" t="e">
        <f t="shared" si="0"/>
        <v>#DIV/0!</v>
      </c>
      <c r="P37" s="410"/>
      <c r="Q37" s="412"/>
      <c r="R37" s="405"/>
      <c r="S37" s="406"/>
      <c r="T37" s="412"/>
      <c r="U37" s="410" t="e">
        <f t="shared" si="1"/>
        <v>#DIV/0!</v>
      </c>
      <c r="V37" s="410"/>
      <c r="W37" s="404"/>
    </row>
    <row r="38" spans="1:23" s="403" customFormat="1">
      <c r="A38" s="397"/>
      <c r="B38" s="397"/>
      <c r="D38" s="291">
        <f t="shared" si="5"/>
        <v>46299</v>
      </c>
      <c r="E38" s="291" t="s">
        <v>444</v>
      </c>
      <c r="F38" s="405"/>
      <c r="G38" s="406"/>
      <c r="H38" s="412"/>
      <c r="I38" s="408"/>
      <c r="J38" s="325"/>
      <c r="K38" s="325"/>
      <c r="L38" s="405"/>
      <c r="M38" s="406"/>
      <c r="N38" s="412"/>
      <c r="O38" s="410" t="e">
        <f t="shared" si="0"/>
        <v>#DIV/0!</v>
      </c>
      <c r="P38" s="410"/>
      <c r="Q38" s="412"/>
      <c r="R38" s="405"/>
      <c r="S38" s="406"/>
      <c r="T38" s="412"/>
      <c r="U38" s="410" t="e">
        <f t="shared" si="1"/>
        <v>#DIV/0!</v>
      </c>
      <c r="V38" s="410"/>
      <c r="W38" s="404"/>
    </row>
    <row r="39" spans="1:23" s="403" customFormat="1">
      <c r="A39" s="397"/>
      <c r="B39" s="397"/>
      <c r="D39" s="291">
        <f t="shared" si="5"/>
        <v>46300</v>
      </c>
      <c r="E39" s="291" t="s">
        <v>438</v>
      </c>
      <c r="F39" s="405"/>
      <c r="G39" s="406"/>
      <c r="H39" s="412"/>
      <c r="I39" s="408"/>
      <c r="J39" s="325"/>
      <c r="K39" s="325"/>
      <c r="L39" s="405"/>
      <c r="M39" s="406"/>
      <c r="N39" s="412"/>
      <c r="O39" s="410" t="e">
        <f t="shared" si="0"/>
        <v>#DIV/0!</v>
      </c>
      <c r="P39" s="410"/>
      <c r="Q39" s="412"/>
      <c r="R39" s="405"/>
      <c r="S39" s="406"/>
      <c r="T39" s="412"/>
      <c r="U39" s="410" t="e">
        <f t="shared" si="1"/>
        <v>#DIV/0!</v>
      </c>
      <c r="V39" s="410"/>
      <c r="W39" s="404"/>
    </row>
    <row r="40" spans="1:23">
      <c r="A40" s="97"/>
      <c r="B40" s="97"/>
      <c r="D40" s="344"/>
      <c r="E40" s="344"/>
      <c r="F40" s="224"/>
      <c r="G40" s="406">
        <f>SUM(F40:F46)</f>
        <v>0</v>
      </c>
      <c r="I40" s="225"/>
      <c r="J40" s="325">
        <f>SUM(I40:I46)</f>
        <v>0</v>
      </c>
      <c r="L40" s="224"/>
      <c r="M40" s="406">
        <f>SUM(L40:L46)</f>
        <v>0</v>
      </c>
      <c r="N40" s="86"/>
      <c r="O40" s="89" t="e">
        <f>L40/F40</f>
        <v>#DIV/0!</v>
      </c>
      <c r="P40" s="410" t="e">
        <f>M40/G40</f>
        <v>#DIV/0!</v>
      </c>
      <c r="Q40" s="86"/>
      <c r="R40" s="224"/>
      <c r="S40" s="406">
        <f>SUM(R40:R46)</f>
        <v>0</v>
      </c>
      <c r="T40" s="86"/>
      <c r="U40" s="89" t="e">
        <f t="shared" si="1"/>
        <v>#DIV/0!</v>
      </c>
      <c r="V40" s="410" t="e">
        <f>S40/G40</f>
        <v>#DIV/0!</v>
      </c>
      <c r="W40" s="86"/>
    </row>
    <row r="41" spans="1:23">
      <c r="A41" s="97"/>
      <c r="B41" s="97"/>
      <c r="D41" s="344"/>
      <c r="E41" s="344"/>
      <c r="F41" s="224"/>
      <c r="G41" s="289"/>
      <c r="I41" s="225"/>
      <c r="L41" s="224"/>
      <c r="M41" s="289"/>
      <c r="N41" s="86"/>
      <c r="O41" s="89" t="e">
        <f t="shared" ref="O41:O46" si="6">L41/F41</f>
        <v>#DIV/0!</v>
      </c>
      <c r="Q41" s="86"/>
      <c r="R41" s="224"/>
      <c r="S41" s="289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44"/>
      <c r="E42" s="344"/>
      <c r="F42" s="224"/>
      <c r="G42" s="289"/>
      <c r="I42" s="225"/>
      <c r="L42" s="224"/>
      <c r="M42" s="289"/>
      <c r="N42" s="86"/>
      <c r="O42" s="89" t="e">
        <f t="shared" si="6"/>
        <v>#DIV/0!</v>
      </c>
      <c r="Q42" s="86"/>
      <c r="R42" s="224"/>
      <c r="S42" s="289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44"/>
      <c r="E43" s="344"/>
      <c r="F43" s="224"/>
      <c r="G43" s="289"/>
      <c r="I43" s="225"/>
      <c r="L43" s="224"/>
      <c r="M43" s="289"/>
      <c r="N43" s="86"/>
      <c r="O43" s="89" t="e">
        <f t="shared" si="6"/>
        <v>#DIV/0!</v>
      </c>
      <c r="Q43" s="86"/>
      <c r="R43" s="224"/>
      <c r="S43" s="289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44"/>
      <c r="E44" s="344"/>
      <c r="F44" s="224"/>
      <c r="G44" s="289"/>
      <c r="I44" s="225"/>
      <c r="L44" s="224"/>
      <c r="M44" s="289"/>
      <c r="N44" s="86"/>
      <c r="O44" s="89" t="e">
        <f t="shared" si="6"/>
        <v>#DIV/0!</v>
      </c>
      <c r="Q44" s="86"/>
      <c r="R44" s="224"/>
      <c r="S44" s="289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44"/>
      <c r="E45" s="344"/>
      <c r="F45" s="224"/>
      <c r="G45" s="289"/>
      <c r="I45" s="225"/>
      <c r="L45" s="224"/>
      <c r="M45" s="289"/>
      <c r="N45" s="86"/>
      <c r="O45" s="89" t="e">
        <f t="shared" si="6"/>
        <v>#DIV/0!</v>
      </c>
      <c r="Q45" s="86"/>
      <c r="R45" s="224"/>
      <c r="S45" s="289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44"/>
      <c r="E46" s="344"/>
      <c r="F46" s="224"/>
      <c r="G46" s="289"/>
      <c r="I46" s="225"/>
      <c r="L46" s="224"/>
      <c r="M46" s="289"/>
      <c r="N46" s="86"/>
      <c r="O46" s="89" t="e">
        <f t="shared" si="6"/>
        <v>#DIV/0!</v>
      </c>
      <c r="Q46" s="86"/>
      <c r="R46" s="224"/>
      <c r="S46" s="289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499"/>
      <c r="I47" s="500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53" sqref="J53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19" t="s">
        <v>126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</row>
    <row r="3" spans="2:23" s="72" customFormat="1" ht="23.45" customHeight="1">
      <c r="B3" s="97"/>
      <c r="C3" s="623" t="s">
        <v>116</v>
      </c>
      <c r="D3" s="624" t="s">
        <v>105</v>
      </c>
      <c r="E3" s="624"/>
      <c r="F3" s="627" t="s">
        <v>107</v>
      </c>
      <c r="G3" s="627"/>
      <c r="H3" s="627"/>
      <c r="I3" s="629" t="s">
        <v>108</v>
      </c>
      <c r="J3" s="629"/>
      <c r="K3" s="629"/>
      <c r="L3" s="628" t="s">
        <v>305</v>
      </c>
      <c r="M3" s="628"/>
      <c r="N3" s="628"/>
      <c r="O3" s="628" t="s">
        <v>106</v>
      </c>
      <c r="P3" s="628"/>
      <c r="Q3" s="628"/>
      <c r="R3" s="628" t="s">
        <v>109</v>
      </c>
      <c r="S3" s="628"/>
      <c r="T3" s="628"/>
      <c r="U3" s="628" t="s">
        <v>110</v>
      </c>
      <c r="V3" s="628"/>
      <c r="W3" s="628"/>
    </row>
    <row r="4" spans="2:23" ht="15.75">
      <c r="B4" s="97"/>
      <c r="C4" s="623"/>
      <c r="D4" s="624"/>
      <c r="E4" s="624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1">
        <v>46266</v>
      </c>
      <c r="E5" s="291" t="s">
        <v>439</v>
      </c>
      <c r="F5" s="413">
        <v>351.76174627510022</v>
      </c>
      <c r="G5" s="92"/>
      <c r="H5" s="92"/>
      <c r="I5" s="89">
        <f>F5/$C$1</f>
        <v>0.9610976674183066</v>
      </c>
      <c r="J5" s="208"/>
      <c r="K5" s="208"/>
      <c r="L5" s="416">
        <v>2.4012875903620802E-3</v>
      </c>
      <c r="M5" s="290"/>
      <c r="N5" s="290"/>
      <c r="O5" s="416">
        <v>3.9790318823241296E-3</v>
      </c>
      <c r="P5" s="290"/>
      <c r="Q5" s="290"/>
      <c r="R5" s="227">
        <v>0.91700000000000004</v>
      </c>
      <c r="S5" s="208"/>
      <c r="T5" s="290"/>
      <c r="U5" s="418">
        <v>0.7</v>
      </c>
      <c r="V5" s="208"/>
      <c r="W5" s="290"/>
    </row>
    <row r="6" spans="2:23" ht="14.45" customHeight="1">
      <c r="B6" s="97"/>
      <c r="C6" s="97"/>
      <c r="D6" s="291">
        <f t="shared" ref="D6" si="0">D5+1</f>
        <v>46267</v>
      </c>
      <c r="E6" s="291" t="s">
        <v>440</v>
      </c>
      <c r="F6" s="413">
        <v>359.09435008018835</v>
      </c>
      <c r="G6" s="93">
        <f>AVERAGE(F5:F11)</f>
        <v>357.07494184699289</v>
      </c>
      <c r="H6" s="92"/>
      <c r="I6" s="89">
        <f>F6/$C$1</f>
        <v>0.98113210404423046</v>
      </c>
      <c r="J6" s="208">
        <f>AVERAGE(I5:I11)</f>
        <v>0.97561459521036309</v>
      </c>
      <c r="K6" s="208"/>
      <c r="L6" s="416">
        <v>2.3998264459113702E-3</v>
      </c>
      <c r="M6" s="290">
        <f>AVERAGE(L5:L11)</f>
        <v>2.4078289211901011E-3</v>
      </c>
      <c r="N6" s="290"/>
      <c r="O6" s="416">
        <v>3.9782501755046204E-3</v>
      </c>
      <c r="P6" s="290">
        <f>AVERAGE(O5:O11)</f>
        <v>4.0048614927021822E-3</v>
      </c>
      <c r="Q6" s="290"/>
      <c r="R6" s="227">
        <v>0.91700000000000004</v>
      </c>
      <c r="S6" s="208">
        <f>AVERAGE(R5:R11)</f>
        <v>0.91699999999999993</v>
      </c>
      <c r="T6" s="290"/>
      <c r="U6" s="418">
        <v>0.70199999999999996</v>
      </c>
      <c r="V6" s="208">
        <f>AVERAGE(U5:U11)</f>
        <v>0.71371428571428575</v>
      </c>
      <c r="W6" s="290"/>
    </row>
    <row r="7" spans="2:23" ht="14.45" customHeight="1">
      <c r="B7" s="97"/>
      <c r="C7" s="97"/>
      <c r="D7" s="291">
        <f>D6+1</f>
        <v>46268</v>
      </c>
      <c r="E7" s="291" t="s">
        <v>441</v>
      </c>
      <c r="F7" s="413">
        <v>356.04979707537035</v>
      </c>
      <c r="I7" s="89">
        <f t="shared" ref="I7:I40" si="1">F7/$C$1</f>
        <v>0.97281365321139435</v>
      </c>
      <c r="J7" s="208"/>
      <c r="L7" s="416">
        <v>2.4095317229530702E-3</v>
      </c>
      <c r="M7" s="290"/>
      <c r="O7" s="416">
        <v>3.9778187226256799E-3</v>
      </c>
      <c r="P7" s="290"/>
      <c r="R7" s="227">
        <v>0.91700000000000004</v>
      </c>
      <c r="S7" s="208"/>
      <c r="U7" s="418">
        <v>0.71</v>
      </c>
      <c r="V7" s="208"/>
    </row>
    <row r="8" spans="2:23" ht="14.45" customHeight="1">
      <c r="B8" s="97"/>
      <c r="C8" s="97"/>
      <c r="D8" s="291">
        <f t="shared" ref="D8:D34" si="2">D7+1</f>
        <v>46269</v>
      </c>
      <c r="E8" s="291" t="s">
        <v>442</v>
      </c>
      <c r="F8" s="413">
        <v>363.86166956799622</v>
      </c>
      <c r="G8" s="92"/>
      <c r="H8" s="92"/>
      <c r="I8" s="89">
        <f t="shared" si="1"/>
        <v>0.99415756712567271</v>
      </c>
      <c r="J8" s="208"/>
      <c r="K8" s="208"/>
      <c r="L8" s="416">
        <v>2.4222058920571202E-3</v>
      </c>
      <c r="M8" s="290"/>
      <c r="N8" s="290"/>
      <c r="O8" s="416">
        <v>4.0299197696329302E-3</v>
      </c>
      <c r="P8" s="290"/>
      <c r="Q8" s="290"/>
      <c r="R8" s="227">
        <v>0.91700000000000004</v>
      </c>
      <c r="S8" s="208"/>
      <c r="T8" s="290"/>
      <c r="U8" s="418">
        <v>0.71599999999999997</v>
      </c>
      <c r="V8" s="208"/>
      <c r="W8" s="290"/>
    </row>
    <row r="9" spans="2:23" ht="14.45" customHeight="1">
      <c r="B9" s="97"/>
      <c r="C9" s="97"/>
      <c r="D9" s="291">
        <f t="shared" si="2"/>
        <v>46270</v>
      </c>
      <c r="E9" s="291" t="s">
        <v>443</v>
      </c>
      <c r="F9" s="413">
        <v>348.56238708289015</v>
      </c>
      <c r="G9" s="92"/>
      <c r="H9" s="92"/>
      <c r="I9" s="89">
        <f t="shared" si="1"/>
        <v>0.95235624886035564</v>
      </c>
      <c r="J9" s="208"/>
      <c r="K9" s="208"/>
      <c r="L9" s="416">
        <v>2.3990883354765799E-3</v>
      </c>
      <c r="M9" s="290"/>
      <c r="N9" s="290"/>
      <c r="O9" s="416">
        <v>4.1424782925087904E-3</v>
      </c>
      <c r="P9" s="290"/>
      <c r="Q9" s="290"/>
      <c r="R9" s="227">
        <v>0.91700000000000004</v>
      </c>
      <c r="S9" s="208"/>
      <c r="T9" s="290"/>
      <c r="U9" s="418">
        <v>0.72</v>
      </c>
      <c r="V9" s="208"/>
      <c r="W9" s="290"/>
    </row>
    <row r="10" spans="2:23" ht="14.45" customHeight="1">
      <c r="B10" s="97"/>
      <c r="C10" s="97"/>
      <c r="D10" s="291">
        <f t="shared" si="2"/>
        <v>46271</v>
      </c>
      <c r="E10" s="291" t="s">
        <v>444</v>
      </c>
      <c r="F10" s="413">
        <v>362.98033374754016</v>
      </c>
      <c r="G10" s="92"/>
      <c r="H10" s="92">
        <f>AVERAGE(F6:F36)</f>
        <v>362.06456095246807</v>
      </c>
      <c r="I10" s="89">
        <f t="shared" si="1"/>
        <v>0.99174954575830643</v>
      </c>
      <c r="J10" s="208"/>
      <c r="K10" s="208">
        <f>AVERAGE(I6:I36)</f>
        <v>0.41484569825331263</v>
      </c>
      <c r="L10" s="416">
        <v>2.3923156712291099E-3</v>
      </c>
      <c r="M10" s="290"/>
      <c r="N10" s="290">
        <f>AVERAGE(L6:L36)</f>
        <v>2.4085937121271521E-3</v>
      </c>
      <c r="O10" s="416">
        <v>3.9974236233673698E-3</v>
      </c>
      <c r="P10" s="290"/>
      <c r="Q10" s="290">
        <f>AVERAGE(O6:O36)</f>
        <v>4.006848385808187E-3</v>
      </c>
      <c r="R10" s="227">
        <v>0.91700000000000004</v>
      </c>
      <c r="S10" s="208"/>
      <c r="T10" s="208">
        <f>AVERAGE(R6:R36)</f>
        <v>0.91699999999999993</v>
      </c>
      <c r="U10" s="418">
        <v>0.72399999999999998</v>
      </c>
      <c r="V10" s="208"/>
      <c r="W10" s="208">
        <f>AVERAGE(U6:U36)</f>
        <v>0.73276923076923084</v>
      </c>
    </row>
    <row r="11" spans="2:23" ht="14.45" customHeight="1">
      <c r="B11" s="97"/>
      <c r="C11" s="97"/>
      <c r="D11" s="291">
        <f t="shared" si="2"/>
        <v>46272</v>
      </c>
      <c r="E11" s="291" t="s">
        <v>438</v>
      </c>
      <c r="F11" s="413">
        <v>357.21430909986464</v>
      </c>
      <c r="G11" s="92"/>
      <c r="H11" s="92"/>
      <c r="I11" s="89">
        <f t="shared" si="1"/>
        <v>0.975995380054275</v>
      </c>
      <c r="J11" s="208"/>
      <c r="K11" s="208"/>
      <c r="L11" s="416">
        <v>2.43054679034138E-3</v>
      </c>
      <c r="M11" s="290"/>
      <c r="N11" s="290"/>
      <c r="O11" s="416">
        <v>3.9291079829517602E-3</v>
      </c>
      <c r="P11" s="290"/>
      <c r="Q11" s="290"/>
      <c r="R11" s="227">
        <v>0.91700000000000004</v>
      </c>
      <c r="S11" s="208"/>
      <c r="T11" s="290"/>
      <c r="U11" s="418">
        <v>0.72399999999999998</v>
      </c>
      <c r="V11" s="208"/>
      <c r="W11" s="208"/>
    </row>
    <row r="12" spans="2:23" ht="14.45" customHeight="1">
      <c r="B12" s="97"/>
      <c r="C12" s="97"/>
      <c r="D12" s="344">
        <f t="shared" si="2"/>
        <v>46273</v>
      </c>
      <c r="E12" s="344" t="s">
        <v>439</v>
      </c>
      <c r="F12" s="223">
        <v>366.06991048337642</v>
      </c>
      <c r="G12" s="92">
        <f>AVERAGE(F12:F18)</f>
        <v>365.58234938974783</v>
      </c>
      <c r="H12" s="92"/>
      <c r="I12" s="89">
        <f t="shared" si="1"/>
        <v>1.0001910122496624</v>
      </c>
      <c r="J12" s="208">
        <f>AVERAGE(I12:I18)</f>
        <v>0.99885887811406504</v>
      </c>
      <c r="K12" s="208"/>
      <c r="L12" s="240">
        <v>2.4114258755257001E-3</v>
      </c>
      <c r="M12" s="290">
        <f>AVERAGE(L12:L18)</f>
        <v>2.4083147713834787E-3</v>
      </c>
      <c r="N12" s="290"/>
      <c r="O12" s="240">
        <v>3.9790318823241296E-3</v>
      </c>
      <c r="P12" s="290">
        <f>AVERAGE(O12:O18)</f>
        <v>4.0048614927021822E-3</v>
      </c>
      <c r="Q12" s="290"/>
      <c r="R12" s="227">
        <v>0.91700000000000004</v>
      </c>
      <c r="S12" s="208">
        <f>AVERAGE(R12:R18)</f>
        <v>0.91699999999999993</v>
      </c>
      <c r="T12" s="290"/>
      <c r="U12" s="227">
        <v>0.72599999999999998</v>
      </c>
      <c r="V12" s="208">
        <f>AVERAGE(U12:U18)</f>
        <v>0.74714285714285722</v>
      </c>
      <c r="W12" s="290"/>
    </row>
    <row r="13" spans="2:23" ht="14.45" customHeight="1">
      <c r="B13" s="97"/>
      <c r="C13" s="97"/>
      <c r="D13" s="344">
        <f t="shared" si="2"/>
        <v>46274</v>
      </c>
      <c r="E13" s="344" t="s">
        <v>440</v>
      </c>
      <c r="F13" s="223">
        <v>370.54865394170361</v>
      </c>
      <c r="G13" s="92"/>
      <c r="H13" s="92"/>
      <c r="I13" s="89">
        <f t="shared" si="1"/>
        <v>1.0124280162341628</v>
      </c>
      <c r="J13" s="208"/>
      <c r="K13" s="208"/>
      <c r="L13" s="240">
        <v>2.40953180866634E-3</v>
      </c>
      <c r="M13" s="290"/>
      <c r="N13" s="290"/>
      <c r="O13" s="240">
        <v>3.9782501755046204E-3</v>
      </c>
      <c r="P13" s="290"/>
      <c r="Q13" s="290"/>
      <c r="R13" s="227">
        <v>0.91700000000000004</v>
      </c>
      <c r="S13" s="208"/>
      <c r="T13" s="290"/>
      <c r="U13" s="227">
        <v>0.73</v>
      </c>
      <c r="V13" s="208"/>
      <c r="W13" s="290"/>
    </row>
    <row r="14" spans="2:23" ht="14.45" customHeight="1">
      <c r="B14" s="97"/>
      <c r="C14" s="97"/>
      <c r="D14" s="344">
        <f t="shared" si="2"/>
        <v>46275</v>
      </c>
      <c r="E14" s="344" t="s">
        <v>441</v>
      </c>
      <c r="F14" s="223">
        <v>365.74087078971104</v>
      </c>
      <c r="H14" s="92"/>
      <c r="I14" s="89">
        <f t="shared" si="1"/>
        <v>0.99929199669319957</v>
      </c>
      <c r="J14" s="208"/>
      <c r="K14" s="208"/>
      <c r="L14" s="240">
        <v>2.4142672275242901E-3</v>
      </c>
      <c r="M14" s="290"/>
      <c r="N14" s="290"/>
      <c r="O14" s="240">
        <v>3.9778187226256799E-3</v>
      </c>
      <c r="P14" s="290"/>
      <c r="Q14" s="290"/>
      <c r="R14" s="227">
        <v>0.91700000000000004</v>
      </c>
      <c r="S14" s="208"/>
      <c r="T14" s="290"/>
      <c r="U14" s="227">
        <v>0.74</v>
      </c>
      <c r="V14" s="208"/>
      <c r="W14" s="290"/>
    </row>
    <row r="15" spans="2:23" ht="14.45" customHeight="1">
      <c r="B15" s="97"/>
      <c r="C15" s="97"/>
      <c r="D15" s="344">
        <f t="shared" si="2"/>
        <v>46276</v>
      </c>
      <c r="E15" s="344" t="s">
        <v>442</v>
      </c>
      <c r="F15" s="223">
        <v>360.96846463754861</v>
      </c>
      <c r="G15" s="92"/>
      <c r="H15" s="92"/>
      <c r="I15" s="89">
        <f t="shared" si="1"/>
        <v>0.9862526356217175</v>
      </c>
      <c r="J15" s="208"/>
      <c r="K15" s="208"/>
      <c r="L15" s="240">
        <v>2.3995434457080799E-3</v>
      </c>
      <c r="M15" s="290"/>
      <c r="N15" s="290"/>
      <c r="O15" s="240">
        <v>4.0299197696329302E-3</v>
      </c>
      <c r="P15" s="290"/>
      <c r="Q15" s="290"/>
      <c r="R15" s="227">
        <v>0.91700000000000004</v>
      </c>
      <c r="S15" s="208"/>
      <c r="T15" s="290"/>
      <c r="U15" s="227">
        <v>0.75</v>
      </c>
      <c r="V15" s="208"/>
      <c r="W15" s="290"/>
    </row>
    <row r="16" spans="2:23" ht="14.45" customHeight="1">
      <c r="B16" s="97"/>
      <c r="C16" s="97"/>
      <c r="D16" s="344">
        <f t="shared" si="2"/>
        <v>46277</v>
      </c>
      <c r="E16" s="344" t="s">
        <v>443</v>
      </c>
      <c r="F16" s="223">
        <v>369.11087759776177</v>
      </c>
      <c r="G16" s="92"/>
      <c r="H16" s="92"/>
      <c r="I16" s="89">
        <f t="shared" si="1"/>
        <v>1.008499665567655</v>
      </c>
      <c r="J16" s="208"/>
      <c r="K16" s="208"/>
      <c r="L16" s="240">
        <v>2.3971545395033498E-3</v>
      </c>
      <c r="M16" s="290"/>
      <c r="N16" s="290"/>
      <c r="O16" s="240">
        <v>4.1424782925087904E-3</v>
      </c>
      <c r="P16" s="290"/>
      <c r="Q16" s="290"/>
      <c r="R16" s="227">
        <v>0.91700000000000004</v>
      </c>
      <c r="S16" s="208"/>
      <c r="T16" s="290"/>
      <c r="U16" s="227">
        <v>0.76</v>
      </c>
      <c r="V16" s="208"/>
      <c r="W16" s="290"/>
    </row>
    <row r="17" spans="2:23" ht="14.45" customHeight="1">
      <c r="B17" s="97"/>
      <c r="C17" s="97"/>
      <c r="D17" s="344">
        <f t="shared" si="2"/>
        <v>46278</v>
      </c>
      <c r="E17" s="344" t="s">
        <v>444</v>
      </c>
      <c r="F17" s="223">
        <v>360.23070191869635</v>
      </c>
      <c r="G17" s="92"/>
      <c r="H17" s="92"/>
      <c r="I17" s="89">
        <f t="shared" si="1"/>
        <v>0.98423689048824137</v>
      </c>
      <c r="J17" s="208"/>
      <c r="K17" s="208"/>
      <c r="L17" s="240">
        <v>2.4122552184043002E-3</v>
      </c>
      <c r="M17" s="290"/>
      <c r="N17" s="290"/>
      <c r="O17" s="240">
        <v>3.9974236233673698E-3</v>
      </c>
      <c r="P17" s="290"/>
      <c r="Q17" s="290"/>
      <c r="R17" s="227">
        <v>0.91700000000000004</v>
      </c>
      <c r="S17" s="208"/>
      <c r="T17" s="290"/>
      <c r="U17" s="227">
        <v>0.76200000000000001</v>
      </c>
      <c r="V17" s="208"/>
      <c r="W17" s="290"/>
    </row>
    <row r="18" spans="2:23" ht="14.45" customHeight="1">
      <c r="B18" s="97"/>
      <c r="C18" s="97"/>
      <c r="D18" s="344">
        <f t="shared" si="2"/>
        <v>46279</v>
      </c>
      <c r="E18" s="344" t="s">
        <v>438</v>
      </c>
      <c r="F18" s="223">
        <v>366.40696635943709</v>
      </c>
      <c r="G18" s="92"/>
      <c r="H18" s="92"/>
      <c r="I18" s="89">
        <f t="shared" si="1"/>
        <v>1.0011119299438171</v>
      </c>
      <c r="J18" s="208"/>
      <c r="K18" s="208"/>
      <c r="L18" s="240">
        <v>2.4140252843522902E-3</v>
      </c>
      <c r="M18" s="290"/>
      <c r="N18" s="290"/>
      <c r="O18" s="240">
        <v>3.9291079829517602E-3</v>
      </c>
      <c r="P18" s="290"/>
      <c r="Q18" s="290"/>
      <c r="R18" s="227">
        <v>0.91700000000000004</v>
      </c>
      <c r="S18" s="208"/>
      <c r="T18" s="290"/>
      <c r="U18" s="227">
        <v>0.76200000000000001</v>
      </c>
      <c r="V18" s="208"/>
      <c r="W18" s="290"/>
    </row>
    <row r="19" spans="2:23" ht="14.45" customHeight="1">
      <c r="B19" s="97"/>
      <c r="C19" s="97"/>
      <c r="D19" s="291">
        <f t="shared" si="2"/>
        <v>46280</v>
      </c>
      <c r="E19" s="291" t="s">
        <v>439</v>
      </c>
      <c r="F19" s="223"/>
      <c r="G19" s="92" t="e">
        <f>AVERAGE(F19:F25)</f>
        <v>#DIV/0!</v>
      </c>
      <c r="H19" s="92"/>
      <c r="I19" s="89">
        <f t="shared" si="1"/>
        <v>0</v>
      </c>
      <c r="J19" s="208">
        <f>AVERAGE(I19:I25)</f>
        <v>0</v>
      </c>
      <c r="K19" s="208"/>
      <c r="L19" s="240"/>
      <c r="M19" s="290" t="e">
        <f>AVERAGE(L19:L25)</f>
        <v>#DIV/0!</v>
      </c>
      <c r="N19" s="290"/>
      <c r="O19" s="240"/>
      <c r="P19" s="290" t="e">
        <f>AVERAGE(O19:O25)</f>
        <v>#DIV/0!</v>
      </c>
      <c r="Q19" s="290"/>
      <c r="R19" s="227"/>
      <c r="S19" s="208" t="e">
        <f>AVERAGE(R19:R25)</f>
        <v>#DIV/0!</v>
      </c>
      <c r="T19" s="290"/>
      <c r="U19" s="227"/>
      <c r="V19" s="208" t="e">
        <f>AVERAGE(U19:U25)</f>
        <v>#DIV/0!</v>
      </c>
      <c r="W19" s="290"/>
    </row>
    <row r="20" spans="2:23" ht="14.45" customHeight="1">
      <c r="B20" s="97"/>
      <c r="C20" s="97"/>
      <c r="D20" s="291">
        <f t="shared" si="2"/>
        <v>46281</v>
      </c>
      <c r="E20" s="291" t="s">
        <v>440</v>
      </c>
      <c r="F20" s="223"/>
      <c r="G20" s="92"/>
      <c r="H20" s="92"/>
      <c r="I20" s="89">
        <f t="shared" si="1"/>
        <v>0</v>
      </c>
      <c r="J20" s="208"/>
      <c r="K20" s="208"/>
      <c r="L20" s="240"/>
      <c r="M20" s="290"/>
      <c r="N20" s="290"/>
      <c r="O20" s="240"/>
      <c r="P20" s="290"/>
      <c r="Q20" s="290"/>
      <c r="R20" s="227"/>
      <c r="S20" s="208"/>
      <c r="T20" s="290"/>
      <c r="U20" s="227"/>
      <c r="V20" s="208"/>
      <c r="W20" s="290"/>
    </row>
    <row r="21" spans="2:23" ht="14.45" customHeight="1">
      <c r="B21" s="97"/>
      <c r="C21" s="97"/>
      <c r="D21" s="291">
        <f t="shared" si="2"/>
        <v>46282</v>
      </c>
      <c r="E21" s="291" t="s">
        <v>441</v>
      </c>
      <c r="F21" s="223"/>
      <c r="G21" s="92"/>
      <c r="H21" s="92"/>
      <c r="I21" s="89">
        <f t="shared" si="1"/>
        <v>0</v>
      </c>
      <c r="J21" s="208"/>
      <c r="K21" s="208"/>
      <c r="L21" s="240"/>
      <c r="M21" s="290"/>
      <c r="N21" s="290"/>
      <c r="O21" s="240"/>
      <c r="P21" s="290"/>
      <c r="Q21" s="290"/>
      <c r="R21" s="227"/>
      <c r="S21" s="208"/>
      <c r="T21" s="290"/>
      <c r="U21" s="227"/>
      <c r="V21" s="208"/>
      <c r="W21" s="290"/>
    </row>
    <row r="22" spans="2:23" ht="14.45" customHeight="1">
      <c r="B22" s="97"/>
      <c r="C22" s="97"/>
      <c r="D22" s="291">
        <f t="shared" si="2"/>
        <v>46283</v>
      </c>
      <c r="E22" s="291" t="s">
        <v>442</v>
      </c>
      <c r="F22" s="223"/>
      <c r="G22" s="92"/>
      <c r="H22" s="92"/>
      <c r="I22" s="89">
        <f t="shared" si="1"/>
        <v>0</v>
      </c>
      <c r="J22" s="208"/>
      <c r="K22" s="208"/>
      <c r="L22" s="240"/>
      <c r="M22" s="290"/>
      <c r="N22" s="290"/>
      <c r="O22" s="240"/>
      <c r="P22" s="290"/>
      <c r="Q22" s="290"/>
      <c r="R22" s="227"/>
      <c r="S22" s="208"/>
      <c r="T22" s="290"/>
      <c r="U22" s="227"/>
      <c r="V22" s="208"/>
      <c r="W22" s="290"/>
    </row>
    <row r="23" spans="2:23" ht="14.45" customHeight="1">
      <c r="B23" s="97"/>
      <c r="C23" s="97"/>
      <c r="D23" s="291">
        <f t="shared" si="2"/>
        <v>46284</v>
      </c>
      <c r="E23" s="291" t="s">
        <v>443</v>
      </c>
      <c r="F23" s="223"/>
      <c r="G23" s="92"/>
      <c r="H23" s="92"/>
      <c r="I23" s="89">
        <f t="shared" si="1"/>
        <v>0</v>
      </c>
      <c r="J23" s="208"/>
      <c r="K23" s="208"/>
      <c r="L23" s="240"/>
      <c r="M23" s="290"/>
      <c r="N23" s="290"/>
      <c r="O23" s="240"/>
      <c r="P23" s="290"/>
      <c r="Q23" s="290"/>
      <c r="R23" s="227"/>
      <c r="S23" s="208"/>
      <c r="T23" s="290"/>
      <c r="U23" s="227"/>
      <c r="V23" s="208"/>
      <c r="W23" s="290"/>
    </row>
    <row r="24" spans="2:23" ht="14.45" customHeight="1">
      <c r="B24" s="97"/>
      <c r="C24" s="97"/>
      <c r="D24" s="291">
        <f t="shared" si="2"/>
        <v>46285</v>
      </c>
      <c r="E24" s="291" t="s">
        <v>444</v>
      </c>
      <c r="F24" s="223"/>
      <c r="G24" s="92"/>
      <c r="H24" s="92"/>
      <c r="I24" s="89">
        <f t="shared" si="1"/>
        <v>0</v>
      </c>
      <c r="J24" s="208"/>
      <c r="K24" s="208"/>
      <c r="L24" s="240"/>
      <c r="M24" s="290"/>
      <c r="N24" s="290"/>
      <c r="O24" s="240"/>
      <c r="P24" s="290"/>
      <c r="Q24" s="290"/>
      <c r="R24" s="227"/>
      <c r="S24" s="208"/>
      <c r="T24" s="290"/>
      <c r="U24" s="227"/>
      <c r="V24" s="208"/>
      <c r="W24" s="290"/>
    </row>
    <row r="25" spans="2:23" ht="14.45" customHeight="1">
      <c r="B25" s="97"/>
      <c r="C25" s="97"/>
      <c r="D25" s="291">
        <f t="shared" si="2"/>
        <v>46286</v>
      </c>
      <c r="E25" s="291" t="s">
        <v>438</v>
      </c>
      <c r="F25" s="223"/>
      <c r="G25" s="92"/>
      <c r="H25" s="92"/>
      <c r="I25" s="89">
        <f t="shared" si="1"/>
        <v>0</v>
      </c>
      <c r="J25" s="208"/>
      <c r="K25" s="208"/>
      <c r="L25" s="240"/>
      <c r="M25" s="290"/>
      <c r="N25" s="290"/>
      <c r="O25" s="240"/>
      <c r="P25" s="290"/>
      <c r="Q25" s="290"/>
      <c r="R25" s="227"/>
      <c r="S25" s="208"/>
      <c r="T25" s="290"/>
      <c r="U25" s="227"/>
      <c r="V25" s="208"/>
      <c r="W25" s="290"/>
    </row>
    <row r="26" spans="2:23" ht="14.45" customHeight="1">
      <c r="B26" s="97"/>
      <c r="C26" s="97"/>
      <c r="D26" s="344">
        <f t="shared" si="2"/>
        <v>46287</v>
      </c>
      <c r="E26" s="344" t="s">
        <v>439</v>
      </c>
      <c r="F26" s="223"/>
      <c r="G26" s="92" t="e">
        <f>AVERAGE(F26:F32)</f>
        <v>#DIV/0!</v>
      </c>
      <c r="H26" s="92"/>
      <c r="I26" s="89">
        <f t="shared" si="1"/>
        <v>0</v>
      </c>
      <c r="J26" s="208">
        <f>AVERAGE(I26:I32)</f>
        <v>0</v>
      </c>
      <c r="K26" s="208"/>
      <c r="L26" s="240"/>
      <c r="M26" s="290" t="e">
        <f>AVERAGE(L26:L32)</f>
        <v>#DIV/0!</v>
      </c>
      <c r="N26" s="290"/>
      <c r="O26" s="240"/>
      <c r="P26" s="290" t="e">
        <f>AVERAGE(O26:O32)</f>
        <v>#DIV/0!</v>
      </c>
      <c r="Q26" s="290"/>
      <c r="R26" s="227"/>
      <c r="S26" s="208" t="e">
        <f>AVERAGE(R26:R32)</f>
        <v>#DIV/0!</v>
      </c>
      <c r="T26" s="290"/>
      <c r="U26" s="227"/>
      <c r="V26" s="208" t="e">
        <f>AVERAGE(U26:U32)</f>
        <v>#DIV/0!</v>
      </c>
      <c r="W26" s="290"/>
    </row>
    <row r="27" spans="2:23" ht="14.45" customHeight="1">
      <c r="B27" s="97"/>
      <c r="C27" s="97"/>
      <c r="D27" s="344">
        <f t="shared" si="2"/>
        <v>46288</v>
      </c>
      <c r="E27" s="344" t="s">
        <v>440</v>
      </c>
      <c r="F27" s="223"/>
      <c r="G27" s="92"/>
      <c r="H27" s="92"/>
      <c r="I27" s="89">
        <f t="shared" si="1"/>
        <v>0</v>
      </c>
      <c r="J27" s="208"/>
      <c r="K27" s="208"/>
      <c r="L27" s="240"/>
      <c r="M27" s="290"/>
      <c r="N27" s="290"/>
      <c r="O27" s="240"/>
      <c r="P27" s="290"/>
      <c r="Q27" s="290"/>
      <c r="R27" s="227"/>
      <c r="S27" s="208"/>
      <c r="T27" s="290"/>
      <c r="U27" s="227"/>
      <c r="V27" s="208"/>
      <c r="W27" s="290"/>
    </row>
    <row r="28" spans="2:23" ht="14.45" customHeight="1">
      <c r="B28" s="97"/>
      <c r="C28" s="97"/>
      <c r="D28" s="344">
        <f t="shared" si="2"/>
        <v>46289</v>
      </c>
      <c r="E28" s="344" t="s">
        <v>441</v>
      </c>
      <c r="F28" s="223"/>
      <c r="G28" s="92"/>
      <c r="H28" s="92"/>
      <c r="I28" s="89">
        <f t="shared" si="1"/>
        <v>0</v>
      </c>
      <c r="J28" s="208"/>
      <c r="K28" s="208"/>
      <c r="L28" s="240"/>
      <c r="M28" s="290"/>
      <c r="N28" s="290"/>
      <c r="O28" s="240"/>
      <c r="P28" s="290"/>
      <c r="Q28" s="290"/>
      <c r="R28" s="227"/>
      <c r="S28" s="208"/>
      <c r="T28" s="290"/>
      <c r="U28" s="227"/>
      <c r="V28" s="208"/>
      <c r="W28" s="290"/>
    </row>
    <row r="29" spans="2:23" ht="14.45" customHeight="1">
      <c r="B29" s="97"/>
      <c r="C29" s="97"/>
      <c r="D29" s="344">
        <f t="shared" si="2"/>
        <v>46290</v>
      </c>
      <c r="E29" s="344" t="s">
        <v>442</v>
      </c>
      <c r="F29" s="223"/>
      <c r="G29" s="92"/>
      <c r="H29" s="92"/>
      <c r="I29" s="89">
        <f t="shared" si="1"/>
        <v>0</v>
      </c>
      <c r="J29" s="208"/>
      <c r="K29" s="208"/>
      <c r="L29" s="240"/>
      <c r="M29" s="290"/>
      <c r="N29" s="290"/>
      <c r="O29" s="240"/>
      <c r="P29" s="290"/>
      <c r="Q29" s="290"/>
      <c r="R29" s="227"/>
      <c r="S29" s="208"/>
      <c r="T29" s="290"/>
      <c r="U29" s="227"/>
      <c r="V29" s="208"/>
      <c r="W29" s="290"/>
    </row>
    <row r="30" spans="2:23" ht="14.45" customHeight="1">
      <c r="B30" s="97"/>
      <c r="C30" s="97"/>
      <c r="D30" s="344">
        <f t="shared" si="2"/>
        <v>46291</v>
      </c>
      <c r="E30" s="344" t="s">
        <v>443</v>
      </c>
      <c r="F30" s="223"/>
      <c r="G30" s="92"/>
      <c r="H30" s="92"/>
      <c r="I30" s="89">
        <f t="shared" si="1"/>
        <v>0</v>
      </c>
      <c r="J30" s="208"/>
      <c r="K30" s="208"/>
      <c r="L30" s="240"/>
      <c r="M30" s="290"/>
      <c r="N30" s="290"/>
      <c r="O30" s="240"/>
      <c r="P30" s="290"/>
      <c r="Q30" s="290"/>
      <c r="R30" s="227"/>
      <c r="S30" s="208"/>
      <c r="T30" s="290"/>
      <c r="U30" s="227"/>
      <c r="V30" s="208"/>
      <c r="W30" s="290"/>
    </row>
    <row r="31" spans="2:23" ht="14.45" customHeight="1">
      <c r="B31" s="97"/>
      <c r="C31" s="97"/>
      <c r="D31" s="344">
        <f t="shared" si="2"/>
        <v>46292</v>
      </c>
      <c r="E31" s="344" t="s">
        <v>444</v>
      </c>
      <c r="F31" s="223"/>
      <c r="G31" s="92"/>
      <c r="H31" s="92"/>
      <c r="I31" s="89">
        <f t="shared" si="1"/>
        <v>0</v>
      </c>
      <c r="J31" s="208"/>
      <c r="K31" s="208"/>
      <c r="L31" s="240"/>
      <c r="M31" s="290"/>
      <c r="N31" s="290"/>
      <c r="O31" s="240"/>
      <c r="P31" s="290"/>
      <c r="Q31" s="290"/>
      <c r="R31" s="227"/>
      <c r="S31" s="208"/>
      <c r="T31" s="290"/>
      <c r="U31" s="227"/>
      <c r="V31" s="208"/>
      <c r="W31" s="290"/>
    </row>
    <row r="32" spans="2:23" ht="14.45" customHeight="1">
      <c r="B32" s="97"/>
      <c r="C32" s="97"/>
      <c r="D32" s="344">
        <f t="shared" si="2"/>
        <v>46293</v>
      </c>
      <c r="E32" s="344" t="s">
        <v>438</v>
      </c>
      <c r="F32" s="223"/>
      <c r="G32" s="92"/>
      <c r="H32" s="92"/>
      <c r="I32" s="89">
        <f t="shared" si="1"/>
        <v>0</v>
      </c>
      <c r="J32" s="208"/>
      <c r="K32" s="208"/>
      <c r="L32" s="240"/>
      <c r="M32" s="290"/>
      <c r="N32" s="290"/>
      <c r="O32" s="240"/>
      <c r="P32" s="290"/>
      <c r="Q32" s="290"/>
      <c r="R32" s="227"/>
      <c r="S32" s="208"/>
      <c r="T32" s="290"/>
      <c r="U32" s="227"/>
      <c r="V32" s="208"/>
      <c r="W32" s="290"/>
    </row>
    <row r="33" spans="2:23" s="424" customFormat="1" ht="14.45" customHeight="1">
      <c r="B33" s="421"/>
      <c r="C33" s="421"/>
      <c r="D33" s="291">
        <f t="shared" si="2"/>
        <v>46294</v>
      </c>
      <c r="E33" s="291" t="s">
        <v>439</v>
      </c>
      <c r="F33" s="413"/>
      <c r="G33" s="414" t="e">
        <f>AVERAGE(F33:F39)</f>
        <v>#DIV/0!</v>
      </c>
      <c r="H33" s="414"/>
      <c r="I33" s="410">
        <f t="shared" si="1"/>
        <v>0</v>
      </c>
      <c r="J33" s="415">
        <f>AVERAGE(I33:I39)</f>
        <v>0</v>
      </c>
      <c r="K33" s="415"/>
      <c r="L33" s="416"/>
      <c r="M33" s="417" t="e">
        <f>AVERAGE(L33:L39)</f>
        <v>#DIV/0!</v>
      </c>
      <c r="N33" s="417"/>
      <c r="O33" s="416"/>
      <c r="P33" s="417" t="e">
        <f>AVERAGE(O33:O39)</f>
        <v>#DIV/0!</v>
      </c>
      <c r="Q33" s="417"/>
      <c r="R33" s="227"/>
      <c r="S33" s="208" t="e">
        <f>AVERAGE(R33:R39)</f>
        <v>#DIV/0!</v>
      </c>
      <c r="T33" s="417"/>
      <c r="U33" s="418"/>
      <c r="V33" s="415" t="e">
        <f>AVERAGE(U33:U39)</f>
        <v>#DIV/0!</v>
      </c>
      <c r="W33" s="423"/>
    </row>
    <row r="34" spans="2:23" s="424" customFormat="1" ht="14.45" customHeight="1">
      <c r="B34" s="421"/>
      <c r="C34" s="421"/>
      <c r="D34" s="291">
        <f t="shared" si="2"/>
        <v>46295</v>
      </c>
      <c r="E34" s="291" t="s">
        <v>440</v>
      </c>
      <c r="F34" s="413"/>
      <c r="G34" s="414"/>
      <c r="H34" s="414"/>
      <c r="I34" s="410">
        <f t="shared" si="1"/>
        <v>0</v>
      </c>
      <c r="J34" s="415"/>
      <c r="K34" s="415"/>
      <c r="L34" s="416"/>
      <c r="M34" s="417"/>
      <c r="N34" s="417"/>
      <c r="O34" s="416"/>
      <c r="P34" s="417"/>
      <c r="Q34" s="417"/>
      <c r="R34" s="227"/>
      <c r="S34" s="415"/>
      <c r="T34" s="417"/>
      <c r="U34" s="418"/>
      <c r="V34" s="415"/>
      <c r="W34" s="423"/>
    </row>
    <row r="35" spans="2:23" s="424" customFormat="1">
      <c r="B35" s="421"/>
      <c r="C35" s="403"/>
      <c r="D35" s="291">
        <f>D34+1</f>
        <v>46296</v>
      </c>
      <c r="E35" s="291" t="s">
        <v>441</v>
      </c>
      <c r="F35" s="413"/>
      <c r="G35" s="414"/>
      <c r="H35" s="419"/>
      <c r="I35" s="410">
        <f t="shared" si="1"/>
        <v>0</v>
      </c>
      <c r="J35" s="415"/>
      <c r="K35" s="420"/>
      <c r="L35" s="416"/>
      <c r="M35" s="417"/>
      <c r="N35" s="420"/>
      <c r="O35" s="416"/>
      <c r="P35" s="417"/>
      <c r="Q35" s="420"/>
      <c r="R35" s="227"/>
      <c r="S35" s="415"/>
      <c r="T35" s="420"/>
      <c r="U35" s="418"/>
      <c r="V35" s="415"/>
    </row>
    <row r="36" spans="2:23" s="424" customFormat="1">
      <c r="B36" s="421"/>
      <c r="C36" s="421"/>
      <c r="D36" s="291">
        <f t="shared" ref="D36:D39" si="3">D35+1</f>
        <v>46297</v>
      </c>
      <c r="E36" s="291" t="s">
        <v>442</v>
      </c>
      <c r="F36" s="413"/>
      <c r="G36" s="414"/>
      <c r="H36" s="414"/>
      <c r="I36" s="410">
        <f t="shared" si="1"/>
        <v>0</v>
      </c>
      <c r="J36" s="415"/>
      <c r="K36" s="415"/>
      <c r="L36" s="416"/>
      <c r="M36" s="415"/>
      <c r="N36" s="417"/>
      <c r="O36" s="416"/>
      <c r="P36" s="415"/>
      <c r="Q36" s="417"/>
      <c r="R36" s="227"/>
      <c r="S36" s="415"/>
      <c r="T36" s="415"/>
      <c r="U36" s="418"/>
      <c r="V36" s="415"/>
      <c r="W36" s="422"/>
    </row>
    <row r="37" spans="2:23" s="424" customFormat="1">
      <c r="B37" s="421"/>
      <c r="C37" s="403"/>
      <c r="D37" s="291">
        <f t="shared" si="3"/>
        <v>46298</v>
      </c>
      <c r="E37" s="291" t="s">
        <v>443</v>
      </c>
      <c r="F37" s="413"/>
      <c r="G37" s="414"/>
      <c r="H37" s="414"/>
      <c r="I37" s="410">
        <f t="shared" si="1"/>
        <v>0</v>
      </c>
      <c r="J37" s="415"/>
      <c r="K37" s="412"/>
      <c r="L37" s="416"/>
      <c r="M37" s="415"/>
      <c r="N37" s="410"/>
      <c r="O37" s="416"/>
      <c r="P37" s="415"/>
      <c r="Q37" s="410"/>
      <c r="R37" s="227"/>
      <c r="S37" s="415"/>
      <c r="T37" s="415"/>
      <c r="U37" s="418"/>
      <c r="V37" s="415"/>
      <c r="W37" s="422"/>
    </row>
    <row r="38" spans="2:23" s="424" customFormat="1">
      <c r="B38" s="421"/>
      <c r="C38" s="403"/>
      <c r="D38" s="291">
        <f t="shared" si="3"/>
        <v>46299</v>
      </c>
      <c r="E38" s="291" t="s">
        <v>444</v>
      </c>
      <c r="F38" s="413"/>
      <c r="G38" s="414"/>
      <c r="H38" s="414"/>
      <c r="I38" s="410">
        <f t="shared" si="1"/>
        <v>0</v>
      </c>
      <c r="J38" s="415"/>
      <c r="K38" s="412"/>
      <c r="L38" s="416"/>
      <c r="M38" s="415"/>
      <c r="N38" s="410"/>
      <c r="O38" s="416"/>
      <c r="P38" s="415"/>
      <c r="Q38" s="410"/>
      <c r="R38" s="227"/>
      <c r="S38" s="415"/>
      <c r="T38" s="415"/>
      <c r="U38" s="418"/>
      <c r="V38" s="415"/>
      <c r="W38" s="422"/>
    </row>
    <row r="39" spans="2:23" s="424" customFormat="1">
      <c r="B39" s="421"/>
      <c r="C39" s="403"/>
      <c r="D39" s="291">
        <f t="shared" si="3"/>
        <v>46300</v>
      </c>
      <c r="E39" s="291" t="s">
        <v>438</v>
      </c>
      <c r="F39" s="413"/>
      <c r="G39" s="414"/>
      <c r="H39" s="414"/>
      <c r="I39" s="410">
        <f t="shared" si="1"/>
        <v>0</v>
      </c>
      <c r="J39" s="415"/>
      <c r="K39" s="412"/>
      <c r="L39" s="416"/>
      <c r="M39" s="415"/>
      <c r="N39" s="410"/>
      <c r="O39" s="416"/>
      <c r="P39" s="415"/>
      <c r="Q39" s="410"/>
      <c r="R39" s="227"/>
      <c r="S39" s="415"/>
      <c r="T39" s="415"/>
      <c r="U39" s="418"/>
      <c r="V39" s="415"/>
      <c r="W39" s="422"/>
    </row>
    <row r="40" spans="2:23">
      <c r="B40" s="97"/>
      <c r="D40" s="344"/>
      <c r="E40" s="344"/>
      <c r="F40" s="223"/>
      <c r="G40" s="414" t="e">
        <f>AVERAGE(F40:F46)</f>
        <v>#DIV/0!</v>
      </c>
      <c r="H40" s="92"/>
      <c r="I40" s="89">
        <f t="shared" si="1"/>
        <v>0</v>
      </c>
      <c r="J40" s="415">
        <f>AVERAGE(I40:I46)</f>
        <v>0</v>
      </c>
      <c r="K40" s="86"/>
      <c r="L40" s="240"/>
      <c r="M40" s="417" t="e">
        <f>AVERAGE(L40:L46)</f>
        <v>#DIV/0!</v>
      </c>
      <c r="N40" s="89"/>
      <c r="O40" s="240"/>
      <c r="P40" s="417" t="e">
        <f>AVERAGE(O40:O46)</f>
        <v>#DIV/0!</v>
      </c>
      <c r="Q40" s="89"/>
      <c r="R40" s="227"/>
      <c r="S40" s="208" t="e">
        <f>AVERAGE(R40:R46)</f>
        <v>#DIV/0!</v>
      </c>
      <c r="T40" s="208"/>
      <c r="U40" s="227"/>
      <c r="V40" s="415" t="e">
        <f>AVERAGE(U40:U46)</f>
        <v>#DIV/0!</v>
      </c>
      <c r="W40" s="208"/>
    </row>
    <row r="41" spans="2:23">
      <c r="B41" s="97"/>
      <c r="D41" s="344"/>
      <c r="E41" s="344"/>
      <c r="F41" s="223"/>
      <c r="G41" s="92"/>
      <c r="H41" s="92"/>
      <c r="I41" s="89">
        <f t="shared" ref="I41:I45" si="4">F41/$C$1</f>
        <v>0</v>
      </c>
      <c r="J41" s="208"/>
      <c r="K41" s="86"/>
      <c r="L41" s="240"/>
      <c r="M41" s="208"/>
      <c r="N41" s="89"/>
      <c r="O41" s="240"/>
      <c r="P41" s="208"/>
      <c r="Q41" s="89"/>
      <c r="R41" s="227"/>
      <c r="S41" s="208"/>
      <c r="T41" s="208"/>
      <c r="U41" s="227"/>
      <c r="V41" s="208"/>
      <c r="W41" s="208"/>
    </row>
    <row r="42" spans="2:23">
      <c r="B42" s="97"/>
      <c r="D42" s="344"/>
      <c r="E42" s="344"/>
      <c r="F42" s="223"/>
      <c r="G42" s="92"/>
      <c r="H42" s="92"/>
      <c r="I42" s="89">
        <f t="shared" si="4"/>
        <v>0</v>
      </c>
      <c r="J42" s="208"/>
      <c r="K42" s="86"/>
      <c r="L42" s="240"/>
      <c r="M42" s="208"/>
      <c r="N42" s="89"/>
      <c r="O42" s="240"/>
      <c r="P42" s="208"/>
      <c r="Q42" s="89"/>
      <c r="R42" s="227"/>
      <c r="S42" s="208"/>
      <c r="T42" s="208"/>
      <c r="U42" s="227"/>
      <c r="V42" s="208"/>
      <c r="W42" s="208"/>
    </row>
    <row r="43" spans="2:23">
      <c r="B43" s="97"/>
      <c r="D43" s="344"/>
      <c r="E43" s="344"/>
      <c r="F43" s="223"/>
      <c r="G43" s="92"/>
      <c r="H43" s="92"/>
      <c r="I43" s="89">
        <f t="shared" si="4"/>
        <v>0</v>
      </c>
      <c r="J43" s="208"/>
      <c r="K43" s="86"/>
      <c r="L43" s="240"/>
      <c r="M43" s="208"/>
      <c r="N43" s="89"/>
      <c r="O43" s="240"/>
      <c r="P43" s="208"/>
      <c r="Q43" s="89"/>
      <c r="R43" s="227"/>
      <c r="S43" s="208"/>
      <c r="T43" s="208"/>
      <c r="U43" s="227"/>
      <c r="V43" s="208"/>
      <c r="W43" s="208"/>
    </row>
    <row r="44" spans="2:23">
      <c r="B44" s="97"/>
      <c r="D44" s="344"/>
      <c r="E44" s="344"/>
      <c r="F44" s="223"/>
      <c r="G44" s="92"/>
      <c r="H44" s="92"/>
      <c r="I44" s="89">
        <f t="shared" si="4"/>
        <v>0</v>
      </c>
      <c r="J44" s="208"/>
      <c r="K44" s="86"/>
      <c r="L44" s="240"/>
      <c r="M44" s="208"/>
      <c r="N44" s="89"/>
      <c r="O44" s="240"/>
      <c r="P44" s="208"/>
      <c r="Q44" s="89"/>
      <c r="R44" s="227"/>
      <c r="S44" s="208"/>
      <c r="T44" s="208"/>
      <c r="U44" s="227"/>
      <c r="V44" s="208"/>
      <c r="W44" s="208"/>
    </row>
    <row r="45" spans="2:23">
      <c r="B45" s="97"/>
      <c r="D45" s="344"/>
      <c r="E45" s="344"/>
      <c r="F45" s="223"/>
      <c r="G45" s="92"/>
      <c r="H45" s="92"/>
      <c r="I45" s="89">
        <f t="shared" si="4"/>
        <v>0</v>
      </c>
      <c r="J45" s="208"/>
      <c r="K45" s="86"/>
      <c r="L45" s="240"/>
      <c r="M45" s="208"/>
      <c r="N45" s="89"/>
      <c r="O45" s="240"/>
      <c r="P45" s="208"/>
      <c r="Q45" s="89"/>
      <c r="R45" s="227"/>
      <c r="S45" s="208"/>
      <c r="T45" s="208"/>
      <c r="U45" s="227"/>
      <c r="V45" s="208"/>
      <c r="W45" s="208"/>
    </row>
    <row r="46" spans="2:23">
      <c r="B46" s="97"/>
      <c r="D46" s="344"/>
      <c r="E46" s="344"/>
      <c r="F46" s="223"/>
      <c r="G46" s="92"/>
      <c r="H46" s="92"/>
      <c r="I46" s="89">
        <f t="shared" ref="I46" si="5">F46/$C$1</f>
        <v>0</v>
      </c>
      <c r="J46" s="208"/>
      <c r="K46" s="86"/>
      <c r="L46" s="240"/>
      <c r="M46" s="208"/>
      <c r="N46" s="89"/>
      <c r="O46" s="240"/>
      <c r="P46" s="208"/>
      <c r="Q46" s="89"/>
      <c r="R46" s="227"/>
      <c r="S46" s="208"/>
      <c r="T46" s="208"/>
      <c r="U46" s="227"/>
      <c r="V46" s="208"/>
      <c r="W46" s="208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7" sqref="AK7:AK20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300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36" t="s">
        <v>332</v>
      </c>
      <c r="G3" s="636"/>
      <c r="H3" s="636"/>
      <c r="I3" s="637" t="s">
        <v>111</v>
      </c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37"/>
      <c r="AI3" s="637"/>
      <c r="AJ3" s="637"/>
      <c r="AK3" s="637"/>
      <c r="AL3" s="637"/>
    </row>
    <row r="4" spans="1:38" ht="25.35" customHeight="1">
      <c r="B4" s="97"/>
      <c r="C4" s="634"/>
      <c r="D4" s="635"/>
      <c r="E4" s="635"/>
      <c r="F4" s="636"/>
      <c r="G4" s="636"/>
      <c r="H4" s="636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324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35" customHeight="1">
      <c r="B5" s="97"/>
      <c r="C5" s="634"/>
      <c r="D5" s="635"/>
      <c r="E5" s="635"/>
      <c r="F5" s="630" t="s">
        <v>115</v>
      </c>
      <c r="G5" s="630" t="s">
        <v>117</v>
      </c>
      <c r="H5" s="630" t="s">
        <v>118</v>
      </c>
      <c r="I5" s="631" t="s">
        <v>129</v>
      </c>
      <c r="J5" s="631"/>
      <c r="K5" s="631" t="s">
        <v>130</v>
      </c>
      <c r="L5" s="631"/>
      <c r="M5" s="632" t="s">
        <v>146</v>
      </c>
      <c r="N5" s="631"/>
      <c r="O5" s="631" t="s">
        <v>129</v>
      </c>
      <c r="P5" s="631"/>
      <c r="Q5" s="631" t="s">
        <v>130</v>
      </c>
      <c r="R5" s="631"/>
      <c r="S5" s="632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2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45" customHeight="1">
      <c r="B6" s="97"/>
      <c r="C6" s="634"/>
      <c r="D6" s="635"/>
      <c r="E6" s="635"/>
      <c r="F6" s="630"/>
      <c r="G6" s="630"/>
      <c r="H6" s="630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222">
        <f t="shared" ref="F7" si="0">SUM(M7,S7,U7,W7,AC7,AE7,AG7,AI7,AK7)</f>
        <v>9468849.9999999981</v>
      </c>
      <c r="G7" s="289"/>
      <c r="I7" s="428">
        <v>1165629.2998291561</v>
      </c>
      <c r="J7" s="327">
        <f t="shared" ref="J7:J13" si="1">I7/F7</f>
        <v>0.12310146425692205</v>
      </c>
      <c r="K7" s="428">
        <v>1325060.6791588017</v>
      </c>
      <c r="L7" s="327">
        <f t="shared" ref="L7:L13" si="2">K7/F7</f>
        <v>0.13993892385651921</v>
      </c>
      <c r="M7" s="429">
        <f t="shared" ref="M7:M13" si="3">SUM(I7+K7)</f>
        <v>2490689.9789879578</v>
      </c>
      <c r="N7" s="327">
        <f t="shared" ref="N7:N13" si="4">M7/F7</f>
        <v>0.26304038811344127</v>
      </c>
      <c r="O7" s="428">
        <v>227201.24852444147</v>
      </c>
      <c r="P7" s="327">
        <f t="shared" ref="P7:P13" si="5">O7/F7</f>
        <v>2.399459792101908E-2</v>
      </c>
      <c r="Q7" s="428"/>
      <c r="R7" s="327">
        <f t="shared" ref="R7:R13" si="6">Q7/$F7</f>
        <v>0</v>
      </c>
      <c r="S7" s="429">
        <f t="shared" ref="S7:S13" si="7">SUM(O7+Q7)</f>
        <v>227201.24852444147</v>
      </c>
      <c r="T7" s="327">
        <f t="shared" ref="T7:T13" si="8">S7/F7</f>
        <v>2.399459792101908E-2</v>
      </c>
      <c r="U7" s="428">
        <v>1023610.2812844648</v>
      </c>
      <c r="V7" s="327">
        <f t="shared" ref="V7:V13" si="9">U7/F7</f>
        <v>0.10810291442830597</v>
      </c>
      <c r="W7" s="428"/>
      <c r="X7" s="327">
        <f t="shared" ref="X7:X13" si="10">W7/F7</f>
        <v>0</v>
      </c>
      <c r="Y7" s="428">
        <v>748663.57297781843</v>
      </c>
      <c r="Z7" s="327">
        <f t="shared" ref="Z7:Z13" si="11">Y7/F7</f>
        <v>7.906594496457528E-2</v>
      </c>
      <c r="AA7" s="428">
        <v>1220945.8781499257</v>
      </c>
      <c r="AB7" s="327">
        <f t="shared" ref="AB7:AB13" si="12">AA7/$F7</f>
        <v>0.12894341743188728</v>
      </c>
      <c r="AC7" s="429">
        <f t="shared" ref="AC7:AC13" si="13">SUM(Y7+AA7)</f>
        <v>1969609.4511277443</v>
      </c>
      <c r="AD7" s="327">
        <f t="shared" ref="AD7:AD13" si="14">AC7/F7</f>
        <v>0.20800936239646259</v>
      </c>
      <c r="AE7" s="428">
        <v>1296214.2190377875</v>
      </c>
      <c r="AF7" s="327">
        <f t="shared" ref="AF7:AF13" si="15">AE7/F7</f>
        <v>0.13689246519247719</v>
      </c>
      <c r="AG7" s="428">
        <v>1002597.5282671306</v>
      </c>
      <c r="AH7" s="327">
        <f t="shared" ref="AH7:AH13" si="16">AG7/F7</f>
        <v>0.10588376922932888</v>
      </c>
      <c r="AI7" s="428">
        <v>728386.81095541909</v>
      </c>
      <c r="AJ7" s="327">
        <f t="shared" ref="AJ7:AJ13" si="17">AI7/F7</f>
        <v>7.6924527366619935E-2</v>
      </c>
      <c r="AK7" s="428">
        <v>730540.48181505373</v>
      </c>
      <c r="AL7" s="100">
        <f>AK7/F7</f>
        <v>7.7151975352345206E-2</v>
      </c>
    </row>
    <row r="8" spans="1:38" ht="14.25">
      <c r="B8" s="97"/>
      <c r="C8" s="329"/>
      <c r="D8" s="291">
        <f t="shared" ref="D8" si="18">D7+1</f>
        <v>46267</v>
      </c>
      <c r="E8" s="291" t="s">
        <v>440</v>
      </c>
      <c r="F8" s="222">
        <f>SUM(M8,S8,U8,W8,AC8,AE8,AG8,AI8,AK8)</f>
        <v>9882798.0000000019</v>
      </c>
      <c r="G8" s="289">
        <f>SUM(F7:F13)</f>
        <v>62106324</v>
      </c>
      <c r="H8" s="308"/>
      <c r="I8" s="428">
        <v>1145950.5162904225</v>
      </c>
      <c r="J8" s="327">
        <f t="shared" si="1"/>
        <v>0.11595405636039736</v>
      </c>
      <c r="K8" s="428">
        <v>1426001.5655638394</v>
      </c>
      <c r="L8" s="327">
        <f t="shared" si="2"/>
        <v>0.14429127920694515</v>
      </c>
      <c r="M8" s="429">
        <f t="shared" si="3"/>
        <v>2571952.0818542619</v>
      </c>
      <c r="N8" s="327">
        <f t="shared" si="4"/>
        <v>0.26024533556734253</v>
      </c>
      <c r="O8" s="428">
        <v>254127.9723878068</v>
      </c>
      <c r="P8" s="327">
        <f t="shared" si="5"/>
        <v>2.5714172483117307E-2</v>
      </c>
      <c r="Q8" s="428"/>
      <c r="R8" s="327">
        <f t="shared" si="6"/>
        <v>0</v>
      </c>
      <c r="S8" s="429">
        <f t="shared" si="7"/>
        <v>254127.9723878068</v>
      </c>
      <c r="T8" s="327">
        <f t="shared" si="8"/>
        <v>2.5714172483117307E-2</v>
      </c>
      <c r="U8" s="428">
        <v>1056250.7535532576</v>
      </c>
      <c r="V8" s="327">
        <f t="shared" si="9"/>
        <v>0.10687770341488892</v>
      </c>
      <c r="W8" s="428"/>
      <c r="X8" s="327">
        <f t="shared" si="10"/>
        <v>0</v>
      </c>
      <c r="Y8" s="428">
        <v>825260.07699922402</v>
      </c>
      <c r="Z8" s="327">
        <f t="shared" si="11"/>
        <v>8.3504699478753275E-2</v>
      </c>
      <c r="AA8" s="428">
        <v>1323594.9725341056</v>
      </c>
      <c r="AB8" s="327">
        <f t="shared" si="12"/>
        <v>0.13392917395803347</v>
      </c>
      <c r="AC8" s="429">
        <f t="shared" si="13"/>
        <v>2148855.0495333299</v>
      </c>
      <c r="AD8" s="327">
        <f t="shared" si="14"/>
        <v>0.21743387343678677</v>
      </c>
      <c r="AE8" s="428">
        <v>1394493.4345636619</v>
      </c>
      <c r="AF8" s="327">
        <f t="shared" si="15"/>
        <v>0.14110310000909274</v>
      </c>
      <c r="AG8" s="428">
        <v>950593.87715227134</v>
      </c>
      <c r="AH8" s="327">
        <f t="shared" si="16"/>
        <v>9.6186715255363014E-2</v>
      </c>
      <c r="AI8" s="428">
        <v>762343.1564393054</v>
      </c>
      <c r="AJ8" s="327">
        <f t="shared" si="17"/>
        <v>7.713839303801466E-2</v>
      </c>
      <c r="AK8" s="428">
        <v>744181.67451610626</v>
      </c>
      <c r="AL8" s="100">
        <f>AK8/F8</f>
        <v>7.5300706795393982E-2</v>
      </c>
    </row>
    <row r="9" spans="1:38" ht="14.25">
      <c r="B9" s="97"/>
      <c r="C9" s="97"/>
      <c r="D9" s="291">
        <f>D8+1</f>
        <v>46268</v>
      </c>
      <c r="E9" s="291" t="s">
        <v>441</v>
      </c>
      <c r="F9" s="222">
        <f t="shared" ref="F9:F49" si="19">SUM(M9,S9,U9,W9,AC9,AE9,AG9,AI9,AK9)</f>
        <v>9127133</v>
      </c>
      <c r="G9" s="86"/>
      <c r="H9" s="86"/>
      <c r="I9" s="228">
        <v>1059798.8781120423</v>
      </c>
      <c r="J9" s="100">
        <f t="shared" si="1"/>
        <v>0.11611520048103192</v>
      </c>
      <c r="K9" s="228">
        <v>1300177.5161449064</v>
      </c>
      <c r="L9" s="100">
        <f t="shared" si="2"/>
        <v>0.14245190862726623</v>
      </c>
      <c r="M9" s="221">
        <f t="shared" si="3"/>
        <v>2359976.3942569485</v>
      </c>
      <c r="N9" s="100">
        <f t="shared" si="4"/>
        <v>0.25856710910829811</v>
      </c>
      <c r="O9" s="228">
        <v>250038.50943343228</v>
      </c>
      <c r="P9" s="100">
        <f t="shared" si="5"/>
        <v>2.7395076792836509E-2</v>
      </c>
      <c r="Q9" s="228"/>
      <c r="R9" s="100">
        <f t="shared" si="6"/>
        <v>0</v>
      </c>
      <c r="S9" s="221">
        <f t="shared" si="7"/>
        <v>250038.50943343228</v>
      </c>
      <c r="T9" s="100">
        <f t="shared" si="8"/>
        <v>2.7395076792836509E-2</v>
      </c>
      <c r="U9" s="228">
        <v>968905.38425371645</v>
      </c>
      <c r="V9" s="100">
        <f t="shared" si="9"/>
        <v>0.10615659750479328</v>
      </c>
      <c r="W9" s="228"/>
      <c r="X9" s="100">
        <f t="shared" si="10"/>
        <v>0</v>
      </c>
      <c r="Y9" s="228">
        <v>769060.23118062248</v>
      </c>
      <c r="Z9" s="100">
        <f t="shared" si="11"/>
        <v>8.426087701150213E-2</v>
      </c>
      <c r="AA9" s="228">
        <v>1043311.1931416265</v>
      </c>
      <c r="AB9" s="100">
        <f t="shared" si="12"/>
        <v>0.11430875315848105</v>
      </c>
      <c r="AC9" s="221">
        <f t="shared" si="13"/>
        <v>1812371.4243222489</v>
      </c>
      <c r="AD9" s="100">
        <f t="shared" si="14"/>
        <v>0.19856963016998316</v>
      </c>
      <c r="AE9" s="228">
        <v>1368665.9692649243</v>
      </c>
      <c r="AF9" s="100">
        <f t="shared" si="15"/>
        <v>0.14995573848490257</v>
      </c>
      <c r="AG9" s="228">
        <v>893142.31386571191</v>
      </c>
      <c r="AH9" s="100">
        <f t="shared" si="16"/>
        <v>9.7855735625383342E-2</v>
      </c>
      <c r="AI9" s="228">
        <v>749646.7737185827</v>
      </c>
      <c r="AJ9" s="100">
        <f t="shared" si="17"/>
        <v>8.2133872018582688E-2</v>
      </c>
      <c r="AK9" s="228">
        <v>724386.23088443419</v>
      </c>
      <c r="AL9" s="100">
        <f>AK9/F9</f>
        <v>7.9366240295220214E-2</v>
      </c>
    </row>
    <row r="10" spans="1:38" ht="14.25">
      <c r="B10" s="97"/>
      <c r="C10" s="97"/>
      <c r="D10" s="291">
        <f t="shared" ref="D10:D36" si="20">D9+1</f>
        <v>46269</v>
      </c>
      <c r="E10" s="291" t="s">
        <v>442</v>
      </c>
      <c r="F10" s="222">
        <f t="shared" si="19"/>
        <v>8353572</v>
      </c>
      <c r="G10" s="289"/>
      <c r="H10" s="308"/>
      <c r="I10" s="228">
        <v>1046963.0601488923</v>
      </c>
      <c r="J10" s="100">
        <f t="shared" si="1"/>
        <v>0.12533118289384379</v>
      </c>
      <c r="K10" s="228">
        <v>1239471.2061164831</v>
      </c>
      <c r="L10" s="100">
        <f t="shared" si="2"/>
        <v>0.14837619237812077</v>
      </c>
      <c r="M10" s="221">
        <f t="shared" si="3"/>
        <v>2286434.2662653755</v>
      </c>
      <c r="N10" s="100">
        <f t="shared" si="4"/>
        <v>0.27370737527196454</v>
      </c>
      <c r="O10" s="228">
        <v>214916.13948594601</v>
      </c>
      <c r="P10" s="100">
        <f t="shared" si="5"/>
        <v>2.5727454014395999E-2</v>
      </c>
      <c r="Q10" s="228"/>
      <c r="R10" s="100">
        <f t="shared" si="6"/>
        <v>0</v>
      </c>
      <c r="S10" s="221">
        <f t="shared" si="7"/>
        <v>214916.13948594601</v>
      </c>
      <c r="T10" s="100">
        <f t="shared" si="8"/>
        <v>2.5727454014395999E-2</v>
      </c>
      <c r="U10" s="228">
        <v>913698.41659902839</v>
      </c>
      <c r="V10" s="100">
        <f t="shared" si="9"/>
        <v>0.10937816979359589</v>
      </c>
      <c r="W10" s="228"/>
      <c r="X10" s="100">
        <f t="shared" si="10"/>
        <v>0</v>
      </c>
      <c r="Y10" s="228">
        <v>668896.87159266137</v>
      </c>
      <c r="Z10" s="100">
        <f t="shared" si="11"/>
        <v>8.0073155722206191E-2</v>
      </c>
      <c r="AA10" s="228">
        <v>1127229.6026784296</v>
      </c>
      <c r="AB10" s="100">
        <f t="shared" si="12"/>
        <v>0.13493983204770721</v>
      </c>
      <c r="AC10" s="221">
        <f t="shared" si="13"/>
        <v>1796126.4742710909</v>
      </c>
      <c r="AD10" s="100">
        <f t="shared" si="14"/>
        <v>0.2150129877699134</v>
      </c>
      <c r="AE10" s="228">
        <v>1050109.615351649</v>
      </c>
      <c r="AF10" s="100">
        <f t="shared" si="15"/>
        <v>0.12570785471791576</v>
      </c>
      <c r="AG10" s="228">
        <v>729375.89188456652</v>
      </c>
      <c r="AH10" s="100">
        <f t="shared" si="16"/>
        <v>8.7313055048135871E-2</v>
      </c>
      <c r="AI10" s="228">
        <v>774089.45735022007</v>
      </c>
      <c r="AJ10" s="100">
        <f t="shared" si="17"/>
        <v>9.2665683296944121E-2</v>
      </c>
      <c r="AK10" s="228">
        <v>588821.73879212292</v>
      </c>
      <c r="AL10" s="100">
        <f t="shared" ref="AL10:AL13" si="21">AK10/F10</f>
        <v>7.0487420087134336E-2</v>
      </c>
    </row>
    <row r="11" spans="1:38" ht="14.25">
      <c r="B11" s="97"/>
      <c r="C11" s="97"/>
      <c r="D11" s="291">
        <f t="shared" si="20"/>
        <v>46270</v>
      </c>
      <c r="E11" s="291" t="s">
        <v>443</v>
      </c>
      <c r="F11" s="222">
        <f t="shared" si="19"/>
        <v>7218005.9999999981</v>
      </c>
      <c r="G11" s="289"/>
      <c r="H11" s="308"/>
      <c r="I11" s="428">
        <v>748815.42416219169</v>
      </c>
      <c r="J11" s="327">
        <f t="shared" si="1"/>
        <v>0.10374269904488745</v>
      </c>
      <c r="K11" s="428">
        <v>1082108.235054614</v>
      </c>
      <c r="L11" s="327">
        <f t="shared" si="2"/>
        <v>0.14991789076576195</v>
      </c>
      <c r="M11" s="429">
        <f t="shared" si="3"/>
        <v>1830923.6592168058</v>
      </c>
      <c r="N11" s="327">
        <f t="shared" si="4"/>
        <v>0.25366058981064943</v>
      </c>
      <c r="O11" s="428">
        <v>167278.69630874097</v>
      </c>
      <c r="P11" s="327">
        <f t="shared" si="5"/>
        <v>2.3175194965027877E-2</v>
      </c>
      <c r="Q11" s="428"/>
      <c r="R11" s="327">
        <f t="shared" si="6"/>
        <v>0</v>
      </c>
      <c r="S11" s="429">
        <f t="shared" si="7"/>
        <v>167278.69630874097</v>
      </c>
      <c r="T11" s="327">
        <f t="shared" si="8"/>
        <v>2.3175194965027877E-2</v>
      </c>
      <c r="U11" s="428">
        <v>829043.4122789104</v>
      </c>
      <c r="V11" s="327">
        <f t="shared" si="9"/>
        <v>0.1148576784611859</v>
      </c>
      <c r="W11" s="428"/>
      <c r="X11" s="327">
        <f t="shared" si="10"/>
        <v>0</v>
      </c>
      <c r="Y11" s="428">
        <v>576722.07124574389</v>
      </c>
      <c r="Z11" s="327">
        <f t="shared" si="11"/>
        <v>7.9900469914508804E-2</v>
      </c>
      <c r="AA11" s="428">
        <v>1031752.8619717949</v>
      </c>
      <c r="AB11" s="327">
        <f t="shared" si="12"/>
        <v>0.14294153565012208</v>
      </c>
      <c r="AC11" s="429">
        <f t="shared" si="13"/>
        <v>1608474.9332175388</v>
      </c>
      <c r="AD11" s="327">
        <f t="shared" si="14"/>
        <v>0.22284200556463088</v>
      </c>
      <c r="AE11" s="428">
        <v>934082.86043868295</v>
      </c>
      <c r="AF11" s="327">
        <f t="shared" si="15"/>
        <v>0.12941009753090857</v>
      </c>
      <c r="AG11" s="428">
        <v>662146.58076649555</v>
      </c>
      <c r="AH11" s="327">
        <f t="shared" si="16"/>
        <v>9.1735387968158486E-2</v>
      </c>
      <c r="AI11" s="428">
        <v>676099.03758998495</v>
      </c>
      <c r="AJ11" s="327">
        <f t="shared" si="17"/>
        <v>9.366839506506161E-2</v>
      </c>
      <c r="AK11" s="428">
        <v>509956.820182839</v>
      </c>
      <c r="AL11" s="100">
        <f t="shared" si="21"/>
        <v>7.0650650634377296E-2</v>
      </c>
    </row>
    <row r="12" spans="1:38" ht="14.25">
      <c r="B12" s="97"/>
      <c r="C12" s="97"/>
      <c r="D12" s="291">
        <f t="shared" si="20"/>
        <v>46271</v>
      </c>
      <c r="E12" s="291" t="s">
        <v>444</v>
      </c>
      <c r="F12" s="222">
        <f t="shared" si="19"/>
        <v>7784935.0000000019</v>
      </c>
      <c r="G12" s="86"/>
      <c r="H12" s="308">
        <f>SUM(F8:F38)</f>
        <v>114657473</v>
      </c>
      <c r="I12" s="428">
        <v>878182.34824885475</v>
      </c>
      <c r="J12" s="327">
        <f t="shared" si="1"/>
        <v>0.11280535396234581</v>
      </c>
      <c r="K12" s="428">
        <v>1066367.7462987581</v>
      </c>
      <c r="L12" s="327">
        <f t="shared" si="2"/>
        <v>0.13697837506655583</v>
      </c>
      <c r="M12" s="429">
        <f t="shared" si="3"/>
        <v>1944550.0945476128</v>
      </c>
      <c r="N12" s="327">
        <f t="shared" si="4"/>
        <v>0.24978372902890164</v>
      </c>
      <c r="O12" s="428">
        <v>184862.31825781064</v>
      </c>
      <c r="P12" s="327">
        <f t="shared" si="5"/>
        <v>2.3746160791042005E-2</v>
      </c>
      <c r="Q12" s="428"/>
      <c r="R12" s="327">
        <f t="shared" si="6"/>
        <v>0</v>
      </c>
      <c r="S12" s="429">
        <f t="shared" si="7"/>
        <v>184862.31825781064</v>
      </c>
      <c r="T12" s="327">
        <f t="shared" si="8"/>
        <v>2.3746160791042005E-2</v>
      </c>
      <c r="U12" s="428">
        <v>886804.51565952785</v>
      </c>
      <c r="V12" s="327">
        <f t="shared" si="9"/>
        <v>0.11391289916480069</v>
      </c>
      <c r="W12" s="428"/>
      <c r="X12" s="327">
        <f t="shared" si="10"/>
        <v>0</v>
      </c>
      <c r="Y12" s="428">
        <v>606552.93792621139</v>
      </c>
      <c r="Z12" s="327">
        <f t="shared" si="11"/>
        <v>7.7913680451565909E-2</v>
      </c>
      <c r="AA12" s="428">
        <v>1006124.0833578148</v>
      </c>
      <c r="AB12" s="327">
        <f t="shared" si="12"/>
        <v>0.12923988233142789</v>
      </c>
      <c r="AC12" s="429">
        <f t="shared" si="13"/>
        <v>1612677.0212840261</v>
      </c>
      <c r="AD12" s="327">
        <f t="shared" si="14"/>
        <v>0.20715356278299379</v>
      </c>
      <c r="AE12" s="428">
        <v>1161301.4334154651</v>
      </c>
      <c r="AF12" s="327">
        <f t="shared" si="15"/>
        <v>0.14917291325045937</v>
      </c>
      <c r="AG12" s="428">
        <v>760817.84813755192</v>
      </c>
      <c r="AH12" s="327">
        <f t="shared" si="16"/>
        <v>9.7729505530560215E-2</v>
      </c>
      <c r="AI12" s="428">
        <v>669135.40016063815</v>
      </c>
      <c r="AJ12" s="327">
        <f t="shared" si="17"/>
        <v>8.5952599496416857E-2</v>
      </c>
      <c r="AK12" s="428">
        <v>564786.36853736779</v>
      </c>
      <c r="AL12" s="100">
        <f t="shared" si="21"/>
        <v>7.2548629954825264E-2</v>
      </c>
    </row>
    <row r="13" spans="1:38" ht="14.25">
      <c r="B13" s="97"/>
      <c r="C13" s="97"/>
      <c r="D13" s="291">
        <f t="shared" si="20"/>
        <v>46272</v>
      </c>
      <c r="E13" s="291" t="s">
        <v>438</v>
      </c>
      <c r="F13" s="222">
        <f t="shared" si="19"/>
        <v>10271030</v>
      </c>
      <c r="G13" s="289"/>
      <c r="H13" s="308"/>
      <c r="I13" s="428">
        <v>1137191.4894616457</v>
      </c>
      <c r="J13" s="327">
        <f t="shared" si="1"/>
        <v>0.11071834951914712</v>
      </c>
      <c r="K13" s="428">
        <v>1399338.5356589076</v>
      </c>
      <c r="L13" s="327">
        <f t="shared" si="2"/>
        <v>0.13624130546390262</v>
      </c>
      <c r="M13" s="429">
        <f t="shared" si="3"/>
        <v>2536530.0251205536</v>
      </c>
      <c r="N13" s="327">
        <f t="shared" si="4"/>
        <v>0.24695965498304975</v>
      </c>
      <c r="O13" s="428">
        <v>252710.12648142857</v>
      </c>
      <c r="P13" s="327">
        <f t="shared" si="5"/>
        <v>2.4604165938706107E-2</v>
      </c>
      <c r="Q13" s="428"/>
      <c r="R13" s="327">
        <f t="shared" si="6"/>
        <v>0</v>
      </c>
      <c r="S13" s="429">
        <f t="shared" si="7"/>
        <v>252710.12648142857</v>
      </c>
      <c r="T13" s="327">
        <f t="shared" si="8"/>
        <v>2.4604165938706107E-2</v>
      </c>
      <c r="U13" s="428">
        <v>1203253.4252870411</v>
      </c>
      <c r="V13" s="327">
        <f t="shared" si="9"/>
        <v>0.11715022011298196</v>
      </c>
      <c r="W13" s="428"/>
      <c r="X13" s="327">
        <f t="shared" si="10"/>
        <v>0</v>
      </c>
      <c r="Y13" s="428">
        <v>835983.18846791773</v>
      </c>
      <c r="Z13" s="327">
        <f t="shared" si="11"/>
        <v>8.13923421962469E-2</v>
      </c>
      <c r="AA13" s="428">
        <v>1302298.4412140816</v>
      </c>
      <c r="AB13" s="327">
        <f t="shared" si="12"/>
        <v>0.12679336358808041</v>
      </c>
      <c r="AC13" s="429">
        <f t="shared" si="13"/>
        <v>2138281.6296819993</v>
      </c>
      <c r="AD13" s="327">
        <f t="shared" si="14"/>
        <v>0.2081857057843273</v>
      </c>
      <c r="AE13" s="428">
        <v>1454286.0608619608</v>
      </c>
      <c r="AF13" s="327">
        <f t="shared" si="15"/>
        <v>0.14159106349236258</v>
      </c>
      <c r="AG13" s="428">
        <v>979462.31857249665</v>
      </c>
      <c r="AH13" s="327">
        <f t="shared" si="16"/>
        <v>9.5361645187726704E-2</v>
      </c>
      <c r="AI13" s="428">
        <v>878790.42092083173</v>
      </c>
      <c r="AJ13" s="327">
        <f t="shared" si="17"/>
        <v>8.5560106524937785E-2</v>
      </c>
      <c r="AK13" s="428">
        <v>827715.9930736894</v>
      </c>
      <c r="AL13" s="100">
        <f t="shared" si="21"/>
        <v>8.0587437975907908E-2</v>
      </c>
    </row>
    <row r="14" spans="1:38" ht="14.25">
      <c r="B14" s="97"/>
      <c r="C14" s="97"/>
      <c r="D14" s="344">
        <f t="shared" si="20"/>
        <v>46273</v>
      </c>
      <c r="E14" s="344" t="s">
        <v>439</v>
      </c>
      <c r="F14" s="222">
        <f t="shared" si="19"/>
        <v>10129657.000000002</v>
      </c>
      <c r="G14" s="289">
        <f>SUM(F14:F20)</f>
        <v>62019999</v>
      </c>
      <c r="H14" s="308"/>
      <c r="I14" s="228">
        <v>1230510.286167297</v>
      </c>
      <c r="J14" s="100">
        <f>I14/F14</f>
        <v>0.12147600715081437</v>
      </c>
      <c r="K14" s="228">
        <v>1420805.4330942708</v>
      </c>
      <c r="L14" s="100">
        <f>K14/F14</f>
        <v>0.14026194895782459</v>
      </c>
      <c r="M14" s="221">
        <f>SUM(I14+K14)</f>
        <v>2651315.719261568</v>
      </c>
      <c r="N14" s="100">
        <f>M14/F14</f>
        <v>0.26173795610863898</v>
      </c>
      <c r="O14" s="228">
        <v>247947.99748723075</v>
      </c>
      <c r="P14" s="100">
        <f>O14/F14</f>
        <v>2.4477432699570253E-2</v>
      </c>
      <c r="Q14" s="228"/>
      <c r="R14" s="100">
        <f t="shared" ref="R14" si="22">Q14/$F14</f>
        <v>0</v>
      </c>
      <c r="S14" s="221">
        <f t="shared" ref="S14" si="23">SUM(O14+Q14)</f>
        <v>247947.99748723075</v>
      </c>
      <c r="T14" s="100">
        <f>S14/F14</f>
        <v>2.4477432699570253E-2</v>
      </c>
      <c r="U14" s="228">
        <v>1166792.1157351709</v>
      </c>
      <c r="V14" s="100">
        <f>U14/F14</f>
        <v>0.11518574772424878</v>
      </c>
      <c r="W14" s="228"/>
      <c r="X14" s="100">
        <f>W14/F14</f>
        <v>0</v>
      </c>
      <c r="Y14" s="228">
        <v>813884.6290483668</v>
      </c>
      <c r="Z14" s="100">
        <f t="shared" ref="Z14:Z16" si="24">Y14/F14</f>
        <v>8.0346711546932598E-2</v>
      </c>
      <c r="AA14" s="228">
        <v>1298987.722162249</v>
      </c>
      <c r="AB14" s="100">
        <f t="shared" ref="AB14:AB40" si="25">AA14/$F14</f>
        <v>0.12823610139635022</v>
      </c>
      <c r="AC14" s="221">
        <f t="shared" ref="AC14:AC16" si="26">SUM(Y14+AA14)</f>
        <v>2112872.3512106156</v>
      </c>
      <c r="AD14" s="100">
        <f t="shared" ref="AD14:AD16" si="27">AC14/F14</f>
        <v>0.20858281294328279</v>
      </c>
      <c r="AE14" s="228">
        <v>1451929.6087436273</v>
      </c>
      <c r="AF14" s="100">
        <f t="shared" ref="AF14:AF16" si="28">AE14/F14</f>
        <v>0.14333452837974939</v>
      </c>
      <c r="AG14" s="228">
        <v>881657.61867349746</v>
      </c>
      <c r="AH14" s="100">
        <f t="shared" ref="AH14:AH16" si="29">AG14/F14</f>
        <v>8.7037262828691758E-2</v>
      </c>
      <c r="AI14" s="228">
        <v>862557.02878099424</v>
      </c>
      <c r="AJ14" s="100">
        <f t="shared" ref="AJ14:AJ16" si="30">AI14/F14</f>
        <v>8.5151652102434874E-2</v>
      </c>
      <c r="AK14" s="228">
        <v>754584.5601072961</v>
      </c>
      <c r="AL14" s="100">
        <f>AK14/F14</f>
        <v>7.4492607213383036E-2</v>
      </c>
    </row>
    <row r="15" spans="1:38" ht="14.25">
      <c r="B15" s="97"/>
      <c r="C15" s="97"/>
      <c r="D15" s="344">
        <f t="shared" si="20"/>
        <v>46274</v>
      </c>
      <c r="E15" s="344" t="s">
        <v>440</v>
      </c>
      <c r="F15" s="222">
        <f t="shared" si="19"/>
        <v>9577217</v>
      </c>
      <c r="G15" s="86"/>
      <c r="H15" s="308"/>
      <c r="I15" s="228">
        <v>1106509.0654287552</v>
      </c>
      <c r="J15" s="100">
        <f t="shared" ref="J15" si="31">I15/F15</f>
        <v>0.11553555332710486</v>
      </c>
      <c r="K15" s="228">
        <v>1377964.6475623609</v>
      </c>
      <c r="L15" s="100">
        <f t="shared" ref="L15" si="32">K15/F15</f>
        <v>0.14387944301171843</v>
      </c>
      <c r="M15" s="221">
        <f t="shared" ref="M15" si="33">SUM(I15+K15)</f>
        <v>2484473.7129911161</v>
      </c>
      <c r="N15" s="100">
        <f t="shared" ref="N15" si="34">M15/F15</f>
        <v>0.25941499633882326</v>
      </c>
      <c r="O15" s="228">
        <v>248767.13364474074</v>
      </c>
      <c r="P15" s="100">
        <f t="shared" ref="P15" si="35">O15/F15</f>
        <v>2.5974887448487461E-2</v>
      </c>
      <c r="Q15" s="228"/>
      <c r="R15" s="100">
        <f t="shared" ref="R15" si="36">Q15/$F15</f>
        <v>0</v>
      </c>
      <c r="S15" s="221">
        <f t="shared" ref="S15" si="37">SUM(O15+Q15)</f>
        <v>248767.13364474074</v>
      </c>
      <c r="T15" s="100">
        <f t="shared" ref="T15" si="38">S15/F15</f>
        <v>2.5974887448487461E-2</v>
      </c>
      <c r="U15" s="228">
        <v>1092452.316310412</v>
      </c>
      <c r="V15" s="100">
        <f t="shared" ref="V15" si="39">U15/F15</f>
        <v>0.11406782537248682</v>
      </c>
      <c r="W15" s="228"/>
      <c r="X15" s="100">
        <f t="shared" ref="X15" si="40">W15/F15</f>
        <v>0</v>
      </c>
      <c r="Y15" s="228">
        <v>776584.08842626133</v>
      </c>
      <c r="Z15" s="100">
        <f t="shared" si="24"/>
        <v>8.1086612992716078E-2</v>
      </c>
      <c r="AA15" s="228">
        <v>1222923.2157158344</v>
      </c>
      <c r="AB15" s="100">
        <f t="shared" si="25"/>
        <v>0.12769087467850362</v>
      </c>
      <c r="AC15" s="221">
        <f t="shared" si="26"/>
        <v>1999507.3041420956</v>
      </c>
      <c r="AD15" s="100">
        <f t="shared" si="27"/>
        <v>0.2087774876712197</v>
      </c>
      <c r="AE15" s="228">
        <v>1425474.1410627298</v>
      </c>
      <c r="AF15" s="100">
        <f t="shared" si="28"/>
        <v>0.14884012141133796</v>
      </c>
      <c r="AG15" s="228">
        <v>806701.80624756741</v>
      </c>
      <c r="AH15" s="100">
        <f t="shared" si="29"/>
        <v>8.423133841987368E-2</v>
      </c>
      <c r="AI15" s="228">
        <v>784018.22793006722</v>
      </c>
      <c r="AJ15" s="100">
        <f t="shared" si="30"/>
        <v>8.1862844700090559E-2</v>
      </c>
      <c r="AK15" s="228">
        <v>735822.35767127073</v>
      </c>
      <c r="AL15" s="100">
        <f t="shared" ref="AL15" si="41">AK15/F15</f>
        <v>7.6830498637680517E-2</v>
      </c>
    </row>
    <row r="16" spans="1:38" ht="14.25">
      <c r="B16" s="97"/>
      <c r="C16" s="97"/>
      <c r="D16" s="344">
        <f t="shared" si="20"/>
        <v>46275</v>
      </c>
      <c r="E16" s="344" t="s">
        <v>441</v>
      </c>
      <c r="F16" s="222">
        <f t="shared" si="19"/>
        <v>9006445</v>
      </c>
      <c r="G16" s="289"/>
      <c r="H16" s="308"/>
      <c r="I16" s="228">
        <v>1087896.0495648198</v>
      </c>
      <c r="J16" s="100">
        <f t="shared" ref="J16:J41" si="42">I16/F16</f>
        <v>0.12079083917847938</v>
      </c>
      <c r="K16" s="228">
        <v>1258485.9932002688</v>
      </c>
      <c r="L16" s="100">
        <f t="shared" ref="L16:L41" si="43">K16/F16</f>
        <v>0.13973171358957601</v>
      </c>
      <c r="M16" s="221">
        <f t="shared" ref="M16:M41" si="44">SUM(I16+K16)</f>
        <v>2346382.0427650884</v>
      </c>
      <c r="N16" s="100">
        <f t="shared" ref="N16:N41" si="45">M16/F16</f>
        <v>0.26052255276805536</v>
      </c>
      <c r="O16" s="228">
        <v>249330.39744164079</v>
      </c>
      <c r="P16" s="100">
        <f t="shared" ref="P16:P41" si="46">O16/F16</f>
        <v>2.7683552993621876E-2</v>
      </c>
      <c r="Q16" s="228"/>
      <c r="R16" s="100">
        <f t="shared" ref="R16:R49" si="47">Q16/$F16</f>
        <v>0</v>
      </c>
      <c r="S16" s="221">
        <f t="shared" ref="S16:S49" si="48">SUM(O16+Q16)</f>
        <v>249330.39744164079</v>
      </c>
      <c r="T16" s="100">
        <f t="shared" ref="T16:T41" si="49">S16/F16</f>
        <v>2.7683552993621876E-2</v>
      </c>
      <c r="U16" s="228">
        <v>1052989.5004041202</v>
      </c>
      <c r="V16" s="100">
        <f t="shared" ref="V16:V41" si="50">U16/F16</f>
        <v>0.11691510916950253</v>
      </c>
      <c r="W16" s="228"/>
      <c r="X16" s="100">
        <f t="shared" ref="X16:X41" si="51">W16/F16</f>
        <v>0</v>
      </c>
      <c r="Y16" s="228">
        <v>740432.51815458306</v>
      </c>
      <c r="Z16" s="100">
        <f t="shared" si="24"/>
        <v>8.221140729273127E-2</v>
      </c>
      <c r="AA16" s="228">
        <v>964066.82530099584</v>
      </c>
      <c r="AB16" s="100">
        <f t="shared" si="25"/>
        <v>0.10704188226331209</v>
      </c>
      <c r="AC16" s="221">
        <f t="shared" si="26"/>
        <v>1704499.3434555789</v>
      </c>
      <c r="AD16" s="100">
        <f t="shared" si="27"/>
        <v>0.18925328955604337</v>
      </c>
      <c r="AE16" s="228">
        <v>1456249.2546193579</v>
      </c>
      <c r="AF16" s="100">
        <f t="shared" si="28"/>
        <v>0.16168968495553548</v>
      </c>
      <c r="AG16" s="228">
        <v>778148.893321248</v>
      </c>
      <c r="AH16" s="100">
        <f t="shared" si="29"/>
        <v>8.6399116779289492E-2</v>
      </c>
      <c r="AI16" s="228">
        <v>712085.34360189701</v>
      </c>
      <c r="AJ16" s="100">
        <f t="shared" si="30"/>
        <v>7.9063975142455986E-2</v>
      </c>
      <c r="AK16" s="228">
        <v>706760.22439106856</v>
      </c>
      <c r="AL16" s="100">
        <f t="shared" ref="AL16:AL41" si="52">AK16/F16</f>
        <v>7.8472718635495861E-2</v>
      </c>
    </row>
    <row r="17" spans="2:38" ht="14.25">
      <c r="B17" s="97"/>
      <c r="C17" s="97"/>
      <c r="D17" s="344">
        <f t="shared" si="20"/>
        <v>46276</v>
      </c>
      <c r="E17" s="344" t="s">
        <v>442</v>
      </c>
      <c r="F17" s="222">
        <f t="shared" si="19"/>
        <v>8305286</v>
      </c>
      <c r="G17" s="289"/>
      <c r="H17" s="308"/>
      <c r="I17" s="228">
        <v>911739.63093461457</v>
      </c>
      <c r="J17" s="100">
        <f t="shared" si="42"/>
        <v>0.10977823411916393</v>
      </c>
      <c r="K17" s="228">
        <v>1193206.069238384</v>
      </c>
      <c r="L17" s="100">
        <f t="shared" si="43"/>
        <v>0.1436682697306732</v>
      </c>
      <c r="M17" s="221">
        <f t="shared" si="44"/>
        <v>2104945.7001729985</v>
      </c>
      <c r="N17" s="100">
        <f t="shared" si="45"/>
        <v>0.25344650384983713</v>
      </c>
      <c r="O17" s="228">
        <v>216127.15668293738</v>
      </c>
      <c r="P17" s="100">
        <f t="shared" si="46"/>
        <v>2.6022843365410581E-2</v>
      </c>
      <c r="Q17" s="228"/>
      <c r="R17" s="100">
        <f t="shared" si="47"/>
        <v>0</v>
      </c>
      <c r="S17" s="221">
        <f t="shared" si="48"/>
        <v>216127.15668293738</v>
      </c>
      <c r="T17" s="100">
        <f t="shared" si="49"/>
        <v>2.6022843365410581E-2</v>
      </c>
      <c r="U17" s="228">
        <v>921235.36157773621</v>
      </c>
      <c r="V17" s="100">
        <f t="shared" si="50"/>
        <v>0.11092156989870502</v>
      </c>
      <c r="W17" s="228"/>
      <c r="X17" s="100">
        <f t="shared" si="51"/>
        <v>0</v>
      </c>
      <c r="Y17" s="228">
        <v>698873.91558084148</v>
      </c>
      <c r="Z17" s="100">
        <f>Y17/F17</f>
        <v>8.4148085397762515E-2</v>
      </c>
      <c r="AA17" s="228">
        <v>1039182.3009658577</v>
      </c>
      <c r="AB17" s="100">
        <f t="shared" si="25"/>
        <v>0.12512300009486219</v>
      </c>
      <c r="AC17" s="221">
        <f>SUM(Y17+AA17)</f>
        <v>1738056.2165466992</v>
      </c>
      <c r="AD17" s="100">
        <f>AC17/F17</f>
        <v>0.20927108549262471</v>
      </c>
      <c r="AE17" s="228">
        <v>1204256.1363227773</v>
      </c>
      <c r="AF17" s="100">
        <f>AE17/F17</f>
        <v>0.14499875577105681</v>
      </c>
      <c r="AG17" s="228">
        <v>760618.74683776218</v>
      </c>
      <c r="AH17" s="100">
        <f>AG17/F17</f>
        <v>9.1582486965260695E-2</v>
      </c>
      <c r="AI17" s="228">
        <v>733556.11927855806</v>
      </c>
      <c r="AJ17" s="100">
        <f>AI17/F17</f>
        <v>8.8324004649395341E-2</v>
      </c>
      <c r="AK17" s="228">
        <v>626490.56258053181</v>
      </c>
      <c r="AL17" s="100">
        <f t="shared" si="52"/>
        <v>7.543275000770977E-2</v>
      </c>
    </row>
    <row r="18" spans="2:38" ht="14.25">
      <c r="B18" s="97"/>
      <c r="C18" s="97"/>
      <c r="D18" s="344">
        <f t="shared" si="20"/>
        <v>46277</v>
      </c>
      <c r="E18" s="344" t="s">
        <v>443</v>
      </c>
      <c r="F18" s="222">
        <f t="shared" si="19"/>
        <v>7221047</v>
      </c>
      <c r="G18" s="289"/>
      <c r="H18" s="308"/>
      <c r="I18" s="228">
        <v>672084.10379870655</v>
      </c>
      <c r="J18" s="100">
        <f t="shared" si="42"/>
        <v>9.3072944103356009E-2</v>
      </c>
      <c r="K18" s="228">
        <v>1091448.3884746542</v>
      </c>
      <c r="L18" s="100">
        <f t="shared" si="43"/>
        <v>0.1511482183227244</v>
      </c>
      <c r="M18" s="221">
        <f t="shared" si="44"/>
        <v>1763532.4922733607</v>
      </c>
      <c r="N18" s="100">
        <f t="shared" si="45"/>
        <v>0.24422116242608041</v>
      </c>
      <c r="O18" s="228">
        <v>167221.9178879933</v>
      </c>
      <c r="P18" s="100">
        <f t="shared" si="46"/>
        <v>2.3157572286677169E-2</v>
      </c>
      <c r="Q18" s="228"/>
      <c r="R18" s="100">
        <f t="shared" si="47"/>
        <v>0</v>
      </c>
      <c r="S18" s="221">
        <f t="shared" si="48"/>
        <v>167221.9178879933</v>
      </c>
      <c r="T18" s="100">
        <f t="shared" si="49"/>
        <v>2.3157572286677169E-2</v>
      </c>
      <c r="U18" s="228">
        <v>858350.97154798987</v>
      </c>
      <c r="V18" s="100">
        <f t="shared" si="50"/>
        <v>0.11886793861721021</v>
      </c>
      <c r="W18" s="228"/>
      <c r="X18" s="100">
        <f t="shared" si="51"/>
        <v>0</v>
      </c>
      <c r="Y18" s="228">
        <v>603306.0131858848</v>
      </c>
      <c r="Z18" s="100">
        <f t="shared" ref="Z18:Z40" si="53">Y18/F18</f>
        <v>8.3548273981028626E-2</v>
      </c>
      <c r="AA18" s="228">
        <v>981038.0409624622</v>
      </c>
      <c r="AB18" s="100">
        <f t="shared" si="25"/>
        <v>0.13585814369612359</v>
      </c>
      <c r="AC18" s="221">
        <f t="shared" ref="AC18:AC40" si="54">SUM(Y18+AA18)</f>
        <v>1584344.0541483471</v>
      </c>
      <c r="AD18" s="100">
        <f t="shared" ref="AD18:AD40" si="55">AC18/F18</f>
        <v>0.21940641767715224</v>
      </c>
      <c r="AE18" s="228">
        <v>1041321.0412474913</v>
      </c>
      <c r="AF18" s="100">
        <f t="shared" ref="AF18:AF40" si="56">AE18/F18</f>
        <v>0.14420637910921938</v>
      </c>
      <c r="AG18" s="228">
        <v>601136.26621332113</v>
      </c>
      <c r="AH18" s="100">
        <f t="shared" ref="AH18:AH40" si="57">AG18/F18</f>
        <v>8.324779858285386E-2</v>
      </c>
      <c r="AI18" s="228">
        <v>675888.10151863855</v>
      </c>
      <c r="AJ18" s="100">
        <f t="shared" ref="AJ18:AJ40" si="58">AI18/F18</f>
        <v>9.3599737201355782E-2</v>
      </c>
      <c r="AK18" s="228">
        <v>529252.15516285866</v>
      </c>
      <c r="AL18" s="100">
        <f t="shared" si="52"/>
        <v>7.3292994099451045E-2</v>
      </c>
    </row>
    <row r="19" spans="2:38" ht="14.25">
      <c r="B19" s="97"/>
      <c r="C19" s="97"/>
      <c r="D19" s="344">
        <f t="shared" si="20"/>
        <v>46278</v>
      </c>
      <c r="E19" s="344" t="s">
        <v>444</v>
      </c>
      <c r="F19" s="222">
        <f t="shared" si="19"/>
        <v>7812022.0000000037</v>
      </c>
      <c r="G19" s="86"/>
      <c r="H19" s="308"/>
      <c r="I19" s="228">
        <v>796186.13522022392</v>
      </c>
      <c r="J19" s="100">
        <f t="shared" si="42"/>
        <v>0.10191806106283668</v>
      </c>
      <c r="K19" s="228">
        <v>1047900.7405253421</v>
      </c>
      <c r="L19" s="100">
        <f t="shared" si="43"/>
        <v>0.13413950197853278</v>
      </c>
      <c r="M19" s="221">
        <f t="shared" si="44"/>
        <v>1844086.8757455661</v>
      </c>
      <c r="N19" s="100">
        <f t="shared" si="45"/>
        <v>0.23605756304136946</v>
      </c>
      <c r="O19" s="228">
        <v>192999.21273423065</v>
      </c>
      <c r="P19" s="100">
        <f t="shared" si="46"/>
        <v>2.4705410805836256E-2</v>
      </c>
      <c r="Q19" s="228"/>
      <c r="R19" s="100">
        <f t="shared" si="47"/>
        <v>0</v>
      </c>
      <c r="S19" s="221">
        <f t="shared" si="48"/>
        <v>192999.21273423065</v>
      </c>
      <c r="T19" s="100">
        <f t="shared" si="49"/>
        <v>2.4705410805836256E-2</v>
      </c>
      <c r="U19" s="228">
        <v>944316.98654322175</v>
      </c>
      <c r="V19" s="100">
        <f t="shared" si="50"/>
        <v>0.1208799701976289</v>
      </c>
      <c r="W19" s="228"/>
      <c r="X19" s="100">
        <f t="shared" si="51"/>
        <v>0</v>
      </c>
      <c r="Y19" s="228">
        <v>631545.17359785456</v>
      </c>
      <c r="Z19" s="100">
        <f t="shared" si="53"/>
        <v>8.0842728502026007E-2</v>
      </c>
      <c r="AA19" s="228">
        <v>1014986.2184998228</v>
      </c>
      <c r="AB19" s="100">
        <f t="shared" si="25"/>
        <v>0.12992618537170303</v>
      </c>
      <c r="AC19" s="221">
        <f t="shared" si="54"/>
        <v>1646531.3920976773</v>
      </c>
      <c r="AD19" s="100">
        <f t="shared" si="55"/>
        <v>0.21076891387372904</v>
      </c>
      <c r="AE19" s="228">
        <v>1274248.0044889762</v>
      </c>
      <c r="AF19" s="100">
        <f t="shared" si="56"/>
        <v>0.16311372452471021</v>
      </c>
      <c r="AG19" s="228">
        <v>667797.46137303172</v>
      </c>
      <c r="AH19" s="100">
        <f t="shared" si="57"/>
        <v>8.5483305266297438E-2</v>
      </c>
      <c r="AI19" s="228">
        <v>671939.16224609769</v>
      </c>
      <c r="AJ19" s="100">
        <f t="shared" si="58"/>
        <v>8.6013475415980312E-2</v>
      </c>
      <c r="AK19" s="228">
        <v>570102.90477120085</v>
      </c>
      <c r="AL19" s="100">
        <f t="shared" si="52"/>
        <v>7.2977636874448193E-2</v>
      </c>
    </row>
    <row r="20" spans="2:38" ht="14.25">
      <c r="B20" s="97"/>
      <c r="C20" s="97"/>
      <c r="D20" s="344">
        <f t="shared" si="20"/>
        <v>46279</v>
      </c>
      <c r="E20" s="344" t="s">
        <v>438</v>
      </c>
      <c r="F20" s="222">
        <f t="shared" si="19"/>
        <v>9968325.0000000019</v>
      </c>
      <c r="G20" s="289"/>
      <c r="H20" s="308"/>
      <c r="I20" s="228">
        <v>954816.0372311289</v>
      </c>
      <c r="J20" s="100">
        <f t="shared" si="42"/>
        <v>9.578500271922602E-2</v>
      </c>
      <c r="K20" s="228">
        <v>1274858.278784825</v>
      </c>
      <c r="L20" s="100">
        <f t="shared" si="43"/>
        <v>0.12789092237510563</v>
      </c>
      <c r="M20" s="221">
        <f t="shared" si="44"/>
        <v>2229674.3160159541</v>
      </c>
      <c r="N20" s="100">
        <f t="shared" si="45"/>
        <v>0.22367592509433168</v>
      </c>
      <c r="O20" s="228">
        <v>245362.73048536389</v>
      </c>
      <c r="P20" s="100">
        <f t="shared" si="46"/>
        <v>2.4614238649458546E-2</v>
      </c>
      <c r="Q20" s="228"/>
      <c r="R20" s="100">
        <f t="shared" si="47"/>
        <v>0</v>
      </c>
      <c r="S20" s="221">
        <f t="shared" si="48"/>
        <v>245362.73048536389</v>
      </c>
      <c r="T20" s="100">
        <f t="shared" si="49"/>
        <v>2.4614238649458546E-2</v>
      </c>
      <c r="U20" s="228">
        <v>1235253.9746826086</v>
      </c>
      <c r="V20" s="100">
        <f t="shared" si="50"/>
        <v>0.12391790744007729</v>
      </c>
      <c r="W20" s="228"/>
      <c r="X20" s="100">
        <f t="shared" si="51"/>
        <v>0</v>
      </c>
      <c r="Y20" s="228">
        <v>712814.1540241394</v>
      </c>
      <c r="Z20" s="100">
        <f t="shared" si="53"/>
        <v>7.1507916728651935E-2</v>
      </c>
      <c r="AA20" s="228">
        <v>1405867.4272698502</v>
      </c>
      <c r="AB20" s="100">
        <f t="shared" si="25"/>
        <v>0.14103346623127255</v>
      </c>
      <c r="AC20" s="221">
        <f t="shared" si="54"/>
        <v>2118681.5812939894</v>
      </c>
      <c r="AD20" s="100">
        <f t="shared" si="55"/>
        <v>0.21254138295992447</v>
      </c>
      <c r="AE20" s="228">
        <v>1545736.2165508096</v>
      </c>
      <c r="AF20" s="100">
        <f t="shared" si="56"/>
        <v>0.15506478937542759</v>
      </c>
      <c r="AG20" s="228">
        <v>899777.05500490742</v>
      </c>
      <c r="AH20" s="100">
        <f t="shared" si="57"/>
        <v>9.0263615502595193E-2</v>
      </c>
      <c r="AI20" s="228">
        <v>878713.5610100613</v>
      </c>
      <c r="AJ20" s="100">
        <f t="shared" si="58"/>
        <v>8.8150573041113844E-2</v>
      </c>
      <c r="AK20" s="228">
        <v>815125.56495630753</v>
      </c>
      <c r="AL20" s="100">
        <f t="shared" si="52"/>
        <v>8.177156793707141E-2</v>
      </c>
    </row>
    <row r="21" spans="2:38" ht="14.25">
      <c r="B21" s="97"/>
      <c r="C21" s="97"/>
      <c r="D21" s="291">
        <f t="shared" si="20"/>
        <v>46280</v>
      </c>
      <c r="E21" s="291" t="s">
        <v>439</v>
      </c>
      <c r="F21" s="222">
        <f t="shared" si="19"/>
        <v>0</v>
      </c>
      <c r="G21" s="289">
        <f>SUM(F21:F27)</f>
        <v>0</v>
      </c>
      <c r="H21" s="308"/>
      <c r="I21" s="228"/>
      <c r="J21" s="100" t="e">
        <f t="shared" si="42"/>
        <v>#DIV/0!</v>
      </c>
      <c r="K21" s="228"/>
      <c r="L21" s="100" t="e">
        <f t="shared" si="43"/>
        <v>#DIV/0!</v>
      </c>
      <c r="M21" s="221">
        <f t="shared" si="44"/>
        <v>0</v>
      </c>
      <c r="N21" s="100" t="e">
        <f t="shared" si="45"/>
        <v>#DIV/0!</v>
      </c>
      <c r="O21" s="228"/>
      <c r="P21" s="100" t="e">
        <f t="shared" si="46"/>
        <v>#DIV/0!</v>
      </c>
      <c r="Q21" s="228"/>
      <c r="R21" s="100" t="e">
        <f t="shared" si="47"/>
        <v>#DIV/0!</v>
      </c>
      <c r="S21" s="221">
        <f t="shared" si="48"/>
        <v>0</v>
      </c>
      <c r="T21" s="100" t="e">
        <f t="shared" si="49"/>
        <v>#DIV/0!</v>
      </c>
      <c r="U21" s="228"/>
      <c r="V21" s="100" t="e">
        <f t="shared" si="50"/>
        <v>#DIV/0!</v>
      </c>
      <c r="W21" s="228"/>
      <c r="X21" s="100" t="e">
        <f t="shared" si="51"/>
        <v>#DIV/0!</v>
      </c>
      <c r="Y21" s="228"/>
      <c r="Z21" s="100" t="e">
        <f t="shared" si="53"/>
        <v>#DIV/0!</v>
      </c>
      <c r="AA21" s="228"/>
      <c r="AB21" s="100" t="e">
        <f t="shared" si="25"/>
        <v>#DIV/0!</v>
      </c>
      <c r="AC21" s="221">
        <f t="shared" si="54"/>
        <v>0</v>
      </c>
      <c r="AD21" s="100" t="e">
        <f t="shared" si="55"/>
        <v>#DIV/0!</v>
      </c>
      <c r="AE21" s="228"/>
      <c r="AF21" s="100" t="e">
        <f t="shared" si="56"/>
        <v>#DIV/0!</v>
      </c>
      <c r="AG21" s="228"/>
      <c r="AH21" s="100" t="e">
        <f t="shared" si="57"/>
        <v>#DIV/0!</v>
      </c>
      <c r="AI21" s="228"/>
      <c r="AJ21" s="100" t="e">
        <f t="shared" si="58"/>
        <v>#DIV/0!</v>
      </c>
      <c r="AK21" s="228"/>
      <c r="AL21" s="100" t="e">
        <f t="shared" si="52"/>
        <v>#DIV/0!</v>
      </c>
    </row>
    <row r="22" spans="2:38" ht="14.25">
      <c r="B22" s="97"/>
      <c r="C22" s="97"/>
      <c r="D22" s="291">
        <f t="shared" si="20"/>
        <v>46281</v>
      </c>
      <c r="E22" s="291" t="s">
        <v>440</v>
      </c>
      <c r="F22" s="222">
        <f t="shared" si="19"/>
        <v>0</v>
      </c>
      <c r="G22" s="289"/>
      <c r="H22" s="308"/>
      <c r="I22" s="228"/>
      <c r="J22" s="100" t="e">
        <f t="shared" si="42"/>
        <v>#DIV/0!</v>
      </c>
      <c r="K22" s="228"/>
      <c r="L22" s="100" t="e">
        <f t="shared" si="43"/>
        <v>#DIV/0!</v>
      </c>
      <c r="M22" s="221">
        <f t="shared" si="44"/>
        <v>0</v>
      </c>
      <c r="N22" s="100" t="e">
        <f t="shared" si="45"/>
        <v>#DIV/0!</v>
      </c>
      <c r="O22" s="228"/>
      <c r="P22" s="100" t="e">
        <f t="shared" si="46"/>
        <v>#DIV/0!</v>
      </c>
      <c r="Q22" s="228"/>
      <c r="R22" s="100" t="e">
        <f t="shared" si="47"/>
        <v>#DIV/0!</v>
      </c>
      <c r="S22" s="221">
        <f t="shared" si="48"/>
        <v>0</v>
      </c>
      <c r="T22" s="100" t="e">
        <f t="shared" si="49"/>
        <v>#DIV/0!</v>
      </c>
      <c r="U22" s="228"/>
      <c r="V22" s="100" t="e">
        <f t="shared" si="50"/>
        <v>#DIV/0!</v>
      </c>
      <c r="W22" s="228"/>
      <c r="X22" s="100" t="e">
        <f t="shared" si="51"/>
        <v>#DIV/0!</v>
      </c>
      <c r="Y22" s="228"/>
      <c r="Z22" s="100" t="e">
        <f t="shared" si="53"/>
        <v>#DIV/0!</v>
      </c>
      <c r="AA22" s="228"/>
      <c r="AB22" s="100" t="e">
        <f t="shared" si="25"/>
        <v>#DIV/0!</v>
      </c>
      <c r="AC22" s="221">
        <f t="shared" si="54"/>
        <v>0</v>
      </c>
      <c r="AD22" s="100" t="e">
        <f t="shared" si="55"/>
        <v>#DIV/0!</v>
      </c>
      <c r="AE22" s="228"/>
      <c r="AF22" s="100" t="e">
        <f t="shared" si="56"/>
        <v>#DIV/0!</v>
      </c>
      <c r="AG22" s="228"/>
      <c r="AH22" s="100" t="e">
        <f t="shared" si="57"/>
        <v>#DIV/0!</v>
      </c>
      <c r="AI22" s="228"/>
      <c r="AJ22" s="100" t="e">
        <f t="shared" si="58"/>
        <v>#DIV/0!</v>
      </c>
      <c r="AK22" s="228"/>
      <c r="AL22" s="100" t="e">
        <f t="shared" si="52"/>
        <v>#DIV/0!</v>
      </c>
    </row>
    <row r="23" spans="2:38" ht="14.25">
      <c r="B23" s="97"/>
      <c r="C23" s="97"/>
      <c r="D23" s="291">
        <f t="shared" si="20"/>
        <v>46282</v>
      </c>
      <c r="E23" s="291" t="s">
        <v>441</v>
      </c>
      <c r="F23" s="222">
        <f t="shared" si="19"/>
        <v>0</v>
      </c>
      <c r="G23" s="86"/>
      <c r="H23" s="308"/>
      <c r="I23" s="228"/>
      <c r="J23" s="100" t="e">
        <f t="shared" si="42"/>
        <v>#DIV/0!</v>
      </c>
      <c r="K23" s="228"/>
      <c r="L23" s="100" t="e">
        <f t="shared" si="43"/>
        <v>#DIV/0!</v>
      </c>
      <c r="M23" s="221">
        <f t="shared" si="44"/>
        <v>0</v>
      </c>
      <c r="N23" s="100" t="e">
        <f t="shared" si="45"/>
        <v>#DIV/0!</v>
      </c>
      <c r="O23" s="228"/>
      <c r="P23" s="100" t="e">
        <f t="shared" si="46"/>
        <v>#DIV/0!</v>
      </c>
      <c r="Q23" s="228"/>
      <c r="R23" s="100" t="e">
        <f t="shared" si="47"/>
        <v>#DIV/0!</v>
      </c>
      <c r="S23" s="221">
        <f t="shared" si="48"/>
        <v>0</v>
      </c>
      <c r="T23" s="100" t="e">
        <f t="shared" si="49"/>
        <v>#DIV/0!</v>
      </c>
      <c r="U23" s="228"/>
      <c r="V23" s="100" t="e">
        <f t="shared" si="50"/>
        <v>#DIV/0!</v>
      </c>
      <c r="W23" s="228"/>
      <c r="X23" s="100" t="e">
        <f t="shared" si="51"/>
        <v>#DIV/0!</v>
      </c>
      <c r="Y23" s="228"/>
      <c r="Z23" s="100" t="e">
        <f t="shared" si="53"/>
        <v>#DIV/0!</v>
      </c>
      <c r="AA23" s="228"/>
      <c r="AB23" s="100" t="e">
        <f t="shared" si="25"/>
        <v>#DIV/0!</v>
      </c>
      <c r="AC23" s="221">
        <f t="shared" si="54"/>
        <v>0</v>
      </c>
      <c r="AD23" s="100" t="e">
        <f t="shared" si="55"/>
        <v>#DIV/0!</v>
      </c>
      <c r="AE23" s="228"/>
      <c r="AF23" s="100" t="e">
        <f t="shared" si="56"/>
        <v>#DIV/0!</v>
      </c>
      <c r="AG23" s="228"/>
      <c r="AH23" s="100" t="e">
        <f t="shared" si="57"/>
        <v>#DIV/0!</v>
      </c>
      <c r="AI23" s="228"/>
      <c r="AJ23" s="100" t="e">
        <f t="shared" si="58"/>
        <v>#DIV/0!</v>
      </c>
      <c r="AK23" s="228"/>
      <c r="AL23" s="100" t="e">
        <f t="shared" si="52"/>
        <v>#DIV/0!</v>
      </c>
    </row>
    <row r="24" spans="2:38" ht="14.25">
      <c r="B24" s="97"/>
      <c r="C24" s="97"/>
      <c r="D24" s="291">
        <f t="shared" si="20"/>
        <v>46283</v>
      </c>
      <c r="E24" s="291" t="s">
        <v>442</v>
      </c>
      <c r="F24" s="222">
        <f t="shared" si="19"/>
        <v>0</v>
      </c>
      <c r="G24" s="289"/>
      <c r="H24" s="308"/>
      <c r="I24" s="228"/>
      <c r="J24" s="100" t="e">
        <f t="shared" si="42"/>
        <v>#DIV/0!</v>
      </c>
      <c r="K24" s="228"/>
      <c r="L24" s="100" t="e">
        <f t="shared" si="43"/>
        <v>#DIV/0!</v>
      </c>
      <c r="M24" s="221">
        <f t="shared" si="44"/>
        <v>0</v>
      </c>
      <c r="N24" s="100" t="e">
        <f t="shared" si="45"/>
        <v>#DIV/0!</v>
      </c>
      <c r="O24" s="228"/>
      <c r="P24" s="100" t="e">
        <f t="shared" si="46"/>
        <v>#DIV/0!</v>
      </c>
      <c r="Q24" s="228"/>
      <c r="R24" s="100" t="e">
        <f t="shared" si="47"/>
        <v>#DIV/0!</v>
      </c>
      <c r="S24" s="221">
        <f t="shared" si="48"/>
        <v>0</v>
      </c>
      <c r="T24" s="100" t="e">
        <f t="shared" si="49"/>
        <v>#DIV/0!</v>
      </c>
      <c r="U24" s="228"/>
      <c r="V24" s="100" t="e">
        <f t="shared" si="50"/>
        <v>#DIV/0!</v>
      </c>
      <c r="W24" s="228"/>
      <c r="X24" s="100" t="e">
        <f t="shared" si="51"/>
        <v>#DIV/0!</v>
      </c>
      <c r="Y24" s="228"/>
      <c r="Z24" s="100" t="e">
        <f t="shared" si="53"/>
        <v>#DIV/0!</v>
      </c>
      <c r="AA24" s="228"/>
      <c r="AB24" s="100" t="e">
        <f t="shared" si="25"/>
        <v>#DIV/0!</v>
      </c>
      <c r="AC24" s="221">
        <f t="shared" si="54"/>
        <v>0</v>
      </c>
      <c r="AD24" s="100" t="e">
        <f t="shared" si="55"/>
        <v>#DIV/0!</v>
      </c>
      <c r="AE24" s="228"/>
      <c r="AF24" s="100" t="e">
        <f t="shared" si="56"/>
        <v>#DIV/0!</v>
      </c>
      <c r="AG24" s="228"/>
      <c r="AH24" s="100" t="e">
        <f t="shared" si="57"/>
        <v>#DIV/0!</v>
      </c>
      <c r="AI24" s="228"/>
      <c r="AJ24" s="100" t="e">
        <f t="shared" si="58"/>
        <v>#DIV/0!</v>
      </c>
      <c r="AK24" s="228"/>
      <c r="AL24" s="100" t="e">
        <f t="shared" si="52"/>
        <v>#DIV/0!</v>
      </c>
    </row>
    <row r="25" spans="2:38" ht="14.25">
      <c r="B25" s="97"/>
      <c r="C25" s="97"/>
      <c r="D25" s="291">
        <f t="shared" si="20"/>
        <v>46284</v>
      </c>
      <c r="E25" s="291" t="s">
        <v>443</v>
      </c>
      <c r="F25" s="222">
        <f t="shared" si="19"/>
        <v>0</v>
      </c>
      <c r="G25" s="289"/>
      <c r="H25" s="308"/>
      <c r="I25" s="228"/>
      <c r="J25" s="100" t="e">
        <f t="shared" si="42"/>
        <v>#DIV/0!</v>
      </c>
      <c r="K25" s="228"/>
      <c r="L25" s="100" t="e">
        <f t="shared" si="43"/>
        <v>#DIV/0!</v>
      </c>
      <c r="M25" s="221">
        <f t="shared" si="44"/>
        <v>0</v>
      </c>
      <c r="N25" s="100" t="e">
        <f t="shared" si="45"/>
        <v>#DIV/0!</v>
      </c>
      <c r="O25" s="228"/>
      <c r="P25" s="100" t="e">
        <f t="shared" si="46"/>
        <v>#DIV/0!</v>
      </c>
      <c r="Q25" s="228"/>
      <c r="R25" s="100" t="e">
        <f t="shared" si="47"/>
        <v>#DIV/0!</v>
      </c>
      <c r="S25" s="221">
        <f t="shared" si="48"/>
        <v>0</v>
      </c>
      <c r="T25" s="100" t="e">
        <f t="shared" si="49"/>
        <v>#DIV/0!</v>
      </c>
      <c r="U25" s="228"/>
      <c r="V25" s="100" t="e">
        <f t="shared" si="50"/>
        <v>#DIV/0!</v>
      </c>
      <c r="W25" s="228"/>
      <c r="X25" s="100" t="e">
        <f t="shared" si="51"/>
        <v>#DIV/0!</v>
      </c>
      <c r="Y25" s="228"/>
      <c r="Z25" s="100" t="e">
        <f t="shared" si="53"/>
        <v>#DIV/0!</v>
      </c>
      <c r="AA25" s="228"/>
      <c r="AB25" s="100" t="e">
        <f t="shared" si="25"/>
        <v>#DIV/0!</v>
      </c>
      <c r="AC25" s="221">
        <f t="shared" si="54"/>
        <v>0</v>
      </c>
      <c r="AD25" s="100" t="e">
        <f t="shared" si="55"/>
        <v>#DIV/0!</v>
      </c>
      <c r="AE25" s="228"/>
      <c r="AF25" s="100" t="e">
        <f t="shared" si="56"/>
        <v>#DIV/0!</v>
      </c>
      <c r="AG25" s="228"/>
      <c r="AH25" s="100" t="e">
        <f t="shared" si="57"/>
        <v>#DIV/0!</v>
      </c>
      <c r="AI25" s="228"/>
      <c r="AJ25" s="100" t="e">
        <f t="shared" si="58"/>
        <v>#DIV/0!</v>
      </c>
      <c r="AK25" s="228"/>
      <c r="AL25" s="100" t="e">
        <f t="shared" si="52"/>
        <v>#DIV/0!</v>
      </c>
    </row>
    <row r="26" spans="2:38" ht="14.25">
      <c r="B26" s="97"/>
      <c r="C26" s="97"/>
      <c r="D26" s="291">
        <f t="shared" si="20"/>
        <v>46285</v>
      </c>
      <c r="E26" s="291" t="s">
        <v>444</v>
      </c>
      <c r="F26" s="222">
        <f t="shared" si="19"/>
        <v>0</v>
      </c>
      <c r="G26" s="289"/>
      <c r="H26" s="308"/>
      <c r="I26" s="228"/>
      <c r="J26" s="100" t="e">
        <f t="shared" si="42"/>
        <v>#DIV/0!</v>
      </c>
      <c r="K26" s="228"/>
      <c r="L26" s="100" t="e">
        <f t="shared" si="43"/>
        <v>#DIV/0!</v>
      </c>
      <c r="M26" s="221">
        <f t="shared" si="44"/>
        <v>0</v>
      </c>
      <c r="N26" s="100" t="e">
        <f t="shared" si="45"/>
        <v>#DIV/0!</v>
      </c>
      <c r="O26" s="228"/>
      <c r="P26" s="100" t="e">
        <f t="shared" si="46"/>
        <v>#DIV/0!</v>
      </c>
      <c r="Q26" s="228"/>
      <c r="R26" s="100" t="e">
        <f t="shared" si="47"/>
        <v>#DIV/0!</v>
      </c>
      <c r="S26" s="221">
        <f t="shared" si="48"/>
        <v>0</v>
      </c>
      <c r="T26" s="100" t="e">
        <f t="shared" si="49"/>
        <v>#DIV/0!</v>
      </c>
      <c r="U26" s="228"/>
      <c r="V26" s="100" t="e">
        <f t="shared" si="50"/>
        <v>#DIV/0!</v>
      </c>
      <c r="W26" s="228"/>
      <c r="X26" s="100" t="e">
        <f t="shared" si="51"/>
        <v>#DIV/0!</v>
      </c>
      <c r="Y26" s="228"/>
      <c r="Z26" s="100" t="e">
        <f t="shared" si="53"/>
        <v>#DIV/0!</v>
      </c>
      <c r="AA26" s="228"/>
      <c r="AB26" s="100" t="e">
        <f t="shared" si="25"/>
        <v>#DIV/0!</v>
      </c>
      <c r="AC26" s="221">
        <f t="shared" si="54"/>
        <v>0</v>
      </c>
      <c r="AD26" s="100" t="e">
        <f t="shared" si="55"/>
        <v>#DIV/0!</v>
      </c>
      <c r="AE26" s="228"/>
      <c r="AF26" s="100" t="e">
        <f t="shared" si="56"/>
        <v>#DIV/0!</v>
      </c>
      <c r="AG26" s="228"/>
      <c r="AH26" s="100" t="e">
        <f t="shared" si="57"/>
        <v>#DIV/0!</v>
      </c>
      <c r="AI26" s="228"/>
      <c r="AJ26" s="100" t="e">
        <f t="shared" si="58"/>
        <v>#DIV/0!</v>
      </c>
      <c r="AK26" s="228"/>
      <c r="AL26" s="100" t="e">
        <f t="shared" si="52"/>
        <v>#DIV/0!</v>
      </c>
    </row>
    <row r="27" spans="2:38" ht="14.25">
      <c r="B27" s="97"/>
      <c r="C27" s="97"/>
      <c r="D27" s="291">
        <f t="shared" si="20"/>
        <v>46286</v>
      </c>
      <c r="E27" s="291" t="s">
        <v>438</v>
      </c>
      <c r="F27" s="222">
        <f t="shared" si="19"/>
        <v>0</v>
      </c>
      <c r="G27" s="86"/>
      <c r="H27" s="308"/>
      <c r="I27" s="228"/>
      <c r="J27" s="100" t="e">
        <f t="shared" si="42"/>
        <v>#DIV/0!</v>
      </c>
      <c r="K27" s="228"/>
      <c r="L27" s="100" t="e">
        <f t="shared" si="43"/>
        <v>#DIV/0!</v>
      </c>
      <c r="M27" s="221">
        <f t="shared" si="44"/>
        <v>0</v>
      </c>
      <c r="N27" s="100" t="e">
        <f t="shared" si="45"/>
        <v>#DIV/0!</v>
      </c>
      <c r="O27" s="228"/>
      <c r="P27" s="100" t="e">
        <f t="shared" si="46"/>
        <v>#DIV/0!</v>
      </c>
      <c r="Q27" s="228"/>
      <c r="R27" s="100" t="e">
        <f t="shared" si="47"/>
        <v>#DIV/0!</v>
      </c>
      <c r="S27" s="221">
        <f t="shared" si="48"/>
        <v>0</v>
      </c>
      <c r="T27" s="100" t="e">
        <f t="shared" si="49"/>
        <v>#DIV/0!</v>
      </c>
      <c r="U27" s="228"/>
      <c r="V27" s="100" t="e">
        <f t="shared" si="50"/>
        <v>#DIV/0!</v>
      </c>
      <c r="W27" s="228"/>
      <c r="X27" s="100" t="e">
        <f t="shared" si="51"/>
        <v>#DIV/0!</v>
      </c>
      <c r="Y27" s="228"/>
      <c r="Z27" s="100" t="e">
        <f t="shared" si="53"/>
        <v>#DIV/0!</v>
      </c>
      <c r="AA27" s="228"/>
      <c r="AB27" s="100" t="e">
        <f t="shared" si="25"/>
        <v>#DIV/0!</v>
      </c>
      <c r="AC27" s="221">
        <f t="shared" si="54"/>
        <v>0</v>
      </c>
      <c r="AD27" s="100" t="e">
        <f t="shared" si="55"/>
        <v>#DIV/0!</v>
      </c>
      <c r="AE27" s="228"/>
      <c r="AF27" s="100" t="e">
        <f t="shared" si="56"/>
        <v>#DIV/0!</v>
      </c>
      <c r="AG27" s="228"/>
      <c r="AH27" s="100" t="e">
        <f t="shared" si="57"/>
        <v>#DIV/0!</v>
      </c>
      <c r="AI27" s="228"/>
      <c r="AJ27" s="100" t="e">
        <f t="shared" si="58"/>
        <v>#DIV/0!</v>
      </c>
      <c r="AK27" s="228"/>
      <c r="AL27" s="100" t="e">
        <f t="shared" si="52"/>
        <v>#DIV/0!</v>
      </c>
    </row>
    <row r="28" spans="2:38" ht="14.25">
      <c r="B28" s="97"/>
      <c r="C28" s="97"/>
      <c r="D28" s="344">
        <f t="shared" si="20"/>
        <v>46287</v>
      </c>
      <c r="E28" s="344" t="s">
        <v>439</v>
      </c>
      <c r="F28" s="222">
        <f t="shared" si="19"/>
        <v>0</v>
      </c>
      <c r="G28" s="289">
        <f>SUM(F28:F34)</f>
        <v>0</v>
      </c>
      <c r="H28" s="308"/>
      <c r="I28" s="228"/>
      <c r="J28" s="100" t="e">
        <f t="shared" si="42"/>
        <v>#DIV/0!</v>
      </c>
      <c r="K28" s="228"/>
      <c r="L28" s="100" t="e">
        <f t="shared" si="43"/>
        <v>#DIV/0!</v>
      </c>
      <c r="M28" s="221">
        <f t="shared" si="44"/>
        <v>0</v>
      </c>
      <c r="N28" s="100" t="e">
        <f t="shared" si="45"/>
        <v>#DIV/0!</v>
      </c>
      <c r="O28" s="228"/>
      <c r="P28" s="100" t="e">
        <f t="shared" si="46"/>
        <v>#DIV/0!</v>
      </c>
      <c r="Q28" s="228"/>
      <c r="R28" s="100" t="e">
        <f t="shared" si="47"/>
        <v>#DIV/0!</v>
      </c>
      <c r="S28" s="221">
        <f t="shared" si="48"/>
        <v>0</v>
      </c>
      <c r="T28" s="100" t="e">
        <f t="shared" si="49"/>
        <v>#DIV/0!</v>
      </c>
      <c r="U28" s="228"/>
      <c r="V28" s="100" t="e">
        <f t="shared" si="50"/>
        <v>#DIV/0!</v>
      </c>
      <c r="W28" s="228"/>
      <c r="X28" s="100" t="e">
        <f t="shared" si="51"/>
        <v>#DIV/0!</v>
      </c>
      <c r="Y28" s="228"/>
      <c r="Z28" s="100" t="e">
        <f t="shared" si="53"/>
        <v>#DIV/0!</v>
      </c>
      <c r="AA28" s="228"/>
      <c r="AB28" s="100" t="e">
        <f t="shared" si="25"/>
        <v>#DIV/0!</v>
      </c>
      <c r="AC28" s="221">
        <f t="shared" si="54"/>
        <v>0</v>
      </c>
      <c r="AD28" s="100" t="e">
        <f t="shared" si="55"/>
        <v>#DIV/0!</v>
      </c>
      <c r="AE28" s="228"/>
      <c r="AF28" s="100" t="e">
        <f t="shared" si="56"/>
        <v>#DIV/0!</v>
      </c>
      <c r="AG28" s="228"/>
      <c r="AH28" s="100" t="e">
        <f t="shared" si="57"/>
        <v>#DIV/0!</v>
      </c>
      <c r="AI28" s="228"/>
      <c r="AJ28" s="100" t="e">
        <f t="shared" si="58"/>
        <v>#DIV/0!</v>
      </c>
      <c r="AK28" s="228"/>
      <c r="AL28" s="100" t="e">
        <f t="shared" si="52"/>
        <v>#DIV/0!</v>
      </c>
    </row>
    <row r="29" spans="2:38" ht="14.25">
      <c r="B29" s="97"/>
      <c r="C29" s="97"/>
      <c r="D29" s="344">
        <f t="shared" si="20"/>
        <v>46288</v>
      </c>
      <c r="E29" s="344" t="s">
        <v>440</v>
      </c>
      <c r="F29" s="222">
        <f t="shared" si="19"/>
        <v>0</v>
      </c>
      <c r="G29" s="289"/>
      <c r="H29" s="308"/>
      <c r="I29" s="228"/>
      <c r="J29" s="100" t="e">
        <f t="shared" si="42"/>
        <v>#DIV/0!</v>
      </c>
      <c r="K29" s="228"/>
      <c r="L29" s="100" t="e">
        <f t="shared" si="43"/>
        <v>#DIV/0!</v>
      </c>
      <c r="M29" s="221">
        <f t="shared" si="44"/>
        <v>0</v>
      </c>
      <c r="N29" s="100" t="e">
        <f t="shared" si="45"/>
        <v>#DIV/0!</v>
      </c>
      <c r="O29" s="228"/>
      <c r="P29" s="100" t="e">
        <f t="shared" si="46"/>
        <v>#DIV/0!</v>
      </c>
      <c r="Q29" s="228"/>
      <c r="R29" s="100" t="e">
        <f t="shared" si="47"/>
        <v>#DIV/0!</v>
      </c>
      <c r="S29" s="221">
        <f t="shared" si="48"/>
        <v>0</v>
      </c>
      <c r="T29" s="100" t="e">
        <f t="shared" si="49"/>
        <v>#DIV/0!</v>
      </c>
      <c r="U29" s="228"/>
      <c r="V29" s="100" t="e">
        <f t="shared" si="50"/>
        <v>#DIV/0!</v>
      </c>
      <c r="W29" s="228"/>
      <c r="X29" s="100" t="e">
        <f t="shared" si="51"/>
        <v>#DIV/0!</v>
      </c>
      <c r="Y29" s="228"/>
      <c r="Z29" s="100" t="e">
        <f t="shared" si="53"/>
        <v>#DIV/0!</v>
      </c>
      <c r="AA29" s="228"/>
      <c r="AB29" s="100" t="e">
        <f t="shared" si="25"/>
        <v>#DIV/0!</v>
      </c>
      <c r="AC29" s="221">
        <f t="shared" si="54"/>
        <v>0</v>
      </c>
      <c r="AD29" s="100" t="e">
        <f t="shared" si="55"/>
        <v>#DIV/0!</v>
      </c>
      <c r="AE29" s="228"/>
      <c r="AF29" s="100" t="e">
        <f t="shared" si="56"/>
        <v>#DIV/0!</v>
      </c>
      <c r="AG29" s="228"/>
      <c r="AH29" s="100" t="e">
        <f t="shared" si="57"/>
        <v>#DIV/0!</v>
      </c>
      <c r="AI29" s="228"/>
      <c r="AJ29" s="100" t="e">
        <f t="shared" si="58"/>
        <v>#DIV/0!</v>
      </c>
      <c r="AK29" s="228"/>
      <c r="AL29" s="100" t="e">
        <f t="shared" si="52"/>
        <v>#DIV/0!</v>
      </c>
    </row>
    <row r="30" spans="2:38" ht="14.25">
      <c r="B30" s="97"/>
      <c r="C30" s="97"/>
      <c r="D30" s="344">
        <f t="shared" si="20"/>
        <v>46289</v>
      </c>
      <c r="E30" s="344" t="s">
        <v>441</v>
      </c>
      <c r="F30" s="222">
        <f t="shared" si="19"/>
        <v>0</v>
      </c>
      <c r="G30" s="86"/>
      <c r="H30" s="308"/>
      <c r="I30" s="228"/>
      <c r="J30" s="100" t="e">
        <f t="shared" si="42"/>
        <v>#DIV/0!</v>
      </c>
      <c r="K30" s="228"/>
      <c r="L30" s="100" t="e">
        <f t="shared" si="43"/>
        <v>#DIV/0!</v>
      </c>
      <c r="M30" s="221">
        <f t="shared" si="44"/>
        <v>0</v>
      </c>
      <c r="N30" s="100" t="e">
        <f t="shared" si="45"/>
        <v>#DIV/0!</v>
      </c>
      <c r="O30" s="228"/>
      <c r="P30" s="100" t="e">
        <f t="shared" si="46"/>
        <v>#DIV/0!</v>
      </c>
      <c r="Q30" s="228"/>
      <c r="R30" s="100" t="e">
        <f t="shared" si="47"/>
        <v>#DIV/0!</v>
      </c>
      <c r="S30" s="221">
        <f t="shared" si="48"/>
        <v>0</v>
      </c>
      <c r="T30" s="100" t="e">
        <f t="shared" si="49"/>
        <v>#DIV/0!</v>
      </c>
      <c r="U30" s="228"/>
      <c r="V30" s="100" t="e">
        <f t="shared" si="50"/>
        <v>#DIV/0!</v>
      </c>
      <c r="W30" s="228"/>
      <c r="X30" s="100" t="e">
        <f t="shared" si="51"/>
        <v>#DIV/0!</v>
      </c>
      <c r="Y30" s="228"/>
      <c r="Z30" s="100" t="e">
        <f t="shared" si="53"/>
        <v>#DIV/0!</v>
      </c>
      <c r="AA30" s="228"/>
      <c r="AB30" s="100" t="e">
        <f t="shared" si="25"/>
        <v>#DIV/0!</v>
      </c>
      <c r="AC30" s="221">
        <f t="shared" si="54"/>
        <v>0</v>
      </c>
      <c r="AD30" s="100" t="e">
        <f t="shared" si="55"/>
        <v>#DIV/0!</v>
      </c>
      <c r="AE30" s="228"/>
      <c r="AF30" s="100" t="e">
        <f t="shared" si="56"/>
        <v>#DIV/0!</v>
      </c>
      <c r="AG30" s="228"/>
      <c r="AH30" s="100" t="e">
        <f t="shared" si="57"/>
        <v>#DIV/0!</v>
      </c>
      <c r="AI30" s="228"/>
      <c r="AJ30" s="100" t="e">
        <f t="shared" si="58"/>
        <v>#DIV/0!</v>
      </c>
      <c r="AK30" s="228"/>
      <c r="AL30" s="100" t="e">
        <f t="shared" si="52"/>
        <v>#DIV/0!</v>
      </c>
    </row>
    <row r="31" spans="2:38" ht="14.25">
      <c r="B31" s="97"/>
      <c r="C31" s="97"/>
      <c r="D31" s="344">
        <f t="shared" si="20"/>
        <v>46290</v>
      </c>
      <c r="E31" s="344" t="s">
        <v>442</v>
      </c>
      <c r="F31" s="222">
        <f t="shared" si="19"/>
        <v>0</v>
      </c>
      <c r="G31" s="289"/>
      <c r="H31" s="308"/>
      <c r="I31" s="228"/>
      <c r="J31" s="100" t="e">
        <f t="shared" si="42"/>
        <v>#DIV/0!</v>
      </c>
      <c r="K31" s="228"/>
      <c r="L31" s="100" t="e">
        <f t="shared" si="43"/>
        <v>#DIV/0!</v>
      </c>
      <c r="M31" s="221">
        <f t="shared" si="44"/>
        <v>0</v>
      </c>
      <c r="N31" s="100" t="e">
        <f t="shared" si="45"/>
        <v>#DIV/0!</v>
      </c>
      <c r="O31" s="228"/>
      <c r="P31" s="100" t="e">
        <f t="shared" si="46"/>
        <v>#DIV/0!</v>
      </c>
      <c r="Q31" s="228"/>
      <c r="R31" s="100" t="e">
        <f t="shared" si="47"/>
        <v>#DIV/0!</v>
      </c>
      <c r="S31" s="221">
        <f t="shared" si="48"/>
        <v>0</v>
      </c>
      <c r="T31" s="100" t="e">
        <f t="shared" si="49"/>
        <v>#DIV/0!</v>
      </c>
      <c r="U31" s="228"/>
      <c r="V31" s="100" t="e">
        <f t="shared" si="50"/>
        <v>#DIV/0!</v>
      </c>
      <c r="W31" s="228"/>
      <c r="X31" s="100" t="e">
        <f t="shared" si="51"/>
        <v>#DIV/0!</v>
      </c>
      <c r="Y31" s="228"/>
      <c r="Z31" s="100" t="e">
        <f t="shared" si="53"/>
        <v>#DIV/0!</v>
      </c>
      <c r="AA31" s="228"/>
      <c r="AB31" s="100" t="e">
        <f t="shared" si="25"/>
        <v>#DIV/0!</v>
      </c>
      <c r="AC31" s="221">
        <f t="shared" si="54"/>
        <v>0</v>
      </c>
      <c r="AD31" s="100" t="e">
        <f t="shared" si="55"/>
        <v>#DIV/0!</v>
      </c>
      <c r="AE31" s="228"/>
      <c r="AF31" s="100" t="e">
        <f t="shared" si="56"/>
        <v>#DIV/0!</v>
      </c>
      <c r="AG31" s="228"/>
      <c r="AH31" s="100" t="e">
        <f t="shared" si="57"/>
        <v>#DIV/0!</v>
      </c>
      <c r="AI31" s="228"/>
      <c r="AJ31" s="100" t="e">
        <f t="shared" si="58"/>
        <v>#DIV/0!</v>
      </c>
      <c r="AK31" s="228"/>
      <c r="AL31" s="100" t="e">
        <f t="shared" si="52"/>
        <v>#DIV/0!</v>
      </c>
    </row>
    <row r="32" spans="2:38" ht="14.25">
      <c r="B32" s="97"/>
      <c r="C32" s="97"/>
      <c r="D32" s="344">
        <f t="shared" si="20"/>
        <v>46291</v>
      </c>
      <c r="E32" s="344" t="s">
        <v>443</v>
      </c>
      <c r="F32" s="222">
        <f t="shared" si="19"/>
        <v>0</v>
      </c>
      <c r="G32" s="289"/>
      <c r="H32" s="308"/>
      <c r="I32" s="228"/>
      <c r="J32" s="100" t="e">
        <f t="shared" si="42"/>
        <v>#DIV/0!</v>
      </c>
      <c r="K32" s="228"/>
      <c r="L32" s="100" t="e">
        <f t="shared" si="43"/>
        <v>#DIV/0!</v>
      </c>
      <c r="M32" s="221">
        <f t="shared" si="44"/>
        <v>0</v>
      </c>
      <c r="N32" s="100" t="e">
        <f t="shared" si="45"/>
        <v>#DIV/0!</v>
      </c>
      <c r="O32" s="228"/>
      <c r="P32" s="100" t="e">
        <f t="shared" si="46"/>
        <v>#DIV/0!</v>
      </c>
      <c r="Q32" s="228"/>
      <c r="R32" s="100" t="e">
        <f t="shared" si="47"/>
        <v>#DIV/0!</v>
      </c>
      <c r="S32" s="221">
        <f t="shared" si="48"/>
        <v>0</v>
      </c>
      <c r="T32" s="100" t="e">
        <f t="shared" si="49"/>
        <v>#DIV/0!</v>
      </c>
      <c r="U32" s="228"/>
      <c r="V32" s="100" t="e">
        <f t="shared" si="50"/>
        <v>#DIV/0!</v>
      </c>
      <c r="W32" s="228"/>
      <c r="X32" s="100" t="e">
        <f t="shared" si="51"/>
        <v>#DIV/0!</v>
      </c>
      <c r="Y32" s="228"/>
      <c r="Z32" s="100" t="e">
        <f t="shared" si="53"/>
        <v>#DIV/0!</v>
      </c>
      <c r="AA32" s="228"/>
      <c r="AB32" s="100" t="e">
        <f t="shared" si="25"/>
        <v>#DIV/0!</v>
      </c>
      <c r="AC32" s="221">
        <f t="shared" si="54"/>
        <v>0</v>
      </c>
      <c r="AD32" s="100" t="e">
        <f t="shared" si="55"/>
        <v>#DIV/0!</v>
      </c>
      <c r="AE32" s="228"/>
      <c r="AF32" s="100" t="e">
        <f t="shared" si="56"/>
        <v>#DIV/0!</v>
      </c>
      <c r="AG32" s="228"/>
      <c r="AH32" s="100" t="e">
        <f t="shared" si="57"/>
        <v>#DIV/0!</v>
      </c>
      <c r="AI32" s="228"/>
      <c r="AJ32" s="100" t="e">
        <f t="shared" si="58"/>
        <v>#DIV/0!</v>
      </c>
      <c r="AK32" s="228"/>
      <c r="AL32" s="100" t="e">
        <f t="shared" si="52"/>
        <v>#DIV/0!</v>
      </c>
    </row>
    <row r="33" spans="2:38" ht="14.25">
      <c r="B33" s="97"/>
      <c r="C33" s="97"/>
      <c r="D33" s="344">
        <f t="shared" si="20"/>
        <v>46292</v>
      </c>
      <c r="E33" s="344" t="s">
        <v>444</v>
      </c>
      <c r="F33" s="222">
        <f t="shared" si="19"/>
        <v>0</v>
      </c>
      <c r="G33" s="289"/>
      <c r="H33" s="308"/>
      <c r="I33" s="228"/>
      <c r="J33" s="100" t="e">
        <f t="shared" si="42"/>
        <v>#DIV/0!</v>
      </c>
      <c r="K33" s="228"/>
      <c r="L33" s="100" t="e">
        <f t="shared" si="43"/>
        <v>#DIV/0!</v>
      </c>
      <c r="M33" s="221">
        <f t="shared" si="44"/>
        <v>0</v>
      </c>
      <c r="N33" s="100" t="e">
        <f t="shared" si="45"/>
        <v>#DIV/0!</v>
      </c>
      <c r="O33" s="228"/>
      <c r="P33" s="100" t="e">
        <f t="shared" si="46"/>
        <v>#DIV/0!</v>
      </c>
      <c r="Q33" s="228"/>
      <c r="R33" s="100" t="e">
        <f t="shared" si="47"/>
        <v>#DIV/0!</v>
      </c>
      <c r="S33" s="221">
        <f t="shared" si="48"/>
        <v>0</v>
      </c>
      <c r="T33" s="100" t="e">
        <f t="shared" si="49"/>
        <v>#DIV/0!</v>
      </c>
      <c r="U33" s="228"/>
      <c r="V33" s="100" t="e">
        <f t="shared" si="50"/>
        <v>#DIV/0!</v>
      </c>
      <c r="W33" s="228"/>
      <c r="X33" s="100" t="e">
        <f t="shared" si="51"/>
        <v>#DIV/0!</v>
      </c>
      <c r="Y33" s="228"/>
      <c r="Z33" s="100" t="e">
        <f t="shared" si="53"/>
        <v>#DIV/0!</v>
      </c>
      <c r="AA33" s="228"/>
      <c r="AB33" s="100" t="e">
        <f t="shared" si="25"/>
        <v>#DIV/0!</v>
      </c>
      <c r="AC33" s="221">
        <f t="shared" si="54"/>
        <v>0</v>
      </c>
      <c r="AD33" s="100" t="e">
        <f t="shared" si="55"/>
        <v>#DIV/0!</v>
      </c>
      <c r="AE33" s="228"/>
      <c r="AF33" s="100" t="e">
        <f t="shared" si="56"/>
        <v>#DIV/0!</v>
      </c>
      <c r="AG33" s="228"/>
      <c r="AH33" s="100" t="e">
        <f t="shared" si="57"/>
        <v>#DIV/0!</v>
      </c>
      <c r="AI33" s="228"/>
      <c r="AJ33" s="100" t="e">
        <f t="shared" si="58"/>
        <v>#DIV/0!</v>
      </c>
      <c r="AK33" s="228"/>
      <c r="AL33" s="100" t="e">
        <f t="shared" si="52"/>
        <v>#DIV/0!</v>
      </c>
    </row>
    <row r="34" spans="2:38" ht="14.25">
      <c r="B34" s="97"/>
      <c r="C34" s="97"/>
      <c r="D34" s="344">
        <f t="shared" si="20"/>
        <v>46293</v>
      </c>
      <c r="E34" s="344" t="s">
        <v>438</v>
      </c>
      <c r="F34" s="222">
        <f t="shared" si="19"/>
        <v>0</v>
      </c>
      <c r="G34" s="86"/>
      <c r="H34" s="308"/>
      <c r="I34" s="228"/>
      <c r="J34" s="100" t="e">
        <f t="shared" si="42"/>
        <v>#DIV/0!</v>
      </c>
      <c r="K34" s="228"/>
      <c r="L34" s="100" t="e">
        <f t="shared" si="43"/>
        <v>#DIV/0!</v>
      </c>
      <c r="M34" s="221">
        <f t="shared" si="44"/>
        <v>0</v>
      </c>
      <c r="N34" s="100" t="e">
        <f t="shared" si="45"/>
        <v>#DIV/0!</v>
      </c>
      <c r="O34" s="228"/>
      <c r="P34" s="100" t="e">
        <f t="shared" si="46"/>
        <v>#DIV/0!</v>
      </c>
      <c r="Q34" s="228"/>
      <c r="R34" s="100" t="e">
        <f t="shared" si="47"/>
        <v>#DIV/0!</v>
      </c>
      <c r="S34" s="221">
        <f t="shared" si="48"/>
        <v>0</v>
      </c>
      <c r="T34" s="100" t="e">
        <f t="shared" si="49"/>
        <v>#DIV/0!</v>
      </c>
      <c r="U34" s="228"/>
      <c r="V34" s="100" t="e">
        <f t="shared" si="50"/>
        <v>#DIV/0!</v>
      </c>
      <c r="W34" s="228"/>
      <c r="X34" s="100" t="e">
        <f t="shared" si="51"/>
        <v>#DIV/0!</v>
      </c>
      <c r="Y34" s="228"/>
      <c r="Z34" s="100" t="e">
        <f t="shared" si="53"/>
        <v>#DIV/0!</v>
      </c>
      <c r="AA34" s="228"/>
      <c r="AB34" s="100" t="e">
        <f t="shared" si="25"/>
        <v>#DIV/0!</v>
      </c>
      <c r="AC34" s="221">
        <f t="shared" si="54"/>
        <v>0</v>
      </c>
      <c r="AD34" s="100" t="e">
        <f t="shared" si="55"/>
        <v>#DIV/0!</v>
      </c>
      <c r="AE34" s="228"/>
      <c r="AF34" s="100" t="e">
        <f t="shared" si="56"/>
        <v>#DIV/0!</v>
      </c>
      <c r="AG34" s="228"/>
      <c r="AH34" s="100" t="e">
        <f t="shared" si="57"/>
        <v>#DIV/0!</v>
      </c>
      <c r="AI34" s="228"/>
      <c r="AJ34" s="100" t="e">
        <f t="shared" si="58"/>
        <v>#DIV/0!</v>
      </c>
      <c r="AK34" s="228"/>
      <c r="AL34" s="100" t="e">
        <f t="shared" si="52"/>
        <v>#DIV/0!</v>
      </c>
    </row>
    <row r="35" spans="2:38" s="424" customFormat="1" ht="14.25">
      <c r="B35" s="397"/>
      <c r="C35" s="397"/>
      <c r="D35" s="291">
        <f t="shared" si="20"/>
        <v>46294</v>
      </c>
      <c r="E35" s="291" t="s">
        <v>439</v>
      </c>
      <c r="F35" s="425">
        <f t="shared" si="19"/>
        <v>0</v>
      </c>
      <c r="G35" s="399">
        <f>SUM(F35:F41)</f>
        <v>0</v>
      </c>
      <c r="H35" s="400"/>
      <c r="I35" s="428"/>
      <c r="J35" s="327" t="e">
        <f t="shared" si="42"/>
        <v>#DIV/0!</v>
      </c>
      <c r="K35" s="428"/>
      <c r="L35" s="327" t="e">
        <f t="shared" si="43"/>
        <v>#DIV/0!</v>
      </c>
      <c r="M35" s="429">
        <f t="shared" ref="M35:M36" si="59">SUM(I35+K35)</f>
        <v>0</v>
      </c>
      <c r="N35" s="327" t="e">
        <f t="shared" si="45"/>
        <v>#DIV/0!</v>
      </c>
      <c r="O35" s="428"/>
      <c r="P35" s="327" t="e">
        <f t="shared" si="46"/>
        <v>#DIV/0!</v>
      </c>
      <c r="Q35" s="428"/>
      <c r="R35" s="327" t="e">
        <f t="shared" si="47"/>
        <v>#DIV/0!</v>
      </c>
      <c r="S35" s="429">
        <f t="shared" si="48"/>
        <v>0</v>
      </c>
      <c r="T35" s="327" t="e">
        <f t="shared" si="49"/>
        <v>#DIV/0!</v>
      </c>
      <c r="U35" s="428"/>
      <c r="V35" s="327" t="e">
        <f t="shared" si="50"/>
        <v>#DIV/0!</v>
      </c>
      <c r="W35" s="428"/>
      <c r="X35" s="327" t="e">
        <f t="shared" si="51"/>
        <v>#DIV/0!</v>
      </c>
      <c r="Y35" s="428"/>
      <c r="Z35" s="327" t="e">
        <f t="shared" si="53"/>
        <v>#DIV/0!</v>
      </c>
      <c r="AA35" s="428"/>
      <c r="AB35" s="327" t="e">
        <f t="shared" si="25"/>
        <v>#DIV/0!</v>
      </c>
      <c r="AC35" s="429">
        <f t="shared" si="54"/>
        <v>0</v>
      </c>
      <c r="AD35" s="327" t="e">
        <f t="shared" si="55"/>
        <v>#DIV/0!</v>
      </c>
      <c r="AE35" s="428"/>
      <c r="AF35" s="327" t="e">
        <f t="shared" si="56"/>
        <v>#DIV/0!</v>
      </c>
      <c r="AG35" s="428"/>
      <c r="AH35" s="327" t="e">
        <f t="shared" si="57"/>
        <v>#DIV/0!</v>
      </c>
      <c r="AI35" s="428"/>
      <c r="AJ35" s="327" t="e">
        <f t="shared" si="58"/>
        <v>#DIV/0!</v>
      </c>
      <c r="AK35" s="428"/>
      <c r="AL35" s="327" t="e">
        <f t="shared" si="52"/>
        <v>#DIV/0!</v>
      </c>
    </row>
    <row r="36" spans="2:38" s="424" customFormat="1" ht="14.25">
      <c r="B36" s="397"/>
      <c r="C36" s="397"/>
      <c r="D36" s="291">
        <f t="shared" si="20"/>
        <v>46295</v>
      </c>
      <c r="E36" s="291" t="s">
        <v>440</v>
      </c>
      <c r="F36" s="425">
        <f t="shared" si="19"/>
        <v>0</v>
      </c>
      <c r="G36" s="399"/>
      <c r="H36" s="426"/>
      <c r="I36" s="428"/>
      <c r="J36" s="327" t="e">
        <f t="shared" si="42"/>
        <v>#DIV/0!</v>
      </c>
      <c r="K36" s="428"/>
      <c r="L36" s="327" t="e">
        <f t="shared" si="43"/>
        <v>#DIV/0!</v>
      </c>
      <c r="M36" s="429">
        <f t="shared" si="59"/>
        <v>0</v>
      </c>
      <c r="N36" s="327" t="e">
        <f t="shared" si="45"/>
        <v>#DIV/0!</v>
      </c>
      <c r="O36" s="428"/>
      <c r="P36" s="327" t="e">
        <f t="shared" si="46"/>
        <v>#DIV/0!</v>
      </c>
      <c r="Q36" s="428"/>
      <c r="R36" s="327" t="e">
        <f t="shared" si="47"/>
        <v>#DIV/0!</v>
      </c>
      <c r="S36" s="429">
        <f t="shared" si="48"/>
        <v>0</v>
      </c>
      <c r="T36" s="327" t="e">
        <f t="shared" si="49"/>
        <v>#DIV/0!</v>
      </c>
      <c r="U36" s="428"/>
      <c r="V36" s="327" t="e">
        <f t="shared" si="50"/>
        <v>#DIV/0!</v>
      </c>
      <c r="W36" s="428"/>
      <c r="X36" s="327" t="e">
        <f t="shared" si="51"/>
        <v>#DIV/0!</v>
      </c>
      <c r="Y36" s="428"/>
      <c r="Z36" s="327" t="e">
        <f t="shared" si="53"/>
        <v>#DIV/0!</v>
      </c>
      <c r="AA36" s="428"/>
      <c r="AB36" s="327" t="e">
        <f t="shared" si="25"/>
        <v>#DIV/0!</v>
      </c>
      <c r="AC36" s="429">
        <f t="shared" si="54"/>
        <v>0</v>
      </c>
      <c r="AD36" s="327" t="e">
        <f t="shared" si="55"/>
        <v>#DIV/0!</v>
      </c>
      <c r="AE36" s="428"/>
      <c r="AF36" s="327" t="e">
        <f t="shared" si="56"/>
        <v>#DIV/0!</v>
      </c>
      <c r="AG36" s="428"/>
      <c r="AH36" s="327" t="e">
        <f t="shared" si="57"/>
        <v>#DIV/0!</v>
      </c>
      <c r="AI36" s="428"/>
      <c r="AJ36" s="327" t="e">
        <f t="shared" si="58"/>
        <v>#DIV/0!</v>
      </c>
      <c r="AK36" s="428"/>
      <c r="AL36" s="327" t="e">
        <f t="shared" si="52"/>
        <v>#DIV/0!</v>
      </c>
    </row>
    <row r="37" spans="2:38" s="424" customFormat="1" ht="14.25">
      <c r="B37" s="397"/>
      <c r="C37" s="397"/>
      <c r="D37" s="291">
        <f>D36+1</f>
        <v>46296</v>
      </c>
      <c r="E37" s="291" t="s">
        <v>441</v>
      </c>
      <c r="F37" s="425">
        <f t="shared" si="19"/>
        <v>0</v>
      </c>
      <c r="G37" s="399"/>
      <c r="H37" s="426"/>
      <c r="I37" s="228"/>
      <c r="J37" s="100" t="e">
        <f t="shared" si="42"/>
        <v>#DIV/0!</v>
      </c>
      <c r="K37" s="228"/>
      <c r="L37" s="100" t="e">
        <f t="shared" si="43"/>
        <v>#DIV/0!</v>
      </c>
      <c r="M37" s="221">
        <f t="shared" ref="M37:M38" si="60">SUM(I37+K37)</f>
        <v>0</v>
      </c>
      <c r="N37" s="100" t="e">
        <f t="shared" si="45"/>
        <v>#DIV/0!</v>
      </c>
      <c r="O37" s="228"/>
      <c r="P37" s="100" t="e">
        <f t="shared" si="46"/>
        <v>#DIV/0!</v>
      </c>
      <c r="Q37" s="228"/>
      <c r="R37" s="100" t="e">
        <f t="shared" si="47"/>
        <v>#DIV/0!</v>
      </c>
      <c r="S37" s="221">
        <f t="shared" si="48"/>
        <v>0</v>
      </c>
      <c r="T37" s="100" t="e">
        <f t="shared" si="49"/>
        <v>#DIV/0!</v>
      </c>
      <c r="U37" s="228"/>
      <c r="V37" s="100" t="e">
        <f t="shared" si="50"/>
        <v>#DIV/0!</v>
      </c>
      <c r="W37" s="228"/>
      <c r="X37" s="100" t="e">
        <f t="shared" si="51"/>
        <v>#DIV/0!</v>
      </c>
      <c r="Y37" s="228"/>
      <c r="Z37" s="100" t="e">
        <f t="shared" si="53"/>
        <v>#DIV/0!</v>
      </c>
      <c r="AA37" s="228"/>
      <c r="AB37" s="100" t="e">
        <f t="shared" si="25"/>
        <v>#DIV/0!</v>
      </c>
      <c r="AC37" s="221">
        <f t="shared" si="54"/>
        <v>0</v>
      </c>
      <c r="AD37" s="100" t="e">
        <f t="shared" si="55"/>
        <v>#DIV/0!</v>
      </c>
      <c r="AE37" s="228"/>
      <c r="AF37" s="100" t="e">
        <f t="shared" si="56"/>
        <v>#DIV/0!</v>
      </c>
      <c r="AG37" s="228"/>
      <c r="AH37" s="100" t="e">
        <f t="shared" si="57"/>
        <v>#DIV/0!</v>
      </c>
      <c r="AI37" s="228"/>
      <c r="AJ37" s="100" t="e">
        <f t="shared" si="58"/>
        <v>#DIV/0!</v>
      </c>
      <c r="AK37" s="228"/>
      <c r="AL37" s="100" t="e">
        <f t="shared" si="52"/>
        <v>#DIV/0!</v>
      </c>
    </row>
    <row r="38" spans="2:38" s="424" customFormat="1" ht="14.25">
      <c r="B38" s="397"/>
      <c r="C38" s="397"/>
      <c r="D38" s="291">
        <f t="shared" ref="D38:D41" si="61">D37+1</f>
        <v>46297</v>
      </c>
      <c r="E38" s="291" t="s">
        <v>442</v>
      </c>
      <c r="F38" s="425">
        <f t="shared" si="19"/>
        <v>0</v>
      </c>
      <c r="G38" s="399"/>
      <c r="H38" s="426"/>
      <c r="I38" s="228"/>
      <c r="J38" s="100" t="e">
        <f t="shared" si="42"/>
        <v>#DIV/0!</v>
      </c>
      <c r="K38" s="228"/>
      <c r="L38" s="100" t="e">
        <f t="shared" si="43"/>
        <v>#DIV/0!</v>
      </c>
      <c r="M38" s="221">
        <f t="shared" si="60"/>
        <v>0</v>
      </c>
      <c r="N38" s="100" t="e">
        <f t="shared" si="45"/>
        <v>#DIV/0!</v>
      </c>
      <c r="O38" s="228"/>
      <c r="P38" s="100" t="e">
        <f t="shared" si="46"/>
        <v>#DIV/0!</v>
      </c>
      <c r="Q38" s="228"/>
      <c r="R38" s="100" t="e">
        <f t="shared" si="47"/>
        <v>#DIV/0!</v>
      </c>
      <c r="S38" s="221">
        <f t="shared" si="48"/>
        <v>0</v>
      </c>
      <c r="T38" s="100" t="e">
        <f t="shared" si="49"/>
        <v>#DIV/0!</v>
      </c>
      <c r="U38" s="228"/>
      <c r="V38" s="100" t="e">
        <f t="shared" si="50"/>
        <v>#DIV/0!</v>
      </c>
      <c r="W38" s="228"/>
      <c r="X38" s="100" t="e">
        <f t="shared" si="51"/>
        <v>#DIV/0!</v>
      </c>
      <c r="Y38" s="228"/>
      <c r="Z38" s="100" t="e">
        <f t="shared" si="53"/>
        <v>#DIV/0!</v>
      </c>
      <c r="AA38" s="228"/>
      <c r="AB38" s="100" t="e">
        <f t="shared" si="25"/>
        <v>#DIV/0!</v>
      </c>
      <c r="AC38" s="221">
        <f t="shared" si="54"/>
        <v>0</v>
      </c>
      <c r="AD38" s="100" t="e">
        <f t="shared" si="55"/>
        <v>#DIV/0!</v>
      </c>
      <c r="AE38" s="228"/>
      <c r="AF38" s="100" t="e">
        <f t="shared" si="56"/>
        <v>#DIV/0!</v>
      </c>
      <c r="AG38" s="228"/>
      <c r="AH38" s="100" t="e">
        <f t="shared" si="57"/>
        <v>#DIV/0!</v>
      </c>
      <c r="AI38" s="228"/>
      <c r="AJ38" s="100" t="e">
        <f t="shared" si="58"/>
        <v>#DIV/0!</v>
      </c>
      <c r="AK38" s="228"/>
      <c r="AL38" s="100" t="e">
        <f t="shared" si="52"/>
        <v>#DIV/0!</v>
      </c>
    </row>
    <row r="39" spans="2:38" s="424" customFormat="1" ht="14.25">
      <c r="B39" s="397"/>
      <c r="C39" s="403"/>
      <c r="D39" s="291">
        <f t="shared" si="61"/>
        <v>46298</v>
      </c>
      <c r="E39" s="291" t="s">
        <v>443</v>
      </c>
      <c r="F39" s="425">
        <f t="shared" si="19"/>
        <v>0</v>
      </c>
      <c r="G39" s="399"/>
      <c r="H39" s="427"/>
      <c r="I39" s="428"/>
      <c r="J39" s="327" t="e">
        <f t="shared" si="42"/>
        <v>#DIV/0!</v>
      </c>
      <c r="K39" s="428"/>
      <c r="L39" s="327" t="e">
        <f t="shared" si="43"/>
        <v>#DIV/0!</v>
      </c>
      <c r="M39" s="429">
        <f t="shared" si="44"/>
        <v>0</v>
      </c>
      <c r="N39" s="327" t="e">
        <f t="shared" si="45"/>
        <v>#DIV/0!</v>
      </c>
      <c r="O39" s="428"/>
      <c r="P39" s="327" t="e">
        <f t="shared" si="46"/>
        <v>#DIV/0!</v>
      </c>
      <c r="Q39" s="428"/>
      <c r="R39" s="327" t="e">
        <f t="shared" si="47"/>
        <v>#DIV/0!</v>
      </c>
      <c r="S39" s="429">
        <f t="shared" si="48"/>
        <v>0</v>
      </c>
      <c r="T39" s="327" t="e">
        <f t="shared" si="49"/>
        <v>#DIV/0!</v>
      </c>
      <c r="U39" s="428"/>
      <c r="V39" s="327" t="e">
        <f t="shared" si="50"/>
        <v>#DIV/0!</v>
      </c>
      <c r="W39" s="428"/>
      <c r="X39" s="327" t="e">
        <f t="shared" si="51"/>
        <v>#DIV/0!</v>
      </c>
      <c r="Y39" s="428"/>
      <c r="Z39" s="327" t="e">
        <f t="shared" si="53"/>
        <v>#DIV/0!</v>
      </c>
      <c r="AA39" s="428"/>
      <c r="AB39" s="327" t="e">
        <f t="shared" si="25"/>
        <v>#DIV/0!</v>
      </c>
      <c r="AC39" s="429">
        <f t="shared" si="54"/>
        <v>0</v>
      </c>
      <c r="AD39" s="327" t="e">
        <f t="shared" si="55"/>
        <v>#DIV/0!</v>
      </c>
      <c r="AE39" s="428"/>
      <c r="AF39" s="327" t="e">
        <f t="shared" si="56"/>
        <v>#DIV/0!</v>
      </c>
      <c r="AG39" s="428"/>
      <c r="AH39" s="327" t="e">
        <f t="shared" si="57"/>
        <v>#DIV/0!</v>
      </c>
      <c r="AI39" s="428"/>
      <c r="AJ39" s="327" t="e">
        <f t="shared" si="58"/>
        <v>#DIV/0!</v>
      </c>
      <c r="AK39" s="428"/>
      <c r="AL39" s="327" t="e">
        <f t="shared" si="52"/>
        <v>#DIV/0!</v>
      </c>
    </row>
    <row r="40" spans="2:38" s="424" customFormat="1" ht="14.25">
      <c r="B40" s="397"/>
      <c r="C40" s="403"/>
      <c r="D40" s="291">
        <f t="shared" si="61"/>
        <v>46299</v>
      </c>
      <c r="E40" s="291" t="s">
        <v>444</v>
      </c>
      <c r="F40" s="425">
        <f t="shared" si="19"/>
        <v>0</v>
      </c>
      <c r="G40" s="399"/>
      <c r="H40" s="427"/>
      <c r="I40" s="428"/>
      <c r="J40" s="327" t="e">
        <f t="shared" si="42"/>
        <v>#DIV/0!</v>
      </c>
      <c r="K40" s="428"/>
      <c r="L40" s="327" t="e">
        <f t="shared" si="43"/>
        <v>#DIV/0!</v>
      </c>
      <c r="M40" s="429">
        <f t="shared" si="44"/>
        <v>0</v>
      </c>
      <c r="N40" s="327" t="e">
        <f t="shared" si="45"/>
        <v>#DIV/0!</v>
      </c>
      <c r="O40" s="428"/>
      <c r="P40" s="327" t="e">
        <f t="shared" si="46"/>
        <v>#DIV/0!</v>
      </c>
      <c r="Q40" s="428"/>
      <c r="R40" s="327" t="e">
        <f t="shared" si="47"/>
        <v>#DIV/0!</v>
      </c>
      <c r="S40" s="429">
        <f t="shared" si="48"/>
        <v>0</v>
      </c>
      <c r="T40" s="327" t="e">
        <f t="shared" si="49"/>
        <v>#DIV/0!</v>
      </c>
      <c r="U40" s="428"/>
      <c r="V40" s="327" t="e">
        <f t="shared" si="50"/>
        <v>#DIV/0!</v>
      </c>
      <c r="W40" s="428"/>
      <c r="X40" s="327" t="e">
        <f t="shared" si="51"/>
        <v>#DIV/0!</v>
      </c>
      <c r="Y40" s="428"/>
      <c r="Z40" s="327" t="e">
        <f t="shared" si="53"/>
        <v>#DIV/0!</v>
      </c>
      <c r="AA40" s="428"/>
      <c r="AB40" s="327" t="e">
        <f t="shared" si="25"/>
        <v>#DIV/0!</v>
      </c>
      <c r="AC40" s="429">
        <f t="shared" si="54"/>
        <v>0</v>
      </c>
      <c r="AD40" s="327" t="e">
        <f t="shared" si="55"/>
        <v>#DIV/0!</v>
      </c>
      <c r="AE40" s="428"/>
      <c r="AF40" s="327" t="e">
        <f t="shared" si="56"/>
        <v>#DIV/0!</v>
      </c>
      <c r="AG40" s="428"/>
      <c r="AH40" s="327" t="e">
        <f t="shared" si="57"/>
        <v>#DIV/0!</v>
      </c>
      <c r="AI40" s="428"/>
      <c r="AJ40" s="327" t="e">
        <f t="shared" si="58"/>
        <v>#DIV/0!</v>
      </c>
      <c r="AK40" s="428"/>
      <c r="AL40" s="327" t="e">
        <f t="shared" si="52"/>
        <v>#DIV/0!</v>
      </c>
    </row>
    <row r="41" spans="2:38" s="424" customFormat="1" ht="14.25">
      <c r="B41" s="397"/>
      <c r="C41" s="403"/>
      <c r="D41" s="291">
        <f t="shared" si="61"/>
        <v>46300</v>
      </c>
      <c r="E41" s="291" t="s">
        <v>438</v>
      </c>
      <c r="F41" s="425">
        <f t="shared" si="19"/>
        <v>0</v>
      </c>
      <c r="G41" s="399"/>
      <c r="H41" s="427"/>
      <c r="I41" s="428"/>
      <c r="J41" s="327" t="e">
        <f t="shared" si="42"/>
        <v>#DIV/0!</v>
      </c>
      <c r="K41" s="428"/>
      <c r="L41" s="327" t="e">
        <f t="shared" si="43"/>
        <v>#DIV/0!</v>
      </c>
      <c r="M41" s="429">
        <f t="shared" si="44"/>
        <v>0</v>
      </c>
      <c r="N41" s="327" t="e">
        <f t="shared" si="45"/>
        <v>#DIV/0!</v>
      </c>
      <c r="O41" s="428"/>
      <c r="P41" s="327" t="e">
        <f t="shared" si="46"/>
        <v>#DIV/0!</v>
      </c>
      <c r="Q41" s="428"/>
      <c r="R41" s="327" t="e">
        <f t="shared" si="47"/>
        <v>#DIV/0!</v>
      </c>
      <c r="S41" s="429">
        <f t="shared" si="48"/>
        <v>0</v>
      </c>
      <c r="T41" s="327" t="e">
        <f t="shared" si="49"/>
        <v>#DIV/0!</v>
      </c>
      <c r="U41" s="428"/>
      <c r="V41" s="327" t="e">
        <f t="shared" si="50"/>
        <v>#DIV/0!</v>
      </c>
      <c r="W41" s="428"/>
      <c r="X41" s="327" t="e">
        <f t="shared" si="51"/>
        <v>#DIV/0!</v>
      </c>
      <c r="Y41" s="428"/>
      <c r="Z41" s="327" t="e">
        <f t="shared" ref="Z41" si="62">Y41/F41</f>
        <v>#DIV/0!</v>
      </c>
      <c r="AA41" s="428"/>
      <c r="AB41" s="327" t="e">
        <f t="shared" ref="AB41:AB49" si="63">AA41/$F41</f>
        <v>#DIV/0!</v>
      </c>
      <c r="AC41" s="429">
        <f t="shared" ref="AC41" si="64">SUM(Y41+AA41)</f>
        <v>0</v>
      </c>
      <c r="AD41" s="327" t="e">
        <f t="shared" ref="AD41" si="65">AC41/F41</f>
        <v>#DIV/0!</v>
      </c>
      <c r="AE41" s="428"/>
      <c r="AF41" s="327" t="e">
        <f t="shared" ref="AF41" si="66">AE41/F41</f>
        <v>#DIV/0!</v>
      </c>
      <c r="AG41" s="428"/>
      <c r="AH41" s="327" t="e">
        <f t="shared" ref="AH41" si="67">AG41/F41</f>
        <v>#DIV/0!</v>
      </c>
      <c r="AI41" s="428"/>
      <c r="AJ41" s="327" t="e">
        <f t="shared" ref="AJ41" si="68">AI41/F41</f>
        <v>#DIV/0!</v>
      </c>
      <c r="AK41" s="428"/>
      <c r="AL41" s="327" t="e">
        <f t="shared" si="52"/>
        <v>#DIV/0!</v>
      </c>
    </row>
    <row r="42" spans="2:38" ht="14.25">
      <c r="B42" s="97"/>
      <c r="C42" s="83"/>
      <c r="D42" s="344"/>
      <c r="E42" s="344"/>
      <c r="F42" s="222">
        <f t="shared" si="19"/>
        <v>0</v>
      </c>
      <c r="G42" s="289"/>
      <c r="H42" s="96"/>
      <c r="I42" s="228"/>
      <c r="J42" s="100" t="e">
        <f>I42/F42</f>
        <v>#DIV/0!</v>
      </c>
      <c r="K42" s="228"/>
      <c r="L42" s="100" t="e">
        <f>K42/F42</f>
        <v>#DIV/0!</v>
      </c>
      <c r="M42" s="221">
        <f>SUM(I42+K42)</f>
        <v>0</v>
      </c>
      <c r="N42" s="100" t="e">
        <f>M42/F42</f>
        <v>#DIV/0!</v>
      </c>
      <c r="O42" s="228"/>
      <c r="P42" s="100" t="e">
        <f>O42/F42</f>
        <v>#DIV/0!</v>
      </c>
      <c r="Q42" s="228"/>
      <c r="R42" s="100" t="e">
        <f t="shared" si="47"/>
        <v>#DIV/0!</v>
      </c>
      <c r="S42" s="221">
        <f t="shared" si="48"/>
        <v>0</v>
      </c>
      <c r="T42" s="100" t="e">
        <f>S42/F42</f>
        <v>#DIV/0!</v>
      </c>
      <c r="U42" s="228"/>
      <c r="V42" s="100" t="e">
        <f>U42/F42</f>
        <v>#DIV/0!</v>
      </c>
      <c r="W42" s="228"/>
      <c r="X42" s="100" t="e">
        <f>W42/F42</f>
        <v>#DIV/0!</v>
      </c>
      <c r="Y42" s="228"/>
      <c r="Z42" s="100" t="e">
        <f>Y42/F42</f>
        <v>#DIV/0!</v>
      </c>
      <c r="AA42" s="228"/>
      <c r="AB42" s="100" t="e">
        <f t="shared" si="63"/>
        <v>#DIV/0!</v>
      </c>
      <c r="AC42" s="221">
        <f>SUM(Y42+AA42)</f>
        <v>0</v>
      </c>
      <c r="AD42" s="100" t="e">
        <f>AC42/F42</f>
        <v>#DIV/0!</v>
      </c>
      <c r="AE42" s="228"/>
      <c r="AF42" s="100" t="e">
        <f>AE42/F42</f>
        <v>#DIV/0!</v>
      </c>
      <c r="AG42" s="228"/>
      <c r="AH42" s="100" t="e">
        <f>AG42/F42</f>
        <v>#DIV/0!</v>
      </c>
      <c r="AI42" s="228"/>
      <c r="AJ42" s="100" t="e">
        <f>AI42/F42</f>
        <v>#DIV/0!</v>
      </c>
      <c r="AK42" s="228"/>
      <c r="AL42" s="100" t="e">
        <f>AK42/F42</f>
        <v>#DIV/0!</v>
      </c>
    </row>
    <row r="43" spans="2:38" ht="14.25">
      <c r="B43" s="97"/>
      <c r="C43" s="83"/>
      <c r="D43" s="344"/>
      <c r="E43" s="344"/>
      <c r="F43" s="222">
        <f t="shared" si="19"/>
        <v>0</v>
      </c>
      <c r="G43" s="289"/>
      <c r="H43" s="96"/>
      <c r="I43" s="228"/>
      <c r="J43" s="100" t="e">
        <f>I43/F43</f>
        <v>#DIV/0!</v>
      </c>
      <c r="K43" s="228"/>
      <c r="L43" s="100" t="e">
        <f>K43/F43</f>
        <v>#DIV/0!</v>
      </c>
      <c r="M43" s="221">
        <f>SUM(I43+K43)</f>
        <v>0</v>
      </c>
      <c r="N43" s="100" t="e">
        <f>M43/F43</f>
        <v>#DIV/0!</v>
      </c>
      <c r="O43" s="228"/>
      <c r="P43" s="100" t="e">
        <f>O43/F43</f>
        <v>#DIV/0!</v>
      </c>
      <c r="Q43" s="228"/>
      <c r="R43" s="100" t="e">
        <f t="shared" si="47"/>
        <v>#DIV/0!</v>
      </c>
      <c r="S43" s="221">
        <f t="shared" si="48"/>
        <v>0</v>
      </c>
      <c r="T43" s="100" t="e">
        <f>S43/F43</f>
        <v>#DIV/0!</v>
      </c>
      <c r="U43" s="228"/>
      <c r="V43" s="100" t="e">
        <f>U43/F43</f>
        <v>#DIV/0!</v>
      </c>
      <c r="W43" s="228"/>
      <c r="X43" s="100" t="e">
        <f>W43/F43</f>
        <v>#DIV/0!</v>
      </c>
      <c r="Y43" s="228"/>
      <c r="Z43" s="100" t="e">
        <f>Y43/F43</f>
        <v>#DIV/0!</v>
      </c>
      <c r="AA43" s="228"/>
      <c r="AB43" s="100" t="e">
        <f t="shared" si="63"/>
        <v>#DIV/0!</v>
      </c>
      <c r="AC43" s="221">
        <f>SUM(Y43+AA43)</f>
        <v>0</v>
      </c>
      <c r="AD43" s="100" t="e">
        <f>AC43/F43</f>
        <v>#DIV/0!</v>
      </c>
      <c r="AE43" s="228"/>
      <c r="AF43" s="100" t="e">
        <f>AE43/F43</f>
        <v>#DIV/0!</v>
      </c>
      <c r="AG43" s="228"/>
      <c r="AH43" s="100" t="e">
        <f>AG43/F43</f>
        <v>#DIV/0!</v>
      </c>
      <c r="AI43" s="228"/>
      <c r="AJ43" s="100" t="e">
        <f>AI43/F43</f>
        <v>#DIV/0!</v>
      </c>
      <c r="AK43" s="228"/>
      <c r="AL43" s="100" t="e">
        <f>AK43/F43</f>
        <v>#DIV/0!</v>
      </c>
    </row>
    <row r="44" spans="2:38" ht="14.25">
      <c r="B44" s="97"/>
      <c r="C44" s="83"/>
      <c r="D44" s="344"/>
      <c r="E44" s="344"/>
      <c r="F44" s="222">
        <f t="shared" si="19"/>
        <v>0</v>
      </c>
      <c r="G44" s="222"/>
      <c r="H44" s="96"/>
      <c r="I44" s="228"/>
      <c r="J44" s="100" t="e">
        <f>I44/F44</f>
        <v>#DIV/0!</v>
      </c>
      <c r="K44" s="228"/>
      <c r="L44" s="100" t="e">
        <f>K44/F44</f>
        <v>#DIV/0!</v>
      </c>
      <c r="M44" s="221">
        <f>SUM(I44+K44)</f>
        <v>0</v>
      </c>
      <c r="N44" s="100" t="e">
        <f>M44/F44</f>
        <v>#DIV/0!</v>
      </c>
      <c r="O44" s="228"/>
      <c r="P44" s="100" t="e">
        <f>O44/F44</f>
        <v>#DIV/0!</v>
      </c>
      <c r="Q44" s="228"/>
      <c r="R44" s="100" t="e">
        <f t="shared" si="47"/>
        <v>#DIV/0!</v>
      </c>
      <c r="S44" s="221">
        <f t="shared" si="48"/>
        <v>0</v>
      </c>
      <c r="T44" s="100" t="e">
        <f>S44/F44</f>
        <v>#DIV/0!</v>
      </c>
      <c r="U44" s="228"/>
      <c r="V44" s="100" t="e">
        <f>U44/F44</f>
        <v>#DIV/0!</v>
      </c>
      <c r="W44" s="228"/>
      <c r="X44" s="100" t="e">
        <f>W44/F44</f>
        <v>#DIV/0!</v>
      </c>
      <c r="Y44" s="228"/>
      <c r="Z44" s="100" t="e">
        <f>Y44/F44</f>
        <v>#DIV/0!</v>
      </c>
      <c r="AA44" s="228"/>
      <c r="AB44" s="100" t="e">
        <f t="shared" si="63"/>
        <v>#DIV/0!</v>
      </c>
      <c r="AC44" s="221">
        <f>SUM(Y44+AA44)</f>
        <v>0</v>
      </c>
      <c r="AD44" s="100" t="e">
        <f>AC44/F44</f>
        <v>#DIV/0!</v>
      </c>
      <c r="AE44" s="228"/>
      <c r="AF44" s="100" t="e">
        <f>AE44/F44</f>
        <v>#DIV/0!</v>
      </c>
      <c r="AG44" s="228"/>
      <c r="AH44" s="100" t="e">
        <f>AG44/F44</f>
        <v>#DIV/0!</v>
      </c>
      <c r="AI44" s="228"/>
      <c r="AJ44" s="100" t="e">
        <f>AI44/F44</f>
        <v>#DIV/0!</v>
      </c>
      <c r="AK44" s="228"/>
      <c r="AL44" s="100" t="e">
        <f>AK44/F44</f>
        <v>#DIV/0!</v>
      </c>
    </row>
    <row r="45" spans="2:38" ht="14.25">
      <c r="B45" s="97"/>
      <c r="C45" s="83"/>
      <c r="D45" s="344"/>
      <c r="E45" s="344"/>
      <c r="F45" s="222">
        <f t="shared" ref="F45:F48" si="69">SUM(M45,S45,U45,W45,AC45,AE45,AG45,AI45,AK45)</f>
        <v>0</v>
      </c>
      <c r="G45" s="222"/>
      <c r="H45" s="96"/>
      <c r="I45" s="228"/>
      <c r="J45" s="100" t="e">
        <f t="shared" ref="J45:J48" si="70">I45/F45</f>
        <v>#DIV/0!</v>
      </c>
      <c r="K45" s="228"/>
      <c r="L45" s="100" t="e">
        <f t="shared" ref="L45:L48" si="71">K45/F45</f>
        <v>#DIV/0!</v>
      </c>
      <c r="M45" s="221">
        <f t="shared" ref="M45:M48" si="72">SUM(I45+K45)</f>
        <v>0</v>
      </c>
      <c r="N45" s="100" t="e">
        <f t="shared" ref="N45:N48" si="73">M45/F45</f>
        <v>#DIV/0!</v>
      </c>
      <c r="O45" s="228"/>
      <c r="P45" s="100" t="e">
        <f t="shared" ref="P45:P48" si="74">O45/F45</f>
        <v>#DIV/0!</v>
      </c>
      <c r="Q45" s="228"/>
      <c r="R45" s="100" t="e">
        <f t="shared" ref="R45:R48" si="75">Q45/$F45</f>
        <v>#DIV/0!</v>
      </c>
      <c r="S45" s="221">
        <f t="shared" ref="S45:S48" si="76">SUM(O45+Q45)</f>
        <v>0</v>
      </c>
      <c r="T45" s="100" t="e">
        <f t="shared" ref="T45:T48" si="77">S45/F45</f>
        <v>#DIV/0!</v>
      </c>
      <c r="U45" s="228"/>
      <c r="V45" s="100" t="e">
        <f t="shared" ref="V45:V48" si="78">U45/F45</f>
        <v>#DIV/0!</v>
      </c>
      <c r="W45" s="228"/>
      <c r="X45" s="100" t="e">
        <f t="shared" ref="X45:X48" si="79">W45/F45</f>
        <v>#DIV/0!</v>
      </c>
      <c r="Y45" s="228"/>
      <c r="Z45" s="100" t="e">
        <f t="shared" ref="Z45:Z48" si="80">Y45/F45</f>
        <v>#DIV/0!</v>
      </c>
      <c r="AA45" s="228"/>
      <c r="AB45" s="100" t="e">
        <f t="shared" ref="AB45:AB48" si="81">AA45/$F45</f>
        <v>#DIV/0!</v>
      </c>
      <c r="AC45" s="221">
        <f t="shared" ref="AC45:AC48" si="82">SUM(Y45+AA45)</f>
        <v>0</v>
      </c>
      <c r="AD45" s="100" t="e">
        <f t="shared" ref="AD45:AD48" si="83">AC45/F45</f>
        <v>#DIV/0!</v>
      </c>
      <c r="AE45" s="228"/>
      <c r="AF45" s="100" t="e">
        <f t="shared" ref="AF45:AF48" si="84">AE45/F45</f>
        <v>#DIV/0!</v>
      </c>
      <c r="AG45" s="228"/>
      <c r="AH45" s="100" t="e">
        <f t="shared" ref="AH45:AH48" si="85">AG45/F45</f>
        <v>#DIV/0!</v>
      </c>
      <c r="AI45" s="228"/>
      <c r="AJ45" s="100" t="e">
        <f t="shared" ref="AJ45:AJ48" si="86">AI45/F45</f>
        <v>#DIV/0!</v>
      </c>
      <c r="AK45" s="228"/>
      <c r="AL45" s="100" t="e">
        <f t="shared" ref="AL45:AL48" si="87">AK45/F45</f>
        <v>#DIV/0!</v>
      </c>
    </row>
    <row r="46" spans="2:38" ht="14.25">
      <c r="B46" s="97"/>
      <c r="C46" s="83"/>
      <c r="D46" s="344"/>
      <c r="E46" s="344"/>
      <c r="F46" s="222">
        <f t="shared" si="69"/>
        <v>0</v>
      </c>
      <c r="G46" s="222"/>
      <c r="H46" s="96"/>
      <c r="I46" s="228"/>
      <c r="J46" s="100" t="e">
        <f t="shared" si="70"/>
        <v>#DIV/0!</v>
      </c>
      <c r="K46" s="228"/>
      <c r="L46" s="100" t="e">
        <f t="shared" si="71"/>
        <v>#DIV/0!</v>
      </c>
      <c r="M46" s="221">
        <f t="shared" si="72"/>
        <v>0</v>
      </c>
      <c r="N46" s="100" t="e">
        <f t="shared" si="73"/>
        <v>#DIV/0!</v>
      </c>
      <c r="O46" s="228"/>
      <c r="P46" s="100" t="e">
        <f t="shared" si="74"/>
        <v>#DIV/0!</v>
      </c>
      <c r="Q46" s="228"/>
      <c r="R46" s="100" t="e">
        <f t="shared" si="75"/>
        <v>#DIV/0!</v>
      </c>
      <c r="S46" s="221">
        <f t="shared" si="76"/>
        <v>0</v>
      </c>
      <c r="T46" s="100" t="e">
        <f t="shared" si="77"/>
        <v>#DIV/0!</v>
      </c>
      <c r="U46" s="228"/>
      <c r="V46" s="100" t="e">
        <f t="shared" si="78"/>
        <v>#DIV/0!</v>
      </c>
      <c r="W46" s="228"/>
      <c r="X46" s="100" t="e">
        <f t="shared" si="79"/>
        <v>#DIV/0!</v>
      </c>
      <c r="Y46" s="228"/>
      <c r="Z46" s="100" t="e">
        <f t="shared" si="80"/>
        <v>#DIV/0!</v>
      </c>
      <c r="AA46" s="228"/>
      <c r="AB46" s="100" t="e">
        <f t="shared" si="81"/>
        <v>#DIV/0!</v>
      </c>
      <c r="AC46" s="221">
        <f t="shared" si="82"/>
        <v>0</v>
      </c>
      <c r="AD46" s="100" t="e">
        <f t="shared" si="83"/>
        <v>#DIV/0!</v>
      </c>
      <c r="AE46" s="228"/>
      <c r="AF46" s="100" t="e">
        <f t="shared" si="84"/>
        <v>#DIV/0!</v>
      </c>
      <c r="AG46" s="228"/>
      <c r="AH46" s="100" t="e">
        <f t="shared" si="85"/>
        <v>#DIV/0!</v>
      </c>
      <c r="AI46" s="228"/>
      <c r="AJ46" s="100" t="e">
        <f t="shared" si="86"/>
        <v>#DIV/0!</v>
      </c>
      <c r="AK46" s="228"/>
      <c r="AL46" s="100" t="e">
        <f t="shared" si="87"/>
        <v>#DIV/0!</v>
      </c>
    </row>
    <row r="47" spans="2:38" ht="14.25">
      <c r="B47" s="97"/>
      <c r="C47" s="83"/>
      <c r="D47" s="344"/>
      <c r="E47" s="344"/>
      <c r="F47" s="222">
        <f t="shared" si="69"/>
        <v>0</v>
      </c>
      <c r="G47" s="222"/>
      <c r="H47" s="96"/>
      <c r="I47" s="228"/>
      <c r="J47" s="100" t="e">
        <f t="shared" si="70"/>
        <v>#DIV/0!</v>
      </c>
      <c r="K47" s="228"/>
      <c r="L47" s="100" t="e">
        <f t="shared" si="71"/>
        <v>#DIV/0!</v>
      </c>
      <c r="M47" s="221">
        <f t="shared" si="72"/>
        <v>0</v>
      </c>
      <c r="N47" s="100" t="e">
        <f t="shared" si="73"/>
        <v>#DIV/0!</v>
      </c>
      <c r="O47" s="228"/>
      <c r="P47" s="100" t="e">
        <f t="shared" si="74"/>
        <v>#DIV/0!</v>
      </c>
      <c r="Q47" s="228"/>
      <c r="R47" s="100" t="e">
        <f t="shared" si="75"/>
        <v>#DIV/0!</v>
      </c>
      <c r="S47" s="221">
        <f t="shared" si="76"/>
        <v>0</v>
      </c>
      <c r="T47" s="100" t="e">
        <f t="shared" si="77"/>
        <v>#DIV/0!</v>
      </c>
      <c r="U47" s="228"/>
      <c r="V47" s="100" t="e">
        <f t="shared" si="78"/>
        <v>#DIV/0!</v>
      </c>
      <c r="W47" s="228"/>
      <c r="X47" s="100" t="e">
        <f t="shared" si="79"/>
        <v>#DIV/0!</v>
      </c>
      <c r="Y47" s="228"/>
      <c r="Z47" s="100" t="e">
        <f t="shared" si="80"/>
        <v>#DIV/0!</v>
      </c>
      <c r="AA47" s="228"/>
      <c r="AB47" s="100" t="e">
        <f t="shared" si="81"/>
        <v>#DIV/0!</v>
      </c>
      <c r="AC47" s="221">
        <f t="shared" si="82"/>
        <v>0</v>
      </c>
      <c r="AD47" s="100" t="e">
        <f t="shared" si="83"/>
        <v>#DIV/0!</v>
      </c>
      <c r="AE47" s="228"/>
      <c r="AF47" s="100" t="e">
        <f t="shared" si="84"/>
        <v>#DIV/0!</v>
      </c>
      <c r="AG47" s="228"/>
      <c r="AH47" s="100" t="e">
        <f t="shared" si="85"/>
        <v>#DIV/0!</v>
      </c>
      <c r="AI47" s="228"/>
      <c r="AJ47" s="100" t="e">
        <f t="shared" si="86"/>
        <v>#DIV/0!</v>
      </c>
      <c r="AK47" s="228"/>
      <c r="AL47" s="100" t="e">
        <f t="shared" si="87"/>
        <v>#DIV/0!</v>
      </c>
    </row>
    <row r="48" spans="2:38" ht="14.25">
      <c r="B48" s="97"/>
      <c r="C48" s="83"/>
      <c r="D48" s="344"/>
      <c r="E48" s="344"/>
      <c r="F48" s="222">
        <f t="shared" si="69"/>
        <v>0</v>
      </c>
      <c r="G48" s="222"/>
      <c r="H48" s="96"/>
      <c r="I48" s="228"/>
      <c r="J48" s="100" t="e">
        <f t="shared" si="70"/>
        <v>#DIV/0!</v>
      </c>
      <c r="K48" s="228"/>
      <c r="L48" s="100" t="e">
        <f t="shared" si="71"/>
        <v>#DIV/0!</v>
      </c>
      <c r="M48" s="221">
        <f t="shared" si="72"/>
        <v>0</v>
      </c>
      <c r="N48" s="100" t="e">
        <f t="shared" si="73"/>
        <v>#DIV/0!</v>
      </c>
      <c r="O48" s="228"/>
      <c r="P48" s="100" t="e">
        <f t="shared" si="74"/>
        <v>#DIV/0!</v>
      </c>
      <c r="Q48" s="228"/>
      <c r="R48" s="100" t="e">
        <f t="shared" si="75"/>
        <v>#DIV/0!</v>
      </c>
      <c r="S48" s="221">
        <f t="shared" si="76"/>
        <v>0</v>
      </c>
      <c r="T48" s="100" t="e">
        <f t="shared" si="77"/>
        <v>#DIV/0!</v>
      </c>
      <c r="U48" s="228"/>
      <c r="V48" s="100" t="e">
        <f t="shared" si="78"/>
        <v>#DIV/0!</v>
      </c>
      <c r="W48" s="228"/>
      <c r="X48" s="100" t="e">
        <f t="shared" si="79"/>
        <v>#DIV/0!</v>
      </c>
      <c r="Y48" s="228"/>
      <c r="Z48" s="100" t="e">
        <f t="shared" si="80"/>
        <v>#DIV/0!</v>
      </c>
      <c r="AA48" s="228"/>
      <c r="AB48" s="100" t="e">
        <f t="shared" si="81"/>
        <v>#DIV/0!</v>
      </c>
      <c r="AC48" s="221">
        <f t="shared" si="82"/>
        <v>0</v>
      </c>
      <c r="AD48" s="100" t="e">
        <f t="shared" si="83"/>
        <v>#DIV/0!</v>
      </c>
      <c r="AE48" s="228"/>
      <c r="AF48" s="100" t="e">
        <f t="shared" si="84"/>
        <v>#DIV/0!</v>
      </c>
      <c r="AG48" s="228"/>
      <c r="AH48" s="100" t="e">
        <f t="shared" si="85"/>
        <v>#DIV/0!</v>
      </c>
      <c r="AI48" s="228"/>
      <c r="AJ48" s="100" t="e">
        <f t="shared" si="86"/>
        <v>#DIV/0!</v>
      </c>
      <c r="AK48" s="228"/>
      <c r="AL48" s="100" t="e">
        <f t="shared" si="87"/>
        <v>#DIV/0!</v>
      </c>
    </row>
    <row r="49" spans="1:46" ht="14.25">
      <c r="B49" s="97"/>
      <c r="C49" s="83"/>
      <c r="D49" s="344"/>
      <c r="E49" s="344"/>
      <c r="F49" s="222">
        <f t="shared" si="19"/>
        <v>0</v>
      </c>
      <c r="G49" s="222"/>
      <c r="H49" s="96"/>
      <c r="I49" s="228"/>
      <c r="J49" s="100" t="e">
        <f>I49/F49</f>
        <v>#DIV/0!</v>
      </c>
      <c r="K49" s="228"/>
      <c r="L49" s="100" t="e">
        <f>K49/F49</f>
        <v>#DIV/0!</v>
      </c>
      <c r="M49" s="221">
        <f>SUM(I49+K49)</f>
        <v>0</v>
      </c>
      <c r="N49" s="100" t="e">
        <f>M49/F49</f>
        <v>#DIV/0!</v>
      </c>
      <c r="O49" s="228"/>
      <c r="P49" s="100" t="e">
        <f>O49/F49</f>
        <v>#DIV/0!</v>
      </c>
      <c r="Q49" s="228"/>
      <c r="R49" s="100" t="e">
        <f t="shared" si="47"/>
        <v>#DIV/0!</v>
      </c>
      <c r="S49" s="221">
        <f t="shared" si="48"/>
        <v>0</v>
      </c>
      <c r="T49" s="100" t="e">
        <f>S49/F49</f>
        <v>#DIV/0!</v>
      </c>
      <c r="U49" s="228"/>
      <c r="V49" s="100" t="e">
        <f>U49/F49</f>
        <v>#DIV/0!</v>
      </c>
      <c r="W49" s="228"/>
      <c r="X49" s="100" t="e">
        <f>W49/F49</f>
        <v>#DIV/0!</v>
      </c>
      <c r="Y49" s="228"/>
      <c r="Z49" s="100" t="e">
        <f>Y49/F49</f>
        <v>#DIV/0!</v>
      </c>
      <c r="AA49" s="228"/>
      <c r="AB49" s="100" t="e">
        <f t="shared" si="63"/>
        <v>#DIV/0!</v>
      </c>
      <c r="AC49" s="221">
        <f>SUM(Y49+AA49)</f>
        <v>0</v>
      </c>
      <c r="AD49" s="100" t="e">
        <f>AC49/F49</f>
        <v>#DIV/0!</v>
      </c>
      <c r="AE49" s="228"/>
      <c r="AF49" s="100" t="e">
        <f>AE49/F49</f>
        <v>#DIV/0!</v>
      </c>
      <c r="AG49" s="228"/>
      <c r="AH49" s="100" t="e">
        <f>AG49/F49</f>
        <v>#DIV/0!</v>
      </c>
      <c r="AI49" s="228"/>
      <c r="AJ49" s="100" t="e">
        <f>AI49/F49</f>
        <v>#DIV/0!</v>
      </c>
      <c r="AK49" s="228"/>
      <c r="AL49" s="100" t="e">
        <f>AK49/F49</f>
        <v>#DIV/0!</v>
      </c>
    </row>
    <row r="50" spans="1:46" ht="14.25">
      <c r="B50" s="97"/>
      <c r="C50" s="83"/>
      <c r="D50" s="344"/>
      <c r="E50" s="344"/>
      <c r="F50" s="96"/>
      <c r="G50" s="96"/>
      <c r="H50" s="96"/>
      <c r="I50" s="262">
        <f>SUM(I7:I49)</f>
        <v>13942272.32459875</v>
      </c>
      <c r="J50" s="258">
        <f>I50/$H$12</f>
        <v>0.12159933373552329</v>
      </c>
      <c r="K50" s="262">
        <f>SUM(K7:K49)</f>
        <v>17503195.034876414</v>
      </c>
      <c r="L50" s="258">
        <f>K50/$H$12</f>
        <v>0.1526563823264831</v>
      </c>
      <c r="M50" s="262">
        <f>SUM(M8:M49)</f>
        <v>28954777.380487207</v>
      </c>
      <c r="N50" s="258" t="e">
        <f>M50/$H$8</f>
        <v>#DIV/0!</v>
      </c>
      <c r="O50" s="262">
        <f>SUM(O7:O49)</f>
        <v>3118891.5572437439</v>
      </c>
      <c r="P50" s="258">
        <f>O50/$H$12</f>
        <v>2.7201816642546655E-2</v>
      </c>
      <c r="Q50" s="262">
        <f>SUM(Q7:Q49)</f>
        <v>0</v>
      </c>
      <c r="R50" s="258">
        <f>Q50/$H$12</f>
        <v>0</v>
      </c>
      <c r="S50" s="262">
        <f>SUM(S8:S49)</f>
        <v>2891690.3087193025</v>
      </c>
      <c r="T50" s="258" t="e">
        <f>S50/$H$8</f>
        <v>#DIV/0!</v>
      </c>
      <c r="U50" s="262">
        <f>SUM(U7:U49)</f>
        <v>14152957.415717203</v>
      </c>
      <c r="V50" s="258">
        <f>U50/$H$12</f>
        <v>0.12343685104343093</v>
      </c>
      <c r="W50" s="262">
        <f>SUM(W7:W49)</f>
        <v>0</v>
      </c>
      <c r="X50" s="258">
        <f>W50/$H$12</f>
        <v>0</v>
      </c>
      <c r="Y50" s="262">
        <f>SUM(Y7:Y49)</f>
        <v>10008579.44240813</v>
      </c>
      <c r="Z50" s="258">
        <f>Y50/$H$12</f>
        <v>8.72911218129509E-2</v>
      </c>
      <c r="AA50" s="262">
        <f>SUM(AA7:AA49)</f>
        <v>15982308.78392485</v>
      </c>
      <c r="AB50" s="258">
        <f>AA50/$H$12</f>
        <v>0.13939177591961102</v>
      </c>
      <c r="AC50" s="262">
        <f>SUM(AC8:AC49)</f>
        <v>24021278.775205236</v>
      </c>
      <c r="AD50" s="258" t="e">
        <f>AC50/$H$8</f>
        <v>#DIV/0!</v>
      </c>
      <c r="AE50" s="262">
        <f>SUM(AE7:AE49)</f>
        <v>18058367.995969899</v>
      </c>
      <c r="AF50" s="258">
        <f>AE50/$H$12</f>
        <v>0.15749839520682529</v>
      </c>
      <c r="AG50" s="262">
        <f>SUM(AG7:AG49)</f>
        <v>11373974.206317561</v>
      </c>
      <c r="AH50" s="258">
        <f>AG50/$H$12</f>
        <v>9.9199589077962336E-2</v>
      </c>
      <c r="AI50" s="262">
        <f>SUM(AI7:AI49)</f>
        <v>10557248.601501295</v>
      </c>
      <c r="AJ50" s="258">
        <f>AI50/$H$12</f>
        <v>9.207641094184324E-2</v>
      </c>
      <c r="AK50" s="262">
        <f>SUM(AK7:AK49)</f>
        <v>9428527.6374421474</v>
      </c>
      <c r="AL50" s="258">
        <f>AK50/$H$12</f>
        <v>8.223212487372844E-2</v>
      </c>
    </row>
    <row r="51" spans="1:46" ht="14.25">
      <c r="B51" s="97"/>
      <c r="C51" s="83"/>
      <c r="D51" s="344"/>
      <c r="E51" s="344"/>
      <c r="F51" s="96"/>
      <c r="G51" s="96"/>
      <c r="H51" s="96"/>
      <c r="I51" s="259"/>
      <c r="J51" s="260"/>
      <c r="K51" s="259"/>
      <c r="L51" s="260"/>
      <c r="M51" s="261">
        <f>M50</f>
        <v>28954777.380487207</v>
      </c>
      <c r="N51" s="260"/>
      <c r="O51" s="259"/>
      <c r="P51" s="260"/>
      <c r="Q51" s="259"/>
      <c r="R51" s="260"/>
      <c r="S51" s="261">
        <f>S50</f>
        <v>2891690.3087193025</v>
      </c>
      <c r="T51" s="260"/>
      <c r="U51" s="261">
        <f>U50</f>
        <v>14152957.415717203</v>
      </c>
      <c r="V51" s="260"/>
      <c r="W51" s="261">
        <f>W50</f>
        <v>0</v>
      </c>
      <c r="X51" s="260"/>
      <c r="Y51" s="259"/>
      <c r="Z51" s="260"/>
      <c r="AA51" s="259"/>
      <c r="AB51" s="260"/>
      <c r="AC51" s="261">
        <f>AC50</f>
        <v>24021278.775205236</v>
      </c>
      <c r="AD51" s="260"/>
      <c r="AE51" s="261">
        <f>AE50</f>
        <v>18058367.995969899</v>
      </c>
      <c r="AF51" s="260"/>
      <c r="AG51" s="261">
        <f>AG50</f>
        <v>11373974.206317561</v>
      </c>
      <c r="AH51" s="260"/>
      <c r="AI51" s="261">
        <f>AI50</f>
        <v>10557248.601501295</v>
      </c>
      <c r="AJ51" s="260"/>
      <c r="AK51" s="261">
        <f>AK50</f>
        <v>9428527.6374421474</v>
      </c>
      <c r="AL51" s="260"/>
    </row>
    <row r="52" spans="1:46" ht="14.25">
      <c r="B52" s="97"/>
      <c r="C52" s="83"/>
      <c r="D52" s="344"/>
      <c r="E52" s="344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E12" sqref="AE12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301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42" t="s">
        <v>148</v>
      </c>
      <c r="G3" s="643"/>
      <c r="H3" s="643"/>
      <c r="I3" s="641" t="s">
        <v>299</v>
      </c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  <c r="AH3" s="641"/>
      <c r="AI3" s="641"/>
      <c r="AJ3" s="641"/>
      <c r="AK3" s="641"/>
      <c r="AL3" s="641"/>
    </row>
    <row r="4" spans="1:38" ht="25.35" customHeight="1">
      <c r="B4" s="97"/>
      <c r="C4" s="634"/>
      <c r="D4" s="635"/>
      <c r="E4" s="635"/>
      <c r="F4" s="643"/>
      <c r="G4" s="643"/>
      <c r="H4" s="643"/>
      <c r="I4" s="638" t="s">
        <v>140</v>
      </c>
      <c r="J4" s="638"/>
      <c r="K4" s="638"/>
      <c r="L4" s="638"/>
      <c r="M4" s="638"/>
      <c r="N4" s="638"/>
      <c r="O4" s="638" t="s">
        <v>141</v>
      </c>
      <c r="P4" s="638"/>
      <c r="Q4" s="638"/>
      <c r="R4" s="638"/>
      <c r="S4" s="638"/>
      <c r="T4" s="638"/>
      <c r="U4" s="638" t="s">
        <v>142</v>
      </c>
      <c r="V4" s="638"/>
      <c r="W4" s="638" t="s">
        <v>143</v>
      </c>
      <c r="X4" s="638"/>
      <c r="Y4" s="638" t="s">
        <v>134</v>
      </c>
      <c r="Z4" s="638"/>
      <c r="AA4" s="638"/>
      <c r="AB4" s="638"/>
      <c r="AC4" s="638"/>
      <c r="AD4" s="638"/>
      <c r="AE4" s="638" t="s">
        <v>132</v>
      </c>
      <c r="AF4" s="638"/>
      <c r="AG4" s="638" t="s">
        <v>144</v>
      </c>
      <c r="AH4" s="638"/>
      <c r="AI4" s="638" t="s">
        <v>145</v>
      </c>
      <c r="AJ4" s="638"/>
      <c r="AK4" s="638" t="s">
        <v>138</v>
      </c>
      <c r="AL4" s="638"/>
    </row>
    <row r="5" spans="1:38" ht="25.35" customHeight="1">
      <c r="B5" s="97"/>
      <c r="C5" s="634"/>
      <c r="D5" s="635"/>
      <c r="E5" s="635"/>
      <c r="F5" s="640" t="s">
        <v>115</v>
      </c>
      <c r="G5" s="640" t="s">
        <v>117</v>
      </c>
      <c r="H5" s="640" t="s">
        <v>118</v>
      </c>
      <c r="I5" s="638" t="s">
        <v>129</v>
      </c>
      <c r="J5" s="638"/>
      <c r="K5" s="638" t="s">
        <v>130</v>
      </c>
      <c r="L5" s="638"/>
      <c r="M5" s="639" t="s">
        <v>146</v>
      </c>
      <c r="N5" s="638"/>
      <c r="O5" s="638" t="s">
        <v>129</v>
      </c>
      <c r="P5" s="638"/>
      <c r="Q5" s="638" t="s">
        <v>130</v>
      </c>
      <c r="R5" s="638"/>
      <c r="S5" s="639" t="s">
        <v>146</v>
      </c>
      <c r="T5" s="638"/>
      <c r="U5" s="638" t="s">
        <v>129</v>
      </c>
      <c r="V5" s="638"/>
      <c r="W5" s="638" t="s">
        <v>129</v>
      </c>
      <c r="X5" s="638"/>
      <c r="Y5" s="638" t="s">
        <v>129</v>
      </c>
      <c r="Z5" s="638"/>
      <c r="AA5" s="638" t="s">
        <v>130</v>
      </c>
      <c r="AB5" s="638"/>
      <c r="AC5" s="639" t="s">
        <v>146</v>
      </c>
      <c r="AD5" s="638"/>
      <c r="AE5" s="638" t="s">
        <v>129</v>
      </c>
      <c r="AF5" s="638"/>
      <c r="AG5" s="638" t="s">
        <v>129</v>
      </c>
      <c r="AH5" s="638"/>
      <c r="AI5" s="638" t="s">
        <v>129</v>
      </c>
      <c r="AJ5" s="638"/>
      <c r="AK5" s="638" t="s">
        <v>129</v>
      </c>
      <c r="AL5" s="638"/>
    </row>
    <row r="6" spans="1:38" s="80" customFormat="1" ht="23.45" customHeight="1">
      <c r="B6" s="97"/>
      <c r="C6" s="634"/>
      <c r="D6" s="635"/>
      <c r="E6" s="635"/>
      <c r="F6" s="640"/>
      <c r="G6" s="640"/>
      <c r="H6" s="640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87">
        <f t="shared" ref="F7" si="0">SUM(M7,S7,U7,W7,AC7,AE7,AG7,AI7,AK7)</f>
        <v>310731</v>
      </c>
      <c r="G7" s="293"/>
      <c r="H7" s="87"/>
      <c r="I7" s="229">
        <v>58659</v>
      </c>
      <c r="J7" s="100">
        <f t="shared" ref="J7:J13" si="1">I7/F7</f>
        <v>0.18877743128300684</v>
      </c>
      <c r="K7" s="229">
        <v>69362</v>
      </c>
      <c r="L7" s="100">
        <f t="shared" ref="L7:L13" si="2">K7/F7</f>
        <v>0.22322201518355106</v>
      </c>
      <c r="M7" s="105">
        <f t="shared" ref="M7:M13" si="3">SUM(I7+K7)</f>
        <v>128021</v>
      </c>
      <c r="N7" s="100">
        <f t="shared" ref="N7:N13" si="4">M7/F7</f>
        <v>0.41199944646655789</v>
      </c>
      <c r="O7" s="229">
        <v>8192</v>
      </c>
      <c r="P7" s="100">
        <f t="shared" ref="P7:P13" si="5">O7/F7</f>
        <v>2.6363639289288806E-2</v>
      </c>
      <c r="Q7" s="229"/>
      <c r="R7" s="100">
        <f t="shared" ref="R7:R13" si="6">Q7/F7</f>
        <v>0</v>
      </c>
      <c r="S7" s="105">
        <f t="shared" ref="S7:S13" si="7">SUM(O7+Q7)</f>
        <v>8192</v>
      </c>
      <c r="T7" s="100">
        <f t="shared" ref="T7:T13" si="8">S7/F7</f>
        <v>2.6363639289288806E-2</v>
      </c>
      <c r="U7" s="229">
        <v>32286</v>
      </c>
      <c r="V7" s="100">
        <f t="shared" ref="V7:V13" si="9">U7/F7</f>
        <v>0.10390337623217509</v>
      </c>
      <c r="W7" s="229"/>
      <c r="X7" s="100">
        <f t="shared" ref="X7:X13" si="10">W7/F7</f>
        <v>0</v>
      </c>
      <c r="Y7" s="229">
        <v>26535</v>
      </c>
      <c r="Z7" s="100">
        <f t="shared" ref="Z7:Z13" si="11">Y7/F7</f>
        <v>8.5395406316074035E-2</v>
      </c>
      <c r="AA7" s="229">
        <v>23993</v>
      </c>
      <c r="AB7" s="100">
        <f t="shared" ref="AB7:AB13" si="12">AA7/F7</f>
        <v>7.7214696956531534E-2</v>
      </c>
      <c r="AC7" s="105">
        <f t="shared" ref="AC7:AC13" si="13">SUM(Y7+AA7)</f>
        <v>50528</v>
      </c>
      <c r="AD7" s="100">
        <f t="shared" ref="AD7:AD13" si="14">AC7/F7</f>
        <v>0.16261010327260556</v>
      </c>
      <c r="AE7" s="229">
        <v>23115</v>
      </c>
      <c r="AF7" s="100">
        <f t="shared" ref="AF7:AF13" si="15">AE7/F7</f>
        <v>7.4389101827625828E-2</v>
      </c>
      <c r="AG7" s="229">
        <v>21609</v>
      </c>
      <c r="AH7" s="100">
        <f t="shared" ref="AH7:AH13" si="16">AG7/F7</f>
        <v>6.9542465991484601E-2</v>
      </c>
      <c r="AI7" s="229">
        <v>21005</v>
      </c>
      <c r="AJ7" s="100">
        <f t="shared" ref="AJ7:AJ13" si="17">AI7/F7</f>
        <v>6.759866250872941E-2</v>
      </c>
      <c r="AK7" s="229">
        <v>25975</v>
      </c>
      <c r="AL7" s="100">
        <f t="shared" ref="AL7:AL13" si="18">AK7/F7</f>
        <v>8.3593204411532798E-2</v>
      </c>
    </row>
    <row r="8" spans="1:38" ht="14.25">
      <c r="B8" s="97"/>
      <c r="C8" s="83"/>
      <c r="D8" s="291">
        <f t="shared" ref="D8" si="19">D7+1</f>
        <v>46267</v>
      </c>
      <c r="E8" s="291" t="s">
        <v>440</v>
      </c>
      <c r="F8" s="87">
        <f>SUM(M8,S8,U8,W8,AC8,AE8,AG8,AI8,AK8)</f>
        <v>288038</v>
      </c>
      <c r="G8" s="293">
        <f>SUM(F7:F13)</f>
        <v>1983602</v>
      </c>
      <c r="H8" s="306"/>
      <c r="I8" s="229">
        <v>51569</v>
      </c>
      <c r="J8" s="100">
        <f t="shared" si="1"/>
        <v>0.17903540505072246</v>
      </c>
      <c r="K8" s="229">
        <v>65881</v>
      </c>
      <c r="L8" s="100">
        <f t="shared" si="2"/>
        <v>0.2287232934543359</v>
      </c>
      <c r="M8" s="105">
        <f t="shared" si="3"/>
        <v>117450</v>
      </c>
      <c r="N8" s="100">
        <f t="shared" si="4"/>
        <v>0.40775869850505836</v>
      </c>
      <c r="O8" s="229">
        <v>8105</v>
      </c>
      <c r="P8" s="100">
        <f t="shared" si="5"/>
        <v>2.8138648372784146E-2</v>
      </c>
      <c r="Q8" s="229"/>
      <c r="R8" s="100">
        <f t="shared" si="6"/>
        <v>0</v>
      </c>
      <c r="S8" s="105">
        <f t="shared" si="7"/>
        <v>8105</v>
      </c>
      <c r="T8" s="100">
        <f t="shared" si="8"/>
        <v>2.8138648372784146E-2</v>
      </c>
      <c r="U8" s="229">
        <v>29482</v>
      </c>
      <c r="V8" s="100">
        <f t="shared" si="9"/>
        <v>0.10235455044126122</v>
      </c>
      <c r="W8" s="229"/>
      <c r="X8" s="100">
        <f t="shared" si="10"/>
        <v>0</v>
      </c>
      <c r="Y8" s="229">
        <v>26903</v>
      </c>
      <c r="Z8" s="100">
        <f t="shared" si="11"/>
        <v>9.3400870718446868E-2</v>
      </c>
      <c r="AA8" s="229">
        <v>23008</v>
      </c>
      <c r="AB8" s="100">
        <f t="shared" si="12"/>
        <v>7.9878349384456218E-2</v>
      </c>
      <c r="AC8" s="105">
        <f t="shared" si="13"/>
        <v>49911</v>
      </c>
      <c r="AD8" s="100">
        <f t="shared" si="14"/>
        <v>0.17327922010290309</v>
      </c>
      <c r="AE8" s="229">
        <v>22009</v>
      </c>
      <c r="AF8" s="100">
        <f t="shared" si="15"/>
        <v>7.6410057006367216E-2</v>
      </c>
      <c r="AG8" s="229">
        <v>18193</v>
      </c>
      <c r="AH8" s="100">
        <f t="shared" si="16"/>
        <v>6.3161805039612828E-2</v>
      </c>
      <c r="AI8" s="229">
        <v>19448</v>
      </c>
      <c r="AJ8" s="100">
        <f t="shared" si="17"/>
        <v>6.7518869038113022E-2</v>
      </c>
      <c r="AK8" s="229">
        <v>23440</v>
      </c>
      <c r="AL8" s="100">
        <f t="shared" si="18"/>
        <v>8.1378151493900111E-2</v>
      </c>
    </row>
    <row r="9" spans="1:38" ht="14.25">
      <c r="B9" s="97"/>
      <c r="C9" s="83"/>
      <c r="D9" s="291">
        <f>D8+1</f>
        <v>46268</v>
      </c>
      <c r="E9" s="291" t="s">
        <v>441</v>
      </c>
      <c r="F9" s="87">
        <f t="shared" ref="F9:F44" si="20">SUM(M9,S9,U9,W9,AC9,AE9,AG9,AI9,AK9)</f>
        <v>265421</v>
      </c>
      <c r="G9" s="293"/>
      <c r="I9" s="229">
        <v>47863</v>
      </c>
      <c r="J9" s="100">
        <f t="shared" si="1"/>
        <v>0.18032861001955383</v>
      </c>
      <c r="K9" s="229">
        <v>59715</v>
      </c>
      <c r="L9" s="100">
        <f t="shared" si="2"/>
        <v>0.22498219809284117</v>
      </c>
      <c r="M9" s="105">
        <f t="shared" si="3"/>
        <v>107578</v>
      </c>
      <c r="N9" s="100">
        <f t="shared" si="4"/>
        <v>0.405310808112395</v>
      </c>
      <c r="O9" s="229">
        <v>7908</v>
      </c>
      <c r="P9" s="100">
        <f t="shared" si="5"/>
        <v>2.9794176044849505E-2</v>
      </c>
      <c r="Q9" s="229"/>
      <c r="R9" s="100">
        <f t="shared" si="6"/>
        <v>0</v>
      </c>
      <c r="S9" s="105">
        <f t="shared" si="7"/>
        <v>7908</v>
      </c>
      <c r="T9" s="100">
        <f t="shared" si="8"/>
        <v>2.9794176044849505E-2</v>
      </c>
      <c r="U9" s="229">
        <v>26814</v>
      </c>
      <c r="V9" s="100">
        <f t="shared" si="9"/>
        <v>0.10102441027650412</v>
      </c>
      <c r="W9" s="229"/>
      <c r="X9" s="100">
        <f t="shared" si="10"/>
        <v>0</v>
      </c>
      <c r="Y9" s="229">
        <v>25255</v>
      </c>
      <c r="Z9" s="100">
        <f t="shared" si="11"/>
        <v>9.5150722813944641E-2</v>
      </c>
      <c r="AA9" s="229">
        <v>17994</v>
      </c>
      <c r="AB9" s="100">
        <f t="shared" si="12"/>
        <v>6.7794183580048295E-2</v>
      </c>
      <c r="AC9" s="105">
        <f t="shared" si="13"/>
        <v>43249</v>
      </c>
      <c r="AD9" s="100">
        <f t="shared" si="14"/>
        <v>0.16294490639399295</v>
      </c>
      <c r="AE9" s="229">
        <v>21438</v>
      </c>
      <c r="AF9" s="100">
        <f t="shared" si="15"/>
        <v>8.0769795909140574E-2</v>
      </c>
      <c r="AG9" s="229">
        <v>16918</v>
      </c>
      <c r="AH9" s="100">
        <f t="shared" si="16"/>
        <v>6.3740246627056643E-2</v>
      </c>
      <c r="AI9" s="229">
        <v>18953</v>
      </c>
      <c r="AJ9" s="100">
        <f t="shared" si="17"/>
        <v>7.1407311403393098E-2</v>
      </c>
      <c r="AK9" s="229">
        <v>22563</v>
      </c>
      <c r="AL9" s="100">
        <f t="shared" si="18"/>
        <v>8.5008345232668106E-2</v>
      </c>
    </row>
    <row r="10" spans="1:38" ht="14.25">
      <c r="B10" s="97"/>
      <c r="C10" s="83"/>
      <c r="D10" s="291">
        <f t="shared" ref="D10:D36" si="21">D9+1</f>
        <v>46269</v>
      </c>
      <c r="E10" s="291" t="s">
        <v>442</v>
      </c>
      <c r="F10" s="87">
        <f t="shared" si="20"/>
        <v>233074</v>
      </c>
      <c r="G10" s="293"/>
      <c r="H10" s="330"/>
      <c r="I10" s="229">
        <v>44117</v>
      </c>
      <c r="J10" s="100">
        <f t="shared" si="1"/>
        <v>0.18928323193492197</v>
      </c>
      <c r="K10" s="229">
        <v>54144</v>
      </c>
      <c r="L10" s="100">
        <f t="shared" si="2"/>
        <v>0.23230390348129779</v>
      </c>
      <c r="M10" s="105">
        <f t="shared" si="3"/>
        <v>98261</v>
      </c>
      <c r="N10" s="100">
        <f t="shared" si="4"/>
        <v>0.42158713541621973</v>
      </c>
      <c r="O10" s="229">
        <v>6421</v>
      </c>
      <c r="P10" s="100">
        <f t="shared" si="5"/>
        <v>2.7549190385886029E-2</v>
      </c>
      <c r="Q10" s="229"/>
      <c r="R10" s="100">
        <f t="shared" si="6"/>
        <v>0</v>
      </c>
      <c r="S10" s="105">
        <f t="shared" si="7"/>
        <v>6421</v>
      </c>
      <c r="T10" s="100">
        <f t="shared" si="8"/>
        <v>2.7549190385886029E-2</v>
      </c>
      <c r="U10" s="229">
        <v>23823</v>
      </c>
      <c r="V10" s="100">
        <f t="shared" si="9"/>
        <v>0.10221217295794469</v>
      </c>
      <c r="W10" s="229"/>
      <c r="X10" s="100">
        <f t="shared" si="10"/>
        <v>0</v>
      </c>
      <c r="Y10" s="229">
        <v>22129</v>
      </c>
      <c r="Z10" s="100">
        <f t="shared" si="11"/>
        <v>9.4944095008452245E-2</v>
      </c>
      <c r="AA10" s="229">
        <v>18357</v>
      </c>
      <c r="AB10" s="100">
        <f t="shared" si="12"/>
        <v>7.8760393694706402E-2</v>
      </c>
      <c r="AC10" s="105">
        <f t="shared" si="13"/>
        <v>40486</v>
      </c>
      <c r="AD10" s="100">
        <f t="shared" si="14"/>
        <v>0.17370448870315866</v>
      </c>
      <c r="AE10" s="229">
        <v>15459</v>
      </c>
      <c r="AF10" s="100">
        <f t="shared" si="15"/>
        <v>6.632657439268215E-2</v>
      </c>
      <c r="AG10" s="229">
        <v>12873</v>
      </c>
      <c r="AH10" s="100">
        <f t="shared" si="16"/>
        <v>5.5231385740151198E-2</v>
      </c>
      <c r="AI10" s="229">
        <v>18496</v>
      </c>
      <c r="AJ10" s="100">
        <f t="shared" si="17"/>
        <v>7.9356770810987062E-2</v>
      </c>
      <c r="AK10" s="229">
        <v>17255</v>
      </c>
      <c r="AL10" s="100">
        <f t="shared" si="18"/>
        <v>7.403228159297047E-2</v>
      </c>
    </row>
    <row r="11" spans="1:38" ht="14.25">
      <c r="B11" s="97"/>
      <c r="C11" s="83"/>
      <c r="D11" s="291">
        <f t="shared" si="21"/>
        <v>46270</v>
      </c>
      <c r="E11" s="291" t="s">
        <v>443</v>
      </c>
      <c r="F11" s="87">
        <f t="shared" si="20"/>
        <v>246794</v>
      </c>
      <c r="G11" s="293"/>
      <c r="H11" s="330"/>
      <c r="I11" s="229">
        <v>39918</v>
      </c>
      <c r="J11" s="100">
        <f t="shared" si="1"/>
        <v>0.16174623370098137</v>
      </c>
      <c r="K11" s="229">
        <v>59747</v>
      </c>
      <c r="L11" s="100">
        <f t="shared" si="2"/>
        <v>0.24209259544397352</v>
      </c>
      <c r="M11" s="105">
        <f t="shared" si="3"/>
        <v>99665</v>
      </c>
      <c r="N11" s="100">
        <f t="shared" si="4"/>
        <v>0.40383882914495489</v>
      </c>
      <c r="O11" s="229">
        <v>6238</v>
      </c>
      <c r="P11" s="100">
        <f t="shared" si="5"/>
        <v>2.5276141235200209E-2</v>
      </c>
      <c r="Q11" s="229"/>
      <c r="R11" s="100">
        <f t="shared" si="6"/>
        <v>0</v>
      </c>
      <c r="S11" s="105">
        <f t="shared" si="7"/>
        <v>6238</v>
      </c>
      <c r="T11" s="100">
        <f t="shared" si="8"/>
        <v>2.5276141235200209E-2</v>
      </c>
      <c r="U11" s="229">
        <v>26830</v>
      </c>
      <c r="V11" s="100">
        <f t="shared" si="9"/>
        <v>0.10871415026297236</v>
      </c>
      <c r="W11" s="229"/>
      <c r="X11" s="100">
        <f t="shared" si="10"/>
        <v>0</v>
      </c>
      <c r="Y11" s="229">
        <v>22420</v>
      </c>
      <c r="Z11" s="100">
        <f t="shared" si="11"/>
        <v>9.0844996231674996E-2</v>
      </c>
      <c r="AA11" s="229">
        <v>20963</v>
      </c>
      <c r="AB11" s="100">
        <f t="shared" si="12"/>
        <v>8.4941287065325735E-2</v>
      </c>
      <c r="AC11" s="105">
        <f t="shared" si="13"/>
        <v>43383</v>
      </c>
      <c r="AD11" s="100">
        <f t="shared" si="14"/>
        <v>0.17578628329700074</v>
      </c>
      <c r="AE11" s="229">
        <v>17271</v>
      </c>
      <c r="AF11" s="100">
        <f t="shared" si="15"/>
        <v>6.9981442012366585E-2</v>
      </c>
      <c r="AG11" s="229">
        <v>14724</v>
      </c>
      <c r="AH11" s="100">
        <f t="shared" si="16"/>
        <v>5.9661093867760154E-2</v>
      </c>
      <c r="AI11" s="229">
        <v>20144</v>
      </c>
      <c r="AJ11" s="100">
        <f t="shared" si="17"/>
        <v>8.1622729888084805E-2</v>
      </c>
      <c r="AK11" s="229">
        <v>18539</v>
      </c>
      <c r="AL11" s="100">
        <f t="shared" si="18"/>
        <v>7.511933029166025E-2</v>
      </c>
    </row>
    <row r="12" spans="1:38" ht="14.25">
      <c r="B12" s="97"/>
      <c r="C12" s="83"/>
      <c r="D12" s="291">
        <f t="shared" si="21"/>
        <v>46271</v>
      </c>
      <c r="E12" s="291" t="s">
        <v>444</v>
      </c>
      <c r="F12" s="87">
        <f t="shared" si="20"/>
        <v>321787</v>
      </c>
      <c r="G12" s="293"/>
      <c r="H12" s="330">
        <f>SUM(F8:F38)</f>
        <v>3624620</v>
      </c>
      <c r="I12" s="229">
        <v>56539</v>
      </c>
      <c r="J12" s="100">
        <f t="shared" si="1"/>
        <v>0.17570318254000317</v>
      </c>
      <c r="K12" s="229">
        <v>70947</v>
      </c>
      <c r="L12" s="100">
        <f t="shared" si="2"/>
        <v>0.22047814237368196</v>
      </c>
      <c r="M12" s="105">
        <f t="shared" si="3"/>
        <v>127486</v>
      </c>
      <c r="N12" s="100">
        <f t="shared" si="4"/>
        <v>0.39618132491368513</v>
      </c>
      <c r="O12" s="229">
        <v>8424</v>
      </c>
      <c r="P12" s="100">
        <f t="shared" si="5"/>
        <v>2.6178807720635078E-2</v>
      </c>
      <c r="Q12" s="229"/>
      <c r="R12" s="100">
        <f t="shared" si="6"/>
        <v>0</v>
      </c>
      <c r="S12" s="105">
        <f t="shared" si="7"/>
        <v>8424</v>
      </c>
      <c r="T12" s="100">
        <f t="shared" si="8"/>
        <v>2.6178807720635078E-2</v>
      </c>
      <c r="U12" s="229">
        <v>35211</v>
      </c>
      <c r="V12" s="100">
        <f t="shared" si="9"/>
        <v>0.10942331417987675</v>
      </c>
      <c r="W12" s="229"/>
      <c r="X12" s="100">
        <f t="shared" si="10"/>
        <v>0</v>
      </c>
      <c r="Y12" s="229">
        <v>29274</v>
      </c>
      <c r="Z12" s="100">
        <f t="shared" si="11"/>
        <v>9.0973221416651387E-2</v>
      </c>
      <c r="AA12" s="229">
        <v>24998</v>
      </c>
      <c r="AB12" s="100">
        <f t="shared" si="12"/>
        <v>7.7684928228921618E-2</v>
      </c>
      <c r="AC12" s="105">
        <f t="shared" si="13"/>
        <v>54272</v>
      </c>
      <c r="AD12" s="100">
        <f t="shared" si="14"/>
        <v>0.16865814964557299</v>
      </c>
      <c r="AE12" s="229">
        <v>26083</v>
      </c>
      <c r="AF12" s="100">
        <f t="shared" si="15"/>
        <v>8.1056723857707111E-2</v>
      </c>
      <c r="AG12" s="229">
        <v>20732</v>
      </c>
      <c r="AH12" s="100">
        <f t="shared" si="16"/>
        <v>6.4427711498600007E-2</v>
      </c>
      <c r="AI12" s="229">
        <v>24359</v>
      </c>
      <c r="AJ12" s="100">
        <f t="shared" si="17"/>
        <v>7.5699142600540115E-2</v>
      </c>
      <c r="AK12" s="229">
        <v>25220</v>
      </c>
      <c r="AL12" s="100">
        <f t="shared" si="18"/>
        <v>7.8374825583382796E-2</v>
      </c>
    </row>
    <row r="13" spans="1:38" ht="14.25">
      <c r="B13" s="97"/>
      <c r="C13" s="83"/>
      <c r="D13" s="291">
        <f t="shared" si="21"/>
        <v>46272</v>
      </c>
      <c r="E13" s="291" t="s">
        <v>438</v>
      </c>
      <c r="F13" s="87">
        <f t="shared" si="20"/>
        <v>317757</v>
      </c>
      <c r="G13" s="293"/>
      <c r="H13" s="330"/>
      <c r="I13" s="229">
        <v>55002</v>
      </c>
      <c r="J13" s="100">
        <f t="shared" si="1"/>
        <v>0.17309453450278042</v>
      </c>
      <c r="K13" s="229">
        <v>69934</v>
      </c>
      <c r="L13" s="100">
        <f t="shared" si="2"/>
        <v>0.22008641823783584</v>
      </c>
      <c r="M13" s="105">
        <f t="shared" si="3"/>
        <v>124936</v>
      </c>
      <c r="N13" s="100">
        <f t="shared" si="4"/>
        <v>0.39318095274061626</v>
      </c>
      <c r="O13" s="229">
        <v>8595</v>
      </c>
      <c r="P13" s="100">
        <f t="shared" si="5"/>
        <v>2.7048971383793276E-2</v>
      </c>
      <c r="Q13" s="229"/>
      <c r="R13" s="100">
        <f t="shared" si="6"/>
        <v>0</v>
      </c>
      <c r="S13" s="105">
        <f t="shared" si="7"/>
        <v>8595</v>
      </c>
      <c r="T13" s="100">
        <f t="shared" si="8"/>
        <v>2.7048971383793276E-2</v>
      </c>
      <c r="U13" s="229">
        <v>35820</v>
      </c>
      <c r="V13" s="100">
        <f t="shared" si="9"/>
        <v>0.11272765037434265</v>
      </c>
      <c r="W13" s="229"/>
      <c r="X13" s="100">
        <f t="shared" si="10"/>
        <v>0</v>
      </c>
      <c r="Y13" s="229">
        <v>28482</v>
      </c>
      <c r="Z13" s="100">
        <f t="shared" si="11"/>
        <v>8.9634532048074478E-2</v>
      </c>
      <c r="AA13" s="229">
        <v>24225</v>
      </c>
      <c r="AB13" s="100">
        <f t="shared" si="12"/>
        <v>7.6237502242279473E-2</v>
      </c>
      <c r="AC13" s="105">
        <f t="shared" si="13"/>
        <v>52707</v>
      </c>
      <c r="AD13" s="100">
        <f t="shared" si="14"/>
        <v>0.16587203429035394</v>
      </c>
      <c r="AE13" s="229">
        <v>24383</v>
      </c>
      <c r="AF13" s="100">
        <f t="shared" si="15"/>
        <v>7.6734737551021698E-2</v>
      </c>
      <c r="AG13" s="229">
        <v>19962</v>
      </c>
      <c r="AH13" s="100">
        <f t="shared" si="16"/>
        <v>6.2821590082987946E-2</v>
      </c>
      <c r="AI13" s="229">
        <v>23946</v>
      </c>
      <c r="AJ13" s="100">
        <f t="shared" si="17"/>
        <v>7.5359472804690381E-2</v>
      </c>
      <c r="AK13" s="229">
        <v>27408</v>
      </c>
      <c r="AL13" s="100">
        <f t="shared" si="18"/>
        <v>8.6254590772193843E-2</v>
      </c>
    </row>
    <row r="14" spans="1:38" ht="14.25">
      <c r="B14" s="97"/>
      <c r="C14" s="83"/>
      <c r="D14" s="344">
        <f t="shared" si="21"/>
        <v>46273</v>
      </c>
      <c r="E14" s="344" t="s">
        <v>439</v>
      </c>
      <c r="F14" s="87">
        <f t="shared" si="20"/>
        <v>304561</v>
      </c>
      <c r="G14" s="293">
        <f>SUM(F14:F20)</f>
        <v>1951749</v>
      </c>
      <c r="H14" s="330"/>
      <c r="I14" s="229">
        <v>56648</v>
      </c>
      <c r="J14" s="100">
        <f>I14/F14</f>
        <v>0.18599886393858703</v>
      </c>
      <c r="K14" s="229">
        <v>68061</v>
      </c>
      <c r="L14" s="100">
        <f>K14/F14</f>
        <v>0.22347247349463653</v>
      </c>
      <c r="M14" s="105">
        <f>SUM(I14+K14)</f>
        <v>124709</v>
      </c>
      <c r="N14" s="100">
        <f>M14/F14</f>
        <v>0.40947133743322356</v>
      </c>
      <c r="O14" s="229">
        <v>8097</v>
      </c>
      <c r="P14" s="100">
        <f>O14/F14</f>
        <v>2.6585807112532465E-2</v>
      </c>
      <c r="Q14" s="229"/>
      <c r="R14" s="100">
        <f t="shared" ref="R14" si="22">Q14/F14</f>
        <v>0</v>
      </c>
      <c r="S14" s="105">
        <f t="shared" ref="S14" si="23">SUM(O14+Q14)</f>
        <v>8097</v>
      </c>
      <c r="T14" s="100">
        <f>S14/F14</f>
        <v>2.6585807112532465E-2</v>
      </c>
      <c r="U14" s="229">
        <v>33263</v>
      </c>
      <c r="V14" s="100">
        <f>U14/F14</f>
        <v>0.10921621612747529</v>
      </c>
      <c r="W14" s="229"/>
      <c r="X14" s="100">
        <f>W14/F14</f>
        <v>0</v>
      </c>
      <c r="Y14" s="229">
        <v>27991</v>
      </c>
      <c r="Z14" s="100">
        <f>Y14/F14</f>
        <v>9.1906054944658047E-2</v>
      </c>
      <c r="AA14" s="229">
        <v>23148</v>
      </c>
      <c r="AB14" s="100">
        <f t="shared" ref="AB14" si="24">AA14/F14</f>
        <v>7.6004478577362172E-2</v>
      </c>
      <c r="AC14" s="105">
        <f>SUM(Y14+AA14)</f>
        <v>51139</v>
      </c>
      <c r="AD14" s="100">
        <f>AC14/F14</f>
        <v>0.16791053352202021</v>
      </c>
      <c r="AE14" s="229">
        <v>23456</v>
      </c>
      <c r="AF14" s="100">
        <f>AE14/F14</f>
        <v>7.7015770239787756E-2</v>
      </c>
      <c r="AG14" s="229">
        <v>17300</v>
      </c>
      <c r="AH14" s="100">
        <f>AG14/F14</f>
        <v>5.6803070649229549E-2</v>
      </c>
      <c r="AI14" s="229">
        <v>22502</v>
      </c>
      <c r="AJ14" s="100">
        <f>AI14/F14</f>
        <v>7.3883392817859148E-2</v>
      </c>
      <c r="AK14" s="229">
        <v>24095</v>
      </c>
      <c r="AL14" s="100">
        <f>AK14/F14</f>
        <v>7.9113872097872018E-2</v>
      </c>
    </row>
    <row r="15" spans="1:38" ht="14.25">
      <c r="B15" s="97"/>
      <c r="C15" s="83"/>
      <c r="D15" s="344">
        <f t="shared" si="21"/>
        <v>46274</v>
      </c>
      <c r="E15" s="344" t="s">
        <v>440</v>
      </c>
      <c r="F15" s="87">
        <f t="shared" si="20"/>
        <v>287325</v>
      </c>
      <c r="G15" s="293"/>
      <c r="H15" s="330"/>
      <c r="I15" s="229">
        <v>51394</v>
      </c>
      <c r="J15" s="100">
        <f t="shared" ref="J15:J48" si="25">I15/F15</f>
        <v>0.17887061689724179</v>
      </c>
      <c r="K15" s="229">
        <v>65797</v>
      </c>
      <c r="L15" s="100">
        <f t="shared" ref="L15:L48" si="26">K15/F15</f>
        <v>0.22899852083877142</v>
      </c>
      <c r="M15" s="105">
        <f t="shared" ref="M15:M48" si="27">SUM(I15+K15)</f>
        <v>117191</v>
      </c>
      <c r="N15" s="100">
        <f t="shared" ref="N15:N48" si="28">M15/F15</f>
        <v>0.40786913773601324</v>
      </c>
      <c r="O15" s="229">
        <v>8082</v>
      </c>
      <c r="P15" s="100">
        <f t="shared" ref="P15:P48" si="29">O15/F15</f>
        <v>2.8128425998433831E-2</v>
      </c>
      <c r="Q15" s="229"/>
      <c r="R15" s="100">
        <f t="shared" ref="R15:R48" si="30">Q15/F15</f>
        <v>0</v>
      </c>
      <c r="S15" s="105">
        <f t="shared" ref="S15:S48" si="31">SUM(O15+Q15)</f>
        <v>8082</v>
      </c>
      <c r="T15" s="100">
        <f t="shared" ref="T15:T48" si="32">S15/F15</f>
        <v>2.8128425998433831E-2</v>
      </c>
      <c r="U15" s="229">
        <v>30976</v>
      </c>
      <c r="V15" s="100">
        <f t="shared" ref="V15:V48" si="33">U15/F15</f>
        <v>0.10780823109718959</v>
      </c>
      <c r="W15" s="229"/>
      <c r="X15" s="100">
        <f t="shared" ref="X15:X48" si="34">W15/F15</f>
        <v>0</v>
      </c>
      <c r="Y15" s="229">
        <v>27305</v>
      </c>
      <c r="Z15" s="100">
        <f t="shared" ref="Z15:Z48" si="35">Y15/F15</f>
        <v>9.5031758461672319E-2</v>
      </c>
      <c r="AA15" s="229">
        <v>21672</v>
      </c>
      <c r="AB15" s="100">
        <f t="shared" ref="AB15:AB48" si="36">AA15/F15</f>
        <v>7.5426781519185596E-2</v>
      </c>
      <c r="AC15" s="105">
        <f t="shared" ref="AC15:AC48" si="37">SUM(Y15+AA15)</f>
        <v>48977</v>
      </c>
      <c r="AD15" s="100">
        <f t="shared" ref="AD15:AD48" si="38">AC15/F15</f>
        <v>0.17045853998085791</v>
      </c>
      <c r="AE15" s="229">
        <v>22689</v>
      </c>
      <c r="AF15" s="100">
        <f t="shared" ref="AF15:AF48" si="39">AE15/F15</f>
        <v>7.896632732967894E-2</v>
      </c>
      <c r="AG15" s="229">
        <v>15656</v>
      </c>
      <c r="AH15" s="100">
        <f t="shared" ref="AH15:AH48" si="40">AG15/F15</f>
        <v>5.4488819281301663E-2</v>
      </c>
      <c r="AI15" s="229">
        <v>20370</v>
      </c>
      <c r="AJ15" s="100">
        <f t="shared" ref="AJ15:AJ48" si="41">AI15/F15</f>
        <v>7.0895327590707394E-2</v>
      </c>
      <c r="AK15" s="229">
        <v>23384</v>
      </c>
      <c r="AL15" s="100">
        <f t="shared" ref="AL15:AL48" si="42">AK15/F15</f>
        <v>8.1385190985817452E-2</v>
      </c>
    </row>
    <row r="16" spans="1:38" ht="14.25">
      <c r="B16" s="97"/>
      <c r="C16" s="83"/>
      <c r="D16" s="344">
        <f t="shared" si="21"/>
        <v>46275</v>
      </c>
      <c r="E16" s="344" t="s">
        <v>441</v>
      </c>
      <c r="F16" s="87">
        <f t="shared" si="20"/>
        <v>267049</v>
      </c>
      <c r="G16" s="293"/>
      <c r="H16" s="330"/>
      <c r="I16" s="229">
        <v>49619</v>
      </c>
      <c r="J16" s="100">
        <f t="shared" si="25"/>
        <v>0.18580485229302487</v>
      </c>
      <c r="K16" s="229">
        <v>59161</v>
      </c>
      <c r="L16" s="100">
        <f t="shared" si="26"/>
        <v>0.22153612258424485</v>
      </c>
      <c r="M16" s="105">
        <f t="shared" si="27"/>
        <v>108780</v>
      </c>
      <c r="N16" s="100">
        <f t="shared" si="28"/>
        <v>0.40734097487726972</v>
      </c>
      <c r="O16" s="229">
        <v>7936</v>
      </c>
      <c r="P16" s="100">
        <f t="shared" si="29"/>
        <v>2.9717392688233247E-2</v>
      </c>
      <c r="Q16" s="229"/>
      <c r="R16" s="100">
        <f t="shared" si="30"/>
        <v>0</v>
      </c>
      <c r="S16" s="105">
        <f t="shared" si="31"/>
        <v>7936</v>
      </c>
      <c r="T16" s="100">
        <f t="shared" si="32"/>
        <v>2.9717392688233247E-2</v>
      </c>
      <c r="U16" s="229">
        <v>29326</v>
      </c>
      <c r="V16" s="100">
        <f t="shared" si="33"/>
        <v>0.10981505266823692</v>
      </c>
      <c r="W16" s="229"/>
      <c r="X16" s="100">
        <f t="shared" si="34"/>
        <v>0</v>
      </c>
      <c r="Y16" s="229">
        <v>26389</v>
      </c>
      <c r="Z16" s="100">
        <f t="shared" si="35"/>
        <v>9.8817071024418737E-2</v>
      </c>
      <c r="AA16" s="229">
        <v>16662</v>
      </c>
      <c r="AB16" s="100">
        <f t="shared" si="36"/>
        <v>6.2393043973203423E-2</v>
      </c>
      <c r="AC16" s="105">
        <f t="shared" si="37"/>
        <v>43051</v>
      </c>
      <c r="AD16" s="100">
        <f t="shared" si="38"/>
        <v>0.16121011499762217</v>
      </c>
      <c r="AE16" s="229">
        <v>22863</v>
      </c>
      <c r="AF16" s="100">
        <f t="shared" si="39"/>
        <v>8.5613501642020751E-2</v>
      </c>
      <c r="AG16" s="229">
        <v>14794</v>
      </c>
      <c r="AH16" s="100">
        <f t="shared" si="40"/>
        <v>5.5398073012817871E-2</v>
      </c>
      <c r="AI16" s="229">
        <v>18213</v>
      </c>
      <c r="AJ16" s="100">
        <f t="shared" si="41"/>
        <v>6.820096686375908E-2</v>
      </c>
      <c r="AK16" s="229">
        <v>22086</v>
      </c>
      <c r="AL16" s="100">
        <f t="shared" si="42"/>
        <v>8.2703923250040251E-2</v>
      </c>
    </row>
    <row r="17" spans="2:38" ht="14.25">
      <c r="B17" s="97"/>
      <c r="C17" s="83"/>
      <c r="D17" s="344">
        <f t="shared" si="21"/>
        <v>46276</v>
      </c>
      <c r="E17" s="344" t="s">
        <v>442</v>
      </c>
      <c r="F17" s="87">
        <f t="shared" si="20"/>
        <v>231474</v>
      </c>
      <c r="G17" s="293"/>
      <c r="H17" s="330"/>
      <c r="I17" s="229">
        <v>39578</v>
      </c>
      <c r="J17" s="100">
        <f t="shared" si="25"/>
        <v>0.17098248615395251</v>
      </c>
      <c r="K17" s="229">
        <v>53051</v>
      </c>
      <c r="L17" s="100">
        <f t="shared" si="26"/>
        <v>0.22918772734734785</v>
      </c>
      <c r="M17" s="105">
        <f t="shared" si="27"/>
        <v>92629</v>
      </c>
      <c r="N17" s="100">
        <f t="shared" si="28"/>
        <v>0.40017021350130039</v>
      </c>
      <c r="O17" s="229">
        <v>6494</v>
      </c>
      <c r="P17" s="100">
        <f t="shared" si="29"/>
        <v>2.8054986737171345E-2</v>
      </c>
      <c r="Q17" s="229"/>
      <c r="R17" s="100">
        <f t="shared" si="30"/>
        <v>0</v>
      </c>
      <c r="S17" s="105">
        <f t="shared" si="31"/>
        <v>6494</v>
      </c>
      <c r="T17" s="100">
        <f t="shared" si="32"/>
        <v>2.8054986737171345E-2</v>
      </c>
      <c r="U17" s="229">
        <v>24114</v>
      </c>
      <c r="V17" s="100">
        <f t="shared" si="33"/>
        <v>0.10417584696337386</v>
      </c>
      <c r="W17" s="229"/>
      <c r="X17" s="100">
        <f t="shared" si="34"/>
        <v>0</v>
      </c>
      <c r="Y17" s="229">
        <v>23789</v>
      </c>
      <c r="Z17" s="100">
        <f t="shared" si="35"/>
        <v>0.10277180158462722</v>
      </c>
      <c r="AA17" s="229">
        <v>16874</v>
      </c>
      <c r="AB17" s="100">
        <f t="shared" si="36"/>
        <v>7.2898036064525606E-2</v>
      </c>
      <c r="AC17" s="105">
        <f t="shared" si="37"/>
        <v>40663</v>
      </c>
      <c r="AD17" s="100">
        <f t="shared" si="38"/>
        <v>0.17566983764915281</v>
      </c>
      <c r="AE17" s="229">
        <v>17871</v>
      </c>
      <c r="AF17" s="100">
        <f t="shared" si="39"/>
        <v>7.7205215272557609E-2</v>
      </c>
      <c r="AG17" s="229">
        <v>13621</v>
      </c>
      <c r="AH17" s="100">
        <f t="shared" si="40"/>
        <v>5.8844621858178459E-2</v>
      </c>
      <c r="AI17" s="229">
        <v>17660</v>
      </c>
      <c r="AJ17" s="100">
        <f t="shared" si="41"/>
        <v>7.6293665811279027E-2</v>
      </c>
      <c r="AK17" s="229">
        <v>18422</v>
      </c>
      <c r="AL17" s="100">
        <f t="shared" si="42"/>
        <v>7.9585612206986525E-2</v>
      </c>
    </row>
    <row r="18" spans="2:38" ht="14.25">
      <c r="B18" s="97"/>
      <c r="C18" s="83"/>
      <c r="D18" s="344">
        <f t="shared" si="21"/>
        <v>46277</v>
      </c>
      <c r="E18" s="344" t="s">
        <v>443</v>
      </c>
      <c r="F18" s="87">
        <f t="shared" si="20"/>
        <v>248035</v>
      </c>
      <c r="G18" s="293"/>
      <c r="H18" s="330"/>
      <c r="I18" s="229">
        <v>36728</v>
      </c>
      <c r="J18" s="100">
        <f t="shared" si="25"/>
        <v>0.14807587638841294</v>
      </c>
      <c r="K18" s="229">
        <v>60665</v>
      </c>
      <c r="L18" s="100">
        <f t="shared" si="26"/>
        <v>0.24458241780393897</v>
      </c>
      <c r="M18" s="105">
        <f t="shared" si="27"/>
        <v>97393</v>
      </c>
      <c r="N18" s="100">
        <f t="shared" si="28"/>
        <v>0.39265829419235188</v>
      </c>
      <c r="O18" s="229">
        <v>6250</v>
      </c>
      <c r="P18" s="100">
        <f t="shared" si="29"/>
        <v>2.5198056725865302E-2</v>
      </c>
      <c r="Q18" s="229"/>
      <c r="R18" s="100">
        <f t="shared" si="30"/>
        <v>0</v>
      </c>
      <c r="S18" s="105">
        <f t="shared" si="31"/>
        <v>6250</v>
      </c>
      <c r="T18" s="100">
        <f t="shared" si="32"/>
        <v>2.5198056725865302E-2</v>
      </c>
      <c r="U18" s="229">
        <v>27793</v>
      </c>
      <c r="V18" s="100">
        <f t="shared" si="33"/>
        <v>0.1120527344931159</v>
      </c>
      <c r="W18" s="229"/>
      <c r="X18" s="100">
        <f t="shared" si="34"/>
        <v>0</v>
      </c>
      <c r="Y18" s="229">
        <v>24551</v>
      </c>
      <c r="Z18" s="100">
        <f t="shared" si="35"/>
        <v>9.8981998508275049E-2</v>
      </c>
      <c r="AA18" s="229">
        <v>19833</v>
      </c>
      <c r="AB18" s="100">
        <f t="shared" si="36"/>
        <v>7.9960489447053848E-2</v>
      </c>
      <c r="AC18" s="105">
        <f t="shared" si="37"/>
        <v>44384</v>
      </c>
      <c r="AD18" s="100">
        <f t="shared" si="38"/>
        <v>0.17894248795532888</v>
      </c>
      <c r="AE18" s="229">
        <v>19241</v>
      </c>
      <c r="AF18" s="100">
        <f t="shared" si="39"/>
        <v>7.757372951397988E-2</v>
      </c>
      <c r="AG18" s="229">
        <v>13447</v>
      </c>
      <c r="AH18" s="100">
        <f t="shared" si="40"/>
        <v>5.421412300683371E-2</v>
      </c>
      <c r="AI18" s="229">
        <v>20219</v>
      </c>
      <c r="AJ18" s="100">
        <f t="shared" si="41"/>
        <v>8.1516721430443279E-2</v>
      </c>
      <c r="AK18" s="229">
        <v>19308</v>
      </c>
      <c r="AL18" s="100">
        <f t="shared" si="42"/>
        <v>7.784385268208116E-2</v>
      </c>
    </row>
    <row r="19" spans="2:38" ht="14.25">
      <c r="B19" s="97"/>
      <c r="C19" s="83"/>
      <c r="D19" s="344">
        <f t="shared" si="21"/>
        <v>46278</v>
      </c>
      <c r="E19" s="344" t="s">
        <v>444</v>
      </c>
      <c r="F19" s="87">
        <f t="shared" si="20"/>
        <v>311122</v>
      </c>
      <c r="G19" s="293"/>
      <c r="H19" s="330"/>
      <c r="I19" s="229">
        <v>50762</v>
      </c>
      <c r="J19" s="100">
        <f t="shared" si="25"/>
        <v>0.16315786090343981</v>
      </c>
      <c r="K19" s="229">
        <v>68435</v>
      </c>
      <c r="L19" s="100">
        <f t="shared" si="26"/>
        <v>0.21996194418909623</v>
      </c>
      <c r="M19" s="105">
        <f t="shared" si="27"/>
        <v>119197</v>
      </c>
      <c r="N19" s="100">
        <f t="shared" si="28"/>
        <v>0.38311980509253607</v>
      </c>
      <c r="O19" s="229">
        <v>8508</v>
      </c>
      <c r="P19" s="100">
        <f t="shared" si="29"/>
        <v>2.7346185740641935E-2</v>
      </c>
      <c r="Q19" s="229"/>
      <c r="R19" s="100">
        <f t="shared" si="30"/>
        <v>0</v>
      </c>
      <c r="S19" s="105">
        <f t="shared" si="31"/>
        <v>8508</v>
      </c>
      <c r="T19" s="100">
        <f t="shared" si="32"/>
        <v>2.7346185740641935E-2</v>
      </c>
      <c r="U19" s="229">
        <v>36318</v>
      </c>
      <c r="V19" s="100">
        <f t="shared" si="33"/>
        <v>0.11673234293942569</v>
      </c>
      <c r="W19" s="229"/>
      <c r="X19" s="100">
        <f t="shared" si="34"/>
        <v>0</v>
      </c>
      <c r="Y19" s="229">
        <v>29500</v>
      </c>
      <c r="Z19" s="100">
        <f t="shared" si="35"/>
        <v>9.4818109937580761E-2</v>
      </c>
      <c r="AA19" s="229">
        <v>24178</v>
      </c>
      <c r="AB19" s="100">
        <f t="shared" si="36"/>
        <v>7.7712280070197537E-2</v>
      </c>
      <c r="AC19" s="105">
        <f t="shared" si="37"/>
        <v>53678</v>
      </c>
      <c r="AD19" s="100">
        <f t="shared" si="38"/>
        <v>0.17253039000777831</v>
      </c>
      <c r="AE19" s="229">
        <v>27535</v>
      </c>
      <c r="AF19" s="100">
        <f t="shared" si="39"/>
        <v>8.8502259563772417E-2</v>
      </c>
      <c r="AG19" s="229">
        <v>17659</v>
      </c>
      <c r="AH19" s="100">
        <f t="shared" si="40"/>
        <v>5.6759084860601307E-2</v>
      </c>
      <c r="AI19" s="229">
        <v>23667</v>
      </c>
      <c r="AJ19" s="100">
        <f t="shared" si="41"/>
        <v>7.6069837555685554E-2</v>
      </c>
      <c r="AK19" s="229">
        <v>24560</v>
      </c>
      <c r="AL19" s="100">
        <f t="shared" si="42"/>
        <v>7.8940094239558764E-2</v>
      </c>
    </row>
    <row r="20" spans="2:38" ht="14.25">
      <c r="B20" s="97"/>
      <c r="C20" s="83"/>
      <c r="D20" s="344">
        <f t="shared" si="21"/>
        <v>46279</v>
      </c>
      <c r="E20" s="344" t="s">
        <v>438</v>
      </c>
      <c r="F20" s="87">
        <f t="shared" si="20"/>
        <v>302183</v>
      </c>
      <c r="G20" s="293"/>
      <c r="H20" s="330"/>
      <c r="I20" s="229">
        <v>47766</v>
      </c>
      <c r="J20" s="100">
        <f t="shared" si="25"/>
        <v>0.15806977890880691</v>
      </c>
      <c r="K20" s="229">
        <v>65202</v>
      </c>
      <c r="L20" s="100">
        <f t="shared" si="26"/>
        <v>0.2157699142572547</v>
      </c>
      <c r="M20" s="105">
        <f t="shared" si="27"/>
        <v>112968</v>
      </c>
      <c r="N20" s="100">
        <f t="shared" si="28"/>
        <v>0.37383969316606164</v>
      </c>
      <c r="O20" s="229">
        <v>8310</v>
      </c>
      <c r="P20" s="100">
        <f t="shared" si="29"/>
        <v>2.7499892449277426E-2</v>
      </c>
      <c r="Q20" s="229"/>
      <c r="R20" s="100">
        <f t="shared" si="30"/>
        <v>0</v>
      </c>
      <c r="S20" s="105">
        <f t="shared" si="31"/>
        <v>8310</v>
      </c>
      <c r="T20" s="100">
        <f t="shared" si="32"/>
        <v>2.7499892449277426E-2</v>
      </c>
      <c r="U20" s="229">
        <v>36524</v>
      </c>
      <c r="V20" s="100">
        <f t="shared" si="33"/>
        <v>0.12086715665672787</v>
      </c>
      <c r="W20" s="229"/>
      <c r="X20" s="100">
        <f t="shared" si="34"/>
        <v>0</v>
      </c>
      <c r="Y20" s="229">
        <v>23589</v>
      </c>
      <c r="Z20" s="100">
        <f t="shared" si="35"/>
        <v>7.8061969071721443E-2</v>
      </c>
      <c r="AA20" s="229">
        <v>26217</v>
      </c>
      <c r="AB20" s="100">
        <f t="shared" si="36"/>
        <v>8.6758685961817836E-2</v>
      </c>
      <c r="AC20" s="105">
        <f t="shared" si="37"/>
        <v>49806</v>
      </c>
      <c r="AD20" s="100">
        <f t="shared" si="38"/>
        <v>0.16482065503353929</v>
      </c>
      <c r="AE20" s="229">
        <v>25620</v>
      </c>
      <c r="AF20" s="100">
        <f t="shared" si="39"/>
        <v>8.4783061919432925E-2</v>
      </c>
      <c r="AG20" s="229">
        <v>18301</v>
      </c>
      <c r="AH20" s="100">
        <f t="shared" si="40"/>
        <v>6.0562639195454411E-2</v>
      </c>
      <c r="AI20" s="229">
        <v>23812</v>
      </c>
      <c r="AJ20" s="100">
        <f t="shared" si="41"/>
        <v>7.8799932491238747E-2</v>
      </c>
      <c r="AK20" s="229">
        <v>26842</v>
      </c>
      <c r="AL20" s="100">
        <f t="shared" si="42"/>
        <v>8.8826969088267704E-2</v>
      </c>
    </row>
    <row r="21" spans="2:38" ht="14.25">
      <c r="B21" s="97"/>
      <c r="C21" s="83"/>
      <c r="D21" s="291">
        <f t="shared" si="21"/>
        <v>46280</v>
      </c>
      <c r="E21" s="291" t="s">
        <v>439</v>
      </c>
      <c r="F21" s="87">
        <f t="shared" si="20"/>
        <v>0</v>
      </c>
      <c r="G21" s="293">
        <f>SUM(F21:F27)</f>
        <v>0</v>
      </c>
      <c r="H21" s="330"/>
      <c r="I21" s="229"/>
      <c r="J21" s="100" t="e">
        <f t="shared" si="25"/>
        <v>#DIV/0!</v>
      </c>
      <c r="K21" s="229"/>
      <c r="L21" s="100" t="e">
        <f t="shared" si="26"/>
        <v>#DIV/0!</v>
      </c>
      <c r="M21" s="105">
        <f t="shared" si="27"/>
        <v>0</v>
      </c>
      <c r="N21" s="100" t="e">
        <f t="shared" si="28"/>
        <v>#DIV/0!</v>
      </c>
      <c r="O21" s="229"/>
      <c r="P21" s="100" t="e">
        <f t="shared" si="29"/>
        <v>#DIV/0!</v>
      </c>
      <c r="Q21" s="229"/>
      <c r="R21" s="100" t="e">
        <f t="shared" si="30"/>
        <v>#DIV/0!</v>
      </c>
      <c r="S21" s="105">
        <f t="shared" si="31"/>
        <v>0</v>
      </c>
      <c r="T21" s="100" t="e">
        <f t="shared" si="32"/>
        <v>#DIV/0!</v>
      </c>
      <c r="U21" s="229"/>
      <c r="V21" s="100" t="e">
        <f t="shared" si="33"/>
        <v>#DIV/0!</v>
      </c>
      <c r="W21" s="229"/>
      <c r="X21" s="100" t="e">
        <f t="shared" si="34"/>
        <v>#DIV/0!</v>
      </c>
      <c r="Y21" s="229"/>
      <c r="Z21" s="100" t="e">
        <f t="shared" si="35"/>
        <v>#DIV/0!</v>
      </c>
      <c r="AA21" s="229"/>
      <c r="AB21" s="100" t="e">
        <f t="shared" si="36"/>
        <v>#DIV/0!</v>
      </c>
      <c r="AC21" s="105">
        <f t="shared" si="37"/>
        <v>0</v>
      </c>
      <c r="AD21" s="100" t="e">
        <f t="shared" si="38"/>
        <v>#DIV/0!</v>
      </c>
      <c r="AE21" s="229"/>
      <c r="AF21" s="100" t="e">
        <f t="shared" si="39"/>
        <v>#DIV/0!</v>
      </c>
      <c r="AG21" s="229"/>
      <c r="AH21" s="100" t="e">
        <f t="shared" si="40"/>
        <v>#DIV/0!</v>
      </c>
      <c r="AI21" s="229"/>
      <c r="AJ21" s="100" t="e">
        <f t="shared" si="41"/>
        <v>#DIV/0!</v>
      </c>
      <c r="AK21" s="229"/>
      <c r="AL21" s="100" t="e">
        <f t="shared" si="42"/>
        <v>#DIV/0!</v>
      </c>
    </row>
    <row r="22" spans="2:38" ht="14.25">
      <c r="B22" s="97"/>
      <c r="C22" s="83"/>
      <c r="D22" s="291">
        <f t="shared" si="21"/>
        <v>46281</v>
      </c>
      <c r="E22" s="291" t="s">
        <v>440</v>
      </c>
      <c r="F22" s="87">
        <f t="shared" si="20"/>
        <v>0</v>
      </c>
      <c r="G22" s="293"/>
      <c r="H22" s="330"/>
      <c r="I22" s="229"/>
      <c r="J22" s="100" t="e">
        <f t="shared" si="25"/>
        <v>#DIV/0!</v>
      </c>
      <c r="K22" s="229"/>
      <c r="L22" s="100" t="e">
        <f t="shared" si="26"/>
        <v>#DIV/0!</v>
      </c>
      <c r="M22" s="105">
        <f t="shared" si="27"/>
        <v>0</v>
      </c>
      <c r="N22" s="100" t="e">
        <f t="shared" si="28"/>
        <v>#DIV/0!</v>
      </c>
      <c r="O22" s="229"/>
      <c r="P22" s="100" t="e">
        <f t="shared" si="29"/>
        <v>#DIV/0!</v>
      </c>
      <c r="Q22" s="229"/>
      <c r="R22" s="100" t="e">
        <f t="shared" si="30"/>
        <v>#DIV/0!</v>
      </c>
      <c r="S22" s="105">
        <f t="shared" si="31"/>
        <v>0</v>
      </c>
      <c r="T22" s="100" t="e">
        <f t="shared" si="32"/>
        <v>#DIV/0!</v>
      </c>
      <c r="U22" s="229"/>
      <c r="V22" s="100" t="e">
        <f t="shared" si="33"/>
        <v>#DIV/0!</v>
      </c>
      <c r="W22" s="229"/>
      <c r="X22" s="100" t="e">
        <f t="shared" si="34"/>
        <v>#DIV/0!</v>
      </c>
      <c r="Y22" s="229"/>
      <c r="Z22" s="100" t="e">
        <f t="shared" si="35"/>
        <v>#DIV/0!</v>
      </c>
      <c r="AA22" s="229"/>
      <c r="AB22" s="100" t="e">
        <f t="shared" si="36"/>
        <v>#DIV/0!</v>
      </c>
      <c r="AC22" s="105">
        <f t="shared" si="37"/>
        <v>0</v>
      </c>
      <c r="AD22" s="100" t="e">
        <f t="shared" si="38"/>
        <v>#DIV/0!</v>
      </c>
      <c r="AE22" s="229"/>
      <c r="AF22" s="100" t="e">
        <f t="shared" si="39"/>
        <v>#DIV/0!</v>
      </c>
      <c r="AG22" s="229"/>
      <c r="AH22" s="100" t="e">
        <f t="shared" si="40"/>
        <v>#DIV/0!</v>
      </c>
      <c r="AI22" s="229"/>
      <c r="AJ22" s="100" t="e">
        <f t="shared" si="41"/>
        <v>#DIV/0!</v>
      </c>
      <c r="AK22" s="229"/>
      <c r="AL22" s="100" t="e">
        <f t="shared" si="42"/>
        <v>#DIV/0!</v>
      </c>
    </row>
    <row r="23" spans="2:38" ht="14.25">
      <c r="B23" s="97"/>
      <c r="C23" s="83"/>
      <c r="D23" s="291">
        <f t="shared" si="21"/>
        <v>46282</v>
      </c>
      <c r="E23" s="291" t="s">
        <v>441</v>
      </c>
      <c r="F23" s="87">
        <f t="shared" si="20"/>
        <v>0</v>
      </c>
      <c r="G23" s="293"/>
      <c r="H23" s="330"/>
      <c r="I23" s="229"/>
      <c r="J23" s="100" t="e">
        <f t="shared" si="25"/>
        <v>#DIV/0!</v>
      </c>
      <c r="K23" s="229"/>
      <c r="L23" s="100" t="e">
        <f t="shared" si="26"/>
        <v>#DIV/0!</v>
      </c>
      <c r="M23" s="105">
        <f t="shared" si="27"/>
        <v>0</v>
      </c>
      <c r="N23" s="100" t="e">
        <f t="shared" si="28"/>
        <v>#DIV/0!</v>
      </c>
      <c r="O23" s="229"/>
      <c r="P23" s="100" t="e">
        <f t="shared" si="29"/>
        <v>#DIV/0!</v>
      </c>
      <c r="Q23" s="229"/>
      <c r="R23" s="100" t="e">
        <f t="shared" si="30"/>
        <v>#DIV/0!</v>
      </c>
      <c r="S23" s="105">
        <f t="shared" si="31"/>
        <v>0</v>
      </c>
      <c r="T23" s="100" t="e">
        <f t="shared" si="32"/>
        <v>#DIV/0!</v>
      </c>
      <c r="U23" s="229"/>
      <c r="V23" s="100" t="e">
        <f t="shared" si="33"/>
        <v>#DIV/0!</v>
      </c>
      <c r="W23" s="229"/>
      <c r="X23" s="100" t="e">
        <f t="shared" si="34"/>
        <v>#DIV/0!</v>
      </c>
      <c r="Y23" s="229"/>
      <c r="Z23" s="100" t="e">
        <f t="shared" si="35"/>
        <v>#DIV/0!</v>
      </c>
      <c r="AA23" s="229"/>
      <c r="AB23" s="100" t="e">
        <f t="shared" si="36"/>
        <v>#DIV/0!</v>
      </c>
      <c r="AC23" s="105">
        <f t="shared" si="37"/>
        <v>0</v>
      </c>
      <c r="AD23" s="100" t="e">
        <f t="shared" si="38"/>
        <v>#DIV/0!</v>
      </c>
      <c r="AE23" s="229"/>
      <c r="AF23" s="100" t="e">
        <f t="shared" si="39"/>
        <v>#DIV/0!</v>
      </c>
      <c r="AG23" s="229"/>
      <c r="AH23" s="100" t="e">
        <f t="shared" si="40"/>
        <v>#DIV/0!</v>
      </c>
      <c r="AI23" s="229"/>
      <c r="AJ23" s="100" t="e">
        <f t="shared" si="41"/>
        <v>#DIV/0!</v>
      </c>
      <c r="AK23" s="229"/>
      <c r="AL23" s="100" t="e">
        <f t="shared" si="42"/>
        <v>#DIV/0!</v>
      </c>
    </row>
    <row r="24" spans="2:38" ht="14.25">
      <c r="B24" s="97"/>
      <c r="C24" s="83"/>
      <c r="D24" s="291">
        <f t="shared" si="21"/>
        <v>46283</v>
      </c>
      <c r="E24" s="291" t="s">
        <v>442</v>
      </c>
      <c r="F24" s="87">
        <f t="shared" si="20"/>
        <v>0</v>
      </c>
      <c r="G24" s="293"/>
      <c r="H24" s="330"/>
      <c r="I24" s="229"/>
      <c r="J24" s="100" t="e">
        <f t="shared" si="25"/>
        <v>#DIV/0!</v>
      </c>
      <c r="K24" s="229"/>
      <c r="L24" s="100" t="e">
        <f t="shared" si="26"/>
        <v>#DIV/0!</v>
      </c>
      <c r="M24" s="105">
        <f t="shared" si="27"/>
        <v>0</v>
      </c>
      <c r="N24" s="100" t="e">
        <f t="shared" si="28"/>
        <v>#DIV/0!</v>
      </c>
      <c r="O24" s="229"/>
      <c r="P24" s="100" t="e">
        <f t="shared" si="29"/>
        <v>#DIV/0!</v>
      </c>
      <c r="Q24" s="229"/>
      <c r="R24" s="100" t="e">
        <f t="shared" si="30"/>
        <v>#DIV/0!</v>
      </c>
      <c r="S24" s="105">
        <f t="shared" si="31"/>
        <v>0</v>
      </c>
      <c r="T24" s="100" t="e">
        <f t="shared" si="32"/>
        <v>#DIV/0!</v>
      </c>
      <c r="U24" s="229"/>
      <c r="V24" s="100" t="e">
        <f t="shared" si="33"/>
        <v>#DIV/0!</v>
      </c>
      <c r="W24" s="229"/>
      <c r="X24" s="100" t="e">
        <f t="shared" si="34"/>
        <v>#DIV/0!</v>
      </c>
      <c r="Y24" s="229"/>
      <c r="Z24" s="100" t="e">
        <f t="shared" si="35"/>
        <v>#DIV/0!</v>
      </c>
      <c r="AA24" s="229"/>
      <c r="AB24" s="100" t="e">
        <f t="shared" si="36"/>
        <v>#DIV/0!</v>
      </c>
      <c r="AC24" s="105">
        <f t="shared" si="37"/>
        <v>0</v>
      </c>
      <c r="AD24" s="100" t="e">
        <f t="shared" si="38"/>
        <v>#DIV/0!</v>
      </c>
      <c r="AE24" s="229"/>
      <c r="AF24" s="100" t="e">
        <f t="shared" si="39"/>
        <v>#DIV/0!</v>
      </c>
      <c r="AG24" s="229"/>
      <c r="AH24" s="100" t="e">
        <f t="shared" si="40"/>
        <v>#DIV/0!</v>
      </c>
      <c r="AI24" s="229"/>
      <c r="AJ24" s="100" t="e">
        <f t="shared" si="41"/>
        <v>#DIV/0!</v>
      </c>
      <c r="AK24" s="229"/>
      <c r="AL24" s="100" t="e">
        <f t="shared" si="42"/>
        <v>#DIV/0!</v>
      </c>
    </row>
    <row r="25" spans="2:38" ht="14.25">
      <c r="B25" s="97"/>
      <c r="C25" s="83"/>
      <c r="D25" s="291">
        <f t="shared" si="21"/>
        <v>46284</v>
      </c>
      <c r="E25" s="291" t="s">
        <v>443</v>
      </c>
      <c r="F25" s="87">
        <f t="shared" si="20"/>
        <v>0</v>
      </c>
      <c r="G25" s="293"/>
      <c r="H25" s="330"/>
      <c r="I25" s="229"/>
      <c r="J25" s="100" t="e">
        <f t="shared" si="25"/>
        <v>#DIV/0!</v>
      </c>
      <c r="K25" s="229"/>
      <c r="L25" s="100" t="e">
        <f t="shared" si="26"/>
        <v>#DIV/0!</v>
      </c>
      <c r="M25" s="105">
        <f t="shared" si="27"/>
        <v>0</v>
      </c>
      <c r="N25" s="100" t="e">
        <f t="shared" si="28"/>
        <v>#DIV/0!</v>
      </c>
      <c r="O25" s="229"/>
      <c r="P25" s="100" t="e">
        <f t="shared" si="29"/>
        <v>#DIV/0!</v>
      </c>
      <c r="Q25" s="229"/>
      <c r="R25" s="100" t="e">
        <f t="shared" si="30"/>
        <v>#DIV/0!</v>
      </c>
      <c r="S25" s="105">
        <f t="shared" si="31"/>
        <v>0</v>
      </c>
      <c r="T25" s="100" t="e">
        <f t="shared" si="32"/>
        <v>#DIV/0!</v>
      </c>
      <c r="U25" s="229"/>
      <c r="V25" s="100" t="e">
        <f t="shared" si="33"/>
        <v>#DIV/0!</v>
      </c>
      <c r="W25" s="229"/>
      <c r="X25" s="100" t="e">
        <f t="shared" si="34"/>
        <v>#DIV/0!</v>
      </c>
      <c r="Y25" s="229"/>
      <c r="Z25" s="100" t="e">
        <f t="shared" si="35"/>
        <v>#DIV/0!</v>
      </c>
      <c r="AA25" s="229"/>
      <c r="AB25" s="100" t="e">
        <f t="shared" si="36"/>
        <v>#DIV/0!</v>
      </c>
      <c r="AC25" s="105">
        <f t="shared" si="37"/>
        <v>0</v>
      </c>
      <c r="AD25" s="100" t="e">
        <f t="shared" si="38"/>
        <v>#DIV/0!</v>
      </c>
      <c r="AE25" s="229"/>
      <c r="AF25" s="100" t="e">
        <f t="shared" si="39"/>
        <v>#DIV/0!</v>
      </c>
      <c r="AG25" s="229"/>
      <c r="AH25" s="100" t="e">
        <f t="shared" si="40"/>
        <v>#DIV/0!</v>
      </c>
      <c r="AI25" s="229"/>
      <c r="AJ25" s="100" t="e">
        <f t="shared" si="41"/>
        <v>#DIV/0!</v>
      </c>
      <c r="AK25" s="229"/>
      <c r="AL25" s="100" t="e">
        <f t="shared" si="42"/>
        <v>#DIV/0!</v>
      </c>
    </row>
    <row r="26" spans="2:38" ht="14.25">
      <c r="B26" s="97"/>
      <c r="C26" s="83"/>
      <c r="D26" s="291">
        <f t="shared" si="21"/>
        <v>46285</v>
      </c>
      <c r="E26" s="291" t="s">
        <v>444</v>
      </c>
      <c r="F26" s="87">
        <f t="shared" si="20"/>
        <v>0</v>
      </c>
      <c r="G26" s="293"/>
      <c r="H26" s="330"/>
      <c r="I26" s="229"/>
      <c r="J26" s="100" t="e">
        <f t="shared" si="25"/>
        <v>#DIV/0!</v>
      </c>
      <c r="K26" s="229"/>
      <c r="L26" s="100" t="e">
        <f t="shared" si="26"/>
        <v>#DIV/0!</v>
      </c>
      <c r="M26" s="105">
        <f t="shared" si="27"/>
        <v>0</v>
      </c>
      <c r="N26" s="100" t="e">
        <f t="shared" si="28"/>
        <v>#DIV/0!</v>
      </c>
      <c r="O26" s="229"/>
      <c r="P26" s="100" t="e">
        <f t="shared" si="29"/>
        <v>#DIV/0!</v>
      </c>
      <c r="Q26" s="229"/>
      <c r="R26" s="100" t="e">
        <f t="shared" si="30"/>
        <v>#DIV/0!</v>
      </c>
      <c r="S26" s="105">
        <f t="shared" si="31"/>
        <v>0</v>
      </c>
      <c r="T26" s="100" t="e">
        <f t="shared" si="32"/>
        <v>#DIV/0!</v>
      </c>
      <c r="U26" s="229"/>
      <c r="V26" s="100" t="e">
        <f t="shared" si="33"/>
        <v>#DIV/0!</v>
      </c>
      <c r="W26" s="229"/>
      <c r="X26" s="100" t="e">
        <f t="shared" si="34"/>
        <v>#DIV/0!</v>
      </c>
      <c r="Y26" s="229"/>
      <c r="Z26" s="100" t="e">
        <f t="shared" si="35"/>
        <v>#DIV/0!</v>
      </c>
      <c r="AA26" s="229"/>
      <c r="AB26" s="100" t="e">
        <f t="shared" si="36"/>
        <v>#DIV/0!</v>
      </c>
      <c r="AC26" s="105">
        <f t="shared" si="37"/>
        <v>0</v>
      </c>
      <c r="AD26" s="100" t="e">
        <f t="shared" si="38"/>
        <v>#DIV/0!</v>
      </c>
      <c r="AE26" s="229"/>
      <c r="AF26" s="100" t="e">
        <f t="shared" si="39"/>
        <v>#DIV/0!</v>
      </c>
      <c r="AG26" s="229"/>
      <c r="AH26" s="100" t="e">
        <f t="shared" si="40"/>
        <v>#DIV/0!</v>
      </c>
      <c r="AI26" s="229"/>
      <c r="AJ26" s="100" t="e">
        <f t="shared" si="41"/>
        <v>#DIV/0!</v>
      </c>
      <c r="AK26" s="229"/>
      <c r="AL26" s="100" t="e">
        <f t="shared" si="42"/>
        <v>#DIV/0!</v>
      </c>
    </row>
    <row r="27" spans="2:38" ht="14.25">
      <c r="B27" s="97"/>
      <c r="C27" s="83"/>
      <c r="D27" s="291">
        <f t="shared" si="21"/>
        <v>46286</v>
      </c>
      <c r="E27" s="291" t="s">
        <v>438</v>
      </c>
      <c r="F27" s="87">
        <f t="shared" si="20"/>
        <v>0</v>
      </c>
      <c r="G27" s="293"/>
      <c r="H27" s="330"/>
      <c r="I27" s="229"/>
      <c r="J27" s="100" t="e">
        <f t="shared" si="25"/>
        <v>#DIV/0!</v>
      </c>
      <c r="K27" s="229"/>
      <c r="L27" s="100" t="e">
        <f t="shared" si="26"/>
        <v>#DIV/0!</v>
      </c>
      <c r="M27" s="105">
        <f t="shared" si="27"/>
        <v>0</v>
      </c>
      <c r="N27" s="100" t="e">
        <f t="shared" si="28"/>
        <v>#DIV/0!</v>
      </c>
      <c r="O27" s="229"/>
      <c r="P27" s="100" t="e">
        <f t="shared" si="29"/>
        <v>#DIV/0!</v>
      </c>
      <c r="Q27" s="229"/>
      <c r="R27" s="100" t="e">
        <f t="shared" si="30"/>
        <v>#DIV/0!</v>
      </c>
      <c r="S27" s="105">
        <f t="shared" si="31"/>
        <v>0</v>
      </c>
      <c r="T27" s="100" t="e">
        <f t="shared" si="32"/>
        <v>#DIV/0!</v>
      </c>
      <c r="U27" s="229"/>
      <c r="V27" s="100" t="e">
        <f t="shared" si="33"/>
        <v>#DIV/0!</v>
      </c>
      <c r="W27" s="229"/>
      <c r="X27" s="100" t="e">
        <f t="shared" si="34"/>
        <v>#DIV/0!</v>
      </c>
      <c r="Y27" s="229"/>
      <c r="Z27" s="100" t="e">
        <f t="shared" si="35"/>
        <v>#DIV/0!</v>
      </c>
      <c r="AA27" s="229"/>
      <c r="AB27" s="100" t="e">
        <f t="shared" si="36"/>
        <v>#DIV/0!</v>
      </c>
      <c r="AC27" s="105">
        <f t="shared" si="37"/>
        <v>0</v>
      </c>
      <c r="AD27" s="100" t="e">
        <f t="shared" si="38"/>
        <v>#DIV/0!</v>
      </c>
      <c r="AE27" s="229"/>
      <c r="AF27" s="100" t="e">
        <f t="shared" si="39"/>
        <v>#DIV/0!</v>
      </c>
      <c r="AG27" s="229"/>
      <c r="AH27" s="100" t="e">
        <f t="shared" si="40"/>
        <v>#DIV/0!</v>
      </c>
      <c r="AI27" s="229"/>
      <c r="AJ27" s="100" t="e">
        <f t="shared" si="41"/>
        <v>#DIV/0!</v>
      </c>
      <c r="AK27" s="229"/>
      <c r="AL27" s="100" t="e">
        <f t="shared" si="42"/>
        <v>#DIV/0!</v>
      </c>
    </row>
    <row r="28" spans="2:38" ht="14.25">
      <c r="B28" s="97"/>
      <c r="C28" s="83"/>
      <c r="D28" s="344">
        <f t="shared" si="21"/>
        <v>46287</v>
      </c>
      <c r="E28" s="344" t="s">
        <v>439</v>
      </c>
      <c r="F28" s="87">
        <f t="shared" si="20"/>
        <v>0</v>
      </c>
      <c r="G28" s="293">
        <f>SUM(F28:F34)</f>
        <v>0</v>
      </c>
      <c r="H28" s="330"/>
      <c r="I28" s="229"/>
      <c r="J28" s="100" t="e">
        <f t="shared" si="25"/>
        <v>#DIV/0!</v>
      </c>
      <c r="K28" s="229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29"/>
      <c r="P28" s="100" t="e">
        <f t="shared" si="29"/>
        <v>#DIV/0!</v>
      </c>
      <c r="Q28" s="229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29"/>
      <c r="V28" s="100" t="e">
        <f t="shared" si="33"/>
        <v>#DIV/0!</v>
      </c>
      <c r="W28" s="229"/>
      <c r="X28" s="100" t="e">
        <f t="shared" si="34"/>
        <v>#DIV/0!</v>
      </c>
      <c r="Y28" s="229"/>
      <c r="Z28" s="100" t="e">
        <f t="shared" si="35"/>
        <v>#DIV/0!</v>
      </c>
      <c r="AA28" s="229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29"/>
      <c r="AF28" s="100" t="e">
        <f t="shared" si="39"/>
        <v>#DIV/0!</v>
      </c>
      <c r="AG28" s="229"/>
      <c r="AH28" s="100" t="e">
        <f t="shared" si="40"/>
        <v>#DIV/0!</v>
      </c>
      <c r="AI28" s="229"/>
      <c r="AJ28" s="100" t="e">
        <f t="shared" si="41"/>
        <v>#DIV/0!</v>
      </c>
      <c r="AK28" s="229"/>
      <c r="AL28" s="100" t="e">
        <f t="shared" si="42"/>
        <v>#DIV/0!</v>
      </c>
    </row>
    <row r="29" spans="2:38" ht="14.25">
      <c r="B29" s="97"/>
      <c r="C29" s="83"/>
      <c r="D29" s="344">
        <f t="shared" si="21"/>
        <v>46288</v>
      </c>
      <c r="E29" s="344" t="s">
        <v>440</v>
      </c>
      <c r="F29" s="87">
        <f t="shared" si="20"/>
        <v>0</v>
      </c>
      <c r="G29" s="293"/>
      <c r="H29" s="330"/>
      <c r="I29" s="229"/>
      <c r="J29" s="100" t="e">
        <f t="shared" si="25"/>
        <v>#DIV/0!</v>
      </c>
      <c r="K29" s="229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29"/>
      <c r="P29" s="100" t="e">
        <f t="shared" si="29"/>
        <v>#DIV/0!</v>
      </c>
      <c r="Q29" s="229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29"/>
      <c r="V29" s="100" t="e">
        <f t="shared" si="33"/>
        <v>#DIV/0!</v>
      </c>
      <c r="W29" s="229"/>
      <c r="X29" s="100" t="e">
        <f t="shared" si="34"/>
        <v>#DIV/0!</v>
      </c>
      <c r="Y29" s="229"/>
      <c r="Z29" s="100" t="e">
        <f t="shared" si="35"/>
        <v>#DIV/0!</v>
      </c>
      <c r="AA29" s="229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29"/>
      <c r="AF29" s="100" t="e">
        <f t="shared" si="39"/>
        <v>#DIV/0!</v>
      </c>
      <c r="AG29" s="229"/>
      <c r="AH29" s="100" t="e">
        <f t="shared" si="40"/>
        <v>#DIV/0!</v>
      </c>
      <c r="AI29" s="229"/>
      <c r="AJ29" s="100" t="e">
        <f t="shared" si="41"/>
        <v>#DIV/0!</v>
      </c>
      <c r="AK29" s="229"/>
      <c r="AL29" s="100" t="e">
        <f t="shared" si="42"/>
        <v>#DIV/0!</v>
      </c>
    </row>
    <row r="30" spans="2:38" ht="14.25">
      <c r="B30" s="97"/>
      <c r="C30" s="83"/>
      <c r="D30" s="344">
        <f t="shared" si="21"/>
        <v>46289</v>
      </c>
      <c r="E30" s="344" t="s">
        <v>441</v>
      </c>
      <c r="F30" s="87">
        <f t="shared" si="20"/>
        <v>0</v>
      </c>
      <c r="G30" s="293"/>
      <c r="H30" s="330"/>
      <c r="I30" s="229"/>
      <c r="J30" s="100" t="e">
        <f t="shared" si="25"/>
        <v>#DIV/0!</v>
      </c>
      <c r="K30" s="229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29"/>
      <c r="P30" s="100" t="e">
        <f t="shared" si="29"/>
        <v>#DIV/0!</v>
      </c>
      <c r="Q30" s="229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29"/>
      <c r="V30" s="100" t="e">
        <f t="shared" si="33"/>
        <v>#DIV/0!</v>
      </c>
      <c r="W30" s="229"/>
      <c r="X30" s="100" t="e">
        <f t="shared" si="34"/>
        <v>#DIV/0!</v>
      </c>
      <c r="Y30" s="229"/>
      <c r="Z30" s="100" t="e">
        <f t="shared" si="35"/>
        <v>#DIV/0!</v>
      </c>
      <c r="AA30" s="229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29"/>
      <c r="AF30" s="100" t="e">
        <f t="shared" si="39"/>
        <v>#DIV/0!</v>
      </c>
      <c r="AG30" s="229"/>
      <c r="AH30" s="100" t="e">
        <f t="shared" si="40"/>
        <v>#DIV/0!</v>
      </c>
      <c r="AI30" s="229"/>
      <c r="AJ30" s="100" t="e">
        <f t="shared" si="41"/>
        <v>#DIV/0!</v>
      </c>
      <c r="AK30" s="229"/>
      <c r="AL30" s="100" t="e">
        <f t="shared" si="42"/>
        <v>#DIV/0!</v>
      </c>
    </row>
    <row r="31" spans="2:38" ht="14.25">
      <c r="B31" s="97"/>
      <c r="C31" s="83"/>
      <c r="D31" s="344">
        <f t="shared" si="21"/>
        <v>46290</v>
      </c>
      <c r="E31" s="344" t="s">
        <v>442</v>
      </c>
      <c r="F31" s="87">
        <f t="shared" si="20"/>
        <v>0</v>
      </c>
      <c r="G31" s="293"/>
      <c r="H31" s="330"/>
      <c r="I31" s="229"/>
      <c r="J31" s="100" t="e">
        <f t="shared" si="25"/>
        <v>#DIV/0!</v>
      </c>
      <c r="K31" s="229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29"/>
      <c r="P31" s="100" t="e">
        <f t="shared" si="29"/>
        <v>#DIV/0!</v>
      </c>
      <c r="Q31" s="229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29"/>
      <c r="V31" s="100" t="e">
        <f t="shared" si="33"/>
        <v>#DIV/0!</v>
      </c>
      <c r="W31" s="229"/>
      <c r="X31" s="100" t="e">
        <f t="shared" si="34"/>
        <v>#DIV/0!</v>
      </c>
      <c r="Y31" s="229"/>
      <c r="Z31" s="100" t="e">
        <f t="shared" si="35"/>
        <v>#DIV/0!</v>
      </c>
      <c r="AA31" s="229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29"/>
      <c r="AF31" s="100" t="e">
        <f t="shared" si="39"/>
        <v>#DIV/0!</v>
      </c>
      <c r="AG31" s="229"/>
      <c r="AH31" s="100" t="e">
        <f t="shared" si="40"/>
        <v>#DIV/0!</v>
      </c>
      <c r="AI31" s="229"/>
      <c r="AJ31" s="100" t="e">
        <f t="shared" si="41"/>
        <v>#DIV/0!</v>
      </c>
      <c r="AK31" s="229"/>
      <c r="AL31" s="100" t="e">
        <f t="shared" si="42"/>
        <v>#DIV/0!</v>
      </c>
    </row>
    <row r="32" spans="2:38" s="424" customFormat="1" ht="14.25">
      <c r="B32" s="397"/>
      <c r="C32" s="403"/>
      <c r="D32" s="344">
        <f t="shared" si="21"/>
        <v>46291</v>
      </c>
      <c r="E32" s="344" t="s">
        <v>443</v>
      </c>
      <c r="F32" s="325">
        <f t="shared" si="20"/>
        <v>0</v>
      </c>
      <c r="G32" s="326"/>
      <c r="H32" s="430"/>
      <c r="I32" s="229"/>
      <c r="J32" s="100" t="e">
        <f t="shared" si="25"/>
        <v>#DIV/0!</v>
      </c>
      <c r="K32" s="229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29"/>
      <c r="P32" s="100" t="e">
        <f t="shared" si="29"/>
        <v>#DIV/0!</v>
      </c>
      <c r="Q32" s="229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29"/>
      <c r="V32" s="100" t="e">
        <f t="shared" si="33"/>
        <v>#DIV/0!</v>
      </c>
      <c r="W32" s="229"/>
      <c r="X32" s="100" t="e">
        <f t="shared" si="34"/>
        <v>#DIV/0!</v>
      </c>
      <c r="Y32" s="229"/>
      <c r="Z32" s="100" t="e">
        <f t="shared" si="35"/>
        <v>#DIV/0!</v>
      </c>
      <c r="AA32" s="229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29"/>
      <c r="AF32" s="100" t="e">
        <f t="shared" si="39"/>
        <v>#DIV/0!</v>
      </c>
      <c r="AG32" s="229"/>
      <c r="AH32" s="100" t="e">
        <f t="shared" si="40"/>
        <v>#DIV/0!</v>
      </c>
      <c r="AI32" s="229"/>
      <c r="AJ32" s="100" t="e">
        <f t="shared" si="41"/>
        <v>#DIV/0!</v>
      </c>
      <c r="AK32" s="229"/>
      <c r="AL32" s="100" t="e">
        <f t="shared" si="42"/>
        <v>#DIV/0!</v>
      </c>
    </row>
    <row r="33" spans="2:38" s="424" customFormat="1" ht="14.25">
      <c r="B33" s="397"/>
      <c r="C33" s="403"/>
      <c r="D33" s="344">
        <f t="shared" si="21"/>
        <v>46292</v>
      </c>
      <c r="E33" s="344" t="s">
        <v>444</v>
      </c>
      <c r="F33" s="325">
        <f t="shared" si="20"/>
        <v>0</v>
      </c>
      <c r="G33" s="326"/>
      <c r="H33" s="430"/>
      <c r="I33" s="229"/>
      <c r="J33" s="100" t="e">
        <f t="shared" si="25"/>
        <v>#DIV/0!</v>
      </c>
      <c r="K33" s="229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29"/>
      <c r="P33" s="100" t="e">
        <f t="shared" si="29"/>
        <v>#DIV/0!</v>
      </c>
      <c r="Q33" s="229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29"/>
      <c r="V33" s="100" t="e">
        <f t="shared" si="33"/>
        <v>#DIV/0!</v>
      </c>
      <c r="W33" s="229"/>
      <c r="X33" s="100" t="e">
        <f t="shared" si="34"/>
        <v>#DIV/0!</v>
      </c>
      <c r="Y33" s="229"/>
      <c r="Z33" s="100" t="e">
        <f t="shared" si="35"/>
        <v>#DIV/0!</v>
      </c>
      <c r="AA33" s="229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29"/>
      <c r="AF33" s="100" t="e">
        <f t="shared" si="39"/>
        <v>#DIV/0!</v>
      </c>
      <c r="AG33" s="229"/>
      <c r="AH33" s="100" t="e">
        <f t="shared" si="40"/>
        <v>#DIV/0!</v>
      </c>
      <c r="AI33" s="229"/>
      <c r="AJ33" s="100" t="e">
        <f t="shared" si="41"/>
        <v>#DIV/0!</v>
      </c>
      <c r="AK33" s="229"/>
      <c r="AL33" s="100" t="e">
        <f t="shared" si="42"/>
        <v>#DIV/0!</v>
      </c>
    </row>
    <row r="34" spans="2:38" s="424" customFormat="1" ht="14.25">
      <c r="B34" s="397"/>
      <c r="C34" s="403"/>
      <c r="D34" s="344">
        <f t="shared" si="21"/>
        <v>46293</v>
      </c>
      <c r="E34" s="344" t="s">
        <v>438</v>
      </c>
      <c r="F34" s="325">
        <f t="shared" si="20"/>
        <v>0</v>
      </c>
      <c r="G34" s="326"/>
      <c r="H34" s="430"/>
      <c r="I34" s="229"/>
      <c r="J34" s="100" t="e">
        <f t="shared" si="25"/>
        <v>#DIV/0!</v>
      </c>
      <c r="K34" s="229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29"/>
      <c r="P34" s="100" t="e">
        <f t="shared" si="29"/>
        <v>#DIV/0!</v>
      </c>
      <c r="Q34" s="229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29"/>
      <c r="V34" s="100" t="e">
        <f t="shared" si="33"/>
        <v>#DIV/0!</v>
      </c>
      <c r="W34" s="229"/>
      <c r="X34" s="100" t="e">
        <f t="shared" si="34"/>
        <v>#DIV/0!</v>
      </c>
      <c r="Y34" s="229"/>
      <c r="Z34" s="100" t="e">
        <f t="shared" si="35"/>
        <v>#DIV/0!</v>
      </c>
      <c r="AA34" s="229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29"/>
      <c r="AF34" s="100" t="e">
        <f t="shared" si="39"/>
        <v>#DIV/0!</v>
      </c>
      <c r="AG34" s="229"/>
      <c r="AH34" s="100" t="e">
        <f t="shared" si="40"/>
        <v>#DIV/0!</v>
      </c>
      <c r="AI34" s="229"/>
      <c r="AJ34" s="100" t="e">
        <f t="shared" si="41"/>
        <v>#DIV/0!</v>
      </c>
      <c r="AK34" s="229"/>
      <c r="AL34" s="100" t="e">
        <f t="shared" si="42"/>
        <v>#DIV/0!</v>
      </c>
    </row>
    <row r="35" spans="2:38" s="424" customFormat="1" ht="14.25">
      <c r="B35" s="397"/>
      <c r="C35" s="403"/>
      <c r="D35" s="291">
        <f t="shared" si="21"/>
        <v>46294</v>
      </c>
      <c r="E35" s="291" t="s">
        <v>439</v>
      </c>
      <c r="F35" s="325">
        <f t="shared" si="20"/>
        <v>0</v>
      </c>
      <c r="G35" s="326">
        <f>SUM(F35:F41)</f>
        <v>0</v>
      </c>
      <c r="H35" s="430"/>
      <c r="I35" s="229"/>
      <c r="J35" s="100" t="e">
        <f t="shared" si="25"/>
        <v>#DIV/0!</v>
      </c>
      <c r="K35" s="229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29"/>
      <c r="P35" s="100" t="e">
        <f t="shared" si="29"/>
        <v>#DIV/0!</v>
      </c>
      <c r="Q35" s="229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29"/>
      <c r="V35" s="100" t="e">
        <f t="shared" si="33"/>
        <v>#DIV/0!</v>
      </c>
      <c r="W35" s="229"/>
      <c r="X35" s="100" t="e">
        <f t="shared" si="34"/>
        <v>#DIV/0!</v>
      </c>
      <c r="Y35" s="229"/>
      <c r="Z35" s="100" t="e">
        <f t="shared" si="35"/>
        <v>#DIV/0!</v>
      </c>
      <c r="AA35" s="229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29"/>
      <c r="AF35" s="100" t="e">
        <f t="shared" si="39"/>
        <v>#DIV/0!</v>
      </c>
      <c r="AG35" s="229"/>
      <c r="AH35" s="100" t="e">
        <f t="shared" si="40"/>
        <v>#DIV/0!</v>
      </c>
      <c r="AI35" s="229"/>
      <c r="AJ35" s="100" t="e">
        <f t="shared" si="41"/>
        <v>#DIV/0!</v>
      </c>
      <c r="AK35" s="229"/>
      <c r="AL35" s="100" t="e">
        <f t="shared" si="42"/>
        <v>#DIV/0!</v>
      </c>
    </row>
    <row r="36" spans="2:38" s="424" customFormat="1" ht="14.25">
      <c r="B36" s="397"/>
      <c r="C36" s="403"/>
      <c r="D36" s="291">
        <f t="shared" si="21"/>
        <v>46295</v>
      </c>
      <c r="E36" s="291" t="s">
        <v>440</v>
      </c>
      <c r="F36" s="325">
        <f t="shared" si="20"/>
        <v>0</v>
      </c>
      <c r="G36" s="326"/>
      <c r="H36" s="430"/>
      <c r="I36" s="229"/>
      <c r="J36" s="100" t="e">
        <f t="shared" si="25"/>
        <v>#DIV/0!</v>
      </c>
      <c r="K36" s="229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29"/>
      <c r="P36" s="100" t="e">
        <f t="shared" si="29"/>
        <v>#DIV/0!</v>
      </c>
      <c r="Q36" s="229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29"/>
      <c r="V36" s="100" t="e">
        <f t="shared" si="33"/>
        <v>#DIV/0!</v>
      </c>
      <c r="W36" s="229"/>
      <c r="X36" s="100" t="e">
        <f t="shared" si="34"/>
        <v>#DIV/0!</v>
      </c>
      <c r="Y36" s="229"/>
      <c r="Z36" s="100" t="e">
        <f t="shared" si="35"/>
        <v>#DIV/0!</v>
      </c>
      <c r="AA36" s="229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29"/>
      <c r="AF36" s="100" t="e">
        <f t="shared" si="39"/>
        <v>#DIV/0!</v>
      </c>
      <c r="AG36" s="229"/>
      <c r="AH36" s="100" t="e">
        <f t="shared" si="40"/>
        <v>#DIV/0!</v>
      </c>
      <c r="AI36" s="229"/>
      <c r="AJ36" s="100" t="e">
        <f t="shared" si="41"/>
        <v>#DIV/0!</v>
      </c>
      <c r="AK36" s="229"/>
      <c r="AL36" s="100" t="e">
        <f t="shared" si="42"/>
        <v>#DIV/0!</v>
      </c>
    </row>
    <row r="37" spans="2:38" s="424" customFormat="1" ht="14.25">
      <c r="B37" s="397"/>
      <c r="C37" s="403"/>
      <c r="D37" s="291">
        <f>D36+1</f>
        <v>46296</v>
      </c>
      <c r="E37" s="291" t="s">
        <v>441</v>
      </c>
      <c r="F37" s="325">
        <f t="shared" si="20"/>
        <v>0</v>
      </c>
      <c r="G37" s="326"/>
      <c r="H37" s="430"/>
      <c r="I37" s="229"/>
      <c r="J37" s="100" t="e">
        <f t="shared" si="25"/>
        <v>#DIV/0!</v>
      </c>
      <c r="K37" s="229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29"/>
      <c r="P37" s="100" t="e">
        <f t="shared" si="29"/>
        <v>#DIV/0!</v>
      </c>
      <c r="Q37" s="229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29"/>
      <c r="V37" s="100" t="e">
        <f t="shared" si="33"/>
        <v>#DIV/0!</v>
      </c>
      <c r="W37" s="229"/>
      <c r="X37" s="100" t="e">
        <f t="shared" si="34"/>
        <v>#DIV/0!</v>
      </c>
      <c r="Y37" s="229"/>
      <c r="Z37" s="100" t="e">
        <f t="shared" si="35"/>
        <v>#DIV/0!</v>
      </c>
      <c r="AA37" s="229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29"/>
      <c r="AF37" s="100" t="e">
        <f t="shared" si="39"/>
        <v>#DIV/0!</v>
      </c>
      <c r="AG37" s="229"/>
      <c r="AH37" s="100" t="e">
        <f t="shared" si="40"/>
        <v>#DIV/0!</v>
      </c>
      <c r="AI37" s="229"/>
      <c r="AJ37" s="100" t="e">
        <f t="shared" si="41"/>
        <v>#DIV/0!</v>
      </c>
      <c r="AK37" s="229"/>
      <c r="AL37" s="100" t="e">
        <f t="shared" si="42"/>
        <v>#DIV/0!</v>
      </c>
    </row>
    <row r="38" spans="2:38" s="424" customFormat="1" ht="14.25">
      <c r="B38" s="397"/>
      <c r="C38" s="403"/>
      <c r="D38" s="291">
        <f t="shared" ref="D38:D41" si="45">D37+1</f>
        <v>46297</v>
      </c>
      <c r="E38" s="291" t="s">
        <v>442</v>
      </c>
      <c r="F38" s="325">
        <f t="shared" si="20"/>
        <v>0</v>
      </c>
      <c r="G38" s="326"/>
      <c r="H38" s="430"/>
      <c r="I38" s="229"/>
      <c r="J38" s="100" t="e">
        <f t="shared" si="25"/>
        <v>#DIV/0!</v>
      </c>
      <c r="K38" s="229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29"/>
      <c r="P38" s="100" t="e">
        <f t="shared" si="29"/>
        <v>#DIV/0!</v>
      </c>
      <c r="Q38" s="229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29"/>
      <c r="V38" s="100" t="e">
        <f t="shared" si="33"/>
        <v>#DIV/0!</v>
      </c>
      <c r="W38" s="229"/>
      <c r="X38" s="100" t="e">
        <f t="shared" si="34"/>
        <v>#DIV/0!</v>
      </c>
      <c r="Y38" s="229"/>
      <c r="Z38" s="100" t="e">
        <f t="shared" si="35"/>
        <v>#DIV/0!</v>
      </c>
      <c r="AA38" s="229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29"/>
      <c r="AF38" s="100" t="e">
        <f t="shared" si="39"/>
        <v>#DIV/0!</v>
      </c>
      <c r="AG38" s="229"/>
      <c r="AH38" s="100" t="e">
        <f t="shared" si="40"/>
        <v>#DIV/0!</v>
      </c>
      <c r="AI38" s="229"/>
      <c r="AJ38" s="100" t="e">
        <f t="shared" si="41"/>
        <v>#DIV/0!</v>
      </c>
      <c r="AK38" s="229"/>
      <c r="AL38" s="100" t="e">
        <f t="shared" si="42"/>
        <v>#DIV/0!</v>
      </c>
    </row>
    <row r="39" spans="2:38" s="328" customFormat="1" ht="14.25">
      <c r="B39" s="323"/>
      <c r="C39" s="324"/>
      <c r="D39" s="291">
        <f t="shared" si="45"/>
        <v>46298</v>
      </c>
      <c r="E39" s="291" t="s">
        <v>443</v>
      </c>
      <c r="F39" s="325">
        <f t="shared" si="20"/>
        <v>0</v>
      </c>
      <c r="G39" s="326"/>
      <c r="H39" s="330"/>
      <c r="I39" s="229"/>
      <c r="J39" s="100" t="e">
        <f t="shared" si="25"/>
        <v>#DIV/0!</v>
      </c>
      <c r="K39" s="229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29"/>
      <c r="P39" s="100" t="e">
        <f t="shared" si="29"/>
        <v>#DIV/0!</v>
      </c>
      <c r="Q39" s="229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29"/>
      <c r="V39" s="100" t="e">
        <f t="shared" si="33"/>
        <v>#DIV/0!</v>
      </c>
      <c r="W39" s="229"/>
      <c r="X39" s="100" t="e">
        <f t="shared" si="34"/>
        <v>#DIV/0!</v>
      </c>
      <c r="Y39" s="229"/>
      <c r="Z39" s="100" t="e">
        <f t="shared" si="35"/>
        <v>#DIV/0!</v>
      </c>
      <c r="AA39" s="229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29"/>
      <c r="AF39" s="100" t="e">
        <f t="shared" si="39"/>
        <v>#DIV/0!</v>
      </c>
      <c r="AG39" s="229"/>
      <c r="AH39" s="100" t="e">
        <f t="shared" si="40"/>
        <v>#DIV/0!</v>
      </c>
      <c r="AI39" s="229"/>
      <c r="AJ39" s="100" t="e">
        <f t="shared" si="41"/>
        <v>#DIV/0!</v>
      </c>
      <c r="AK39" s="229"/>
      <c r="AL39" s="100" t="e">
        <f t="shared" si="42"/>
        <v>#DIV/0!</v>
      </c>
    </row>
    <row r="40" spans="2:38" ht="14.25">
      <c r="B40" s="97"/>
      <c r="C40" s="83"/>
      <c r="D40" s="291">
        <f t="shared" si="45"/>
        <v>46299</v>
      </c>
      <c r="E40" s="291" t="s">
        <v>444</v>
      </c>
      <c r="F40" s="87">
        <f t="shared" si="20"/>
        <v>0</v>
      </c>
      <c r="G40" s="293"/>
      <c r="H40" s="87"/>
      <c r="I40" s="229"/>
      <c r="J40" s="100" t="e">
        <f t="shared" si="25"/>
        <v>#DIV/0!</v>
      </c>
      <c r="K40" s="229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29"/>
      <c r="P40" s="100" t="e">
        <f t="shared" si="29"/>
        <v>#DIV/0!</v>
      </c>
      <c r="Q40" s="229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29"/>
      <c r="V40" s="100" t="e">
        <f t="shared" si="33"/>
        <v>#DIV/0!</v>
      </c>
      <c r="W40" s="229"/>
      <c r="X40" s="100" t="e">
        <f t="shared" si="34"/>
        <v>#DIV/0!</v>
      </c>
      <c r="Y40" s="229"/>
      <c r="Z40" s="100" t="e">
        <f t="shared" si="35"/>
        <v>#DIV/0!</v>
      </c>
      <c r="AA40" s="229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29"/>
      <c r="AF40" s="100" t="e">
        <f t="shared" si="39"/>
        <v>#DIV/0!</v>
      </c>
      <c r="AG40" s="229"/>
      <c r="AH40" s="100" t="e">
        <f t="shared" si="40"/>
        <v>#DIV/0!</v>
      </c>
      <c r="AI40" s="229"/>
      <c r="AJ40" s="100" t="e">
        <f t="shared" si="41"/>
        <v>#DIV/0!</v>
      </c>
      <c r="AK40" s="229"/>
      <c r="AL40" s="100" t="e">
        <f t="shared" si="42"/>
        <v>#DIV/0!</v>
      </c>
    </row>
    <row r="41" spans="2:38" ht="14.25">
      <c r="B41" s="97"/>
      <c r="C41" s="83"/>
      <c r="D41" s="291">
        <f t="shared" si="45"/>
        <v>46300</v>
      </c>
      <c r="E41" s="291" t="s">
        <v>438</v>
      </c>
      <c r="F41" s="87">
        <f t="shared" si="20"/>
        <v>0</v>
      </c>
      <c r="G41" s="293"/>
      <c r="H41" s="87"/>
      <c r="I41" s="229"/>
      <c r="J41" s="100" t="e">
        <f t="shared" si="25"/>
        <v>#DIV/0!</v>
      </c>
      <c r="K41" s="229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29"/>
      <c r="P41" s="100" t="e">
        <f t="shared" si="29"/>
        <v>#DIV/0!</v>
      </c>
      <c r="Q41" s="229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29"/>
      <c r="V41" s="100" t="e">
        <f t="shared" si="33"/>
        <v>#DIV/0!</v>
      </c>
      <c r="W41" s="229"/>
      <c r="X41" s="100" t="e">
        <f t="shared" si="34"/>
        <v>#DIV/0!</v>
      </c>
      <c r="Y41" s="229"/>
      <c r="Z41" s="100" t="e">
        <f t="shared" si="35"/>
        <v>#DIV/0!</v>
      </c>
      <c r="AA41" s="229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29"/>
      <c r="AF41" s="100" t="e">
        <f t="shared" si="39"/>
        <v>#DIV/0!</v>
      </c>
      <c r="AG41" s="229"/>
      <c r="AH41" s="100" t="e">
        <f t="shared" si="40"/>
        <v>#DIV/0!</v>
      </c>
      <c r="AI41" s="229"/>
      <c r="AJ41" s="100" t="e">
        <f t="shared" si="41"/>
        <v>#DIV/0!</v>
      </c>
      <c r="AK41" s="229"/>
      <c r="AL41" s="100" t="e">
        <f t="shared" si="42"/>
        <v>#DIV/0!</v>
      </c>
    </row>
    <row r="42" spans="2:38" ht="14.25">
      <c r="B42" s="97"/>
      <c r="C42" s="83"/>
      <c r="D42" s="344"/>
      <c r="E42" s="344"/>
      <c r="F42" s="87">
        <f t="shared" si="20"/>
        <v>0</v>
      </c>
      <c r="G42" s="293"/>
      <c r="H42" s="87"/>
      <c r="I42" s="229"/>
      <c r="J42" s="100" t="e">
        <f t="shared" si="25"/>
        <v>#DIV/0!</v>
      </c>
      <c r="K42" s="229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29"/>
      <c r="P42" s="100" t="e">
        <f t="shared" si="29"/>
        <v>#DIV/0!</v>
      </c>
      <c r="Q42" s="229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29"/>
      <c r="V42" s="100" t="e">
        <f t="shared" si="33"/>
        <v>#DIV/0!</v>
      </c>
      <c r="W42" s="229"/>
      <c r="X42" s="100" t="e">
        <f t="shared" si="34"/>
        <v>#DIV/0!</v>
      </c>
      <c r="Y42" s="229"/>
      <c r="Z42" s="100" t="e">
        <f t="shared" si="35"/>
        <v>#DIV/0!</v>
      </c>
      <c r="AA42" s="229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29"/>
      <c r="AF42" s="100" t="e">
        <f t="shared" si="39"/>
        <v>#DIV/0!</v>
      </c>
      <c r="AG42" s="229"/>
      <c r="AH42" s="100" t="e">
        <f t="shared" si="40"/>
        <v>#DIV/0!</v>
      </c>
      <c r="AI42" s="229"/>
      <c r="AJ42" s="100" t="e">
        <f t="shared" si="41"/>
        <v>#DIV/0!</v>
      </c>
      <c r="AK42" s="229"/>
      <c r="AL42" s="100" t="e">
        <f t="shared" si="42"/>
        <v>#DIV/0!</v>
      </c>
    </row>
    <row r="43" spans="2:38" ht="14.25">
      <c r="B43" s="97"/>
      <c r="C43" s="83"/>
      <c r="D43" s="344"/>
      <c r="E43" s="344"/>
      <c r="F43" s="87">
        <f t="shared" ref="F43" si="46">SUM(M43,S43,U43,W43,AC43,AE43,AG43,AI43,AK43)</f>
        <v>0</v>
      </c>
      <c r="G43" s="293"/>
      <c r="H43" s="87"/>
      <c r="I43" s="229"/>
      <c r="J43" s="100" t="e">
        <f t="shared" si="25"/>
        <v>#DIV/0!</v>
      </c>
      <c r="K43" s="229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29"/>
      <c r="P43" s="100" t="e">
        <f t="shared" si="29"/>
        <v>#DIV/0!</v>
      </c>
      <c r="Q43" s="229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29"/>
      <c r="V43" s="100" t="e">
        <f t="shared" si="33"/>
        <v>#DIV/0!</v>
      </c>
      <c r="W43" s="229"/>
      <c r="X43" s="100" t="e">
        <f t="shared" si="34"/>
        <v>#DIV/0!</v>
      </c>
      <c r="Y43" s="229"/>
      <c r="Z43" s="100" t="e">
        <f t="shared" si="35"/>
        <v>#DIV/0!</v>
      </c>
      <c r="AA43" s="229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29"/>
      <c r="AF43" s="100" t="e">
        <f t="shared" si="39"/>
        <v>#DIV/0!</v>
      </c>
      <c r="AG43" s="229"/>
      <c r="AH43" s="100" t="e">
        <f t="shared" si="40"/>
        <v>#DIV/0!</v>
      </c>
      <c r="AI43" s="229"/>
      <c r="AJ43" s="100" t="e">
        <f t="shared" si="41"/>
        <v>#DIV/0!</v>
      </c>
      <c r="AK43" s="229"/>
      <c r="AL43" s="100" t="e">
        <f t="shared" si="42"/>
        <v>#DIV/0!</v>
      </c>
    </row>
    <row r="44" spans="2:38" ht="14.25">
      <c r="B44" s="97"/>
      <c r="C44" s="83"/>
      <c r="D44" s="344"/>
      <c r="E44" s="344"/>
      <c r="F44" s="87">
        <f t="shared" si="20"/>
        <v>0</v>
      </c>
      <c r="G44" s="293"/>
      <c r="H44" s="87"/>
      <c r="I44" s="229"/>
      <c r="J44" s="100" t="e">
        <f t="shared" si="25"/>
        <v>#DIV/0!</v>
      </c>
      <c r="K44" s="229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29"/>
      <c r="P44" s="100" t="e">
        <f t="shared" si="29"/>
        <v>#DIV/0!</v>
      </c>
      <c r="Q44" s="229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29"/>
      <c r="V44" s="100" t="e">
        <f t="shared" si="33"/>
        <v>#DIV/0!</v>
      </c>
      <c r="W44" s="229"/>
      <c r="X44" s="100" t="e">
        <f t="shared" si="34"/>
        <v>#DIV/0!</v>
      </c>
      <c r="Y44" s="229"/>
      <c r="Z44" s="100" t="e">
        <f t="shared" si="35"/>
        <v>#DIV/0!</v>
      </c>
      <c r="AA44" s="229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29"/>
      <c r="AF44" s="100" t="e">
        <f t="shared" si="39"/>
        <v>#DIV/0!</v>
      </c>
      <c r="AG44" s="229"/>
      <c r="AH44" s="100" t="e">
        <f t="shared" si="40"/>
        <v>#DIV/0!</v>
      </c>
      <c r="AI44" s="229"/>
      <c r="AJ44" s="100" t="e">
        <f t="shared" si="41"/>
        <v>#DIV/0!</v>
      </c>
      <c r="AK44" s="229"/>
      <c r="AL44" s="100" t="e">
        <f t="shared" si="42"/>
        <v>#DIV/0!</v>
      </c>
    </row>
    <row r="45" spans="2:38" ht="14.25">
      <c r="B45" s="97"/>
      <c r="C45" s="83"/>
      <c r="D45" s="344"/>
      <c r="E45" s="344"/>
      <c r="F45" s="87">
        <f t="shared" ref="F45:F48" si="47">SUM(M45,S45,U45,W45,AC45,AE45,AG45,AI45,AK45)</f>
        <v>0</v>
      </c>
      <c r="G45" s="293"/>
      <c r="H45" s="87"/>
      <c r="I45" s="229"/>
      <c r="J45" s="100" t="e">
        <f t="shared" si="25"/>
        <v>#DIV/0!</v>
      </c>
      <c r="K45" s="229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29"/>
      <c r="P45" s="100" t="e">
        <f t="shared" si="29"/>
        <v>#DIV/0!</v>
      </c>
      <c r="Q45" s="229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29"/>
      <c r="V45" s="100" t="e">
        <f t="shared" si="33"/>
        <v>#DIV/0!</v>
      </c>
      <c r="W45" s="229"/>
      <c r="X45" s="100" t="e">
        <f t="shared" si="34"/>
        <v>#DIV/0!</v>
      </c>
      <c r="Y45" s="229"/>
      <c r="Z45" s="100" t="e">
        <f t="shared" si="35"/>
        <v>#DIV/0!</v>
      </c>
      <c r="AA45" s="229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29"/>
      <c r="AF45" s="100" t="e">
        <f t="shared" si="39"/>
        <v>#DIV/0!</v>
      </c>
      <c r="AG45" s="229"/>
      <c r="AH45" s="100" t="e">
        <f t="shared" si="40"/>
        <v>#DIV/0!</v>
      </c>
      <c r="AI45" s="229"/>
      <c r="AJ45" s="100" t="e">
        <f t="shared" si="41"/>
        <v>#DIV/0!</v>
      </c>
      <c r="AK45" s="229"/>
      <c r="AL45" s="100" t="e">
        <f t="shared" si="42"/>
        <v>#DIV/0!</v>
      </c>
    </row>
    <row r="46" spans="2:38" ht="14.25">
      <c r="B46" s="97"/>
      <c r="C46" s="83"/>
      <c r="D46" s="344"/>
      <c r="E46" s="344"/>
      <c r="F46" s="87">
        <f t="shared" si="47"/>
        <v>0</v>
      </c>
      <c r="G46" s="293"/>
      <c r="H46" s="87"/>
      <c r="I46" s="229"/>
      <c r="J46" s="100" t="e">
        <f t="shared" si="25"/>
        <v>#DIV/0!</v>
      </c>
      <c r="K46" s="229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29"/>
      <c r="P46" s="100" t="e">
        <f t="shared" si="29"/>
        <v>#DIV/0!</v>
      </c>
      <c r="Q46" s="229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29"/>
      <c r="V46" s="100" t="e">
        <f t="shared" si="33"/>
        <v>#DIV/0!</v>
      </c>
      <c r="W46" s="229"/>
      <c r="X46" s="100" t="e">
        <f t="shared" si="34"/>
        <v>#DIV/0!</v>
      </c>
      <c r="Y46" s="229"/>
      <c r="Z46" s="100" t="e">
        <f t="shared" si="35"/>
        <v>#DIV/0!</v>
      </c>
      <c r="AA46" s="229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29"/>
      <c r="AF46" s="100" t="e">
        <f t="shared" si="39"/>
        <v>#DIV/0!</v>
      </c>
      <c r="AG46" s="229"/>
      <c r="AH46" s="100" t="e">
        <f t="shared" si="40"/>
        <v>#DIV/0!</v>
      </c>
      <c r="AI46" s="229"/>
      <c r="AJ46" s="100" t="e">
        <f t="shared" si="41"/>
        <v>#DIV/0!</v>
      </c>
      <c r="AK46" s="229"/>
      <c r="AL46" s="100" t="e">
        <f t="shared" si="42"/>
        <v>#DIV/0!</v>
      </c>
    </row>
    <row r="47" spans="2:38" ht="14.25">
      <c r="B47" s="97"/>
      <c r="C47" s="83"/>
      <c r="D47" s="344"/>
      <c r="E47" s="344"/>
      <c r="F47" s="87">
        <f t="shared" si="47"/>
        <v>0</v>
      </c>
      <c r="G47" s="293"/>
      <c r="H47" s="87"/>
      <c r="I47" s="229"/>
      <c r="J47" s="100" t="e">
        <f t="shared" si="25"/>
        <v>#DIV/0!</v>
      </c>
      <c r="K47" s="229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29"/>
      <c r="P47" s="100" t="e">
        <f t="shared" si="29"/>
        <v>#DIV/0!</v>
      </c>
      <c r="Q47" s="229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29"/>
      <c r="V47" s="100" t="e">
        <f t="shared" si="33"/>
        <v>#DIV/0!</v>
      </c>
      <c r="W47" s="229"/>
      <c r="X47" s="100" t="e">
        <f t="shared" si="34"/>
        <v>#DIV/0!</v>
      </c>
      <c r="Y47" s="229"/>
      <c r="Z47" s="100" t="e">
        <f t="shared" si="35"/>
        <v>#DIV/0!</v>
      </c>
      <c r="AA47" s="229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29"/>
      <c r="AF47" s="100" t="e">
        <f t="shared" si="39"/>
        <v>#DIV/0!</v>
      </c>
      <c r="AG47" s="229"/>
      <c r="AH47" s="100" t="e">
        <f t="shared" si="40"/>
        <v>#DIV/0!</v>
      </c>
      <c r="AI47" s="229"/>
      <c r="AJ47" s="100" t="e">
        <f t="shared" si="41"/>
        <v>#DIV/0!</v>
      </c>
      <c r="AK47" s="229"/>
      <c r="AL47" s="100" t="e">
        <f t="shared" si="42"/>
        <v>#DIV/0!</v>
      </c>
    </row>
    <row r="48" spans="2:38" ht="14.25">
      <c r="B48" s="97"/>
      <c r="C48" s="83"/>
      <c r="D48" s="344"/>
      <c r="E48" s="344"/>
      <c r="F48" s="87">
        <f t="shared" si="47"/>
        <v>0</v>
      </c>
      <c r="G48" s="293"/>
      <c r="H48" s="87"/>
      <c r="I48" s="229"/>
      <c r="J48" s="100" t="e">
        <f t="shared" si="25"/>
        <v>#DIV/0!</v>
      </c>
      <c r="K48" s="229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29"/>
      <c r="P48" s="100" t="e">
        <f t="shared" si="29"/>
        <v>#DIV/0!</v>
      </c>
      <c r="Q48" s="229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29"/>
      <c r="V48" s="100" t="e">
        <f t="shared" si="33"/>
        <v>#DIV/0!</v>
      </c>
      <c r="W48" s="229"/>
      <c r="X48" s="100" t="e">
        <f t="shared" si="34"/>
        <v>#DIV/0!</v>
      </c>
      <c r="Y48" s="229"/>
      <c r="Z48" s="100" t="e">
        <f t="shared" si="35"/>
        <v>#DIV/0!</v>
      </c>
      <c r="AA48" s="229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29"/>
      <c r="AF48" s="100" t="e">
        <f t="shared" si="39"/>
        <v>#DIV/0!</v>
      </c>
      <c r="AG48" s="229"/>
      <c r="AH48" s="100" t="e">
        <f t="shared" si="40"/>
        <v>#DIV/0!</v>
      </c>
      <c r="AI48" s="229"/>
      <c r="AJ48" s="100" t="e">
        <f t="shared" si="41"/>
        <v>#DIV/0!</v>
      </c>
      <c r="AK48" s="229"/>
      <c r="AL48" s="100" t="e">
        <f t="shared" si="42"/>
        <v>#DIV/0!</v>
      </c>
    </row>
    <row r="49" spans="2:38" ht="14.25">
      <c r="B49" s="97"/>
      <c r="C49" s="83"/>
      <c r="D49" s="344"/>
      <c r="E49" s="344"/>
      <c r="F49" s="87"/>
      <c r="G49" s="293"/>
      <c r="H49" s="87"/>
      <c r="I49" s="229"/>
      <c r="J49" s="100" t="e">
        <f>I49/F49</f>
        <v>#DIV/0!</v>
      </c>
      <c r="K49" s="229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29"/>
      <c r="P49" s="100" t="e">
        <f>O49/F49</f>
        <v>#DIV/0!</v>
      </c>
      <c r="Q49" s="229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29"/>
      <c r="V49" s="100" t="e">
        <f>U49/F49</f>
        <v>#DIV/0!</v>
      </c>
      <c r="W49" s="229"/>
      <c r="X49" s="100" t="e">
        <f>W49/F49</f>
        <v>#DIV/0!</v>
      </c>
      <c r="Y49" s="229"/>
      <c r="Z49" s="100" t="e">
        <f>Y49/F49</f>
        <v>#DIV/0!</v>
      </c>
      <c r="AA49" s="229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29"/>
      <c r="AF49" s="100" t="e">
        <f>AE49/F49</f>
        <v>#DIV/0!</v>
      </c>
      <c r="AG49" s="229"/>
      <c r="AH49" s="100" t="e">
        <f>AG49/F49</f>
        <v>#DIV/0!</v>
      </c>
      <c r="AI49" s="229"/>
      <c r="AJ49" s="100" t="e">
        <f>AI49/F49</f>
        <v>#DIV/0!</v>
      </c>
      <c r="AK49" s="229"/>
      <c r="AL49" s="100" t="e">
        <f>AK49/F49</f>
        <v>#DIV/0!</v>
      </c>
    </row>
    <row r="50" spans="2:38" ht="14.25">
      <c r="B50" s="97"/>
      <c r="C50" s="83"/>
      <c r="D50" s="344"/>
      <c r="E50" s="344"/>
      <c r="F50" s="87"/>
      <c r="G50" s="87"/>
      <c r="H50" s="87"/>
      <c r="I50" s="256">
        <f>SUM(I7:I44)</f>
        <v>686162</v>
      </c>
      <c r="J50" s="255">
        <f>I50/$H$12</f>
        <v>0.18930591344747863</v>
      </c>
      <c r="K50" s="256">
        <f>SUM(K7:K44)</f>
        <v>890102</v>
      </c>
      <c r="L50" s="255">
        <f>K50/$H$12</f>
        <v>0.24557112193829975</v>
      </c>
      <c r="M50" s="256">
        <f>SUM(M7:M44)</f>
        <v>1576264</v>
      </c>
      <c r="N50" s="255">
        <f>M50/$H$12</f>
        <v>0.43487703538577838</v>
      </c>
      <c r="O50" s="256">
        <f>SUM(O7:O44)</f>
        <v>107560</v>
      </c>
      <c r="P50" s="255">
        <f>O50/$H$12</f>
        <v>2.9674834879242513E-2</v>
      </c>
      <c r="Q50" s="256">
        <f>SUM(Q7:Q44)</f>
        <v>0</v>
      </c>
      <c r="R50" s="255">
        <f>Q50/$H$12</f>
        <v>0</v>
      </c>
      <c r="S50" s="256">
        <f>SUM(S7:S44)</f>
        <v>107560</v>
      </c>
      <c r="T50" s="255">
        <f>S50/$H$12</f>
        <v>2.9674834879242513E-2</v>
      </c>
      <c r="U50" s="256">
        <f>SUM(U7:U44)</f>
        <v>428580</v>
      </c>
      <c r="V50" s="255">
        <f>U50/$H$12</f>
        <v>0.11824136047364965</v>
      </c>
      <c r="W50" s="256">
        <f>SUM(W7:W44)</f>
        <v>0</v>
      </c>
      <c r="X50" s="255">
        <f>W50/$H$12</f>
        <v>0</v>
      </c>
      <c r="Y50" s="256">
        <f>SUM(Y7:Y44)</f>
        <v>364112</v>
      </c>
      <c r="Z50" s="255">
        <f>Y50/$H$12</f>
        <v>0.10045522013342088</v>
      </c>
      <c r="AA50" s="256">
        <f>SUM(AA7:AA44)</f>
        <v>302122</v>
      </c>
      <c r="AB50" s="255">
        <f>AA50/$H$12</f>
        <v>8.3352737666293295E-2</v>
      </c>
      <c r="AC50" s="256">
        <f>SUM(AC7:AC44)</f>
        <v>666234</v>
      </c>
      <c r="AD50" s="255">
        <f>AC50/$H$12</f>
        <v>0.18380795779971418</v>
      </c>
      <c r="AE50" s="256">
        <f>SUM(AE7:AE44)</f>
        <v>309033</v>
      </c>
      <c r="AF50" s="255">
        <f>AE50/$H$12</f>
        <v>8.5259420297851912E-2</v>
      </c>
      <c r="AG50" s="256">
        <f>SUM(AG7:AG44)</f>
        <v>235789</v>
      </c>
      <c r="AH50" s="255">
        <f>AG50/$H$12</f>
        <v>6.5052060629803954E-2</v>
      </c>
      <c r="AI50" s="256">
        <f>SUM(AI7:AI44)</f>
        <v>292794</v>
      </c>
      <c r="AJ50" s="255">
        <f>AI50/$H$12</f>
        <v>8.0779226512020574E-2</v>
      </c>
      <c r="AK50" s="256">
        <f>SUM(AK7:AK44)</f>
        <v>319097</v>
      </c>
      <c r="AL50" s="255">
        <f>AK50/$H$12</f>
        <v>8.8035987220729348E-2</v>
      </c>
    </row>
    <row r="51" spans="2:38" ht="14.25">
      <c r="B51" s="97"/>
      <c r="C51" s="83"/>
      <c r="D51" s="344"/>
      <c r="E51" s="344"/>
      <c r="F51" s="87"/>
      <c r="G51" s="87"/>
      <c r="H51" s="87"/>
      <c r="M51" s="257">
        <f>M50</f>
        <v>1576264</v>
      </c>
      <c r="S51" s="257">
        <f>S50</f>
        <v>107560</v>
      </c>
      <c r="U51" s="257">
        <f>U50</f>
        <v>428580</v>
      </c>
      <c r="W51" s="257">
        <f>W50</f>
        <v>0</v>
      </c>
      <c r="Y51" s="257"/>
      <c r="AA51" s="257"/>
      <c r="AC51" s="257">
        <f>AC50</f>
        <v>666234</v>
      </c>
      <c r="AE51" s="257">
        <f>AE50</f>
        <v>309033</v>
      </c>
      <c r="AG51" s="257">
        <f>AG50</f>
        <v>235789</v>
      </c>
      <c r="AI51" s="257">
        <f>AI50</f>
        <v>292794</v>
      </c>
      <c r="AK51" s="257">
        <f>AK50</f>
        <v>319097</v>
      </c>
    </row>
    <row r="52" spans="2:38" ht="14.25">
      <c r="B52" s="97"/>
      <c r="C52" s="83"/>
      <c r="D52" s="344"/>
      <c r="E52" s="344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1" zoomScale="40" zoomScaleNormal="40" workbookViewId="0">
      <pane xSplit="15" topLeftCell="P1" activePane="topRight" state="frozen"/>
      <selection activeCell="H7" sqref="H7:H21"/>
      <selection pane="topRight" activeCell="T42" sqref="S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314</v>
      </c>
      <c r="C1" s="214">
        <f>AVERAGE(L7,L42,L77,L112,L147,L182)</f>
        <v>855.93379550292775</v>
      </c>
    </row>
    <row r="2" spans="1:53" ht="15.75">
      <c r="A2" s="81"/>
      <c r="B2" s="675" t="s">
        <v>162</v>
      </c>
      <c r="C2" s="676"/>
      <c r="D2" s="676"/>
      <c r="E2" s="676"/>
      <c r="F2" s="676"/>
      <c r="G2" s="676"/>
      <c r="H2" s="677"/>
      <c r="I2" s="202"/>
      <c r="J2" s="202"/>
      <c r="K2" s="202"/>
      <c r="L2" s="202"/>
      <c r="M2" s="201"/>
      <c r="N2" s="664" t="s">
        <v>156</v>
      </c>
      <c r="O2" s="664" t="s">
        <v>105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678"/>
      <c r="C3" s="678"/>
      <c r="D3" s="678"/>
      <c r="E3" s="678"/>
      <c r="F3" s="678"/>
      <c r="G3" s="678"/>
      <c r="H3" s="678"/>
      <c r="I3" s="199"/>
      <c r="J3" s="199"/>
      <c r="K3" s="199"/>
      <c r="L3" s="199"/>
      <c r="M3" s="200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522" t="s">
        <v>368</v>
      </c>
      <c r="Q6" s="522" t="s">
        <v>369</v>
      </c>
      <c r="R6" s="522" t="s">
        <v>370</v>
      </c>
      <c r="S6" s="522" t="s">
        <v>360</v>
      </c>
      <c r="T6" s="663"/>
      <c r="U6" s="522" t="s">
        <v>368</v>
      </c>
      <c r="V6" s="522" t="s">
        <v>369</v>
      </c>
      <c r="W6" s="522" t="s">
        <v>370</v>
      </c>
      <c r="X6" s="522" t="s">
        <v>360</v>
      </c>
      <c r="Y6" s="663"/>
      <c r="Z6" s="522" t="s">
        <v>368</v>
      </c>
      <c r="AA6" s="522" t="s">
        <v>369</v>
      </c>
      <c r="AB6" s="522" t="s">
        <v>370</v>
      </c>
      <c r="AC6" s="522" t="s">
        <v>360</v>
      </c>
      <c r="AD6" s="663"/>
      <c r="AE6" s="522" t="s">
        <v>368</v>
      </c>
      <c r="AF6" s="522" t="s">
        <v>369</v>
      </c>
      <c r="AG6" s="522" t="s">
        <v>370</v>
      </c>
      <c r="AH6" s="522" t="s">
        <v>360</v>
      </c>
      <c r="AI6" s="663"/>
      <c r="AJ6" s="522" t="s">
        <v>368</v>
      </c>
      <c r="AK6" s="522" t="s">
        <v>369</v>
      </c>
      <c r="AL6" s="522" t="s">
        <v>370</v>
      </c>
      <c r="AM6" s="522" t="s">
        <v>360</v>
      </c>
      <c r="AN6" s="663"/>
      <c r="AO6" s="522" t="s">
        <v>368</v>
      </c>
      <c r="AP6" s="522" t="s">
        <v>369</v>
      </c>
      <c r="AQ6" s="522" t="s">
        <v>370</v>
      </c>
      <c r="AR6" s="522" t="s">
        <v>360</v>
      </c>
      <c r="AS6" s="663"/>
      <c r="AT6" s="522" t="s">
        <v>368</v>
      </c>
      <c r="AU6" s="522" t="s">
        <v>369</v>
      </c>
      <c r="AV6" s="522" t="s">
        <v>370</v>
      </c>
      <c r="AW6" s="522" t="s">
        <v>360</v>
      </c>
      <c r="AX6" s="663"/>
      <c r="AZ6" s="362" t="s">
        <v>360</v>
      </c>
      <c r="BA6" s="663"/>
    </row>
    <row r="7" spans="1:53" ht="14.25">
      <c r="A7" s="81"/>
      <c r="B7" s="691" t="s">
        <v>476</v>
      </c>
      <c r="C7" s="493">
        <v>1</v>
      </c>
      <c r="D7" s="196" t="s">
        <v>333</v>
      </c>
      <c r="E7" s="196">
        <v>3</v>
      </c>
      <c r="F7" s="196">
        <v>3200</v>
      </c>
      <c r="G7" s="496">
        <v>1066.6666666666667</v>
      </c>
      <c r="H7" s="672">
        <f>AVERAGE(G7:G36)</f>
        <v>834.89583333333314</v>
      </c>
      <c r="I7" s="496">
        <f>IFERROR(AVERAGE(P7,U7,Z7,AE7,AJ7,AO7,AT7),"-")</f>
        <v>3</v>
      </c>
      <c r="J7" s="496">
        <f>IFERROR(AVERAGE(Q7,V7,AA7,AF7,AK7,AP7,AU7),"-")</f>
        <v>3240.464534446683</v>
      </c>
      <c r="K7" s="194">
        <f>IFERROR(AVERAGE(R7,W7,AB7,AG7,AL7,AQ7,AV7),"-")</f>
        <v>1080.1548448155609</v>
      </c>
      <c r="L7" s="644">
        <f>IFERROR(AVERAGE(K7:K36),"-")</f>
        <v>861.7157917226599</v>
      </c>
      <c r="M7" s="504">
        <f>RANK(K7, K$7:$K$36)</f>
        <v>3</v>
      </c>
      <c r="N7" s="663"/>
      <c r="O7" s="663"/>
      <c r="P7" s="524">
        <v>3</v>
      </c>
      <c r="Q7" s="477">
        <v>3199.5180722891587</v>
      </c>
      <c r="R7" s="477">
        <v>1066.5060240963862</v>
      </c>
      <c r="S7" s="523">
        <f>RANK(R7, R$7:R$36)</f>
        <v>2</v>
      </c>
      <c r="T7" s="685">
        <f>AVERAGE(R7:R36)</f>
        <v>836.06263829256875</v>
      </c>
      <c r="U7" s="524">
        <v>3</v>
      </c>
      <c r="V7" s="477">
        <v>3194.9999999999964</v>
      </c>
      <c r="W7" s="477">
        <v>1064.9999999999989</v>
      </c>
      <c r="X7" s="523">
        <f>RANK(W7, W$7:W$36)</f>
        <v>7</v>
      </c>
      <c r="Y7" s="685">
        <f>AVERAGE(W7:W36)</f>
        <v>869.59792087997528</v>
      </c>
      <c r="Z7" s="524">
        <v>3</v>
      </c>
      <c r="AA7" s="477">
        <v>3203.5135135135129</v>
      </c>
      <c r="AB7" s="477">
        <v>1067.8378378378377</v>
      </c>
      <c r="AC7" s="523">
        <f>RANK(AB7, AB$7:AB$36)</f>
        <v>7</v>
      </c>
      <c r="AD7" s="685">
        <f>AVERAGE(AB7:AB36)</f>
        <v>865.74958280306407</v>
      </c>
      <c r="AE7" s="524">
        <v>3</v>
      </c>
      <c r="AF7" s="477">
        <v>3287.6190476190468</v>
      </c>
      <c r="AG7" s="477">
        <v>1095.8730158730157</v>
      </c>
      <c r="AH7" s="523">
        <f>RANK(AG7, AG$7:AG$36)</f>
        <v>2</v>
      </c>
      <c r="AI7" s="685">
        <f>AVERAGE(AG7:AG36)</f>
        <v>877.97318227534436</v>
      </c>
      <c r="AJ7" s="524">
        <v>3</v>
      </c>
      <c r="AK7" s="477">
        <v>3270.4918032786891</v>
      </c>
      <c r="AL7" s="477">
        <v>1090.1639344262296</v>
      </c>
      <c r="AM7" s="523">
        <f>RANK(AL7, AL$7:AL$36)</f>
        <v>1</v>
      </c>
      <c r="AN7" s="685">
        <f>AVERAGE(AL7:AL36)</f>
        <v>828.18116305161618</v>
      </c>
      <c r="AO7" s="524">
        <v>3</v>
      </c>
      <c r="AP7" s="477">
        <v>3262.9629629629635</v>
      </c>
      <c r="AQ7" s="477">
        <v>1087.6543209876545</v>
      </c>
      <c r="AR7" s="523">
        <f>RANK(AQ7, AQ$7:AQ$36)</f>
        <v>4</v>
      </c>
      <c r="AS7" s="685">
        <f>AVERAGE(AQ7:AQ36)</f>
        <v>872.73699682197287</v>
      </c>
      <c r="AT7" s="524">
        <v>3</v>
      </c>
      <c r="AU7" s="477">
        <v>3264.1463414634118</v>
      </c>
      <c r="AV7" s="477">
        <v>1088.0487804878039</v>
      </c>
      <c r="AW7" s="523">
        <f>RANK(AV7, AV$7:AV$36)</f>
        <v>5</v>
      </c>
      <c r="AX7" s="685">
        <f>AVERAGE(AV7:AV36)</f>
        <v>881.70905793407701</v>
      </c>
      <c r="AZ7" s="361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92"/>
      <c r="C8" s="493">
        <v>2</v>
      </c>
      <c r="D8" s="491" t="s">
        <v>334</v>
      </c>
      <c r="E8" s="196">
        <v>3</v>
      </c>
      <c r="F8" s="196">
        <v>3200</v>
      </c>
      <c r="G8" s="496">
        <v>1066.6666666666667</v>
      </c>
      <c r="H8" s="673"/>
      <c r="I8" s="496">
        <f t="shared" ref="I8:I36" si="0">IFERROR(AVERAGE(P8,U8,Z8,AE8,AJ8,AO8,AT8),"-")</f>
        <v>3</v>
      </c>
      <c r="J8" s="496">
        <f t="shared" ref="J8:J36" si="1">IFERROR(AVERAGE(Q8,V8,AA8,AF8,AK8,AP8,AU8),"-")</f>
        <v>3263.4585800827554</v>
      </c>
      <c r="K8" s="194">
        <f t="shared" ref="K8:K36" si="2">IFERROR(AVERAGE(R8,W8,AB8,AG8,AL8,AQ8,AV8),"-")</f>
        <v>1087.8195266942519</v>
      </c>
      <c r="L8" s="645"/>
      <c r="M8" s="504">
        <f>RANK(K8, K$7:$K$36)</f>
        <v>2</v>
      </c>
      <c r="N8" s="663"/>
      <c r="O8" s="663"/>
      <c r="P8" s="524">
        <v>3</v>
      </c>
      <c r="Q8" s="477">
        <v>3152.7272727272784</v>
      </c>
      <c r="R8" s="477">
        <v>1050.9090909090928</v>
      </c>
      <c r="S8" s="523">
        <f t="shared" ref="S8:S36" si="3">RANK(R8, R$7:R$36)</f>
        <v>4</v>
      </c>
      <c r="T8" s="685"/>
      <c r="U8" s="524">
        <v>3</v>
      </c>
      <c r="V8" s="477">
        <v>3546.6666666666715</v>
      </c>
      <c r="W8" s="477">
        <v>1182.2222222222238</v>
      </c>
      <c r="X8" s="523">
        <f t="shared" ref="X8:X36" si="4">RANK(W8, W$7:W$36)</f>
        <v>1</v>
      </c>
      <c r="Y8" s="685"/>
      <c r="Z8" s="524">
        <v>3</v>
      </c>
      <c r="AA8" s="477">
        <v>3249.4736842105312</v>
      </c>
      <c r="AB8" s="477">
        <v>1083.1578947368437</v>
      </c>
      <c r="AC8" s="523">
        <f t="shared" ref="AC8:AC36" si="5">RANK(AB8, AB$7:AB$36)</f>
        <v>5</v>
      </c>
      <c r="AD8" s="685"/>
      <c r="AE8" s="524">
        <v>3</v>
      </c>
      <c r="AF8" s="477">
        <v>3208.2352941176514</v>
      </c>
      <c r="AG8" s="477">
        <v>1069.4117647058838</v>
      </c>
      <c r="AH8" s="523">
        <f t="shared" ref="AH8:AH36" si="6">RANK(AG8, AG$7:AG$36)</f>
        <v>6</v>
      </c>
      <c r="AI8" s="685"/>
      <c r="AJ8" s="524">
        <v>3</v>
      </c>
      <c r="AK8" s="477">
        <v>3086.2500000000036</v>
      </c>
      <c r="AL8" s="477">
        <v>1028.7500000000011</v>
      </c>
      <c r="AM8" s="523">
        <f t="shared" ref="AM8:AM36" si="7">RANK(AL8, AL$7:AL$36)</f>
        <v>7</v>
      </c>
      <c r="AN8" s="685"/>
      <c r="AO8" s="524">
        <v>3</v>
      </c>
      <c r="AP8" s="477">
        <v>3282.8571428571486</v>
      </c>
      <c r="AQ8" s="477">
        <v>1094.2857142857163</v>
      </c>
      <c r="AR8" s="523">
        <f t="shared" ref="AR8:AR36" si="8">RANK(AQ8, AQ$7:AQ$36)</f>
        <v>3</v>
      </c>
      <c r="AS8" s="685"/>
      <c r="AT8" s="524">
        <v>3</v>
      </c>
      <c r="AU8" s="477">
        <v>3318.0000000000055</v>
      </c>
      <c r="AV8" s="477">
        <v>1106.0000000000018</v>
      </c>
      <c r="AW8" s="523">
        <f t="shared" ref="AW8:AW36" si="9">RANK(AV8, AV$7:AV$36)</f>
        <v>2</v>
      </c>
      <c r="AX8" s="685"/>
      <c r="AZ8" s="361" t="e">
        <f t="shared" ref="AZ8:AZ36" si="10">RANK(AY8, AY$7:AY$36)</f>
        <v>#N/A</v>
      </c>
      <c r="BA8" s="685"/>
    </row>
    <row r="9" spans="1:53" ht="14.25">
      <c r="A9" s="81"/>
      <c r="B9" s="692"/>
      <c r="C9" s="493">
        <v>3</v>
      </c>
      <c r="D9" s="196" t="s">
        <v>712</v>
      </c>
      <c r="E9" s="196">
        <v>4</v>
      </c>
      <c r="F9" s="196">
        <v>3200</v>
      </c>
      <c r="G9" s="496">
        <v>800</v>
      </c>
      <c r="H9" s="673"/>
      <c r="I9" s="496">
        <f t="shared" si="0"/>
        <v>4</v>
      </c>
      <c r="J9" s="496">
        <f t="shared" si="1"/>
        <v>3275.4372294372261</v>
      </c>
      <c r="K9" s="194">
        <f t="shared" si="2"/>
        <v>818.85930735930651</v>
      </c>
      <c r="L9" s="645"/>
      <c r="M9" s="504">
        <f>RANK(K9, K$7:$K$36)</f>
        <v>13</v>
      </c>
      <c r="N9" s="663"/>
      <c r="O9" s="663"/>
      <c r="P9" s="524">
        <v>4</v>
      </c>
      <c r="Q9" s="477">
        <v>3105.4545454545414</v>
      </c>
      <c r="R9" s="477">
        <v>776.36363636363535</v>
      </c>
      <c r="S9" s="523">
        <f t="shared" si="3"/>
        <v>15</v>
      </c>
      <c r="T9" s="685"/>
      <c r="U9" s="524">
        <v>4</v>
      </c>
      <c r="V9" s="477">
        <v>3233.9999999999986</v>
      </c>
      <c r="W9" s="477">
        <v>808.49999999999966</v>
      </c>
      <c r="X9" s="523">
        <f t="shared" si="4"/>
        <v>17</v>
      </c>
      <c r="Y9" s="685"/>
      <c r="Z9" s="524">
        <v>4</v>
      </c>
      <c r="AA9" s="477">
        <v>3369.5999999999954</v>
      </c>
      <c r="AB9" s="477">
        <v>842.39999999999884</v>
      </c>
      <c r="AC9" s="523">
        <f t="shared" si="5"/>
        <v>13</v>
      </c>
      <c r="AD9" s="685"/>
      <c r="AE9" s="524">
        <v>4</v>
      </c>
      <c r="AF9" s="477">
        <v>3278.399999999996</v>
      </c>
      <c r="AG9" s="477">
        <v>819.599999999999</v>
      </c>
      <c r="AH9" s="523">
        <f t="shared" si="6"/>
        <v>14</v>
      </c>
      <c r="AI9" s="685"/>
      <c r="AJ9" s="524">
        <v>4</v>
      </c>
      <c r="AK9" s="477">
        <v>3147.272727272727</v>
      </c>
      <c r="AL9" s="477">
        <v>786.81818181818176</v>
      </c>
      <c r="AM9" s="523">
        <f t="shared" si="7"/>
        <v>15</v>
      </c>
      <c r="AN9" s="685"/>
      <c r="AO9" s="524">
        <v>4</v>
      </c>
      <c r="AP9" s="477">
        <v>3437.7777777777746</v>
      </c>
      <c r="AQ9" s="477">
        <v>859.44444444444366</v>
      </c>
      <c r="AR9" s="523">
        <f t="shared" si="8"/>
        <v>12</v>
      </c>
      <c r="AS9" s="685"/>
      <c r="AT9" s="524">
        <v>4</v>
      </c>
      <c r="AU9" s="477">
        <v>3355.5555555555525</v>
      </c>
      <c r="AV9" s="477">
        <v>838.88888888888812</v>
      </c>
      <c r="AW9" s="523">
        <f t="shared" si="9"/>
        <v>14</v>
      </c>
      <c r="AX9" s="685"/>
      <c r="AZ9" s="361" t="e">
        <f t="shared" si="10"/>
        <v>#N/A</v>
      </c>
      <c r="BA9" s="685"/>
    </row>
    <row r="10" spans="1:53" ht="14.25">
      <c r="A10" s="81"/>
      <c r="B10" s="692"/>
      <c r="C10" s="493">
        <v>4</v>
      </c>
      <c r="D10" s="196" t="s">
        <v>713</v>
      </c>
      <c r="E10" s="196">
        <v>3</v>
      </c>
      <c r="F10" s="196">
        <v>3200</v>
      </c>
      <c r="G10" s="496">
        <v>1066.6666666666667</v>
      </c>
      <c r="H10" s="673"/>
      <c r="I10" s="496">
        <f t="shared" si="0"/>
        <v>3</v>
      </c>
      <c r="J10" s="496">
        <f t="shared" si="1"/>
        <v>3233.2123612532182</v>
      </c>
      <c r="K10" s="194">
        <f t="shared" si="2"/>
        <v>1077.7374537510727</v>
      </c>
      <c r="L10" s="645"/>
      <c r="M10" s="504">
        <f>RANK(K10, K$7:$K$36)</f>
        <v>5</v>
      </c>
      <c r="N10" s="663"/>
      <c r="O10" s="663"/>
      <c r="P10" s="524">
        <v>3</v>
      </c>
      <c r="Q10" s="477">
        <v>3229.5000000000005</v>
      </c>
      <c r="R10" s="477">
        <v>1076.5000000000002</v>
      </c>
      <c r="S10" s="523">
        <f t="shared" si="3"/>
        <v>1</v>
      </c>
      <c r="T10" s="685"/>
      <c r="U10" s="524">
        <v>3</v>
      </c>
      <c r="V10" s="477">
        <v>3237.3913043478265</v>
      </c>
      <c r="W10" s="477">
        <v>1079.1304347826087</v>
      </c>
      <c r="X10" s="523">
        <f t="shared" si="4"/>
        <v>6</v>
      </c>
      <c r="Y10" s="685"/>
      <c r="Z10" s="524">
        <v>3</v>
      </c>
      <c r="AA10" s="477">
        <v>3273.8181818181815</v>
      </c>
      <c r="AB10" s="477">
        <v>1091.2727272727273</v>
      </c>
      <c r="AC10" s="523">
        <f t="shared" si="5"/>
        <v>3</v>
      </c>
      <c r="AD10" s="685"/>
      <c r="AE10" s="524">
        <v>3</v>
      </c>
      <c r="AF10" s="477">
        <v>3247.5789473684217</v>
      </c>
      <c r="AG10" s="477">
        <v>1082.526315789474</v>
      </c>
      <c r="AH10" s="523">
        <f t="shared" si="6"/>
        <v>4</v>
      </c>
      <c r="AI10" s="685"/>
      <c r="AJ10" s="524">
        <v>3</v>
      </c>
      <c r="AK10" s="477">
        <v>3180.0000000000005</v>
      </c>
      <c r="AL10" s="477">
        <v>1060.0000000000002</v>
      </c>
      <c r="AM10" s="523">
        <f t="shared" si="7"/>
        <v>4</v>
      </c>
      <c r="AN10" s="685"/>
      <c r="AO10" s="524">
        <v>3</v>
      </c>
      <c r="AP10" s="477">
        <v>3228.9600000000009</v>
      </c>
      <c r="AQ10" s="477">
        <v>1076.3200000000004</v>
      </c>
      <c r="AR10" s="523">
        <f t="shared" si="8"/>
        <v>7</v>
      </c>
      <c r="AS10" s="685"/>
      <c r="AT10" s="524">
        <v>3</v>
      </c>
      <c r="AU10" s="477">
        <v>3235.2380952380945</v>
      </c>
      <c r="AV10" s="477">
        <v>1078.4126984126981</v>
      </c>
      <c r="AW10" s="523">
        <f t="shared" si="9"/>
        <v>6</v>
      </c>
      <c r="AX10" s="685"/>
      <c r="AZ10" s="361" t="e">
        <f t="shared" si="10"/>
        <v>#N/A</v>
      </c>
      <c r="BA10" s="685"/>
    </row>
    <row r="11" spans="1:53" ht="14.25">
      <c r="A11" s="81"/>
      <c r="B11" s="692"/>
      <c r="C11" s="493">
        <v>5</v>
      </c>
      <c r="D11" s="196" t="s">
        <v>714</v>
      </c>
      <c r="E11" s="196">
        <v>4</v>
      </c>
      <c r="F11" s="196">
        <v>3200</v>
      </c>
      <c r="G11" s="496">
        <v>800</v>
      </c>
      <c r="H11" s="673"/>
      <c r="I11" s="496">
        <f t="shared" si="0"/>
        <v>4</v>
      </c>
      <c r="J11" s="496">
        <f t="shared" si="1"/>
        <v>3253.6544348508623</v>
      </c>
      <c r="K11" s="194">
        <f t="shared" si="2"/>
        <v>813.41360871271559</v>
      </c>
      <c r="L11" s="645"/>
      <c r="M11" s="504">
        <f>RANK(K11, K$7:$K$36)</f>
        <v>14</v>
      </c>
      <c r="N11" s="663"/>
      <c r="O11" s="663"/>
      <c r="P11" s="524">
        <v>4</v>
      </c>
      <c r="Q11" s="477">
        <v>3183.4285714285752</v>
      </c>
      <c r="R11" s="477">
        <v>795.8571428571438</v>
      </c>
      <c r="S11" s="523">
        <f t="shared" si="3"/>
        <v>12</v>
      </c>
      <c r="T11" s="685"/>
      <c r="U11" s="524">
        <v>4</v>
      </c>
      <c r="V11" s="477">
        <v>3335.6249999999909</v>
      </c>
      <c r="W11" s="477">
        <v>833.90624999999773</v>
      </c>
      <c r="X11" s="523">
        <f t="shared" si="4"/>
        <v>12</v>
      </c>
      <c r="Y11" s="685"/>
      <c r="Z11" s="524">
        <v>4</v>
      </c>
      <c r="AA11" s="477">
        <v>3209.9999999999973</v>
      </c>
      <c r="AB11" s="477">
        <v>802.49999999999932</v>
      </c>
      <c r="AC11" s="523">
        <f t="shared" si="5"/>
        <v>16</v>
      </c>
      <c r="AD11" s="685"/>
      <c r="AE11" s="524">
        <v>4</v>
      </c>
      <c r="AF11" s="477">
        <v>3325.3846153846175</v>
      </c>
      <c r="AG11" s="477">
        <v>831.34615384615438</v>
      </c>
      <c r="AH11" s="523">
        <f t="shared" si="6"/>
        <v>12</v>
      </c>
      <c r="AI11" s="685"/>
      <c r="AJ11" s="524">
        <v>4</v>
      </c>
      <c r="AK11" s="477">
        <v>3157.142857142856</v>
      </c>
      <c r="AL11" s="477">
        <v>789.28571428571399</v>
      </c>
      <c r="AM11" s="523">
        <f t="shared" si="7"/>
        <v>14</v>
      </c>
      <c r="AN11" s="685"/>
      <c r="AO11" s="524">
        <v>4</v>
      </c>
      <c r="AP11" s="477">
        <v>3309.9999999999986</v>
      </c>
      <c r="AQ11" s="477">
        <v>827.49999999999966</v>
      </c>
      <c r="AR11" s="523">
        <f t="shared" si="8"/>
        <v>14</v>
      </c>
      <c r="AS11" s="685"/>
      <c r="AT11" s="524">
        <v>4</v>
      </c>
      <c r="AU11" s="477">
        <v>3253.9999999999982</v>
      </c>
      <c r="AV11" s="477">
        <v>813.49999999999955</v>
      </c>
      <c r="AW11" s="523">
        <f t="shared" si="9"/>
        <v>17</v>
      </c>
      <c r="AX11" s="685"/>
      <c r="AZ11" s="361" t="e">
        <f t="shared" si="10"/>
        <v>#N/A</v>
      </c>
      <c r="BA11" s="685"/>
    </row>
    <row r="12" spans="1:53" ht="14.25">
      <c r="A12" s="81"/>
      <c r="B12" s="692"/>
      <c r="C12" s="493">
        <v>6</v>
      </c>
      <c r="D12" s="196" t="s">
        <v>715</v>
      </c>
      <c r="E12" s="196">
        <v>4</v>
      </c>
      <c r="F12" s="196">
        <v>3200</v>
      </c>
      <c r="G12" s="496">
        <v>800</v>
      </c>
      <c r="H12" s="673"/>
      <c r="I12" s="496">
        <f t="shared" si="0"/>
        <v>4</v>
      </c>
      <c r="J12" s="496">
        <f t="shared" si="1"/>
        <v>3299.0270925761661</v>
      </c>
      <c r="K12" s="194">
        <f t="shared" si="2"/>
        <v>824.75677314404152</v>
      </c>
      <c r="L12" s="645"/>
      <c r="M12" s="504">
        <f>RANK(K12, K$7:$K$36)</f>
        <v>12</v>
      </c>
      <c r="N12" s="663"/>
      <c r="O12" s="663"/>
      <c r="P12" s="524">
        <v>4</v>
      </c>
      <c r="Q12" s="477">
        <v>3172.8000000000011</v>
      </c>
      <c r="R12" s="477">
        <v>793.20000000000027</v>
      </c>
      <c r="S12" s="523">
        <f t="shared" si="3"/>
        <v>13</v>
      </c>
      <c r="T12" s="685"/>
      <c r="U12" s="524">
        <v>4</v>
      </c>
      <c r="V12" s="477">
        <v>3314.4000000000065</v>
      </c>
      <c r="W12" s="477">
        <v>828.60000000000161</v>
      </c>
      <c r="X12" s="523">
        <f t="shared" si="4"/>
        <v>13</v>
      </c>
      <c r="Y12" s="685"/>
      <c r="Z12" s="524">
        <v>4</v>
      </c>
      <c r="AA12" s="477">
        <v>3486.6666666666715</v>
      </c>
      <c r="AB12" s="477">
        <v>871.66666666666788</v>
      </c>
      <c r="AC12" s="523">
        <f t="shared" si="5"/>
        <v>12</v>
      </c>
      <c r="AD12" s="685"/>
      <c r="AE12" s="524">
        <v>4</v>
      </c>
      <c r="AF12" s="477">
        <v>3261.000000000005</v>
      </c>
      <c r="AG12" s="477">
        <v>815.25000000000125</v>
      </c>
      <c r="AH12" s="523">
        <f t="shared" si="6"/>
        <v>16</v>
      </c>
      <c r="AI12" s="685"/>
      <c r="AJ12" s="524">
        <v>4</v>
      </c>
      <c r="AK12" s="477">
        <v>3270.0000000000036</v>
      </c>
      <c r="AL12" s="477">
        <v>817.50000000000091</v>
      </c>
      <c r="AM12" s="523">
        <f t="shared" si="7"/>
        <v>11</v>
      </c>
      <c r="AN12" s="685"/>
      <c r="AO12" s="524">
        <v>4</v>
      </c>
      <c r="AP12" s="477">
        <v>3242.6086956521799</v>
      </c>
      <c r="AQ12" s="477">
        <v>810.65217391304498</v>
      </c>
      <c r="AR12" s="523">
        <f t="shared" si="8"/>
        <v>16</v>
      </c>
      <c r="AS12" s="685"/>
      <c r="AT12" s="524">
        <v>4</v>
      </c>
      <c r="AU12" s="477">
        <v>3345.7142857142917</v>
      </c>
      <c r="AV12" s="477">
        <v>836.42857142857292</v>
      </c>
      <c r="AW12" s="523">
        <f t="shared" si="9"/>
        <v>15</v>
      </c>
      <c r="AX12" s="685"/>
      <c r="AZ12" s="361" t="e">
        <f t="shared" si="10"/>
        <v>#N/A</v>
      </c>
      <c r="BA12" s="685"/>
    </row>
    <row r="13" spans="1:53" ht="14.25">
      <c r="A13" s="81"/>
      <c r="B13" s="692"/>
      <c r="C13" s="493">
        <v>7</v>
      </c>
      <c r="D13" s="196" t="s">
        <v>716</v>
      </c>
      <c r="E13" s="196">
        <v>3</v>
      </c>
      <c r="F13" s="196">
        <v>3200</v>
      </c>
      <c r="G13" s="496">
        <v>1066.6666666666667</v>
      </c>
      <c r="H13" s="673"/>
      <c r="I13" s="496">
        <f t="shared" si="0"/>
        <v>3</v>
      </c>
      <c r="J13" s="496">
        <f t="shared" si="1"/>
        <v>3235.9040794127031</v>
      </c>
      <c r="K13" s="194">
        <f t="shared" si="2"/>
        <v>1078.6346931375679</v>
      </c>
      <c r="L13" s="645"/>
      <c r="M13" s="504">
        <f>RANK(K13, K$7:$K$36)</f>
        <v>4</v>
      </c>
      <c r="N13" s="663"/>
      <c r="O13" s="663"/>
      <c r="P13" s="524">
        <v>3</v>
      </c>
      <c r="Q13" s="477">
        <v>3159.4736842105308</v>
      </c>
      <c r="R13" s="477">
        <v>1053.1578947368437</v>
      </c>
      <c r="S13" s="523">
        <f t="shared" si="3"/>
        <v>3</v>
      </c>
      <c r="T13" s="685"/>
      <c r="U13" s="524">
        <v>3</v>
      </c>
      <c r="V13" s="477">
        <v>3312.3529411764666</v>
      </c>
      <c r="W13" s="477">
        <v>1104.1176470588223</v>
      </c>
      <c r="X13" s="523">
        <f t="shared" si="4"/>
        <v>2</v>
      </c>
      <c r="Y13" s="685"/>
      <c r="Z13" s="524">
        <v>3</v>
      </c>
      <c r="AA13" s="477">
        <v>3219.9999999999959</v>
      </c>
      <c r="AB13" s="477">
        <v>1073.3333333333319</v>
      </c>
      <c r="AC13" s="523">
        <f t="shared" si="5"/>
        <v>6</v>
      </c>
      <c r="AD13" s="685"/>
      <c r="AE13" s="524">
        <v>3</v>
      </c>
      <c r="AF13" s="477">
        <v>3272.1428571428596</v>
      </c>
      <c r="AG13" s="477">
        <v>1090.7142857142865</v>
      </c>
      <c r="AH13" s="523">
        <f t="shared" si="6"/>
        <v>3</v>
      </c>
      <c r="AI13" s="685"/>
      <c r="AJ13" s="524">
        <v>3</v>
      </c>
      <c r="AK13" s="477">
        <v>3158.5714285714307</v>
      </c>
      <c r="AL13" s="477">
        <v>1052.8571428571436</v>
      </c>
      <c r="AM13" s="523">
        <f t="shared" si="7"/>
        <v>5</v>
      </c>
      <c r="AN13" s="685"/>
      <c r="AO13" s="524">
        <v>3</v>
      </c>
      <c r="AP13" s="477">
        <v>3256.216216216214</v>
      </c>
      <c r="AQ13" s="477">
        <v>1085.4054054054047</v>
      </c>
      <c r="AR13" s="523">
        <f t="shared" si="8"/>
        <v>6</v>
      </c>
      <c r="AS13" s="685"/>
      <c r="AT13" s="524">
        <v>3</v>
      </c>
      <c r="AU13" s="477">
        <v>3272.5714285714253</v>
      </c>
      <c r="AV13" s="477">
        <v>1090.8571428571418</v>
      </c>
      <c r="AW13" s="523">
        <f t="shared" si="9"/>
        <v>3</v>
      </c>
      <c r="AX13" s="685"/>
      <c r="AZ13" s="361" t="e">
        <f t="shared" si="10"/>
        <v>#N/A</v>
      </c>
      <c r="BA13" s="685"/>
    </row>
    <row r="14" spans="1:53" ht="14.25">
      <c r="A14" s="81"/>
      <c r="B14" s="692"/>
      <c r="C14" s="493">
        <v>8</v>
      </c>
      <c r="D14" s="196" t="s">
        <v>336</v>
      </c>
      <c r="E14" s="196">
        <v>3</v>
      </c>
      <c r="F14" s="196">
        <v>2800</v>
      </c>
      <c r="G14" s="496">
        <v>933.33333333333337</v>
      </c>
      <c r="H14" s="673"/>
      <c r="I14" s="496">
        <f t="shared" si="0"/>
        <v>3</v>
      </c>
      <c r="J14" s="496">
        <f t="shared" si="1"/>
        <v>3225.5132857447047</v>
      </c>
      <c r="K14" s="194">
        <f t="shared" si="2"/>
        <v>1075.1710952482349</v>
      </c>
      <c r="L14" s="645"/>
      <c r="M14" s="504">
        <f>RANK(K14, K$7:$K$36)</f>
        <v>6</v>
      </c>
      <c r="N14" s="663"/>
      <c r="O14" s="663"/>
      <c r="P14" s="524">
        <v>3</v>
      </c>
      <c r="Q14" s="477">
        <v>3046.7999999999961</v>
      </c>
      <c r="R14" s="477">
        <v>1015.5999999999987</v>
      </c>
      <c r="S14" s="523">
        <f t="shared" si="3"/>
        <v>7</v>
      </c>
      <c r="T14" s="685"/>
      <c r="U14" s="524">
        <v>3</v>
      </c>
      <c r="V14" s="477">
        <v>3304.2857142857197</v>
      </c>
      <c r="W14" s="477">
        <v>1101.4285714285732</v>
      </c>
      <c r="X14" s="523">
        <f t="shared" si="4"/>
        <v>3</v>
      </c>
      <c r="Y14" s="685"/>
      <c r="Z14" s="524">
        <v>3</v>
      </c>
      <c r="AA14" s="477">
        <v>3286.8292682926817</v>
      </c>
      <c r="AB14" s="477">
        <v>1095.6097560975606</v>
      </c>
      <c r="AC14" s="523">
        <f t="shared" si="5"/>
        <v>2</v>
      </c>
      <c r="AD14" s="685"/>
      <c r="AE14" s="524">
        <v>3</v>
      </c>
      <c r="AF14" s="477">
        <v>3216.9230769230753</v>
      </c>
      <c r="AG14" s="477">
        <v>1072.3076923076917</v>
      </c>
      <c r="AH14" s="523">
        <f t="shared" si="6"/>
        <v>5</v>
      </c>
      <c r="AI14" s="685"/>
      <c r="AJ14" s="524">
        <v>3</v>
      </c>
      <c r="AK14" s="477">
        <v>3256.3636363636397</v>
      </c>
      <c r="AL14" s="477">
        <v>1085.4545454545466</v>
      </c>
      <c r="AM14" s="523">
        <f t="shared" si="7"/>
        <v>3</v>
      </c>
      <c r="AN14" s="685"/>
      <c r="AO14" s="524">
        <v>3</v>
      </c>
      <c r="AP14" s="477">
        <v>3260</v>
      </c>
      <c r="AQ14" s="477">
        <v>1086.6666666666667</v>
      </c>
      <c r="AR14" s="523">
        <f t="shared" si="8"/>
        <v>5</v>
      </c>
      <c r="AS14" s="685"/>
      <c r="AT14" s="524">
        <v>3</v>
      </c>
      <c r="AU14" s="477">
        <v>3207.3913043478206</v>
      </c>
      <c r="AV14" s="477">
        <v>1069.1304347826069</v>
      </c>
      <c r="AW14" s="523">
        <f t="shared" si="9"/>
        <v>7</v>
      </c>
      <c r="AX14" s="685"/>
      <c r="AZ14" s="361" t="e">
        <f t="shared" si="10"/>
        <v>#N/A</v>
      </c>
      <c r="BA14" s="685"/>
    </row>
    <row r="15" spans="1:53" ht="14.25">
      <c r="A15" s="81"/>
      <c r="B15" s="692"/>
      <c r="C15" s="493">
        <v>9</v>
      </c>
      <c r="D15" s="196" t="s">
        <v>337</v>
      </c>
      <c r="E15" s="196">
        <v>4</v>
      </c>
      <c r="F15" s="196">
        <v>2800</v>
      </c>
      <c r="G15" s="496">
        <v>700</v>
      </c>
      <c r="H15" s="673"/>
      <c r="I15" s="496">
        <f t="shared" si="0"/>
        <v>3</v>
      </c>
      <c r="J15" s="496">
        <f t="shared" si="1"/>
        <v>2811.6492056962657</v>
      </c>
      <c r="K15" s="194">
        <f t="shared" si="2"/>
        <v>937.21640189875507</v>
      </c>
      <c r="L15" s="645"/>
      <c r="M15" s="504">
        <f>RANK(K15, K$7:$K$36)</f>
        <v>10</v>
      </c>
      <c r="N15" s="663"/>
      <c r="O15" s="663"/>
      <c r="P15" s="524">
        <v>3</v>
      </c>
      <c r="Q15" s="477">
        <v>2709.6000000000008</v>
      </c>
      <c r="R15" s="477">
        <v>903.20000000000027</v>
      </c>
      <c r="S15" s="523">
        <f t="shared" si="3"/>
        <v>10</v>
      </c>
      <c r="T15" s="685"/>
      <c r="U15" s="524">
        <v>3</v>
      </c>
      <c r="V15" s="477">
        <v>2853.3333333333335</v>
      </c>
      <c r="W15" s="477">
        <v>951.1111111111112</v>
      </c>
      <c r="X15" s="523">
        <f t="shared" si="4"/>
        <v>10</v>
      </c>
      <c r="Y15" s="685"/>
      <c r="Z15" s="524">
        <v>3</v>
      </c>
      <c r="AA15" s="477">
        <v>2855.4545454545455</v>
      </c>
      <c r="AB15" s="477">
        <v>951.81818181818187</v>
      </c>
      <c r="AC15" s="523">
        <f t="shared" si="5"/>
        <v>10</v>
      </c>
      <c r="AD15" s="685"/>
      <c r="AE15" s="524">
        <v>3</v>
      </c>
      <c r="AF15" s="477">
        <v>2844.6153846153861</v>
      </c>
      <c r="AG15" s="477">
        <v>948.20512820512874</v>
      </c>
      <c r="AH15" s="523">
        <f t="shared" si="6"/>
        <v>11</v>
      </c>
      <c r="AI15" s="685"/>
      <c r="AJ15" s="524">
        <v>3</v>
      </c>
      <c r="AK15" s="477">
        <v>2779.2000000000007</v>
      </c>
      <c r="AL15" s="477">
        <v>926.4000000000002</v>
      </c>
      <c r="AM15" s="523">
        <f t="shared" si="7"/>
        <v>8</v>
      </c>
      <c r="AN15" s="685"/>
      <c r="AO15" s="524">
        <v>3</v>
      </c>
      <c r="AP15" s="477">
        <v>2792.9411764705883</v>
      </c>
      <c r="AQ15" s="477">
        <v>930.98039215686276</v>
      </c>
      <c r="AR15" s="523">
        <f t="shared" si="8"/>
        <v>11</v>
      </c>
      <c r="AS15" s="685"/>
      <c r="AT15" s="524">
        <v>3</v>
      </c>
      <c r="AU15" s="477">
        <v>2846.4000000000005</v>
      </c>
      <c r="AV15" s="477">
        <v>948.80000000000018</v>
      </c>
      <c r="AW15" s="523">
        <f t="shared" si="9"/>
        <v>12</v>
      </c>
      <c r="AX15" s="685"/>
      <c r="AZ15" s="361" t="e">
        <f t="shared" si="10"/>
        <v>#N/A</v>
      </c>
      <c r="BA15" s="685"/>
    </row>
    <row r="16" spans="1:53" ht="14.25">
      <c r="A16" s="81"/>
      <c r="B16" s="692"/>
      <c r="C16" s="493">
        <v>10</v>
      </c>
      <c r="D16" s="196" t="s">
        <v>717</v>
      </c>
      <c r="E16" s="196">
        <v>4</v>
      </c>
      <c r="F16" s="196">
        <v>2800</v>
      </c>
      <c r="G16" s="496">
        <v>700</v>
      </c>
      <c r="H16" s="673"/>
      <c r="I16" s="496">
        <f t="shared" si="0"/>
        <v>4</v>
      </c>
      <c r="J16" s="496">
        <f t="shared" si="1"/>
        <v>2843.1452341899026</v>
      </c>
      <c r="K16" s="194">
        <f t="shared" si="2"/>
        <v>710.78630854747564</v>
      </c>
      <c r="L16" s="645"/>
      <c r="M16" s="504">
        <f>RANK(K16, K$7:$K$36)</f>
        <v>22</v>
      </c>
      <c r="N16" s="663"/>
      <c r="O16" s="663"/>
      <c r="P16" s="524">
        <v>4</v>
      </c>
      <c r="Q16" s="477">
        <v>2796.0000000000005</v>
      </c>
      <c r="R16" s="477">
        <v>699.00000000000011</v>
      </c>
      <c r="S16" s="523">
        <f t="shared" si="3"/>
        <v>20</v>
      </c>
      <c r="T16" s="685"/>
      <c r="U16" s="524">
        <v>4</v>
      </c>
      <c r="V16" s="477">
        <v>2817.966101694914</v>
      </c>
      <c r="W16" s="477">
        <v>704.49152542372849</v>
      </c>
      <c r="X16" s="523">
        <f t="shared" si="4"/>
        <v>22</v>
      </c>
      <c r="Y16" s="685"/>
      <c r="Z16" s="524">
        <v>4</v>
      </c>
      <c r="AA16" s="477">
        <v>2861.7857142857119</v>
      </c>
      <c r="AB16" s="477">
        <v>715.44642857142799</v>
      </c>
      <c r="AC16" s="523">
        <f t="shared" si="5"/>
        <v>22</v>
      </c>
      <c r="AD16" s="685"/>
      <c r="AE16" s="524">
        <v>4</v>
      </c>
      <c r="AF16" s="477">
        <v>2875.1999999999989</v>
      </c>
      <c r="AG16" s="477">
        <v>718.79999999999973</v>
      </c>
      <c r="AH16" s="523">
        <f t="shared" si="6"/>
        <v>22</v>
      </c>
      <c r="AI16" s="685"/>
      <c r="AJ16" s="524">
        <v>4</v>
      </c>
      <c r="AK16" s="477">
        <v>2833.2000000000007</v>
      </c>
      <c r="AL16" s="477">
        <v>708.30000000000018</v>
      </c>
      <c r="AM16" s="523">
        <f t="shared" si="7"/>
        <v>19</v>
      </c>
      <c r="AN16" s="685"/>
      <c r="AO16" s="524">
        <v>4</v>
      </c>
      <c r="AP16" s="477">
        <v>2852.3809523809518</v>
      </c>
      <c r="AQ16" s="477">
        <v>713.09523809523796</v>
      </c>
      <c r="AR16" s="523">
        <f t="shared" si="8"/>
        <v>21</v>
      </c>
      <c r="AS16" s="685"/>
      <c r="AT16" s="524">
        <v>4</v>
      </c>
      <c r="AU16" s="477">
        <v>2865.4838709677429</v>
      </c>
      <c r="AV16" s="477">
        <v>716.37096774193571</v>
      </c>
      <c r="AW16" s="523">
        <f t="shared" si="9"/>
        <v>21</v>
      </c>
      <c r="AX16" s="685"/>
      <c r="AZ16" s="361" t="e">
        <f t="shared" si="10"/>
        <v>#N/A</v>
      </c>
      <c r="BA16" s="685"/>
    </row>
    <row r="17" spans="2:53">
      <c r="B17" s="692"/>
      <c r="C17" s="493">
        <v>11</v>
      </c>
      <c r="D17" s="196" t="s">
        <v>718</v>
      </c>
      <c r="E17" s="196">
        <v>3</v>
      </c>
      <c r="F17" s="196">
        <v>2800</v>
      </c>
      <c r="G17" s="496">
        <v>933.33333333333337</v>
      </c>
      <c r="H17" s="673"/>
      <c r="I17" s="496">
        <f t="shared" si="0"/>
        <v>3</v>
      </c>
      <c r="J17" s="496">
        <f t="shared" si="1"/>
        <v>2808.8408163265308</v>
      </c>
      <c r="K17" s="194">
        <f t="shared" si="2"/>
        <v>936.28027210884363</v>
      </c>
      <c r="L17" s="645"/>
      <c r="M17" s="504">
        <f>RANK(K17, K$7:$K$36)</f>
        <v>11</v>
      </c>
      <c r="N17" s="663"/>
      <c r="O17" s="663"/>
      <c r="P17" s="524">
        <v>3</v>
      </c>
      <c r="Q17" s="477">
        <v>2691.5999999999985</v>
      </c>
      <c r="R17" s="477">
        <v>897.19999999999948</v>
      </c>
      <c r="S17" s="523">
        <f t="shared" si="3"/>
        <v>11</v>
      </c>
      <c r="T17" s="685"/>
      <c r="U17" s="524">
        <v>3</v>
      </c>
      <c r="V17" s="477">
        <v>2764</v>
      </c>
      <c r="W17" s="477">
        <v>921.33333333333337</v>
      </c>
      <c r="X17" s="523">
        <f t="shared" si="4"/>
        <v>11</v>
      </c>
      <c r="Y17" s="685"/>
      <c r="Z17" s="524">
        <v>3</v>
      </c>
      <c r="AA17" s="477">
        <v>2827.1428571428564</v>
      </c>
      <c r="AB17" s="477">
        <v>942.38095238095218</v>
      </c>
      <c r="AC17" s="523">
        <f t="shared" si="5"/>
        <v>11</v>
      </c>
      <c r="AD17" s="685"/>
      <c r="AE17" s="524">
        <v>3</v>
      </c>
      <c r="AF17" s="477">
        <v>2850.0000000000036</v>
      </c>
      <c r="AG17" s="477">
        <v>950.00000000000125</v>
      </c>
      <c r="AH17" s="523">
        <f t="shared" si="6"/>
        <v>10</v>
      </c>
      <c r="AI17" s="685"/>
      <c r="AJ17" s="524">
        <v>3</v>
      </c>
      <c r="AK17" s="477">
        <v>2729.1428571428578</v>
      </c>
      <c r="AL17" s="477">
        <v>909.71428571428589</v>
      </c>
      <c r="AM17" s="523">
        <f t="shared" si="7"/>
        <v>9</v>
      </c>
      <c r="AN17" s="685"/>
      <c r="AO17" s="524">
        <v>3</v>
      </c>
      <c r="AP17" s="477">
        <v>2884</v>
      </c>
      <c r="AQ17" s="477">
        <v>961.33333333333337</v>
      </c>
      <c r="AR17" s="523">
        <f t="shared" si="8"/>
        <v>10</v>
      </c>
      <c r="AS17" s="685"/>
      <c r="AT17" s="524">
        <v>3</v>
      </c>
      <c r="AU17" s="477">
        <v>2916</v>
      </c>
      <c r="AV17" s="477">
        <v>972</v>
      </c>
      <c r="AW17" s="523">
        <f t="shared" si="9"/>
        <v>9</v>
      </c>
      <c r="AX17" s="685"/>
      <c r="AZ17" s="361" t="e">
        <f t="shared" si="10"/>
        <v>#N/A</v>
      </c>
      <c r="BA17" s="685"/>
    </row>
    <row r="18" spans="2:53">
      <c r="B18" s="692"/>
      <c r="C18" s="493">
        <v>12</v>
      </c>
      <c r="D18" s="491" t="s">
        <v>671</v>
      </c>
      <c r="E18" s="196">
        <v>4</v>
      </c>
      <c r="F18" s="196">
        <v>2800</v>
      </c>
      <c r="G18" s="496">
        <v>700</v>
      </c>
      <c r="H18" s="673"/>
      <c r="I18" s="496">
        <f t="shared" si="0"/>
        <v>4</v>
      </c>
      <c r="J18" s="496">
        <f t="shared" si="1"/>
        <v>2849.6522366522377</v>
      </c>
      <c r="K18" s="194">
        <f t="shared" si="2"/>
        <v>712.41305916305942</v>
      </c>
      <c r="L18" s="645"/>
      <c r="M18" s="504">
        <f>RANK(K18, K$7:$K$36)</f>
        <v>21</v>
      </c>
      <c r="N18" s="663"/>
      <c r="O18" s="663"/>
      <c r="P18" s="524">
        <v>4</v>
      </c>
      <c r="Q18" s="477">
        <v>2623.4999999999991</v>
      </c>
      <c r="R18" s="477">
        <v>655.87499999999977</v>
      </c>
      <c r="S18" s="523">
        <f t="shared" si="3"/>
        <v>22</v>
      </c>
      <c r="T18" s="685"/>
      <c r="U18" s="524">
        <v>4</v>
      </c>
      <c r="V18" s="477">
        <v>2843.3333333333376</v>
      </c>
      <c r="W18" s="477">
        <v>710.83333333333439</v>
      </c>
      <c r="X18" s="523">
        <f t="shared" si="4"/>
        <v>21</v>
      </c>
      <c r="Y18" s="685"/>
      <c r="Z18" s="524">
        <v>4</v>
      </c>
      <c r="AA18" s="477">
        <v>2955.0000000000036</v>
      </c>
      <c r="AB18" s="477">
        <v>738.75000000000091</v>
      </c>
      <c r="AC18" s="523">
        <f t="shared" si="5"/>
        <v>20</v>
      </c>
      <c r="AD18" s="685"/>
      <c r="AE18" s="524">
        <v>4</v>
      </c>
      <c r="AF18" s="477">
        <v>2984.4444444444462</v>
      </c>
      <c r="AG18" s="477">
        <v>746.11111111111154</v>
      </c>
      <c r="AH18" s="523">
        <f t="shared" si="6"/>
        <v>21</v>
      </c>
      <c r="AI18" s="685"/>
      <c r="AJ18" s="524">
        <v>4</v>
      </c>
      <c r="AK18" s="477">
        <v>2773.3333333333348</v>
      </c>
      <c r="AL18" s="477">
        <v>693.33333333333371</v>
      </c>
      <c r="AM18" s="523">
        <f t="shared" si="7"/>
        <v>21</v>
      </c>
      <c r="AN18" s="685"/>
      <c r="AO18" s="524">
        <v>4</v>
      </c>
      <c r="AP18" s="477">
        <v>2962.5000000000036</v>
      </c>
      <c r="AQ18" s="477">
        <v>740.62500000000091</v>
      </c>
      <c r="AR18" s="523">
        <f t="shared" si="8"/>
        <v>20</v>
      </c>
      <c r="AS18" s="685"/>
      <c r="AT18" s="524">
        <v>4</v>
      </c>
      <c r="AU18" s="477">
        <v>2805.4545454545414</v>
      </c>
      <c r="AV18" s="477">
        <v>701.36363636363535</v>
      </c>
      <c r="AW18" s="523">
        <f t="shared" si="9"/>
        <v>22</v>
      </c>
      <c r="AX18" s="685"/>
      <c r="AZ18" s="361" t="e">
        <f t="shared" si="10"/>
        <v>#N/A</v>
      </c>
      <c r="BA18" s="685"/>
    </row>
    <row r="19" spans="2:53">
      <c r="B19" s="692"/>
      <c r="C19" s="493">
        <v>13</v>
      </c>
      <c r="D19" s="196" t="s">
        <v>579</v>
      </c>
      <c r="E19" s="196">
        <v>3</v>
      </c>
      <c r="F19" s="196">
        <v>3200</v>
      </c>
      <c r="G19" s="496">
        <v>1066.6666666666667</v>
      </c>
      <c r="H19" s="673"/>
      <c r="I19" s="496">
        <f t="shared" si="0"/>
        <v>3</v>
      </c>
      <c r="J19" s="496">
        <f t="shared" si="1"/>
        <v>3293.6386350491603</v>
      </c>
      <c r="K19" s="194">
        <f t="shared" si="2"/>
        <v>1097.8795450163868</v>
      </c>
      <c r="L19" s="645"/>
      <c r="M19" s="504">
        <f>RANK(K19, K$7:$K$36)</f>
        <v>1</v>
      </c>
      <c r="N19" s="663"/>
      <c r="O19" s="663"/>
      <c r="P19" s="524">
        <v>3</v>
      </c>
      <c r="Q19" s="477">
        <v>3029.9999999999945</v>
      </c>
      <c r="R19" s="477">
        <v>1009.9999999999982</v>
      </c>
      <c r="S19" s="523">
        <f t="shared" si="3"/>
        <v>8</v>
      </c>
      <c r="T19" s="685"/>
      <c r="U19" s="524">
        <v>3</v>
      </c>
      <c r="V19" s="477">
        <v>3264.4444444444366</v>
      </c>
      <c r="W19" s="477">
        <v>1088.1481481481455</v>
      </c>
      <c r="X19" s="523">
        <f t="shared" si="4"/>
        <v>4</v>
      </c>
      <c r="Y19" s="685"/>
      <c r="Z19" s="524">
        <v>3</v>
      </c>
      <c r="AA19" s="477">
        <v>3249.6000000000013</v>
      </c>
      <c r="AB19" s="477">
        <v>1083.2000000000005</v>
      </c>
      <c r="AC19" s="523">
        <f t="shared" si="5"/>
        <v>4</v>
      </c>
      <c r="AD19" s="685"/>
      <c r="AE19" s="524">
        <v>3</v>
      </c>
      <c r="AF19" s="477">
        <v>3536.8421052631552</v>
      </c>
      <c r="AG19" s="477">
        <v>1178.9473684210518</v>
      </c>
      <c r="AH19" s="523">
        <f t="shared" si="6"/>
        <v>1</v>
      </c>
      <c r="AI19" s="685"/>
      <c r="AJ19" s="524">
        <v>3</v>
      </c>
      <c r="AK19" s="477">
        <v>3262.1052631578923</v>
      </c>
      <c r="AL19" s="477">
        <v>1087.3684210526308</v>
      </c>
      <c r="AM19" s="523">
        <f t="shared" si="7"/>
        <v>2</v>
      </c>
      <c r="AN19" s="685"/>
      <c r="AO19" s="524">
        <v>3</v>
      </c>
      <c r="AP19" s="477">
        <v>3315.5555555555675</v>
      </c>
      <c r="AQ19" s="477">
        <v>1105.1851851851891</v>
      </c>
      <c r="AR19" s="523">
        <f t="shared" si="8"/>
        <v>2</v>
      </c>
      <c r="AS19" s="685"/>
      <c r="AT19" s="524">
        <v>3</v>
      </c>
      <c r="AU19" s="477">
        <v>3396.923076923079</v>
      </c>
      <c r="AV19" s="477">
        <v>1132.3076923076931</v>
      </c>
      <c r="AW19" s="523">
        <f t="shared" si="9"/>
        <v>1</v>
      </c>
      <c r="AX19" s="685"/>
      <c r="AZ19" s="361" t="e">
        <f t="shared" si="10"/>
        <v>#N/A</v>
      </c>
      <c r="BA19" s="685"/>
    </row>
    <row r="20" spans="2:53">
      <c r="B20" s="692"/>
      <c r="C20" s="493">
        <v>14</v>
      </c>
      <c r="D20" s="196" t="s">
        <v>584</v>
      </c>
      <c r="E20" s="196">
        <v>3</v>
      </c>
      <c r="F20" s="196">
        <v>3200</v>
      </c>
      <c r="G20" s="496">
        <v>1066.6666666666667</v>
      </c>
      <c r="H20" s="673"/>
      <c r="I20" s="496">
        <f t="shared" si="0"/>
        <v>3</v>
      </c>
      <c r="J20" s="496">
        <f t="shared" si="1"/>
        <v>3177.0521663210748</v>
      </c>
      <c r="K20" s="194">
        <f t="shared" si="2"/>
        <v>1059.0173887736917</v>
      </c>
      <c r="L20" s="645"/>
      <c r="M20" s="504">
        <f>RANK(K20, K$7:$K$36)</f>
        <v>7</v>
      </c>
      <c r="N20" s="663"/>
      <c r="O20" s="663"/>
      <c r="P20" s="524">
        <v>3</v>
      </c>
      <c r="Q20" s="477">
        <v>3148.2352941176582</v>
      </c>
      <c r="R20" s="477">
        <v>1049.4117647058861</v>
      </c>
      <c r="S20" s="523">
        <f t="shared" si="3"/>
        <v>5</v>
      </c>
      <c r="T20" s="685"/>
      <c r="U20" s="524">
        <v>3</v>
      </c>
      <c r="V20" s="477">
        <v>3259.9999999999941</v>
      </c>
      <c r="W20" s="477">
        <v>1086.6666666666647</v>
      </c>
      <c r="X20" s="523">
        <f t="shared" si="4"/>
        <v>5</v>
      </c>
      <c r="Y20" s="685"/>
      <c r="Z20" s="524">
        <v>3</v>
      </c>
      <c r="AA20" s="477">
        <v>3312.8571428571545</v>
      </c>
      <c r="AB20" s="477">
        <v>1104.2857142857181</v>
      </c>
      <c r="AC20" s="523">
        <f t="shared" si="5"/>
        <v>1</v>
      </c>
      <c r="AD20" s="685"/>
      <c r="AE20" s="524">
        <v>3</v>
      </c>
      <c r="AF20" s="477">
        <v>3207.2727272727388</v>
      </c>
      <c r="AG20" s="477">
        <v>1069.0909090909129</v>
      </c>
      <c r="AH20" s="523">
        <f t="shared" si="6"/>
        <v>7</v>
      </c>
      <c r="AI20" s="685"/>
      <c r="AJ20" s="524">
        <v>3</v>
      </c>
      <c r="AK20" s="477">
        <v>2694.9999999999918</v>
      </c>
      <c r="AL20" s="477">
        <v>898.33333333333064</v>
      </c>
      <c r="AM20" s="523">
        <f t="shared" si="7"/>
        <v>10</v>
      </c>
      <c r="AN20" s="685"/>
      <c r="AO20" s="524">
        <v>3</v>
      </c>
      <c r="AP20" s="477">
        <v>3347.9999999999936</v>
      </c>
      <c r="AQ20" s="477">
        <v>1115.999999999998</v>
      </c>
      <c r="AR20" s="523">
        <f t="shared" si="8"/>
        <v>1</v>
      </c>
      <c r="AS20" s="685"/>
      <c r="AT20" s="524">
        <v>3</v>
      </c>
      <c r="AU20" s="477">
        <v>3267.9999999999941</v>
      </c>
      <c r="AV20" s="477">
        <v>1089.3333333333314</v>
      </c>
      <c r="AW20" s="523">
        <f t="shared" si="9"/>
        <v>4</v>
      </c>
      <c r="AX20" s="685"/>
      <c r="AZ20" s="361" t="e">
        <f t="shared" si="10"/>
        <v>#N/A</v>
      </c>
      <c r="BA20" s="685"/>
    </row>
    <row r="21" spans="2:53">
      <c r="B21" s="692"/>
      <c r="C21" s="493">
        <v>15</v>
      </c>
      <c r="D21" s="491" t="s">
        <v>719</v>
      </c>
      <c r="E21" s="196">
        <v>3</v>
      </c>
      <c r="F21" s="196">
        <v>3200</v>
      </c>
      <c r="G21" s="496">
        <v>1066.6666666666667</v>
      </c>
      <c r="H21" s="673"/>
      <c r="I21" s="496">
        <f t="shared" si="0"/>
        <v>3.8571428571428572</v>
      </c>
      <c r="J21" s="496">
        <f t="shared" si="1"/>
        <v>2837.1106708417633</v>
      </c>
      <c r="K21" s="194">
        <f t="shared" si="2"/>
        <v>743.99195342472638</v>
      </c>
      <c r="L21" s="645"/>
      <c r="M21" s="504">
        <f>RANK(K21, K$7:$K$36)</f>
        <v>19</v>
      </c>
      <c r="N21" s="663"/>
      <c r="O21" s="663"/>
      <c r="P21" s="524">
        <v>4</v>
      </c>
      <c r="Q21" s="477">
        <v>2767.0588235294085</v>
      </c>
      <c r="R21" s="477">
        <v>691.76470588235213</v>
      </c>
      <c r="S21" s="523">
        <f t="shared" si="3"/>
        <v>21</v>
      </c>
      <c r="T21" s="685"/>
      <c r="U21" s="524">
        <v>4</v>
      </c>
      <c r="V21" s="477">
        <v>3011.9999999999945</v>
      </c>
      <c r="W21" s="477">
        <v>752.99999999999864</v>
      </c>
      <c r="X21" s="523">
        <f t="shared" si="4"/>
        <v>19</v>
      </c>
      <c r="Y21" s="685"/>
      <c r="Z21" s="524">
        <v>4</v>
      </c>
      <c r="AA21" s="477">
        <v>2987.1428571428678</v>
      </c>
      <c r="AB21" s="477">
        <v>746.78571428571695</v>
      </c>
      <c r="AC21" s="523">
        <f t="shared" si="5"/>
        <v>19</v>
      </c>
      <c r="AD21" s="685"/>
      <c r="AE21" s="524">
        <v>4</v>
      </c>
      <c r="AF21" s="477">
        <v>3043.6363636363744</v>
      </c>
      <c r="AG21" s="477">
        <v>760.90909090909361</v>
      </c>
      <c r="AH21" s="523">
        <f t="shared" si="6"/>
        <v>19</v>
      </c>
      <c r="AI21" s="685"/>
      <c r="AJ21" s="524">
        <v>4</v>
      </c>
      <c r="AK21" s="477">
        <v>2469.2307692307627</v>
      </c>
      <c r="AL21" s="477">
        <v>617.30769230769067</v>
      </c>
      <c r="AM21" s="523">
        <f t="shared" si="7"/>
        <v>22</v>
      </c>
      <c r="AN21" s="685"/>
      <c r="AO21" s="524">
        <v>4</v>
      </c>
      <c r="AP21" s="477">
        <v>2664.7058823529378</v>
      </c>
      <c r="AQ21" s="477">
        <v>666.17647058823445</v>
      </c>
      <c r="AR21" s="523">
        <f t="shared" si="8"/>
        <v>22</v>
      </c>
      <c r="AS21" s="685"/>
      <c r="AT21" s="524">
        <v>3</v>
      </c>
      <c r="AU21" s="477">
        <v>2915.999999999995</v>
      </c>
      <c r="AV21" s="477">
        <v>971.99999999999829</v>
      </c>
      <c r="AW21" s="523">
        <f t="shared" si="9"/>
        <v>10</v>
      </c>
      <c r="AX21" s="685"/>
      <c r="AZ21" s="361" t="e">
        <f t="shared" si="10"/>
        <v>#N/A</v>
      </c>
      <c r="BA21" s="685"/>
    </row>
    <row r="22" spans="2:53">
      <c r="B22" s="692"/>
      <c r="C22" s="493">
        <v>16</v>
      </c>
      <c r="D22" s="196" t="s">
        <v>720</v>
      </c>
      <c r="E22" s="196">
        <v>4</v>
      </c>
      <c r="F22" s="196">
        <v>3200</v>
      </c>
      <c r="G22" s="496">
        <v>800</v>
      </c>
      <c r="H22" s="673"/>
      <c r="I22" s="496">
        <f t="shared" si="0"/>
        <v>4</v>
      </c>
      <c r="J22" s="496">
        <f t="shared" si="1"/>
        <v>3242.9879500426573</v>
      </c>
      <c r="K22" s="194">
        <f t="shared" si="2"/>
        <v>810.74698751066433</v>
      </c>
      <c r="L22" s="645"/>
      <c r="M22" s="504">
        <f>RANK(K22, K$7:$K$36)</f>
        <v>15</v>
      </c>
      <c r="N22" s="663"/>
      <c r="O22" s="663"/>
      <c r="P22" s="524">
        <v>4</v>
      </c>
      <c r="Q22" s="477">
        <v>3063.1578947368471</v>
      </c>
      <c r="R22" s="477">
        <v>765.78947368421177</v>
      </c>
      <c r="S22" s="523">
        <f t="shared" si="3"/>
        <v>17</v>
      </c>
      <c r="T22" s="685"/>
      <c r="U22" s="524">
        <v>4</v>
      </c>
      <c r="V22" s="477">
        <v>3290.2702702702677</v>
      </c>
      <c r="W22" s="477">
        <v>822.56756756756693</v>
      </c>
      <c r="X22" s="523">
        <f t="shared" si="4"/>
        <v>15</v>
      </c>
      <c r="Y22" s="685"/>
      <c r="Z22" s="524">
        <v>4</v>
      </c>
      <c r="AA22" s="477">
        <v>3153.1034482758646</v>
      </c>
      <c r="AB22" s="477">
        <v>788.27586206896615</v>
      </c>
      <c r="AC22" s="523">
        <f t="shared" si="5"/>
        <v>17</v>
      </c>
      <c r="AD22" s="685"/>
      <c r="AE22" s="524">
        <v>4</v>
      </c>
      <c r="AF22" s="477">
        <v>3297.6923076923094</v>
      </c>
      <c r="AG22" s="477">
        <v>824.42307692307736</v>
      </c>
      <c r="AH22" s="523">
        <f t="shared" si="6"/>
        <v>13</v>
      </c>
      <c r="AI22" s="685"/>
      <c r="AJ22" s="524">
        <v>4</v>
      </c>
      <c r="AK22" s="477">
        <v>3145.2631578947344</v>
      </c>
      <c r="AL22" s="477">
        <v>786.31578947368359</v>
      </c>
      <c r="AM22" s="523">
        <f t="shared" si="7"/>
        <v>16</v>
      </c>
      <c r="AN22" s="685"/>
      <c r="AO22" s="524">
        <v>4</v>
      </c>
      <c r="AP22" s="477">
        <v>3351.4285714285738</v>
      </c>
      <c r="AQ22" s="477">
        <v>837.85714285714346</v>
      </c>
      <c r="AR22" s="523">
        <f t="shared" si="8"/>
        <v>13</v>
      </c>
      <c r="AS22" s="685"/>
      <c r="AT22" s="524">
        <v>4</v>
      </c>
      <c r="AU22" s="477">
        <v>3400.0000000000018</v>
      </c>
      <c r="AV22" s="477">
        <v>850.00000000000045</v>
      </c>
      <c r="AW22" s="523">
        <f t="shared" si="9"/>
        <v>13</v>
      </c>
      <c r="AX22" s="685"/>
      <c r="AZ22" s="361" t="e">
        <f t="shared" si="10"/>
        <v>#N/A</v>
      </c>
      <c r="BA22" s="685"/>
    </row>
    <row r="23" spans="2:53">
      <c r="B23" s="692"/>
      <c r="C23" s="493">
        <v>17</v>
      </c>
      <c r="D23" s="196" t="s">
        <v>690</v>
      </c>
      <c r="E23" s="196">
        <v>4</v>
      </c>
      <c r="F23" s="196">
        <v>2800</v>
      </c>
      <c r="G23" s="496">
        <v>700</v>
      </c>
      <c r="H23" s="673"/>
      <c r="I23" s="496">
        <f t="shared" si="0"/>
        <v>4</v>
      </c>
      <c r="J23" s="496">
        <f t="shared" si="1"/>
        <v>2987.4612549442854</v>
      </c>
      <c r="K23" s="194">
        <f t="shared" si="2"/>
        <v>746.86531373607136</v>
      </c>
      <c r="L23" s="645"/>
      <c r="M23" s="504">
        <f>RANK(K23, K$7:$K$36)</f>
        <v>18</v>
      </c>
      <c r="N23" s="663"/>
      <c r="O23" s="663"/>
      <c r="P23" s="524">
        <v>4</v>
      </c>
      <c r="Q23" s="477">
        <v>2983.3734939759061</v>
      </c>
      <c r="R23" s="477">
        <v>745.84337349397651</v>
      </c>
      <c r="S23" s="523">
        <f t="shared" si="3"/>
        <v>18</v>
      </c>
      <c r="T23" s="685"/>
      <c r="U23" s="524">
        <v>4</v>
      </c>
      <c r="V23" s="477">
        <v>3068.5714285714271</v>
      </c>
      <c r="W23" s="477">
        <v>767.14285714285677</v>
      </c>
      <c r="X23" s="523">
        <f t="shared" si="4"/>
        <v>18</v>
      </c>
      <c r="Y23" s="685"/>
      <c r="Z23" s="524">
        <v>4</v>
      </c>
      <c r="AA23" s="477">
        <v>3015.9999999999977</v>
      </c>
      <c r="AB23" s="477">
        <v>753.99999999999943</v>
      </c>
      <c r="AC23" s="523">
        <f t="shared" si="5"/>
        <v>18</v>
      </c>
      <c r="AD23" s="685"/>
      <c r="AE23" s="524">
        <v>4</v>
      </c>
      <c r="AF23" s="477">
        <v>2987.142857142861</v>
      </c>
      <c r="AG23" s="477">
        <v>746.78571428571524</v>
      </c>
      <c r="AH23" s="523">
        <f t="shared" si="6"/>
        <v>20</v>
      </c>
      <c r="AI23" s="685"/>
      <c r="AJ23" s="524">
        <v>4</v>
      </c>
      <c r="AK23" s="477">
        <v>2796.3934426229498</v>
      </c>
      <c r="AL23" s="477">
        <v>699.09836065573745</v>
      </c>
      <c r="AM23" s="523">
        <f t="shared" si="7"/>
        <v>20</v>
      </c>
      <c r="AN23" s="685"/>
      <c r="AO23" s="524">
        <v>4</v>
      </c>
      <c r="AP23" s="477">
        <v>2983.8461538461524</v>
      </c>
      <c r="AQ23" s="477">
        <v>745.96153846153811</v>
      </c>
      <c r="AR23" s="523">
        <f t="shared" si="8"/>
        <v>19</v>
      </c>
      <c r="AS23" s="685"/>
      <c r="AT23" s="524">
        <v>4</v>
      </c>
      <c r="AU23" s="477">
        <v>3076.9014084507048</v>
      </c>
      <c r="AV23" s="477">
        <v>769.22535211267621</v>
      </c>
      <c r="AW23" s="523">
        <f t="shared" si="9"/>
        <v>19</v>
      </c>
      <c r="AX23" s="685"/>
      <c r="AZ23" s="361" t="e">
        <f t="shared" si="10"/>
        <v>#N/A</v>
      </c>
      <c r="BA23" s="685"/>
    </row>
    <row r="24" spans="2:53">
      <c r="B24" s="692"/>
      <c r="C24" s="493">
        <v>18</v>
      </c>
      <c r="D24" s="491" t="s">
        <v>721</v>
      </c>
      <c r="E24" s="196">
        <v>4</v>
      </c>
      <c r="F24" s="196">
        <v>2800</v>
      </c>
      <c r="G24" s="496">
        <v>700</v>
      </c>
      <c r="H24" s="673"/>
      <c r="I24" s="496">
        <f t="shared" si="0"/>
        <v>3.1428571428571428</v>
      </c>
      <c r="J24" s="496">
        <f t="shared" si="1"/>
        <v>3014.5935681965116</v>
      </c>
      <c r="K24" s="194">
        <f t="shared" si="2"/>
        <v>968.43595130359904</v>
      </c>
      <c r="L24" s="645"/>
      <c r="M24" s="504">
        <f>RANK(K24, K$7:$K$36)</f>
        <v>9</v>
      </c>
      <c r="N24" s="663"/>
      <c r="O24" s="663"/>
      <c r="P24" s="524">
        <v>3</v>
      </c>
      <c r="Q24" s="477">
        <v>2947.0588235294226</v>
      </c>
      <c r="R24" s="477">
        <v>982.35294117647425</v>
      </c>
      <c r="S24" s="523">
        <f t="shared" si="3"/>
        <v>9</v>
      </c>
      <c r="T24" s="685"/>
      <c r="U24" s="524">
        <v>3</v>
      </c>
      <c r="V24" s="477">
        <v>2928.75000000001</v>
      </c>
      <c r="W24" s="477">
        <v>976.2500000000033</v>
      </c>
      <c r="X24" s="523">
        <f t="shared" si="4"/>
        <v>9</v>
      </c>
      <c r="Y24" s="685"/>
      <c r="Z24" s="524">
        <v>3</v>
      </c>
      <c r="AA24" s="477">
        <v>2889.9999999999945</v>
      </c>
      <c r="AB24" s="477">
        <v>963.33333333333155</v>
      </c>
      <c r="AC24" s="523">
        <f t="shared" si="5"/>
        <v>9</v>
      </c>
      <c r="AD24" s="685"/>
      <c r="AE24" s="524">
        <v>3</v>
      </c>
      <c r="AF24" s="477">
        <v>3133.8461538461652</v>
      </c>
      <c r="AG24" s="477">
        <v>1044.6153846153884</v>
      </c>
      <c r="AH24" s="523">
        <f t="shared" si="6"/>
        <v>8</v>
      </c>
      <c r="AI24" s="685"/>
      <c r="AJ24" s="524">
        <v>4</v>
      </c>
      <c r="AK24" s="477">
        <v>3059.9999999999941</v>
      </c>
      <c r="AL24" s="477">
        <v>764.99999999999852</v>
      </c>
      <c r="AM24" s="523">
        <f t="shared" si="7"/>
        <v>17</v>
      </c>
      <c r="AN24" s="685"/>
      <c r="AO24" s="524">
        <v>3</v>
      </c>
      <c r="AP24" s="477">
        <v>3142.4999999999959</v>
      </c>
      <c r="AQ24" s="477">
        <v>1047.4999999999986</v>
      </c>
      <c r="AR24" s="523">
        <f t="shared" si="8"/>
        <v>8</v>
      </c>
      <c r="AS24" s="685"/>
      <c r="AT24" s="524">
        <v>3</v>
      </c>
      <c r="AU24" s="477">
        <v>2999.9999999999964</v>
      </c>
      <c r="AV24" s="477">
        <v>999.99999999999875</v>
      </c>
      <c r="AW24" s="523">
        <f t="shared" si="9"/>
        <v>8</v>
      </c>
      <c r="AX24" s="685"/>
      <c r="AZ24" s="361" t="e">
        <f t="shared" si="10"/>
        <v>#N/A</v>
      </c>
      <c r="BA24" s="685"/>
    </row>
    <row r="25" spans="2:53">
      <c r="B25" s="692"/>
      <c r="C25" s="493">
        <v>19</v>
      </c>
      <c r="D25" s="491" t="s">
        <v>722</v>
      </c>
      <c r="E25" s="196">
        <v>3</v>
      </c>
      <c r="F25" s="196">
        <v>2800</v>
      </c>
      <c r="G25" s="496">
        <v>933.33333333333337</v>
      </c>
      <c r="H25" s="673"/>
      <c r="I25" s="496">
        <f t="shared" si="0"/>
        <v>3</v>
      </c>
      <c r="J25" s="496">
        <f t="shared" si="1"/>
        <v>3018.5824175824164</v>
      </c>
      <c r="K25" s="194">
        <f t="shared" si="2"/>
        <v>1006.1941391941389</v>
      </c>
      <c r="L25" s="645"/>
      <c r="M25" s="504">
        <f>RANK(K25, K$7:$K$36)</f>
        <v>8</v>
      </c>
      <c r="N25" s="663"/>
      <c r="O25" s="663"/>
      <c r="P25" s="524">
        <v>3</v>
      </c>
      <c r="Q25" s="477">
        <v>3109.2857142857251</v>
      </c>
      <c r="R25" s="477">
        <v>1036.428571428575</v>
      </c>
      <c r="S25" s="523">
        <f t="shared" si="3"/>
        <v>6</v>
      </c>
      <c r="T25" s="685"/>
      <c r="U25" s="524">
        <v>3</v>
      </c>
      <c r="V25" s="477">
        <v>2995.7142857142794</v>
      </c>
      <c r="W25" s="477">
        <v>998.57142857142651</v>
      </c>
      <c r="X25" s="523">
        <f t="shared" si="4"/>
        <v>8</v>
      </c>
      <c r="Y25" s="685"/>
      <c r="Z25" s="524">
        <v>3</v>
      </c>
      <c r="AA25" s="477">
        <v>2965.3846153846257</v>
      </c>
      <c r="AB25" s="477">
        <v>988.46153846154186</v>
      </c>
      <c r="AC25" s="523">
        <f t="shared" si="5"/>
        <v>8</v>
      </c>
      <c r="AD25" s="685"/>
      <c r="AE25" s="524">
        <v>3</v>
      </c>
      <c r="AF25" s="477">
        <v>2999.9999999999905</v>
      </c>
      <c r="AG25" s="477">
        <v>999.99999999999682</v>
      </c>
      <c r="AH25" s="523">
        <f t="shared" si="6"/>
        <v>9</v>
      </c>
      <c r="AI25" s="685"/>
      <c r="AJ25" s="524">
        <v>3</v>
      </c>
      <c r="AK25" s="477">
        <v>3087.6923076922994</v>
      </c>
      <c r="AL25" s="477">
        <v>1029.2307692307666</v>
      </c>
      <c r="AM25" s="523">
        <f t="shared" si="7"/>
        <v>6</v>
      </c>
      <c r="AN25" s="685"/>
      <c r="AO25" s="524">
        <v>3</v>
      </c>
      <c r="AP25" s="477">
        <v>3059.9999999999941</v>
      </c>
      <c r="AQ25" s="477">
        <v>1019.9999999999981</v>
      </c>
      <c r="AR25" s="523">
        <f t="shared" si="8"/>
        <v>9</v>
      </c>
      <c r="AS25" s="685"/>
      <c r="AT25" s="524">
        <v>3</v>
      </c>
      <c r="AU25" s="477">
        <v>2912</v>
      </c>
      <c r="AV25" s="477">
        <v>970.66666666666663</v>
      </c>
      <c r="AW25" s="523">
        <f t="shared" si="9"/>
        <v>11</v>
      </c>
      <c r="AX25" s="685"/>
      <c r="AZ25" s="361" t="e">
        <f t="shared" si="10"/>
        <v>#N/A</v>
      </c>
      <c r="BA25" s="685"/>
    </row>
    <row r="26" spans="2:53">
      <c r="B26" s="692"/>
      <c r="C26" s="493">
        <v>20</v>
      </c>
      <c r="D26" s="491" t="s">
        <v>723</v>
      </c>
      <c r="E26" s="196">
        <v>3</v>
      </c>
      <c r="F26" s="196">
        <v>2200</v>
      </c>
      <c r="G26" s="496">
        <v>733.33333333333337</v>
      </c>
      <c r="H26" s="673"/>
      <c r="I26" s="496">
        <f t="shared" si="0"/>
        <v>3</v>
      </c>
      <c r="J26" s="496">
        <f t="shared" si="1"/>
        <v>2215.8991646698223</v>
      </c>
      <c r="K26" s="194">
        <f t="shared" si="2"/>
        <v>738.63305488994058</v>
      </c>
      <c r="L26" s="645"/>
      <c r="M26" s="504">
        <f>RANK(K26, K$7:$K$36)</f>
        <v>20</v>
      </c>
      <c r="N26" s="663"/>
      <c r="O26" s="663"/>
      <c r="P26" s="524">
        <v>3</v>
      </c>
      <c r="Q26" s="477">
        <v>2121.333333333333</v>
      </c>
      <c r="R26" s="477">
        <v>707.11111111111097</v>
      </c>
      <c r="S26" s="523">
        <f t="shared" si="3"/>
        <v>19</v>
      </c>
      <c r="T26" s="685"/>
      <c r="U26" s="524">
        <v>3</v>
      </c>
      <c r="V26" s="477">
        <v>2206.4999999999991</v>
      </c>
      <c r="W26" s="477">
        <v>735.49999999999966</v>
      </c>
      <c r="X26" s="523">
        <f t="shared" si="4"/>
        <v>20</v>
      </c>
      <c r="Y26" s="685"/>
      <c r="Z26" s="524">
        <v>3</v>
      </c>
      <c r="AA26" s="477">
        <v>2166.4864864864849</v>
      </c>
      <c r="AB26" s="477">
        <v>722.16216216216162</v>
      </c>
      <c r="AC26" s="523">
        <f t="shared" si="5"/>
        <v>21</v>
      </c>
      <c r="AD26" s="685"/>
      <c r="AE26" s="524">
        <v>3</v>
      </c>
      <c r="AF26" s="477">
        <v>2382.5806451612989</v>
      </c>
      <c r="AG26" s="477">
        <v>794.19354838709967</v>
      </c>
      <c r="AH26" s="523">
        <f t="shared" si="6"/>
        <v>18</v>
      </c>
      <c r="AI26" s="685"/>
      <c r="AJ26" s="524">
        <v>3</v>
      </c>
      <c r="AK26" s="477">
        <v>2152.4999999999991</v>
      </c>
      <c r="AL26" s="477">
        <v>717.49999999999966</v>
      </c>
      <c r="AM26" s="523">
        <f t="shared" si="7"/>
        <v>18</v>
      </c>
      <c r="AN26" s="685"/>
      <c r="AO26" s="524">
        <v>3</v>
      </c>
      <c r="AP26" s="477">
        <v>2281.4285714285706</v>
      </c>
      <c r="AQ26" s="477">
        <v>760.47619047619025</v>
      </c>
      <c r="AR26" s="523">
        <f t="shared" si="8"/>
        <v>18</v>
      </c>
      <c r="AS26" s="685"/>
      <c r="AT26" s="524">
        <v>3</v>
      </c>
      <c r="AU26" s="477">
        <v>2200.4651162790697</v>
      </c>
      <c r="AV26" s="477">
        <v>733.48837209302326</v>
      </c>
      <c r="AW26" s="523">
        <f t="shared" si="9"/>
        <v>20</v>
      </c>
      <c r="AX26" s="685"/>
      <c r="AZ26" s="361" t="e">
        <f t="shared" si="10"/>
        <v>#N/A</v>
      </c>
      <c r="BA26" s="685"/>
    </row>
    <row r="27" spans="2:53">
      <c r="B27" s="692"/>
      <c r="C27" s="493">
        <v>21</v>
      </c>
      <c r="D27" s="491" t="s">
        <v>598</v>
      </c>
      <c r="E27" s="196">
        <v>4</v>
      </c>
      <c r="F27" s="196">
        <v>2200</v>
      </c>
      <c r="G27" s="496">
        <v>550</v>
      </c>
      <c r="H27" s="673"/>
      <c r="I27" s="496">
        <f t="shared" si="0"/>
        <v>4</v>
      </c>
      <c r="J27" s="496">
        <f t="shared" si="1"/>
        <v>2234.3423520923498</v>
      </c>
      <c r="K27" s="194">
        <f t="shared" si="2"/>
        <v>558.58558802308744</v>
      </c>
      <c r="L27" s="645"/>
      <c r="M27" s="504">
        <f>RANK(K27, K$7:$K$36)</f>
        <v>23</v>
      </c>
      <c r="N27" s="663"/>
      <c r="O27" s="663"/>
      <c r="P27" s="524">
        <v>4</v>
      </c>
      <c r="Q27" s="477">
        <v>2193.7499999999859</v>
      </c>
      <c r="R27" s="477">
        <v>548.43749999999648</v>
      </c>
      <c r="S27" s="523">
        <f t="shared" si="3"/>
        <v>23</v>
      </c>
      <c r="T27" s="685"/>
      <c r="U27" s="524">
        <v>4</v>
      </c>
      <c r="V27" s="477">
        <v>2174.0000000000077</v>
      </c>
      <c r="W27" s="477">
        <v>543.50000000000193</v>
      </c>
      <c r="X27" s="523">
        <f t="shared" si="4"/>
        <v>23</v>
      </c>
      <c r="Y27" s="685"/>
      <c r="Z27" s="524">
        <v>4</v>
      </c>
      <c r="AA27" s="477">
        <v>2137.7777777777601</v>
      </c>
      <c r="AB27" s="477">
        <v>534.44444444444002</v>
      </c>
      <c r="AC27" s="523">
        <f t="shared" si="5"/>
        <v>23</v>
      </c>
      <c r="AD27" s="685"/>
      <c r="AE27" s="524">
        <v>4</v>
      </c>
      <c r="AF27" s="477">
        <v>2389.0909090909176</v>
      </c>
      <c r="AG27" s="477">
        <v>597.27272727272941</v>
      </c>
      <c r="AH27" s="523">
        <f t="shared" si="6"/>
        <v>23</v>
      </c>
      <c r="AI27" s="685"/>
      <c r="AJ27" s="524">
        <v>4</v>
      </c>
      <c r="AK27" s="477">
        <v>2157.7777777777728</v>
      </c>
      <c r="AL27" s="477">
        <v>539.44444444444321</v>
      </c>
      <c r="AM27" s="523">
        <f t="shared" si="7"/>
        <v>23</v>
      </c>
      <c r="AN27" s="685"/>
      <c r="AO27" s="524">
        <v>4</v>
      </c>
      <c r="AP27" s="477">
        <v>2280.0000000000082</v>
      </c>
      <c r="AQ27" s="477">
        <v>570.00000000000205</v>
      </c>
      <c r="AR27" s="523">
        <f t="shared" si="8"/>
        <v>23</v>
      </c>
      <c r="AS27" s="685"/>
      <c r="AT27" s="524">
        <v>4</v>
      </c>
      <c r="AU27" s="477">
        <v>2307.9999999999959</v>
      </c>
      <c r="AV27" s="477">
        <v>576.99999999999898</v>
      </c>
      <c r="AW27" s="523">
        <f t="shared" si="9"/>
        <v>23</v>
      </c>
      <c r="AX27" s="685"/>
      <c r="AZ27" s="361" t="e">
        <f t="shared" si="10"/>
        <v>#N/A</v>
      </c>
      <c r="BA27" s="685"/>
    </row>
    <row r="28" spans="2:53">
      <c r="B28" s="692"/>
      <c r="C28" s="493">
        <v>22</v>
      </c>
      <c r="D28" s="491" t="s">
        <v>700</v>
      </c>
      <c r="E28" s="196">
        <v>4</v>
      </c>
      <c r="F28" s="196">
        <v>3200</v>
      </c>
      <c r="G28" s="496">
        <v>800</v>
      </c>
      <c r="H28" s="673"/>
      <c r="I28" s="496">
        <f t="shared" si="0"/>
        <v>4</v>
      </c>
      <c r="J28" s="496">
        <f t="shared" si="1"/>
        <v>3225.5907171552485</v>
      </c>
      <c r="K28" s="194">
        <f t="shared" si="2"/>
        <v>806.39767928881213</v>
      </c>
      <c r="L28" s="645"/>
      <c r="M28" s="504">
        <f>RANK(K28, K$7:$K$36)</f>
        <v>17</v>
      </c>
      <c r="N28" s="663"/>
      <c r="O28" s="663"/>
      <c r="P28" s="524">
        <v>4</v>
      </c>
      <c r="Q28" s="477">
        <v>3094.5000000000005</v>
      </c>
      <c r="R28" s="477">
        <v>773.62500000000011</v>
      </c>
      <c r="S28" s="523">
        <f t="shared" si="3"/>
        <v>16</v>
      </c>
      <c r="T28" s="685"/>
      <c r="U28" s="524">
        <v>4</v>
      </c>
      <c r="V28" s="477">
        <v>3306.3636363636401</v>
      </c>
      <c r="W28" s="477">
        <v>826.59090909091003</v>
      </c>
      <c r="X28" s="523">
        <f t="shared" si="4"/>
        <v>14</v>
      </c>
      <c r="Y28" s="685"/>
      <c r="Z28" s="524">
        <v>4</v>
      </c>
      <c r="AA28" s="477">
        <v>3270.0000000000032</v>
      </c>
      <c r="AB28" s="477">
        <v>817.5000000000008</v>
      </c>
      <c r="AC28" s="523">
        <f t="shared" si="5"/>
        <v>14</v>
      </c>
      <c r="AD28" s="685"/>
      <c r="AE28" s="524">
        <v>4</v>
      </c>
      <c r="AF28" s="477">
        <v>3224.1666666666642</v>
      </c>
      <c r="AG28" s="477">
        <v>806.04166666666606</v>
      </c>
      <c r="AH28" s="523">
        <f t="shared" si="6"/>
        <v>17</v>
      </c>
      <c r="AI28" s="685"/>
      <c r="AJ28" s="524">
        <v>4</v>
      </c>
      <c r="AK28" s="477">
        <v>3214.0298507462689</v>
      </c>
      <c r="AL28" s="477">
        <v>803.50746268656724</v>
      </c>
      <c r="AM28" s="523">
        <f t="shared" si="7"/>
        <v>13</v>
      </c>
      <c r="AN28" s="685"/>
      <c r="AO28" s="524">
        <v>4</v>
      </c>
      <c r="AP28" s="477">
        <v>3246.5454545454568</v>
      </c>
      <c r="AQ28" s="477">
        <v>811.63636363636419</v>
      </c>
      <c r="AR28" s="523">
        <f t="shared" si="8"/>
        <v>15</v>
      </c>
      <c r="AS28" s="685"/>
      <c r="AT28" s="524">
        <v>4</v>
      </c>
      <c r="AU28" s="477">
        <v>3223.5294117647045</v>
      </c>
      <c r="AV28" s="477">
        <v>805.88235294117612</v>
      </c>
      <c r="AW28" s="523">
        <f t="shared" si="9"/>
        <v>18</v>
      </c>
      <c r="AX28" s="685"/>
      <c r="AZ28" s="361" t="e">
        <f t="shared" si="10"/>
        <v>#N/A</v>
      </c>
      <c r="BA28" s="685"/>
    </row>
    <row r="29" spans="2:53">
      <c r="B29" s="692"/>
      <c r="C29" s="493">
        <v>23</v>
      </c>
      <c r="D29" s="196" t="s">
        <v>724</v>
      </c>
      <c r="E29" s="196">
        <v>4</v>
      </c>
      <c r="F29" s="196">
        <v>3200</v>
      </c>
      <c r="G29" s="496">
        <v>800</v>
      </c>
      <c r="H29" s="673"/>
      <c r="I29" s="496">
        <f t="shared" si="0"/>
        <v>4</v>
      </c>
      <c r="J29" s="496">
        <f t="shared" si="1"/>
        <v>3241.5863745613597</v>
      </c>
      <c r="K29" s="194">
        <f t="shared" si="2"/>
        <v>810.39659364033992</v>
      </c>
      <c r="L29" s="645"/>
      <c r="M29" s="504">
        <f>RANK(K29, K$7:$K$36)</f>
        <v>16</v>
      </c>
      <c r="N29" s="663"/>
      <c r="O29" s="663"/>
      <c r="P29" s="524">
        <v>4</v>
      </c>
      <c r="Q29" s="477">
        <v>3145.2100840336129</v>
      </c>
      <c r="R29" s="477">
        <v>786.30252100840323</v>
      </c>
      <c r="S29" s="523">
        <f t="shared" si="3"/>
        <v>14</v>
      </c>
      <c r="T29" s="685"/>
      <c r="U29" s="524">
        <v>4</v>
      </c>
      <c r="V29" s="477">
        <v>3290</v>
      </c>
      <c r="W29" s="477">
        <v>822.5</v>
      </c>
      <c r="X29" s="523">
        <f t="shared" si="4"/>
        <v>16</v>
      </c>
      <c r="Y29" s="685"/>
      <c r="Z29" s="524">
        <v>4</v>
      </c>
      <c r="AA29" s="477">
        <v>3269.0322580645147</v>
      </c>
      <c r="AB29" s="477">
        <v>817.25806451612868</v>
      </c>
      <c r="AC29" s="523">
        <f t="shared" si="5"/>
        <v>15</v>
      </c>
      <c r="AD29" s="685"/>
      <c r="AE29" s="524">
        <v>4</v>
      </c>
      <c r="AF29" s="477">
        <v>3268.6567164179064</v>
      </c>
      <c r="AG29" s="477">
        <v>817.1641791044766</v>
      </c>
      <c r="AH29" s="523">
        <f t="shared" si="6"/>
        <v>15</v>
      </c>
      <c r="AI29" s="685"/>
      <c r="AJ29" s="524">
        <v>4</v>
      </c>
      <c r="AK29" s="477">
        <v>3230.4761904761895</v>
      </c>
      <c r="AL29" s="477">
        <v>807.61904761904736</v>
      </c>
      <c r="AM29" s="523">
        <f t="shared" si="7"/>
        <v>12</v>
      </c>
      <c r="AN29" s="685"/>
      <c r="AO29" s="524">
        <v>4</v>
      </c>
      <c r="AP29" s="477">
        <v>3220.3960396039588</v>
      </c>
      <c r="AQ29" s="477">
        <v>805.0990099009897</v>
      </c>
      <c r="AR29" s="523">
        <f t="shared" si="8"/>
        <v>17</v>
      </c>
      <c r="AS29" s="685"/>
      <c r="AT29" s="524">
        <v>4</v>
      </c>
      <c r="AU29" s="477">
        <v>3267.3333333333335</v>
      </c>
      <c r="AV29" s="477">
        <v>816.83333333333337</v>
      </c>
      <c r="AW29" s="523">
        <f t="shared" si="9"/>
        <v>16</v>
      </c>
      <c r="AX29" s="685"/>
      <c r="AZ29" s="361" t="e">
        <f t="shared" si="10"/>
        <v>#N/A</v>
      </c>
      <c r="BA29" s="685"/>
    </row>
    <row r="30" spans="2:53">
      <c r="B30" s="692"/>
      <c r="C30" s="493">
        <v>24</v>
      </c>
      <c r="D30" s="491" t="s">
        <v>572</v>
      </c>
      <c r="E30" s="196">
        <v>8</v>
      </c>
      <c r="F30" s="196">
        <v>1500</v>
      </c>
      <c r="G30" s="496">
        <v>187.5</v>
      </c>
      <c r="H30" s="673"/>
      <c r="I30" s="496">
        <f t="shared" si="0"/>
        <v>8.2857142857142865</v>
      </c>
      <c r="J30" s="496">
        <f t="shared" si="1"/>
        <v>1491.8282943313734</v>
      </c>
      <c r="K30" s="194">
        <f t="shared" si="2"/>
        <v>180.79146196148969</v>
      </c>
      <c r="L30" s="645"/>
      <c r="M30" s="504">
        <f>RANK(K30, K$7:$K$36)</f>
        <v>24</v>
      </c>
      <c r="N30" s="663"/>
      <c r="O30" s="663"/>
      <c r="P30" s="524">
        <v>8</v>
      </c>
      <c r="Q30" s="477">
        <v>1480.5405405405393</v>
      </c>
      <c r="R30" s="477">
        <v>185.06756756756741</v>
      </c>
      <c r="S30" s="523">
        <f t="shared" si="3"/>
        <v>24</v>
      </c>
      <c r="T30" s="685"/>
      <c r="U30" s="524">
        <v>10</v>
      </c>
      <c r="V30" s="477">
        <v>1592.3809523809539</v>
      </c>
      <c r="W30" s="477">
        <v>159.23809523809538</v>
      </c>
      <c r="X30" s="523">
        <f t="shared" si="4"/>
        <v>24</v>
      </c>
      <c r="Y30" s="685"/>
      <c r="Z30" s="524">
        <v>8</v>
      </c>
      <c r="AA30" s="477">
        <v>1456.8750000000018</v>
      </c>
      <c r="AB30" s="477">
        <v>182.10937500000023</v>
      </c>
      <c r="AC30" s="523">
        <f t="shared" si="5"/>
        <v>24</v>
      </c>
      <c r="AD30" s="685"/>
      <c r="AE30" s="524">
        <v>8</v>
      </c>
      <c r="AF30" s="477">
        <v>1534.1379310344839</v>
      </c>
      <c r="AG30" s="477">
        <v>191.76724137931049</v>
      </c>
      <c r="AH30" s="523">
        <f t="shared" si="6"/>
        <v>24</v>
      </c>
      <c r="AI30" s="685"/>
      <c r="AJ30" s="524">
        <v>8</v>
      </c>
      <c r="AK30" s="477">
        <v>1416.3636363636379</v>
      </c>
      <c r="AL30" s="477">
        <v>177.04545454545473</v>
      </c>
      <c r="AM30" s="523">
        <f t="shared" si="7"/>
        <v>24</v>
      </c>
      <c r="AN30" s="685"/>
      <c r="AO30" s="524">
        <v>8</v>
      </c>
      <c r="AP30" s="477">
        <v>1486.6666666666654</v>
      </c>
      <c r="AQ30" s="477">
        <v>185.83333333333317</v>
      </c>
      <c r="AR30" s="523">
        <f t="shared" si="8"/>
        <v>24</v>
      </c>
      <c r="AS30" s="685"/>
      <c r="AT30" s="524">
        <v>8</v>
      </c>
      <c r="AU30" s="477">
        <v>1475.8333333333321</v>
      </c>
      <c r="AV30" s="477">
        <v>184.47916666666652</v>
      </c>
      <c r="AW30" s="523">
        <f t="shared" si="9"/>
        <v>24</v>
      </c>
      <c r="AX30" s="685"/>
      <c r="AZ30" s="361" t="e">
        <f t="shared" si="10"/>
        <v>#N/A</v>
      </c>
      <c r="BA30" s="685"/>
    </row>
    <row r="31" spans="2:53">
      <c r="B31" s="692"/>
      <c r="C31" s="493">
        <v>25</v>
      </c>
      <c r="D31" s="196"/>
      <c r="E31" s="196"/>
      <c r="F31" s="196"/>
      <c r="G31" s="496"/>
      <c r="H31" s="673"/>
      <c r="I31" s="496" t="str">
        <f t="shared" si="0"/>
        <v>-</v>
      </c>
      <c r="J31" s="496" t="str">
        <f t="shared" si="1"/>
        <v>-</v>
      </c>
      <c r="K31" s="194" t="str">
        <f t="shared" si="2"/>
        <v>-</v>
      </c>
      <c r="L31" s="645"/>
      <c r="M31" s="504" t="e">
        <f>RANK(K31, K$7:$K$36)</f>
        <v>#VALUE!</v>
      </c>
      <c r="N31" s="663"/>
      <c r="O31" s="663"/>
      <c r="P31" s="524"/>
      <c r="Q31" s="477"/>
      <c r="R31" s="477"/>
      <c r="S31" s="523" t="e">
        <f t="shared" si="3"/>
        <v>#N/A</v>
      </c>
      <c r="T31" s="685"/>
      <c r="U31" s="524"/>
      <c r="V31" s="477"/>
      <c r="W31" s="477"/>
      <c r="X31" s="523" t="e">
        <f t="shared" si="4"/>
        <v>#N/A</v>
      </c>
      <c r="Y31" s="685"/>
      <c r="Z31" s="524"/>
      <c r="AA31" s="477"/>
      <c r="AB31" s="477"/>
      <c r="AC31" s="523" t="e">
        <f t="shared" si="5"/>
        <v>#N/A</v>
      </c>
      <c r="AD31" s="685"/>
      <c r="AE31" s="524"/>
      <c r="AF31" s="477"/>
      <c r="AG31" s="477"/>
      <c r="AH31" s="523" t="e">
        <f t="shared" si="6"/>
        <v>#N/A</v>
      </c>
      <c r="AI31" s="685"/>
      <c r="AJ31" s="524"/>
      <c r="AK31" s="477"/>
      <c r="AL31" s="477"/>
      <c r="AM31" s="523" t="e">
        <f t="shared" si="7"/>
        <v>#N/A</v>
      </c>
      <c r="AN31" s="685"/>
      <c r="AO31" s="524"/>
      <c r="AP31" s="477"/>
      <c r="AQ31" s="477"/>
      <c r="AR31" s="523" t="e">
        <f t="shared" si="8"/>
        <v>#N/A</v>
      </c>
      <c r="AS31" s="685"/>
      <c r="AT31" s="524"/>
      <c r="AU31" s="477"/>
      <c r="AV31" s="477"/>
      <c r="AW31" s="523" t="e">
        <f t="shared" si="9"/>
        <v>#N/A</v>
      </c>
      <c r="AX31" s="685"/>
      <c r="AZ31" s="361" t="e">
        <f t="shared" si="10"/>
        <v>#N/A</v>
      </c>
      <c r="BA31" s="685"/>
    </row>
    <row r="32" spans="2:53">
      <c r="B32" s="692"/>
      <c r="C32" s="493">
        <v>26</v>
      </c>
      <c r="D32" s="196"/>
      <c r="E32" s="196"/>
      <c r="F32" s="196"/>
      <c r="G32" s="496"/>
      <c r="H32" s="673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45"/>
      <c r="M32" s="504" t="e">
        <f>RANK(K32, K$7:$K$36)</f>
        <v>#VALUE!</v>
      </c>
      <c r="N32" s="663"/>
      <c r="O32" s="663"/>
      <c r="P32" s="524"/>
      <c r="Q32" s="477"/>
      <c r="R32" s="477"/>
      <c r="S32" s="523" t="e">
        <f t="shared" si="3"/>
        <v>#N/A</v>
      </c>
      <c r="T32" s="685"/>
      <c r="U32" s="524"/>
      <c r="V32" s="477"/>
      <c r="W32" s="477"/>
      <c r="X32" s="523" t="e">
        <f t="shared" si="4"/>
        <v>#N/A</v>
      </c>
      <c r="Y32" s="685"/>
      <c r="Z32" s="524"/>
      <c r="AA32" s="477"/>
      <c r="AB32" s="477"/>
      <c r="AC32" s="523" t="e">
        <f t="shared" si="5"/>
        <v>#N/A</v>
      </c>
      <c r="AD32" s="685"/>
      <c r="AE32" s="524"/>
      <c r="AF32" s="477"/>
      <c r="AG32" s="477"/>
      <c r="AH32" s="523" t="e">
        <f t="shared" si="6"/>
        <v>#N/A</v>
      </c>
      <c r="AI32" s="685"/>
      <c r="AJ32" s="524"/>
      <c r="AK32" s="477"/>
      <c r="AL32" s="477"/>
      <c r="AM32" s="523" t="e">
        <f t="shared" si="7"/>
        <v>#N/A</v>
      </c>
      <c r="AN32" s="685"/>
      <c r="AO32" s="524"/>
      <c r="AP32" s="477"/>
      <c r="AQ32" s="477"/>
      <c r="AR32" s="523" t="e">
        <f t="shared" si="8"/>
        <v>#N/A</v>
      </c>
      <c r="AS32" s="685"/>
      <c r="AT32" s="524"/>
      <c r="AU32" s="477"/>
      <c r="AV32" s="477"/>
      <c r="AW32" s="523" t="e">
        <f t="shared" si="9"/>
        <v>#N/A</v>
      </c>
      <c r="AX32" s="685"/>
      <c r="AZ32" s="361" t="e">
        <f t="shared" si="10"/>
        <v>#N/A</v>
      </c>
      <c r="BA32" s="685"/>
    </row>
    <row r="33" spans="2:53">
      <c r="B33" s="692"/>
      <c r="C33" s="493">
        <v>27</v>
      </c>
      <c r="D33" s="196"/>
      <c r="E33" s="196"/>
      <c r="F33" s="196"/>
      <c r="G33" s="496"/>
      <c r="H33" s="673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45"/>
      <c r="M33" s="504" t="e">
        <f>RANK(K33, K$7:$K$36)</f>
        <v>#VALUE!</v>
      </c>
      <c r="N33" s="663"/>
      <c r="O33" s="663"/>
      <c r="P33" s="524"/>
      <c r="Q33" s="477"/>
      <c r="R33" s="477"/>
      <c r="S33" s="523" t="e">
        <f t="shared" si="3"/>
        <v>#N/A</v>
      </c>
      <c r="T33" s="685"/>
      <c r="U33" s="524"/>
      <c r="V33" s="477"/>
      <c r="W33" s="477"/>
      <c r="X33" s="523" t="e">
        <f t="shared" si="4"/>
        <v>#N/A</v>
      </c>
      <c r="Y33" s="685"/>
      <c r="Z33" s="524"/>
      <c r="AA33" s="477"/>
      <c r="AB33" s="477"/>
      <c r="AC33" s="523" t="e">
        <f t="shared" si="5"/>
        <v>#N/A</v>
      </c>
      <c r="AD33" s="685"/>
      <c r="AE33" s="524"/>
      <c r="AF33" s="477"/>
      <c r="AG33" s="477"/>
      <c r="AH33" s="523" t="e">
        <f t="shared" si="6"/>
        <v>#N/A</v>
      </c>
      <c r="AI33" s="685"/>
      <c r="AJ33" s="524"/>
      <c r="AK33" s="477"/>
      <c r="AL33" s="477"/>
      <c r="AM33" s="523" t="e">
        <f t="shared" si="7"/>
        <v>#N/A</v>
      </c>
      <c r="AN33" s="685"/>
      <c r="AO33" s="524"/>
      <c r="AP33" s="477"/>
      <c r="AQ33" s="477"/>
      <c r="AR33" s="523" t="e">
        <f t="shared" si="8"/>
        <v>#N/A</v>
      </c>
      <c r="AS33" s="685"/>
      <c r="AT33" s="524"/>
      <c r="AU33" s="477"/>
      <c r="AV33" s="477"/>
      <c r="AW33" s="523" t="e">
        <f t="shared" si="9"/>
        <v>#N/A</v>
      </c>
      <c r="AX33" s="685"/>
      <c r="AZ33" s="361" t="e">
        <f t="shared" si="10"/>
        <v>#N/A</v>
      </c>
      <c r="BA33" s="685"/>
    </row>
    <row r="34" spans="2:53">
      <c r="B34" s="692"/>
      <c r="C34" s="493">
        <v>28</v>
      </c>
      <c r="D34" s="196"/>
      <c r="E34" s="196"/>
      <c r="F34" s="196"/>
      <c r="G34" s="196"/>
      <c r="H34" s="673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45"/>
      <c r="M34" s="504" t="e">
        <f>RANK(K34, K$7:$K$36)</f>
        <v>#VALUE!</v>
      </c>
      <c r="N34" s="663"/>
      <c r="O34" s="663"/>
      <c r="P34" s="524"/>
      <c r="Q34" s="477"/>
      <c r="R34" s="477"/>
      <c r="S34" s="523" t="e">
        <f t="shared" si="3"/>
        <v>#N/A</v>
      </c>
      <c r="T34" s="685"/>
      <c r="U34" s="524"/>
      <c r="V34" s="477"/>
      <c r="W34" s="477"/>
      <c r="X34" s="523" t="e">
        <f t="shared" si="4"/>
        <v>#N/A</v>
      </c>
      <c r="Y34" s="685"/>
      <c r="Z34" s="524"/>
      <c r="AA34" s="477"/>
      <c r="AB34" s="477"/>
      <c r="AC34" s="523" t="e">
        <f t="shared" si="5"/>
        <v>#N/A</v>
      </c>
      <c r="AD34" s="685"/>
      <c r="AE34" s="524"/>
      <c r="AF34" s="477"/>
      <c r="AG34" s="477"/>
      <c r="AH34" s="523" t="e">
        <f t="shared" si="6"/>
        <v>#N/A</v>
      </c>
      <c r="AI34" s="685"/>
      <c r="AJ34" s="524"/>
      <c r="AK34" s="477"/>
      <c r="AL34" s="477"/>
      <c r="AM34" s="523" t="e">
        <f t="shared" si="7"/>
        <v>#N/A</v>
      </c>
      <c r="AN34" s="685"/>
      <c r="AO34" s="524"/>
      <c r="AP34" s="477"/>
      <c r="AQ34" s="477"/>
      <c r="AR34" s="523" t="e">
        <f t="shared" si="8"/>
        <v>#N/A</v>
      </c>
      <c r="AS34" s="685"/>
      <c r="AT34" s="524"/>
      <c r="AU34" s="477"/>
      <c r="AV34" s="477"/>
      <c r="AW34" s="523" t="e">
        <f t="shared" si="9"/>
        <v>#N/A</v>
      </c>
      <c r="AX34" s="685"/>
      <c r="AZ34" s="361" t="e">
        <f t="shared" si="10"/>
        <v>#N/A</v>
      </c>
      <c r="BA34" s="685"/>
    </row>
    <row r="35" spans="2:53">
      <c r="B35" s="692"/>
      <c r="C35" s="493">
        <v>29</v>
      </c>
      <c r="D35" s="196"/>
      <c r="E35" s="196"/>
      <c r="F35" s="196"/>
      <c r="G35" s="196"/>
      <c r="H35" s="673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45"/>
      <c r="M35" s="504" t="e">
        <f>RANK(K35, K$7:$K$36)</f>
        <v>#VALUE!</v>
      </c>
      <c r="N35" s="663"/>
      <c r="O35" s="663"/>
      <c r="P35" s="524"/>
      <c r="Q35" s="477"/>
      <c r="R35" s="477"/>
      <c r="S35" s="523" t="e">
        <f t="shared" si="3"/>
        <v>#N/A</v>
      </c>
      <c r="T35" s="685"/>
      <c r="U35" s="524"/>
      <c r="V35" s="477"/>
      <c r="W35" s="477"/>
      <c r="X35" s="523" t="e">
        <f t="shared" si="4"/>
        <v>#N/A</v>
      </c>
      <c r="Y35" s="685"/>
      <c r="Z35" s="524"/>
      <c r="AA35" s="477"/>
      <c r="AB35" s="477"/>
      <c r="AC35" s="523" t="e">
        <f t="shared" si="5"/>
        <v>#N/A</v>
      </c>
      <c r="AD35" s="685"/>
      <c r="AE35" s="524"/>
      <c r="AF35" s="477"/>
      <c r="AG35" s="477"/>
      <c r="AH35" s="523" t="e">
        <f t="shared" si="6"/>
        <v>#N/A</v>
      </c>
      <c r="AI35" s="685"/>
      <c r="AJ35" s="524"/>
      <c r="AK35" s="477"/>
      <c r="AL35" s="477"/>
      <c r="AM35" s="523" t="e">
        <f t="shared" si="7"/>
        <v>#N/A</v>
      </c>
      <c r="AN35" s="685"/>
      <c r="AO35" s="524"/>
      <c r="AP35" s="477"/>
      <c r="AQ35" s="477"/>
      <c r="AR35" s="523" t="e">
        <f t="shared" si="8"/>
        <v>#N/A</v>
      </c>
      <c r="AS35" s="685"/>
      <c r="AT35" s="524"/>
      <c r="AU35" s="477"/>
      <c r="AV35" s="477"/>
      <c r="AW35" s="523" t="e">
        <f t="shared" si="9"/>
        <v>#N/A</v>
      </c>
      <c r="AX35" s="685"/>
      <c r="AZ35" s="361" t="e">
        <f t="shared" si="10"/>
        <v>#N/A</v>
      </c>
      <c r="BA35" s="685"/>
    </row>
    <row r="36" spans="2:53">
      <c r="B36" s="692"/>
      <c r="C36" s="493">
        <v>30</v>
      </c>
      <c r="D36" s="196"/>
      <c r="E36" s="196"/>
      <c r="F36" s="196"/>
      <c r="G36" s="196"/>
      <c r="H36" s="674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46"/>
      <c r="M36" s="504" t="e">
        <f>RANK(K36, K$7:$K$36)</f>
        <v>#VALUE!</v>
      </c>
      <c r="N36" s="663"/>
      <c r="O36" s="663"/>
      <c r="P36" s="524"/>
      <c r="Q36" s="477"/>
      <c r="R36" s="477"/>
      <c r="S36" s="523" t="e">
        <f t="shared" si="3"/>
        <v>#N/A</v>
      </c>
      <c r="T36" s="685"/>
      <c r="U36" s="524"/>
      <c r="V36" s="477"/>
      <c r="W36" s="477"/>
      <c r="X36" s="523" t="e">
        <f t="shared" si="4"/>
        <v>#N/A</v>
      </c>
      <c r="Y36" s="685"/>
      <c r="Z36" s="524"/>
      <c r="AA36" s="477"/>
      <c r="AB36" s="477"/>
      <c r="AC36" s="523" t="e">
        <f t="shared" si="5"/>
        <v>#N/A</v>
      </c>
      <c r="AD36" s="685"/>
      <c r="AE36" s="524"/>
      <c r="AF36" s="477"/>
      <c r="AG36" s="477"/>
      <c r="AH36" s="523" t="e">
        <f t="shared" si="6"/>
        <v>#N/A</v>
      </c>
      <c r="AI36" s="685"/>
      <c r="AJ36" s="524"/>
      <c r="AK36" s="477"/>
      <c r="AL36" s="477"/>
      <c r="AM36" s="523" t="e">
        <f t="shared" si="7"/>
        <v>#N/A</v>
      </c>
      <c r="AN36" s="685"/>
      <c r="AO36" s="524"/>
      <c r="AP36" s="477"/>
      <c r="AQ36" s="477"/>
      <c r="AR36" s="523" t="e">
        <f t="shared" si="8"/>
        <v>#N/A</v>
      </c>
      <c r="AS36" s="685"/>
      <c r="AT36" s="524"/>
      <c r="AU36" s="477"/>
      <c r="AV36" s="477"/>
      <c r="AW36" s="523" t="e">
        <f t="shared" si="9"/>
        <v>#N/A</v>
      </c>
      <c r="AX36" s="685"/>
      <c r="AZ36" s="361" t="e">
        <f t="shared" si="10"/>
        <v>#N/A</v>
      </c>
      <c r="BA36" s="685"/>
    </row>
    <row r="37" spans="2:53" ht="15.75">
      <c r="B37" s="689" t="s">
        <v>162</v>
      </c>
      <c r="C37" s="690"/>
      <c r="D37" s="690"/>
      <c r="E37" s="690"/>
      <c r="F37" s="690"/>
      <c r="G37" s="690"/>
      <c r="H37" s="690"/>
      <c r="I37" s="197"/>
      <c r="J37" s="197"/>
      <c r="K37" s="197"/>
      <c r="L37" s="197"/>
      <c r="M37" s="198"/>
      <c r="N37" s="664" t="s">
        <v>156</v>
      </c>
      <c r="O37" s="664" t="s">
        <v>155</v>
      </c>
      <c r="P37" s="670">
        <f>P2+7</f>
        <v>46273</v>
      </c>
      <c r="Q37" s="671"/>
      <c r="R37" s="671"/>
      <c r="S37" s="671"/>
      <c r="T37" s="671"/>
      <c r="U37" s="670">
        <f>P37+1</f>
        <v>46274</v>
      </c>
      <c r="V37" s="671"/>
      <c r="W37" s="671"/>
      <c r="X37" s="671"/>
      <c r="Y37" s="671"/>
      <c r="Z37" s="670">
        <f>U37+1</f>
        <v>46275</v>
      </c>
      <c r="AA37" s="671"/>
      <c r="AB37" s="671"/>
      <c r="AC37" s="671"/>
      <c r="AD37" s="671"/>
      <c r="AE37" s="670">
        <f>Z37+1</f>
        <v>46276</v>
      </c>
      <c r="AF37" s="671"/>
      <c r="AG37" s="671"/>
      <c r="AH37" s="671"/>
      <c r="AI37" s="671"/>
      <c r="AJ37" s="670">
        <f>AE37+1</f>
        <v>46277</v>
      </c>
      <c r="AK37" s="671"/>
      <c r="AL37" s="671"/>
      <c r="AM37" s="671"/>
      <c r="AN37" s="671"/>
      <c r="AO37" s="670">
        <f>AJ37+1</f>
        <v>46278</v>
      </c>
      <c r="AP37" s="671"/>
      <c r="AQ37" s="671"/>
      <c r="AR37" s="671"/>
      <c r="AS37" s="671"/>
      <c r="AT37" s="670">
        <f>AO37+1</f>
        <v>46279</v>
      </c>
      <c r="AU37" s="671"/>
      <c r="AV37" s="671"/>
      <c r="AW37" s="671"/>
      <c r="AX37" s="671"/>
    </row>
    <row r="38" spans="2:53" ht="15.75">
      <c r="B38" s="678"/>
      <c r="C38" s="678"/>
      <c r="D38" s="678"/>
      <c r="E38" s="678"/>
      <c r="F38" s="678"/>
      <c r="G38" s="678"/>
      <c r="H38" s="678"/>
      <c r="I38" s="199"/>
      <c r="J38" s="199"/>
      <c r="K38" s="199"/>
      <c r="L38" s="199"/>
      <c r="M38" s="200"/>
      <c r="N38" s="666"/>
      <c r="O38" s="666"/>
      <c r="P38" s="670" t="s">
        <v>317</v>
      </c>
      <c r="Q38" s="671"/>
      <c r="R38" s="671"/>
      <c r="S38" s="671"/>
      <c r="T38" s="671"/>
      <c r="U38" s="670" t="s">
        <v>318</v>
      </c>
      <c r="V38" s="671"/>
      <c r="W38" s="671"/>
      <c r="X38" s="671"/>
      <c r="Y38" s="671"/>
      <c r="Z38" s="670" t="s">
        <v>319</v>
      </c>
      <c r="AA38" s="671"/>
      <c r="AB38" s="671"/>
      <c r="AC38" s="671"/>
      <c r="AD38" s="671"/>
      <c r="AE38" s="670" t="s">
        <v>320</v>
      </c>
      <c r="AF38" s="671"/>
      <c r="AG38" s="671"/>
      <c r="AH38" s="671"/>
      <c r="AI38" s="671"/>
      <c r="AJ38" s="670" t="s">
        <v>321</v>
      </c>
      <c r="AK38" s="671"/>
      <c r="AL38" s="671"/>
      <c r="AM38" s="671"/>
      <c r="AN38" s="671"/>
      <c r="AO38" s="670" t="s">
        <v>322</v>
      </c>
      <c r="AP38" s="671"/>
      <c r="AQ38" s="671"/>
      <c r="AR38" s="671"/>
      <c r="AS38" s="671"/>
      <c r="AT38" s="670" t="s">
        <v>323</v>
      </c>
      <c r="AU38" s="671"/>
      <c r="AV38" s="671"/>
      <c r="AW38" s="671"/>
      <c r="AX38" s="671"/>
    </row>
    <row r="39" spans="2:53">
      <c r="B39" s="664" t="s">
        <v>422</v>
      </c>
      <c r="C39" s="679" t="s">
        <v>423</v>
      </c>
      <c r="D39" s="682"/>
      <c r="E39" s="660" t="s">
        <v>424</v>
      </c>
      <c r="F39" s="661"/>
      <c r="G39" s="662"/>
      <c r="H39" s="664" t="s">
        <v>359</v>
      </c>
      <c r="I39" s="651" t="s">
        <v>364</v>
      </c>
      <c r="J39" s="652"/>
      <c r="K39" s="653"/>
      <c r="L39" s="654" t="s">
        <v>359</v>
      </c>
      <c r="M39" s="654" t="s">
        <v>360</v>
      </c>
      <c r="N39" s="664"/>
      <c r="O39" s="664" t="s">
        <v>425</v>
      </c>
      <c r="P39" s="660" t="s">
        <v>426</v>
      </c>
      <c r="Q39" s="661"/>
      <c r="R39" s="661"/>
      <c r="S39" s="662"/>
      <c r="T39" s="664" t="s">
        <v>359</v>
      </c>
      <c r="U39" s="660" t="s">
        <v>361</v>
      </c>
      <c r="V39" s="661"/>
      <c r="W39" s="661"/>
      <c r="X39" s="662"/>
      <c r="Y39" s="664" t="s">
        <v>359</v>
      </c>
      <c r="Z39" s="660" t="s">
        <v>361</v>
      </c>
      <c r="AA39" s="661"/>
      <c r="AB39" s="661"/>
      <c r="AC39" s="662"/>
      <c r="AD39" s="664" t="s">
        <v>427</v>
      </c>
      <c r="AE39" s="660" t="s">
        <v>361</v>
      </c>
      <c r="AF39" s="661"/>
      <c r="AG39" s="661"/>
      <c r="AH39" s="662"/>
      <c r="AI39" s="664" t="s">
        <v>359</v>
      </c>
      <c r="AJ39" s="660" t="s">
        <v>361</v>
      </c>
      <c r="AK39" s="661"/>
      <c r="AL39" s="661"/>
      <c r="AM39" s="662"/>
      <c r="AN39" s="664" t="s">
        <v>427</v>
      </c>
      <c r="AO39" s="660" t="s">
        <v>426</v>
      </c>
      <c r="AP39" s="661"/>
      <c r="AQ39" s="661"/>
      <c r="AR39" s="662"/>
      <c r="AS39" s="664" t="s">
        <v>427</v>
      </c>
      <c r="AT39" s="660" t="s">
        <v>426</v>
      </c>
      <c r="AU39" s="661"/>
      <c r="AV39" s="661"/>
      <c r="AW39" s="662"/>
      <c r="AX39" s="664" t="s">
        <v>427</v>
      </c>
      <c r="BA39" s="664" t="s">
        <v>359</v>
      </c>
    </row>
    <row r="40" spans="2:53">
      <c r="B40" s="665"/>
      <c r="C40" s="680"/>
      <c r="D40" s="683"/>
      <c r="E40" s="660" t="s">
        <v>366</v>
      </c>
      <c r="F40" s="661"/>
      <c r="G40" s="662"/>
      <c r="H40" s="665"/>
      <c r="I40" s="651" t="s">
        <v>366</v>
      </c>
      <c r="J40" s="652"/>
      <c r="K40" s="653"/>
      <c r="L40" s="655"/>
      <c r="M40" s="655"/>
      <c r="N40" s="665"/>
      <c r="O40" s="665"/>
      <c r="P40" s="660" t="s">
        <v>367</v>
      </c>
      <c r="Q40" s="661"/>
      <c r="R40" s="661"/>
      <c r="S40" s="662"/>
      <c r="T40" s="665"/>
      <c r="U40" s="660" t="s">
        <v>428</v>
      </c>
      <c r="V40" s="661"/>
      <c r="W40" s="661"/>
      <c r="X40" s="662"/>
      <c r="Y40" s="665"/>
      <c r="Z40" s="660" t="s">
        <v>428</v>
      </c>
      <c r="AA40" s="661"/>
      <c r="AB40" s="661"/>
      <c r="AC40" s="662"/>
      <c r="AD40" s="665"/>
      <c r="AE40" s="660" t="s">
        <v>367</v>
      </c>
      <c r="AF40" s="661"/>
      <c r="AG40" s="661"/>
      <c r="AH40" s="662"/>
      <c r="AI40" s="665"/>
      <c r="AJ40" s="660" t="s">
        <v>367</v>
      </c>
      <c r="AK40" s="661"/>
      <c r="AL40" s="661"/>
      <c r="AM40" s="662"/>
      <c r="AN40" s="665"/>
      <c r="AO40" s="660" t="s">
        <v>367</v>
      </c>
      <c r="AP40" s="661"/>
      <c r="AQ40" s="661"/>
      <c r="AR40" s="662"/>
      <c r="AS40" s="665"/>
      <c r="AT40" s="660" t="s">
        <v>367</v>
      </c>
      <c r="AU40" s="661"/>
      <c r="AV40" s="661"/>
      <c r="AW40" s="662"/>
      <c r="AX40" s="665"/>
      <c r="BA40" s="665"/>
    </row>
    <row r="41" spans="2:53">
      <c r="B41" s="666"/>
      <c r="C41" s="681"/>
      <c r="D41" s="684"/>
      <c r="E41" s="283" t="s">
        <v>368</v>
      </c>
      <c r="F41" s="283" t="s">
        <v>369</v>
      </c>
      <c r="G41" s="283" t="s">
        <v>429</v>
      </c>
      <c r="H41" s="666"/>
      <c r="I41" s="282" t="s">
        <v>368</v>
      </c>
      <c r="J41" s="282" t="s">
        <v>369</v>
      </c>
      <c r="K41" s="282" t="s">
        <v>370</v>
      </c>
      <c r="L41" s="656"/>
      <c r="M41" s="656"/>
      <c r="N41" s="665"/>
      <c r="O41" s="665"/>
      <c r="P41" s="283" t="s">
        <v>368</v>
      </c>
      <c r="Q41" s="283" t="s">
        <v>430</v>
      </c>
      <c r="R41" s="283" t="s">
        <v>370</v>
      </c>
      <c r="S41" s="283" t="s">
        <v>360</v>
      </c>
      <c r="T41" s="666"/>
      <c r="U41" s="283" t="s">
        <v>368</v>
      </c>
      <c r="V41" s="283" t="s">
        <v>369</v>
      </c>
      <c r="W41" s="283" t="s">
        <v>370</v>
      </c>
      <c r="X41" s="283" t="s">
        <v>431</v>
      </c>
      <c r="Y41" s="666"/>
      <c r="Z41" s="283" t="s">
        <v>432</v>
      </c>
      <c r="AA41" s="283" t="s">
        <v>369</v>
      </c>
      <c r="AB41" s="283" t="s">
        <v>370</v>
      </c>
      <c r="AC41" s="283" t="s">
        <v>431</v>
      </c>
      <c r="AD41" s="666"/>
      <c r="AE41" s="283" t="s">
        <v>368</v>
      </c>
      <c r="AF41" s="283" t="s">
        <v>369</v>
      </c>
      <c r="AG41" s="283" t="s">
        <v>370</v>
      </c>
      <c r="AH41" s="283" t="s">
        <v>431</v>
      </c>
      <c r="AI41" s="666"/>
      <c r="AJ41" s="283" t="s">
        <v>432</v>
      </c>
      <c r="AK41" s="283" t="s">
        <v>369</v>
      </c>
      <c r="AL41" s="283" t="s">
        <v>370</v>
      </c>
      <c r="AM41" s="283" t="s">
        <v>360</v>
      </c>
      <c r="AN41" s="666"/>
      <c r="AO41" s="283" t="s">
        <v>432</v>
      </c>
      <c r="AP41" s="283" t="s">
        <v>369</v>
      </c>
      <c r="AQ41" s="283" t="s">
        <v>370</v>
      </c>
      <c r="AR41" s="283" t="s">
        <v>431</v>
      </c>
      <c r="AS41" s="666"/>
      <c r="AT41" s="283" t="s">
        <v>432</v>
      </c>
      <c r="AU41" s="283" t="s">
        <v>369</v>
      </c>
      <c r="AV41" s="283" t="s">
        <v>370</v>
      </c>
      <c r="AW41" s="283" t="s">
        <v>431</v>
      </c>
      <c r="AX41" s="666"/>
      <c r="AZ41" s="362" t="s">
        <v>360</v>
      </c>
      <c r="BA41" s="666"/>
    </row>
    <row r="42" spans="2:53">
      <c r="B42" s="686" t="s">
        <v>150</v>
      </c>
      <c r="C42" s="284">
        <v>1</v>
      </c>
      <c r="D42" s="196" t="s">
        <v>333</v>
      </c>
      <c r="E42" s="196">
        <v>3</v>
      </c>
      <c r="F42" s="196">
        <v>3200</v>
      </c>
      <c r="G42" s="496">
        <v>1066.6666666666667</v>
      </c>
      <c r="H42" s="672">
        <f>AVERAGE(G42:G71)</f>
        <v>834.89583333333314</v>
      </c>
      <c r="I42" s="352">
        <f>IFERROR(AVERAGE(P42,U42,Z42,AE42,AJ42,AO42,AT42),"-")</f>
        <v>3</v>
      </c>
      <c r="J42" s="352">
        <f>IFERROR(AVERAGE(Q42,V42,AA42,AF42,AK42,AP42,AU42),"-")</f>
        <v>3184.9914238690367</v>
      </c>
      <c r="K42" s="194">
        <f>IFERROR(AVERAGE(R42,W42,AB42,AG42,AL42,AQ42,AV42),"-")</f>
        <v>1061.6638079563454</v>
      </c>
      <c r="L42" s="644">
        <f>IFERROR(AVERAGE(K42:K71),"-")</f>
        <v>850.15179928319549</v>
      </c>
      <c r="M42" s="193">
        <f>RANK(K42, K$42:$K$71)</f>
        <v>3</v>
      </c>
      <c r="N42" s="665"/>
      <c r="O42" s="665"/>
      <c r="P42" s="541">
        <v>3</v>
      </c>
      <c r="Q42" s="542">
        <v>3184.8837209302337</v>
      </c>
      <c r="R42" s="542">
        <v>1061.6279069767445</v>
      </c>
      <c r="S42" s="541">
        <f t="shared" ref="S42:S71" si="11">RANK(R42, R$42:R$71)</f>
        <v>3</v>
      </c>
      <c r="T42" s="672">
        <f t="shared" ref="T42" si="12">AVERAGE(R42:R71)</f>
        <v>857.97261033875657</v>
      </c>
      <c r="U42" s="541">
        <v>3</v>
      </c>
      <c r="V42" s="542">
        <v>3230.25</v>
      </c>
      <c r="W42" s="542">
        <v>1076.75</v>
      </c>
      <c r="X42" s="541">
        <f t="shared" ref="X42:X71" si="13">RANK(W42, W$42:W$71)</f>
        <v>7</v>
      </c>
      <c r="Y42" s="672">
        <f t="shared" ref="Y42" si="14">AVERAGE(W42:W71)</f>
        <v>873.36997568634933</v>
      </c>
      <c r="Z42" s="541">
        <v>3</v>
      </c>
      <c r="AA42" s="542">
        <v>3171.6455696202529</v>
      </c>
      <c r="AB42" s="542">
        <v>1057.2151898734176</v>
      </c>
      <c r="AC42" s="541">
        <f t="shared" ref="AC42:AC71" si="15">RANK(AB42, AB$42:AB$71)</f>
        <v>4</v>
      </c>
      <c r="AD42" s="672">
        <f t="shared" ref="AD42" si="16">AVERAGE(AB42:AB71)</f>
        <v>847.85459270961019</v>
      </c>
      <c r="AE42" s="541">
        <v>3</v>
      </c>
      <c r="AF42" s="542">
        <v>3184.5454545454527</v>
      </c>
      <c r="AG42" s="542">
        <v>1061.5151515151508</v>
      </c>
      <c r="AH42" s="541">
        <f t="shared" ref="AH42:AH71" si="17">RANK(AG42, AG$42:AG$71)</f>
        <v>3</v>
      </c>
      <c r="AI42" s="672">
        <f t="shared" ref="AI42" si="18">AVERAGE(AG42:AG71)</f>
        <v>840.08203058494064</v>
      </c>
      <c r="AJ42" s="541">
        <v>3</v>
      </c>
      <c r="AK42" s="542">
        <v>3154.5454545454527</v>
      </c>
      <c r="AL42" s="542">
        <v>1051.5151515151508</v>
      </c>
      <c r="AM42" s="541">
        <f t="shared" ref="AM42:AM71" si="19">RANK(AL42, AL$42:AL$71)</f>
        <v>6</v>
      </c>
      <c r="AN42" s="672">
        <f t="shared" ref="AN42" si="20">AVERAGE(AL42:AL71)</f>
        <v>851.58674848535236</v>
      </c>
      <c r="AO42" s="541">
        <v>3</v>
      </c>
      <c r="AP42" s="542">
        <v>3182.0930232558153</v>
      </c>
      <c r="AQ42" s="542">
        <v>1060.6976744186052</v>
      </c>
      <c r="AR42" s="541">
        <f t="shared" ref="AR42:AR71" si="21">RANK(AQ42, AQ$42:AQ$71)</f>
        <v>2</v>
      </c>
      <c r="AS42" s="672">
        <f t="shared" ref="AS42" si="22">AVERAGE(AQ42:AQ71)</f>
        <v>835.73825489191211</v>
      </c>
      <c r="AT42" s="541">
        <v>3</v>
      </c>
      <c r="AU42" s="542">
        <v>3186.9767441860477</v>
      </c>
      <c r="AV42" s="542">
        <v>1062.3255813953492</v>
      </c>
      <c r="AW42" s="541">
        <f t="shared" ref="AW42:AW71" si="23">RANK(AV42, AV$42:AV$71)</f>
        <v>2</v>
      </c>
      <c r="AX42" s="672">
        <f t="shared" ref="AX42" si="24">AVERAGE(AV42:AV71)</f>
        <v>856.21826583672532</v>
      </c>
      <c r="AZ42" s="361" t="e">
        <f t="shared" ref="AZ42:AZ71" si="25">RANK(AY42, AY$42:AY$71)</f>
        <v>#N/A</v>
      </c>
      <c r="BA42" s="672" t="e">
        <f t="shared" ref="BA42" si="26">AVERAGE(AY42:AY71)</f>
        <v>#DIV/0!</v>
      </c>
    </row>
    <row r="43" spans="2:53">
      <c r="B43" s="687"/>
      <c r="C43" s="284">
        <v>2</v>
      </c>
      <c r="D43" s="491" t="s">
        <v>334</v>
      </c>
      <c r="E43" s="196">
        <v>3</v>
      </c>
      <c r="F43" s="196">
        <v>3200</v>
      </c>
      <c r="G43" s="496">
        <v>1066.6666666666667</v>
      </c>
      <c r="H43" s="673"/>
      <c r="I43" s="352">
        <f t="shared" ref="I43:I71" si="27">IFERROR(AVERAGE(P43,U43,Z43,AE43,AJ43,AO43,AT43),"-")</f>
        <v>3</v>
      </c>
      <c r="J43" s="352">
        <f t="shared" ref="J43:J71" si="28">IFERROR(AVERAGE(Q43,V43,AA43,AF43,AK43,AP43,AU43),"-")</f>
        <v>3135.4545454545482</v>
      </c>
      <c r="K43" s="194">
        <f t="shared" ref="K43:K71" si="29">IFERROR(AVERAGE(R43,W43,AB43,AG43,AL43,AQ43,AV43),"-")</f>
        <v>1045.1515151515162</v>
      </c>
      <c r="L43" s="645"/>
      <c r="M43" s="193">
        <f>RANK(K43, K$42:$K$71)</f>
        <v>7</v>
      </c>
      <c r="N43" s="665"/>
      <c r="O43" s="665"/>
      <c r="P43" s="541">
        <v>3</v>
      </c>
      <c r="Q43" s="542">
        <v>3108.5714285714275</v>
      </c>
      <c r="R43" s="542">
        <v>1036.1904761904759</v>
      </c>
      <c r="S43" s="541">
        <f t="shared" si="11"/>
        <v>9</v>
      </c>
      <c r="T43" s="673"/>
      <c r="U43" s="541">
        <v>3</v>
      </c>
      <c r="V43" s="542">
        <v>3231.000000000005</v>
      </c>
      <c r="W43" s="542">
        <v>1077.0000000000016</v>
      </c>
      <c r="X43" s="541">
        <f t="shared" si="13"/>
        <v>6</v>
      </c>
      <c r="Y43" s="673"/>
      <c r="Z43" s="541">
        <v>3</v>
      </c>
      <c r="AA43" s="542">
        <v>3092.9999999999991</v>
      </c>
      <c r="AB43" s="542">
        <v>1030.9999999999998</v>
      </c>
      <c r="AC43" s="541">
        <f t="shared" si="15"/>
        <v>7</v>
      </c>
      <c r="AD43" s="673"/>
      <c r="AE43" s="541">
        <v>3</v>
      </c>
      <c r="AF43" s="542">
        <v>3120.0000000000036</v>
      </c>
      <c r="AG43" s="542">
        <v>1040.0000000000011</v>
      </c>
      <c r="AH43" s="541">
        <f t="shared" si="17"/>
        <v>7</v>
      </c>
      <c r="AI43" s="673"/>
      <c r="AJ43" s="541">
        <v>3</v>
      </c>
      <c r="AK43" s="542">
        <v>3196.0000000000027</v>
      </c>
      <c r="AL43" s="542">
        <v>1065.3333333333342</v>
      </c>
      <c r="AM43" s="541">
        <f t="shared" si="19"/>
        <v>2</v>
      </c>
      <c r="AN43" s="673"/>
      <c r="AO43" s="541">
        <v>3</v>
      </c>
      <c r="AP43" s="542">
        <v>3068.1818181818235</v>
      </c>
      <c r="AQ43" s="542">
        <v>1022.7272727272745</v>
      </c>
      <c r="AR43" s="541">
        <f t="shared" si="21"/>
        <v>6</v>
      </c>
      <c r="AS43" s="673"/>
      <c r="AT43" s="541">
        <v>3</v>
      </c>
      <c r="AU43" s="542">
        <v>3131.428571428577</v>
      </c>
      <c r="AV43" s="542">
        <v>1043.8095238095257</v>
      </c>
      <c r="AW43" s="541">
        <f t="shared" si="23"/>
        <v>6</v>
      </c>
      <c r="AX43" s="673"/>
      <c r="AZ43" s="361" t="e">
        <f t="shared" si="25"/>
        <v>#N/A</v>
      </c>
      <c r="BA43" s="673"/>
    </row>
    <row r="44" spans="2:53">
      <c r="B44" s="687"/>
      <c r="C44" s="284">
        <v>3</v>
      </c>
      <c r="D44" s="196" t="s">
        <v>712</v>
      </c>
      <c r="E44" s="196">
        <v>4</v>
      </c>
      <c r="F44" s="196">
        <v>3200</v>
      </c>
      <c r="G44" s="496">
        <v>800</v>
      </c>
      <c r="H44" s="673"/>
      <c r="I44" s="352">
        <f t="shared" si="27"/>
        <v>4</v>
      </c>
      <c r="J44" s="352">
        <f t="shared" si="28"/>
        <v>3168.2030715734586</v>
      </c>
      <c r="K44" s="194">
        <f t="shared" si="29"/>
        <v>792.05076789336465</v>
      </c>
      <c r="L44" s="645"/>
      <c r="M44" s="193">
        <f>RANK(K44, K$42:$K$71)</f>
        <v>15</v>
      </c>
      <c r="N44" s="665"/>
      <c r="O44" s="665"/>
      <c r="P44" s="541">
        <v>4</v>
      </c>
      <c r="Q44" s="542">
        <v>3157.0588235294153</v>
      </c>
      <c r="R44" s="542">
        <v>789.26470588235384</v>
      </c>
      <c r="S44" s="541">
        <f t="shared" si="11"/>
        <v>18</v>
      </c>
      <c r="T44" s="673"/>
      <c r="U44" s="541">
        <v>4</v>
      </c>
      <c r="V44" s="542">
        <v>3221.3793103448256</v>
      </c>
      <c r="W44" s="542">
        <v>805.34482758620641</v>
      </c>
      <c r="X44" s="541">
        <f t="shared" si="13"/>
        <v>13</v>
      </c>
      <c r="Y44" s="673"/>
      <c r="Z44" s="541">
        <v>4</v>
      </c>
      <c r="AA44" s="542">
        <v>3186.2068965517265</v>
      </c>
      <c r="AB44" s="542">
        <v>796.55172413793161</v>
      </c>
      <c r="AC44" s="541">
        <f t="shared" si="15"/>
        <v>13</v>
      </c>
      <c r="AD44" s="673"/>
      <c r="AE44" s="541">
        <v>4</v>
      </c>
      <c r="AF44" s="542">
        <v>3141.6000000000063</v>
      </c>
      <c r="AG44" s="542">
        <v>785.40000000000157</v>
      </c>
      <c r="AH44" s="541">
        <f t="shared" si="17"/>
        <v>16</v>
      </c>
      <c r="AI44" s="673"/>
      <c r="AJ44" s="541">
        <v>4</v>
      </c>
      <c r="AK44" s="542">
        <v>3127.8260869565165</v>
      </c>
      <c r="AL44" s="542">
        <v>781.95652173912913</v>
      </c>
      <c r="AM44" s="541">
        <f t="shared" si="19"/>
        <v>16</v>
      </c>
      <c r="AN44" s="673"/>
      <c r="AO44" s="541">
        <v>4</v>
      </c>
      <c r="AP44" s="542">
        <v>3111.1764705882392</v>
      </c>
      <c r="AQ44" s="542">
        <v>777.79411764705981</v>
      </c>
      <c r="AR44" s="541">
        <f t="shared" si="21"/>
        <v>17</v>
      </c>
      <c r="AS44" s="673"/>
      <c r="AT44" s="541">
        <v>4</v>
      </c>
      <c r="AU44" s="542">
        <v>3232.1739130434844</v>
      </c>
      <c r="AV44" s="542">
        <v>808.0434782608711</v>
      </c>
      <c r="AW44" s="541">
        <f t="shared" si="23"/>
        <v>13</v>
      </c>
      <c r="AX44" s="673"/>
      <c r="AZ44" s="361" t="e">
        <f t="shared" si="25"/>
        <v>#N/A</v>
      </c>
      <c r="BA44" s="673"/>
    </row>
    <row r="45" spans="2:53">
      <c r="B45" s="687"/>
      <c r="C45" s="284">
        <v>4</v>
      </c>
      <c r="D45" s="196" t="s">
        <v>713</v>
      </c>
      <c r="E45" s="196">
        <v>3</v>
      </c>
      <c r="F45" s="196">
        <v>3200</v>
      </c>
      <c r="G45" s="496">
        <v>1066.6666666666667</v>
      </c>
      <c r="H45" s="673"/>
      <c r="I45" s="352">
        <f t="shared" si="27"/>
        <v>3</v>
      </c>
      <c r="J45" s="352">
        <f t="shared" si="28"/>
        <v>3291.1187962046656</v>
      </c>
      <c r="K45" s="194">
        <f t="shared" si="29"/>
        <v>1097.0395987348888</v>
      </c>
      <c r="L45" s="645"/>
      <c r="M45" s="193">
        <f>RANK(K45, K$42:$K$71)</f>
        <v>1</v>
      </c>
      <c r="N45" s="665"/>
      <c r="O45" s="665"/>
      <c r="P45" s="541">
        <v>3</v>
      </c>
      <c r="Q45" s="542">
        <v>3184.761904761906</v>
      </c>
      <c r="R45" s="542">
        <v>1061.5873015873019</v>
      </c>
      <c r="S45" s="541">
        <f t="shared" si="11"/>
        <v>4</v>
      </c>
      <c r="T45" s="673"/>
      <c r="U45" s="541">
        <v>3</v>
      </c>
      <c r="V45" s="542">
        <v>3272.0000000000009</v>
      </c>
      <c r="W45" s="542">
        <v>1090.666666666667</v>
      </c>
      <c r="X45" s="541">
        <f t="shared" si="13"/>
        <v>2</v>
      </c>
      <c r="Y45" s="673"/>
      <c r="Z45" s="541">
        <v>3</v>
      </c>
      <c r="AA45" s="542">
        <v>3190.9090909090896</v>
      </c>
      <c r="AB45" s="542">
        <v>1063.6363636363633</v>
      </c>
      <c r="AC45" s="541">
        <f t="shared" si="15"/>
        <v>2</v>
      </c>
      <c r="AD45" s="673"/>
      <c r="AE45" s="541">
        <v>3</v>
      </c>
      <c r="AF45" s="542">
        <v>3193.2000000000007</v>
      </c>
      <c r="AG45" s="542">
        <v>1064.4000000000003</v>
      </c>
      <c r="AH45" s="541">
        <f t="shared" si="17"/>
        <v>2</v>
      </c>
      <c r="AI45" s="673"/>
      <c r="AJ45" s="541">
        <v>3</v>
      </c>
      <c r="AK45" s="542">
        <v>3812.926829268295</v>
      </c>
      <c r="AL45" s="542">
        <v>1270.9756097560983</v>
      </c>
      <c r="AM45" s="541">
        <f t="shared" si="19"/>
        <v>1</v>
      </c>
      <c r="AN45" s="673"/>
      <c r="AO45" s="541">
        <v>3</v>
      </c>
      <c r="AP45" s="542">
        <v>3188.2442748091603</v>
      </c>
      <c r="AQ45" s="542">
        <v>1062.7480916030534</v>
      </c>
      <c r="AR45" s="541">
        <f t="shared" si="21"/>
        <v>1</v>
      </c>
      <c r="AS45" s="673"/>
      <c r="AT45" s="541">
        <v>3</v>
      </c>
      <c r="AU45" s="542">
        <v>3195.7894736842104</v>
      </c>
      <c r="AV45" s="542">
        <v>1065.2631578947369</v>
      </c>
      <c r="AW45" s="541">
        <f t="shared" si="23"/>
        <v>1</v>
      </c>
      <c r="AX45" s="673"/>
      <c r="AZ45" s="361" t="e">
        <f t="shared" si="25"/>
        <v>#N/A</v>
      </c>
      <c r="BA45" s="673"/>
    </row>
    <row r="46" spans="2:53">
      <c r="B46" s="687"/>
      <c r="C46" s="284">
        <v>5</v>
      </c>
      <c r="D46" s="196" t="s">
        <v>714</v>
      </c>
      <c r="E46" s="196">
        <v>4</v>
      </c>
      <c r="F46" s="196">
        <v>3200</v>
      </c>
      <c r="G46" s="496">
        <v>800</v>
      </c>
      <c r="H46" s="673"/>
      <c r="I46" s="352">
        <f t="shared" si="27"/>
        <v>4</v>
      </c>
      <c r="J46" s="352">
        <f t="shared" si="28"/>
        <v>3155.7473489952149</v>
      </c>
      <c r="K46" s="194">
        <f t="shared" si="29"/>
        <v>788.93683724880373</v>
      </c>
      <c r="L46" s="645"/>
      <c r="M46" s="193">
        <f>RANK(K46, K$42:$K$71)</f>
        <v>16</v>
      </c>
      <c r="N46" s="665"/>
      <c r="O46" s="665"/>
      <c r="P46" s="541">
        <v>4</v>
      </c>
      <c r="Q46" s="542">
        <v>3188.8235294117685</v>
      </c>
      <c r="R46" s="542">
        <v>797.20588235294213</v>
      </c>
      <c r="S46" s="541">
        <f t="shared" si="11"/>
        <v>14</v>
      </c>
      <c r="T46" s="673"/>
      <c r="U46" s="541">
        <v>4</v>
      </c>
      <c r="V46" s="542">
        <v>3219.9999999999986</v>
      </c>
      <c r="W46" s="542">
        <v>804.99999999999966</v>
      </c>
      <c r="X46" s="541">
        <f t="shared" si="13"/>
        <v>14</v>
      </c>
      <c r="Y46" s="673"/>
      <c r="Z46" s="541">
        <v>4</v>
      </c>
      <c r="AA46" s="542">
        <v>3148.9655172413773</v>
      </c>
      <c r="AB46" s="542">
        <v>787.24137931034431</v>
      </c>
      <c r="AC46" s="541">
        <f t="shared" si="15"/>
        <v>16</v>
      </c>
      <c r="AD46" s="673"/>
      <c r="AE46" s="541">
        <v>4</v>
      </c>
      <c r="AF46" s="542">
        <v>3167.499999999995</v>
      </c>
      <c r="AG46" s="542">
        <v>791.87499999999875</v>
      </c>
      <c r="AH46" s="541">
        <f t="shared" si="17"/>
        <v>14</v>
      </c>
      <c r="AI46" s="673"/>
      <c r="AJ46" s="541">
        <v>4</v>
      </c>
      <c r="AK46" s="542">
        <v>3128.5714285714275</v>
      </c>
      <c r="AL46" s="542">
        <v>782.14285714285688</v>
      </c>
      <c r="AM46" s="541">
        <f t="shared" si="19"/>
        <v>15</v>
      </c>
      <c r="AN46" s="673"/>
      <c r="AO46" s="541">
        <v>4</v>
      </c>
      <c r="AP46" s="542">
        <v>3112.5000000000036</v>
      </c>
      <c r="AQ46" s="542">
        <v>778.12500000000091</v>
      </c>
      <c r="AR46" s="541">
        <f t="shared" si="21"/>
        <v>16</v>
      </c>
      <c r="AS46" s="673"/>
      <c r="AT46" s="541">
        <v>4</v>
      </c>
      <c r="AU46" s="542">
        <v>3123.8709677419347</v>
      </c>
      <c r="AV46" s="542">
        <v>780.96774193548367</v>
      </c>
      <c r="AW46" s="541">
        <f t="shared" si="23"/>
        <v>16</v>
      </c>
      <c r="AX46" s="673"/>
      <c r="AZ46" s="361" t="e">
        <f t="shared" si="25"/>
        <v>#N/A</v>
      </c>
      <c r="BA46" s="673"/>
    </row>
    <row r="47" spans="2:53">
      <c r="B47" s="687"/>
      <c r="C47" s="284">
        <v>6</v>
      </c>
      <c r="D47" s="196" t="s">
        <v>715</v>
      </c>
      <c r="E47" s="196">
        <v>4</v>
      </c>
      <c r="F47" s="196">
        <v>3200</v>
      </c>
      <c r="G47" s="496">
        <v>800</v>
      </c>
      <c r="H47" s="673"/>
      <c r="I47" s="352">
        <f t="shared" si="27"/>
        <v>4</v>
      </c>
      <c r="J47" s="352">
        <f t="shared" si="28"/>
        <v>3179.5735820878858</v>
      </c>
      <c r="K47" s="194">
        <f t="shared" si="29"/>
        <v>794.89339552197146</v>
      </c>
      <c r="L47" s="645"/>
      <c r="M47" s="193">
        <f>RANK(K47, K$42:$K$71)</f>
        <v>12</v>
      </c>
      <c r="N47" s="665"/>
      <c r="O47" s="665"/>
      <c r="P47" s="541">
        <v>4</v>
      </c>
      <c r="Q47" s="542">
        <v>3164.4444444444462</v>
      </c>
      <c r="R47" s="542">
        <v>791.11111111111154</v>
      </c>
      <c r="S47" s="541">
        <f t="shared" si="11"/>
        <v>17</v>
      </c>
      <c r="T47" s="673"/>
      <c r="U47" s="541">
        <v>4</v>
      </c>
      <c r="V47" s="542">
        <v>3439.9999999999923</v>
      </c>
      <c r="W47" s="542">
        <v>859.99999999999807</v>
      </c>
      <c r="X47" s="541">
        <f t="shared" si="13"/>
        <v>12</v>
      </c>
      <c r="Y47" s="673"/>
      <c r="Z47" s="541">
        <v>4</v>
      </c>
      <c r="AA47" s="542">
        <v>3185.217391304348</v>
      </c>
      <c r="AB47" s="542">
        <v>796.304347826087</v>
      </c>
      <c r="AC47" s="541">
        <f t="shared" si="15"/>
        <v>14</v>
      </c>
      <c r="AD47" s="673"/>
      <c r="AE47" s="541">
        <v>4</v>
      </c>
      <c r="AF47" s="542">
        <v>3047.3684210526362</v>
      </c>
      <c r="AG47" s="542">
        <v>761.84210526315906</v>
      </c>
      <c r="AH47" s="541">
        <f t="shared" si="17"/>
        <v>18</v>
      </c>
      <c r="AI47" s="673"/>
      <c r="AJ47" s="541">
        <v>4</v>
      </c>
      <c r="AK47" s="542">
        <v>3153.7500000000036</v>
      </c>
      <c r="AL47" s="542">
        <v>788.43750000000091</v>
      </c>
      <c r="AM47" s="541">
        <f t="shared" si="19"/>
        <v>13</v>
      </c>
      <c r="AN47" s="673"/>
      <c r="AO47" s="541">
        <v>4</v>
      </c>
      <c r="AP47" s="542">
        <v>3143.0769230769247</v>
      </c>
      <c r="AQ47" s="542">
        <v>785.76923076923117</v>
      </c>
      <c r="AR47" s="541">
        <f t="shared" si="21"/>
        <v>13</v>
      </c>
      <c r="AS47" s="673"/>
      <c r="AT47" s="541">
        <v>4</v>
      </c>
      <c r="AU47" s="542">
        <v>3123.1578947368471</v>
      </c>
      <c r="AV47" s="542">
        <v>780.78947368421177</v>
      </c>
      <c r="AW47" s="541">
        <f t="shared" si="23"/>
        <v>17</v>
      </c>
      <c r="AX47" s="673"/>
      <c r="AZ47" s="361" t="e">
        <f t="shared" si="25"/>
        <v>#N/A</v>
      </c>
      <c r="BA47" s="673"/>
    </row>
    <row r="48" spans="2:53">
      <c r="B48" s="687"/>
      <c r="C48" s="284">
        <v>7</v>
      </c>
      <c r="D48" s="196" t="s">
        <v>716</v>
      </c>
      <c r="E48" s="196">
        <v>3</v>
      </c>
      <c r="F48" s="196">
        <v>3200</v>
      </c>
      <c r="G48" s="496">
        <v>1066.6666666666667</v>
      </c>
      <c r="H48" s="673"/>
      <c r="I48" s="352">
        <f t="shared" si="27"/>
        <v>3</v>
      </c>
      <c r="J48" s="352">
        <f t="shared" si="28"/>
        <v>3156.4422949675741</v>
      </c>
      <c r="K48" s="194">
        <f t="shared" si="29"/>
        <v>1052.1474316558581</v>
      </c>
      <c r="L48" s="645"/>
      <c r="M48" s="193">
        <f>RANK(K48, K$42:$K$71)</f>
        <v>4</v>
      </c>
      <c r="N48" s="665"/>
      <c r="O48" s="665"/>
      <c r="P48" s="541">
        <v>3</v>
      </c>
      <c r="Q48" s="542">
        <v>3157.2972972972948</v>
      </c>
      <c r="R48" s="542">
        <v>1052.4324324324316</v>
      </c>
      <c r="S48" s="541">
        <f t="shared" si="11"/>
        <v>7</v>
      </c>
      <c r="T48" s="673"/>
      <c r="U48" s="541">
        <v>3</v>
      </c>
      <c r="V48" s="542">
        <v>3250.285714285711</v>
      </c>
      <c r="W48" s="542">
        <v>1083.4285714285704</v>
      </c>
      <c r="X48" s="541">
        <f t="shared" si="13"/>
        <v>3</v>
      </c>
      <c r="Y48" s="673"/>
      <c r="Z48" s="541">
        <v>3</v>
      </c>
      <c r="AA48" s="542">
        <v>3143.9999999999968</v>
      </c>
      <c r="AB48" s="542">
        <v>1047.9999999999989</v>
      </c>
      <c r="AC48" s="541">
        <f t="shared" si="15"/>
        <v>6</v>
      </c>
      <c r="AD48" s="673"/>
      <c r="AE48" s="541">
        <v>3</v>
      </c>
      <c r="AF48" s="542">
        <v>3128.0000000000027</v>
      </c>
      <c r="AG48" s="542">
        <v>1042.6666666666677</v>
      </c>
      <c r="AH48" s="541">
        <f t="shared" si="17"/>
        <v>6</v>
      </c>
      <c r="AI48" s="673"/>
      <c r="AJ48" s="541">
        <v>3</v>
      </c>
      <c r="AK48" s="542">
        <v>3103.4482758620711</v>
      </c>
      <c r="AL48" s="542">
        <v>1034.4827586206904</v>
      </c>
      <c r="AM48" s="541">
        <f t="shared" si="19"/>
        <v>7</v>
      </c>
      <c r="AN48" s="673"/>
      <c r="AO48" s="541">
        <v>3</v>
      </c>
      <c r="AP48" s="542">
        <v>3141.538461538466</v>
      </c>
      <c r="AQ48" s="542">
        <v>1047.1794871794887</v>
      </c>
      <c r="AR48" s="541">
        <f t="shared" si="21"/>
        <v>4</v>
      </c>
      <c r="AS48" s="673"/>
      <c r="AT48" s="541">
        <v>3</v>
      </c>
      <c r="AU48" s="542">
        <v>3170.5263157894715</v>
      </c>
      <c r="AV48" s="542">
        <v>1056.8421052631572</v>
      </c>
      <c r="AW48" s="541">
        <f t="shared" si="23"/>
        <v>5</v>
      </c>
      <c r="AX48" s="673"/>
      <c r="AZ48" s="361" t="e">
        <f t="shared" si="25"/>
        <v>#N/A</v>
      </c>
      <c r="BA48" s="673"/>
    </row>
    <row r="49" spans="2:53">
      <c r="B49" s="687"/>
      <c r="C49" s="284">
        <v>8</v>
      </c>
      <c r="D49" s="196" t="s">
        <v>336</v>
      </c>
      <c r="E49" s="196">
        <v>3</v>
      </c>
      <c r="F49" s="196">
        <v>2800</v>
      </c>
      <c r="G49" s="496">
        <v>933.33333333333337</v>
      </c>
      <c r="H49" s="673"/>
      <c r="I49" s="352">
        <f t="shared" si="27"/>
        <v>3</v>
      </c>
      <c r="J49" s="352">
        <f t="shared" si="28"/>
        <v>3193.7198236357012</v>
      </c>
      <c r="K49" s="194">
        <f t="shared" si="29"/>
        <v>1064.5732745452337</v>
      </c>
      <c r="L49" s="645"/>
      <c r="M49" s="193">
        <f>RANK(K49, K$42:$K$71)</f>
        <v>2</v>
      </c>
      <c r="N49" s="665"/>
      <c r="O49" s="665"/>
      <c r="P49" s="541">
        <v>3</v>
      </c>
      <c r="Q49" s="542">
        <v>3164.0816326530621</v>
      </c>
      <c r="R49" s="542">
        <v>1054.6938775510207</v>
      </c>
      <c r="S49" s="541">
        <f t="shared" si="11"/>
        <v>6</v>
      </c>
      <c r="T49" s="673"/>
      <c r="U49" s="541">
        <v>3</v>
      </c>
      <c r="V49" s="542">
        <v>3273.3333333333335</v>
      </c>
      <c r="W49" s="542">
        <v>1091.1111111111111</v>
      </c>
      <c r="X49" s="541">
        <f t="shared" si="13"/>
        <v>1</v>
      </c>
      <c r="Y49" s="673"/>
      <c r="Z49" s="541">
        <v>3</v>
      </c>
      <c r="AA49" s="542">
        <v>3193.043478260864</v>
      </c>
      <c r="AB49" s="542">
        <v>1064.3478260869547</v>
      </c>
      <c r="AC49" s="541">
        <f t="shared" si="15"/>
        <v>1</v>
      </c>
      <c r="AD49" s="673"/>
      <c r="AE49" s="541">
        <v>3</v>
      </c>
      <c r="AF49" s="542">
        <v>3201.0810810810785</v>
      </c>
      <c r="AG49" s="542">
        <v>1067.0270270270262</v>
      </c>
      <c r="AH49" s="541">
        <f t="shared" si="17"/>
        <v>1</v>
      </c>
      <c r="AI49" s="673"/>
      <c r="AJ49" s="541">
        <v>3</v>
      </c>
      <c r="AK49" s="542">
        <v>3173.1428571428537</v>
      </c>
      <c r="AL49" s="542">
        <v>1057.7142857142846</v>
      </c>
      <c r="AM49" s="541">
        <f t="shared" si="19"/>
        <v>4</v>
      </c>
      <c r="AN49" s="673"/>
      <c r="AO49" s="541">
        <v>3</v>
      </c>
      <c r="AP49" s="542">
        <v>3166.2499999999955</v>
      </c>
      <c r="AQ49" s="542">
        <v>1055.4166666666652</v>
      </c>
      <c r="AR49" s="541">
        <f t="shared" si="21"/>
        <v>3</v>
      </c>
      <c r="AS49" s="673"/>
      <c r="AT49" s="541">
        <v>3</v>
      </c>
      <c r="AU49" s="542">
        <v>3185.1063829787236</v>
      </c>
      <c r="AV49" s="542">
        <v>1061.7021276595744</v>
      </c>
      <c r="AW49" s="541">
        <f t="shared" si="23"/>
        <v>3</v>
      </c>
      <c r="AX49" s="673"/>
      <c r="AZ49" s="361" t="e">
        <f t="shared" si="25"/>
        <v>#N/A</v>
      </c>
      <c r="BA49" s="673"/>
    </row>
    <row r="50" spans="2:53">
      <c r="B50" s="687"/>
      <c r="C50" s="284">
        <v>9</v>
      </c>
      <c r="D50" s="196" t="s">
        <v>337</v>
      </c>
      <c r="E50" s="196">
        <v>4</v>
      </c>
      <c r="F50" s="196">
        <v>2800</v>
      </c>
      <c r="G50" s="496">
        <v>700</v>
      </c>
      <c r="H50" s="673"/>
      <c r="I50" s="352">
        <f t="shared" si="27"/>
        <v>3.8571428571428572</v>
      </c>
      <c r="J50" s="352">
        <f t="shared" si="28"/>
        <v>2781.2411802777056</v>
      </c>
      <c r="K50" s="194">
        <f t="shared" si="29"/>
        <v>728.50357238035065</v>
      </c>
      <c r="L50" s="645"/>
      <c r="M50" s="193">
        <f>RANK(K50, K$42:$K$71)</f>
        <v>19</v>
      </c>
      <c r="N50" s="665"/>
      <c r="O50" s="665"/>
      <c r="P50" s="541">
        <v>3</v>
      </c>
      <c r="Q50" s="542">
        <v>2788.2352941176482</v>
      </c>
      <c r="R50" s="542">
        <v>929.41176470588277</v>
      </c>
      <c r="S50" s="541">
        <f t="shared" si="11"/>
        <v>10</v>
      </c>
      <c r="T50" s="673"/>
      <c r="U50" s="541">
        <v>4</v>
      </c>
      <c r="V50" s="542">
        <v>2751.6000000000008</v>
      </c>
      <c r="W50" s="542">
        <v>687.9000000000002</v>
      </c>
      <c r="X50" s="541">
        <f t="shared" si="13"/>
        <v>22</v>
      </c>
      <c r="Y50" s="673"/>
      <c r="Z50" s="541">
        <v>4</v>
      </c>
      <c r="AA50" s="542">
        <v>2784.7422680412378</v>
      </c>
      <c r="AB50" s="542">
        <v>696.18556701030946</v>
      </c>
      <c r="AC50" s="541">
        <f t="shared" si="15"/>
        <v>21</v>
      </c>
      <c r="AD50" s="673"/>
      <c r="AE50" s="541">
        <v>4</v>
      </c>
      <c r="AF50" s="542">
        <v>2794.4999999999991</v>
      </c>
      <c r="AG50" s="542">
        <v>698.62499999999977</v>
      </c>
      <c r="AH50" s="541">
        <f t="shared" si="17"/>
        <v>20</v>
      </c>
      <c r="AI50" s="673"/>
      <c r="AJ50" s="541">
        <v>4</v>
      </c>
      <c r="AK50" s="542">
        <v>2788.1012658227833</v>
      </c>
      <c r="AL50" s="542">
        <v>697.02531645569582</v>
      </c>
      <c r="AM50" s="541">
        <f t="shared" si="19"/>
        <v>20</v>
      </c>
      <c r="AN50" s="673"/>
      <c r="AO50" s="541">
        <v>4</v>
      </c>
      <c r="AP50" s="542">
        <v>2780.0000000000014</v>
      </c>
      <c r="AQ50" s="542">
        <v>695.00000000000034</v>
      </c>
      <c r="AR50" s="541">
        <f t="shared" si="21"/>
        <v>20</v>
      </c>
      <c r="AS50" s="673"/>
      <c r="AT50" s="541">
        <v>4</v>
      </c>
      <c r="AU50" s="542">
        <v>2781.5094339622656</v>
      </c>
      <c r="AV50" s="542">
        <v>695.37735849056639</v>
      </c>
      <c r="AW50" s="541">
        <f t="shared" si="23"/>
        <v>21</v>
      </c>
      <c r="AX50" s="673"/>
      <c r="AZ50" s="361" t="e">
        <f t="shared" si="25"/>
        <v>#N/A</v>
      </c>
      <c r="BA50" s="673"/>
    </row>
    <row r="51" spans="2:53">
      <c r="B51" s="687"/>
      <c r="C51" s="284">
        <v>10</v>
      </c>
      <c r="D51" s="196" t="s">
        <v>717</v>
      </c>
      <c r="E51" s="196">
        <v>4</v>
      </c>
      <c r="F51" s="196">
        <v>2800</v>
      </c>
      <c r="G51" s="496">
        <v>700</v>
      </c>
      <c r="H51" s="673"/>
      <c r="I51" s="352">
        <f t="shared" si="27"/>
        <v>4</v>
      </c>
      <c r="J51" s="352">
        <f t="shared" si="28"/>
        <v>2783.8748336072645</v>
      </c>
      <c r="K51" s="194">
        <f t="shared" si="29"/>
        <v>695.96870840181612</v>
      </c>
      <c r="L51" s="645"/>
      <c r="M51" s="193">
        <f>RANK(K51, K$42:$K$71)</f>
        <v>22</v>
      </c>
      <c r="N51" s="665"/>
      <c r="O51" s="665"/>
      <c r="P51" s="541">
        <v>4</v>
      </c>
      <c r="Q51" s="542">
        <v>2761.8750000000014</v>
      </c>
      <c r="R51" s="542">
        <v>690.46875000000034</v>
      </c>
      <c r="S51" s="541">
        <f t="shared" si="11"/>
        <v>22</v>
      </c>
      <c r="T51" s="673"/>
      <c r="U51" s="541">
        <v>4</v>
      </c>
      <c r="V51" s="542">
        <v>2812.2580645161279</v>
      </c>
      <c r="W51" s="542">
        <v>703.06451612903197</v>
      </c>
      <c r="X51" s="541">
        <f t="shared" si="13"/>
        <v>21</v>
      </c>
      <c r="Y51" s="673"/>
      <c r="Z51" s="541">
        <v>4</v>
      </c>
      <c r="AA51" s="542">
        <v>2774.5161290322571</v>
      </c>
      <c r="AB51" s="542">
        <v>693.62903225806429</v>
      </c>
      <c r="AC51" s="541">
        <f t="shared" si="15"/>
        <v>22</v>
      </c>
      <c r="AD51" s="673"/>
      <c r="AE51" s="541">
        <v>4</v>
      </c>
      <c r="AF51" s="542">
        <v>2787.1698113207563</v>
      </c>
      <c r="AG51" s="542">
        <v>696.79245283018906</v>
      </c>
      <c r="AH51" s="541">
        <f t="shared" si="17"/>
        <v>21</v>
      </c>
      <c r="AI51" s="673"/>
      <c r="AJ51" s="541">
        <v>4</v>
      </c>
      <c r="AK51" s="542">
        <v>2781.5094339622656</v>
      </c>
      <c r="AL51" s="542">
        <v>695.37735849056639</v>
      </c>
      <c r="AM51" s="541">
        <f t="shared" si="19"/>
        <v>21</v>
      </c>
      <c r="AN51" s="673"/>
      <c r="AO51" s="541">
        <v>4</v>
      </c>
      <c r="AP51" s="542">
        <v>2775.8823529411766</v>
      </c>
      <c r="AQ51" s="542">
        <v>693.97058823529414</v>
      </c>
      <c r="AR51" s="541">
        <f t="shared" si="21"/>
        <v>21</v>
      </c>
      <c r="AS51" s="673"/>
      <c r="AT51" s="541">
        <v>4</v>
      </c>
      <c r="AU51" s="542">
        <v>2793.9130434782628</v>
      </c>
      <c r="AV51" s="542">
        <v>698.4782608695657</v>
      </c>
      <c r="AW51" s="541">
        <f t="shared" si="23"/>
        <v>19</v>
      </c>
      <c r="AX51" s="673"/>
      <c r="AZ51" s="361" t="e">
        <f t="shared" si="25"/>
        <v>#N/A</v>
      </c>
      <c r="BA51" s="673"/>
    </row>
    <row r="52" spans="2:53">
      <c r="B52" s="687"/>
      <c r="C52" s="284">
        <v>11</v>
      </c>
      <c r="D52" s="196" t="s">
        <v>718</v>
      </c>
      <c r="E52" s="196">
        <v>3</v>
      </c>
      <c r="F52" s="196">
        <v>2800</v>
      </c>
      <c r="G52" s="496">
        <v>933.33333333333337</v>
      </c>
      <c r="H52" s="673"/>
      <c r="I52" s="352">
        <f t="shared" si="27"/>
        <v>3</v>
      </c>
      <c r="J52" s="352">
        <f t="shared" si="28"/>
        <v>2793.8271408838405</v>
      </c>
      <c r="K52" s="194">
        <f t="shared" si="29"/>
        <v>931.27571362794686</v>
      </c>
      <c r="L52" s="645"/>
      <c r="M52" s="193">
        <f>RANK(K52, K$42:$K$71)</f>
        <v>10</v>
      </c>
      <c r="N52" s="665"/>
      <c r="O52" s="665"/>
      <c r="P52" s="541">
        <v>3</v>
      </c>
      <c r="Q52" s="542">
        <v>2780.0000000000009</v>
      </c>
      <c r="R52" s="542">
        <v>926.66666666666697</v>
      </c>
      <c r="S52" s="541">
        <f t="shared" si="11"/>
        <v>11</v>
      </c>
      <c r="T52" s="673"/>
      <c r="U52" s="541">
        <v>3</v>
      </c>
      <c r="V52" s="542">
        <v>2898.6666666666665</v>
      </c>
      <c r="W52" s="542">
        <v>966.22222222222217</v>
      </c>
      <c r="X52" s="541">
        <f t="shared" si="13"/>
        <v>11</v>
      </c>
      <c r="Y52" s="673"/>
      <c r="Z52" s="541">
        <v>3</v>
      </c>
      <c r="AA52" s="542">
        <v>2776.3636363636365</v>
      </c>
      <c r="AB52" s="542">
        <v>925.4545454545455</v>
      </c>
      <c r="AC52" s="541">
        <f t="shared" si="15"/>
        <v>10</v>
      </c>
      <c r="AD52" s="673"/>
      <c r="AE52" s="541">
        <v>3</v>
      </c>
      <c r="AF52" s="542">
        <v>2764.736842105267</v>
      </c>
      <c r="AG52" s="542">
        <v>921.57894736842229</v>
      </c>
      <c r="AH52" s="541">
        <f t="shared" si="17"/>
        <v>10</v>
      </c>
      <c r="AI52" s="673"/>
      <c r="AJ52" s="541">
        <v>3</v>
      </c>
      <c r="AK52" s="542">
        <v>2795.2941176470554</v>
      </c>
      <c r="AL52" s="542">
        <v>931.76470588235179</v>
      </c>
      <c r="AM52" s="541">
        <f t="shared" si="19"/>
        <v>10</v>
      </c>
      <c r="AN52" s="673"/>
      <c r="AO52" s="541">
        <v>3</v>
      </c>
      <c r="AP52" s="542">
        <v>2758.7500000000009</v>
      </c>
      <c r="AQ52" s="542">
        <v>919.5833333333336</v>
      </c>
      <c r="AR52" s="541">
        <f t="shared" si="21"/>
        <v>10</v>
      </c>
      <c r="AS52" s="673"/>
      <c r="AT52" s="541">
        <v>3</v>
      </c>
      <c r="AU52" s="542">
        <v>2782.978723404256</v>
      </c>
      <c r="AV52" s="542">
        <v>927.65957446808534</v>
      </c>
      <c r="AW52" s="541">
        <f t="shared" si="23"/>
        <v>10</v>
      </c>
      <c r="AX52" s="673"/>
      <c r="AZ52" s="361" t="e">
        <f t="shared" si="25"/>
        <v>#N/A</v>
      </c>
      <c r="BA52" s="673"/>
    </row>
    <row r="53" spans="2:53">
      <c r="B53" s="687"/>
      <c r="C53" s="284">
        <v>12</v>
      </c>
      <c r="D53" s="491" t="s">
        <v>671</v>
      </c>
      <c r="E53" s="196">
        <v>4</v>
      </c>
      <c r="F53" s="196">
        <v>2800</v>
      </c>
      <c r="G53" s="496">
        <v>700</v>
      </c>
      <c r="H53" s="673"/>
      <c r="I53" s="352">
        <f t="shared" si="27"/>
        <v>4</v>
      </c>
      <c r="J53" s="352">
        <f t="shared" si="28"/>
        <v>2787.4350649350645</v>
      </c>
      <c r="K53" s="194">
        <f t="shared" si="29"/>
        <v>696.85876623376612</v>
      </c>
      <c r="L53" s="645"/>
      <c r="M53" s="193">
        <f>RANK(K53, K$42:$K$71)</f>
        <v>21</v>
      </c>
      <c r="N53" s="665"/>
      <c r="O53" s="665"/>
      <c r="P53" s="541">
        <v>4</v>
      </c>
      <c r="Q53" s="542">
        <v>2767.5000000000032</v>
      </c>
      <c r="R53" s="542">
        <v>691.8750000000008</v>
      </c>
      <c r="S53" s="541">
        <f t="shared" si="11"/>
        <v>21</v>
      </c>
      <c r="T53" s="673"/>
      <c r="U53" s="541">
        <v>4</v>
      </c>
      <c r="V53" s="542">
        <v>2906.0000000000027</v>
      </c>
      <c r="W53" s="542">
        <v>726.50000000000068</v>
      </c>
      <c r="X53" s="541">
        <f t="shared" si="13"/>
        <v>20</v>
      </c>
      <c r="Y53" s="673"/>
      <c r="Z53" s="541">
        <v>4</v>
      </c>
      <c r="AA53" s="542">
        <v>2798.0000000000027</v>
      </c>
      <c r="AB53" s="542">
        <v>699.50000000000068</v>
      </c>
      <c r="AC53" s="541">
        <f t="shared" si="15"/>
        <v>20</v>
      </c>
      <c r="AD53" s="673"/>
      <c r="AE53" s="541">
        <v>4</v>
      </c>
      <c r="AF53" s="542">
        <v>2780.0000000000009</v>
      </c>
      <c r="AG53" s="542">
        <v>695.00000000000023</v>
      </c>
      <c r="AH53" s="541">
        <f t="shared" si="17"/>
        <v>22</v>
      </c>
      <c r="AI53" s="673"/>
      <c r="AJ53" s="541">
        <v>4</v>
      </c>
      <c r="AK53" s="542">
        <v>2754.545454545444</v>
      </c>
      <c r="AL53" s="542">
        <v>688.63636363636101</v>
      </c>
      <c r="AM53" s="541">
        <f t="shared" si="19"/>
        <v>22</v>
      </c>
      <c r="AN53" s="673"/>
      <c r="AO53" s="541">
        <v>4</v>
      </c>
      <c r="AP53" s="542">
        <v>2715.9999999999955</v>
      </c>
      <c r="AQ53" s="542">
        <v>678.99999999999886</v>
      </c>
      <c r="AR53" s="541">
        <f t="shared" si="21"/>
        <v>22</v>
      </c>
      <c r="AS53" s="673"/>
      <c r="AT53" s="541">
        <v>4</v>
      </c>
      <c r="AU53" s="542">
        <v>2790.0000000000023</v>
      </c>
      <c r="AV53" s="542">
        <v>697.50000000000057</v>
      </c>
      <c r="AW53" s="541">
        <f t="shared" si="23"/>
        <v>20</v>
      </c>
      <c r="AX53" s="673"/>
      <c r="AZ53" s="361" t="e">
        <f t="shared" si="25"/>
        <v>#N/A</v>
      </c>
      <c r="BA53" s="673"/>
    </row>
    <row r="54" spans="2:53">
      <c r="B54" s="687"/>
      <c r="C54" s="284">
        <v>13</v>
      </c>
      <c r="D54" s="196" t="s">
        <v>579</v>
      </c>
      <c r="E54" s="196">
        <v>3</v>
      </c>
      <c r="F54" s="196">
        <v>3200</v>
      </c>
      <c r="G54" s="496">
        <v>1066.6666666666667</v>
      </c>
      <c r="H54" s="673"/>
      <c r="I54" s="352">
        <f t="shared" si="27"/>
        <v>3</v>
      </c>
      <c r="J54" s="352">
        <f t="shared" si="28"/>
        <v>3151.6037187828729</v>
      </c>
      <c r="K54" s="194">
        <f t="shared" si="29"/>
        <v>1050.5345729276244</v>
      </c>
      <c r="L54" s="645"/>
      <c r="M54" s="193">
        <f>RANK(K54, K$42:$K$71)</f>
        <v>5</v>
      </c>
      <c r="N54" s="665"/>
      <c r="O54" s="665"/>
      <c r="P54" s="541">
        <v>3</v>
      </c>
      <c r="Q54" s="542">
        <v>3141.4285714285738</v>
      </c>
      <c r="R54" s="542">
        <v>1047.142857142858</v>
      </c>
      <c r="S54" s="541">
        <f t="shared" si="11"/>
        <v>8</v>
      </c>
      <c r="T54" s="673"/>
      <c r="U54" s="541">
        <v>3</v>
      </c>
      <c r="V54" s="542">
        <v>3233.0769230769147</v>
      </c>
      <c r="W54" s="542">
        <v>1077.6923076923049</v>
      </c>
      <c r="X54" s="541">
        <f t="shared" si="13"/>
        <v>4</v>
      </c>
      <c r="Y54" s="673"/>
      <c r="Z54" s="541">
        <v>3</v>
      </c>
      <c r="AA54" s="542">
        <v>3149.9999999999918</v>
      </c>
      <c r="AB54" s="542">
        <v>1049.9999999999973</v>
      </c>
      <c r="AC54" s="541">
        <f t="shared" si="15"/>
        <v>5</v>
      </c>
      <c r="AD54" s="673"/>
      <c r="AE54" s="541">
        <v>3</v>
      </c>
      <c r="AF54" s="542">
        <v>3145.7142857142844</v>
      </c>
      <c r="AG54" s="542">
        <v>1048.5714285714282</v>
      </c>
      <c r="AH54" s="541">
        <f t="shared" si="17"/>
        <v>5</v>
      </c>
      <c r="AI54" s="673"/>
      <c r="AJ54" s="541">
        <v>3</v>
      </c>
      <c r="AK54" s="542">
        <v>3189.473684210524</v>
      </c>
      <c r="AL54" s="542">
        <v>1063.1578947368414</v>
      </c>
      <c r="AM54" s="541">
        <f t="shared" si="19"/>
        <v>3</v>
      </c>
      <c r="AN54" s="673"/>
      <c r="AO54" s="541">
        <v>3</v>
      </c>
      <c r="AP54" s="542">
        <v>3099.3103448275883</v>
      </c>
      <c r="AQ54" s="542">
        <v>1033.1034482758628</v>
      </c>
      <c r="AR54" s="541">
        <f t="shared" si="21"/>
        <v>5</v>
      </c>
      <c r="AS54" s="673"/>
      <c r="AT54" s="541">
        <v>3</v>
      </c>
      <c r="AU54" s="542">
        <v>3102.2222222222331</v>
      </c>
      <c r="AV54" s="542">
        <v>1034.0740740740778</v>
      </c>
      <c r="AW54" s="541">
        <f t="shared" si="23"/>
        <v>7</v>
      </c>
      <c r="AX54" s="673"/>
      <c r="AZ54" s="361" t="e">
        <f t="shared" si="25"/>
        <v>#N/A</v>
      </c>
      <c r="BA54" s="673"/>
    </row>
    <row r="55" spans="2:53">
      <c r="B55" s="687"/>
      <c r="C55" s="284">
        <v>14</v>
      </c>
      <c r="D55" s="196" t="s">
        <v>584</v>
      </c>
      <c r="E55" s="196">
        <v>3</v>
      </c>
      <c r="F55" s="196">
        <v>3200</v>
      </c>
      <c r="G55" s="496">
        <v>1066.6666666666667</v>
      </c>
      <c r="H55" s="673"/>
      <c r="I55" s="352">
        <f t="shared" si="27"/>
        <v>3</v>
      </c>
      <c r="J55" s="352">
        <f t="shared" si="28"/>
        <v>3136.8701298701321</v>
      </c>
      <c r="K55" s="194">
        <f t="shared" si="29"/>
        <v>1045.6233766233777</v>
      </c>
      <c r="L55" s="645"/>
      <c r="M55" s="193">
        <f>RANK(K55, K$42:$K$71)</f>
        <v>6</v>
      </c>
      <c r="N55" s="665"/>
      <c r="O55" s="665"/>
      <c r="P55" s="541">
        <v>3</v>
      </c>
      <c r="Q55" s="542">
        <v>3187.5000000000114</v>
      </c>
      <c r="R55" s="542">
        <v>1062.5000000000039</v>
      </c>
      <c r="S55" s="541">
        <f t="shared" si="11"/>
        <v>2</v>
      </c>
      <c r="T55" s="673"/>
      <c r="U55" s="541">
        <v>3</v>
      </c>
      <c r="V55" s="542">
        <v>3195.9999999999945</v>
      </c>
      <c r="W55" s="542">
        <v>1065.3333333333314</v>
      </c>
      <c r="X55" s="541">
        <f t="shared" si="13"/>
        <v>8</v>
      </c>
      <c r="Y55" s="673"/>
      <c r="Z55" s="541">
        <v>3</v>
      </c>
      <c r="AA55" s="542">
        <v>3180.0000000000109</v>
      </c>
      <c r="AB55" s="542">
        <v>1060.0000000000036</v>
      </c>
      <c r="AC55" s="541">
        <f t="shared" si="15"/>
        <v>3</v>
      </c>
      <c r="AD55" s="673"/>
      <c r="AE55" s="541">
        <v>3</v>
      </c>
      <c r="AF55" s="542">
        <v>3169.0909090909204</v>
      </c>
      <c r="AG55" s="542">
        <v>1056.3636363636401</v>
      </c>
      <c r="AH55" s="541">
        <f t="shared" si="17"/>
        <v>4</v>
      </c>
      <c r="AI55" s="673"/>
      <c r="AJ55" s="541">
        <v>3</v>
      </c>
      <c r="AK55" s="542">
        <v>2981.9999999999868</v>
      </c>
      <c r="AL55" s="542">
        <v>993.99999999999557</v>
      </c>
      <c r="AM55" s="541">
        <f t="shared" si="19"/>
        <v>9</v>
      </c>
      <c r="AN55" s="673"/>
      <c r="AO55" s="541">
        <v>3</v>
      </c>
      <c r="AP55" s="542">
        <v>3067.5000000000109</v>
      </c>
      <c r="AQ55" s="542">
        <v>1022.5000000000036</v>
      </c>
      <c r="AR55" s="541">
        <f t="shared" si="21"/>
        <v>7</v>
      </c>
      <c r="AS55" s="673"/>
      <c r="AT55" s="541">
        <v>3</v>
      </c>
      <c r="AU55" s="542">
        <v>3175.9999999999941</v>
      </c>
      <c r="AV55" s="542">
        <v>1058.6666666666647</v>
      </c>
      <c r="AW55" s="541">
        <f t="shared" si="23"/>
        <v>4</v>
      </c>
      <c r="AX55" s="673"/>
      <c r="AZ55" s="361" t="e">
        <f t="shared" si="25"/>
        <v>#N/A</v>
      </c>
      <c r="BA55" s="673"/>
    </row>
    <row r="56" spans="2:53">
      <c r="B56" s="687"/>
      <c r="C56" s="284">
        <v>15</v>
      </c>
      <c r="D56" s="491" t="s">
        <v>719</v>
      </c>
      <c r="E56" s="196">
        <v>3</v>
      </c>
      <c r="F56" s="196">
        <v>3200</v>
      </c>
      <c r="G56" s="496">
        <v>1066.6666666666667</v>
      </c>
      <c r="H56" s="673"/>
      <c r="I56" s="352">
        <f t="shared" si="27"/>
        <v>3</v>
      </c>
      <c r="J56" s="352">
        <f t="shared" si="28"/>
        <v>2677.7867132867145</v>
      </c>
      <c r="K56" s="194">
        <f t="shared" si="29"/>
        <v>892.59557109557147</v>
      </c>
      <c r="L56" s="645"/>
      <c r="M56" s="193">
        <f>RANK(K56, K$42:$K$71)</f>
        <v>11</v>
      </c>
      <c r="N56" s="665"/>
      <c r="O56" s="665"/>
      <c r="P56" s="541">
        <v>3</v>
      </c>
      <c r="Q56" s="542">
        <v>2647.4999999999827</v>
      </c>
      <c r="R56" s="542">
        <v>882.4999999999942</v>
      </c>
      <c r="S56" s="541">
        <f t="shared" si="11"/>
        <v>12</v>
      </c>
      <c r="T56" s="673"/>
      <c r="U56" s="541">
        <v>3</v>
      </c>
      <c r="V56" s="542">
        <v>3120.0000000000109</v>
      </c>
      <c r="W56" s="542">
        <v>1040.0000000000036</v>
      </c>
      <c r="X56" s="541">
        <f t="shared" si="13"/>
        <v>10</v>
      </c>
      <c r="Y56" s="673"/>
      <c r="Z56" s="541">
        <v>3</v>
      </c>
      <c r="AA56" s="542">
        <v>2624.0000000000095</v>
      </c>
      <c r="AB56" s="542">
        <v>874.66666666666981</v>
      </c>
      <c r="AC56" s="541">
        <f t="shared" si="15"/>
        <v>11</v>
      </c>
      <c r="AD56" s="673"/>
      <c r="AE56" s="541">
        <v>3</v>
      </c>
      <c r="AF56" s="542">
        <v>2478.4615384615322</v>
      </c>
      <c r="AG56" s="542">
        <v>826.15384615384403</v>
      </c>
      <c r="AH56" s="541">
        <f t="shared" si="17"/>
        <v>11</v>
      </c>
      <c r="AI56" s="673"/>
      <c r="AJ56" s="541">
        <v>3</v>
      </c>
      <c r="AK56" s="542">
        <v>2454.5454545454631</v>
      </c>
      <c r="AL56" s="542">
        <v>818.18181818182109</v>
      </c>
      <c r="AM56" s="541">
        <f t="shared" si="19"/>
        <v>11</v>
      </c>
      <c r="AN56" s="673"/>
      <c r="AO56" s="541">
        <v>3</v>
      </c>
      <c r="AP56" s="542">
        <v>2700.0000000000095</v>
      </c>
      <c r="AQ56" s="542">
        <v>900.00000000000318</v>
      </c>
      <c r="AR56" s="541">
        <f t="shared" si="21"/>
        <v>11</v>
      </c>
      <c r="AS56" s="673"/>
      <c r="AT56" s="541">
        <v>3</v>
      </c>
      <c r="AU56" s="542">
        <v>2719.999999999995</v>
      </c>
      <c r="AV56" s="542">
        <v>906.66666666666504</v>
      </c>
      <c r="AW56" s="541">
        <f t="shared" si="23"/>
        <v>11</v>
      </c>
      <c r="AX56" s="673"/>
      <c r="AZ56" s="361" t="e">
        <f t="shared" si="25"/>
        <v>#N/A</v>
      </c>
      <c r="BA56" s="673"/>
    </row>
    <row r="57" spans="2:53">
      <c r="B57" s="687"/>
      <c r="C57" s="284">
        <v>16</v>
      </c>
      <c r="D57" s="196" t="s">
        <v>720</v>
      </c>
      <c r="E57" s="196">
        <v>4</v>
      </c>
      <c r="F57" s="196">
        <v>3200</v>
      </c>
      <c r="G57" s="496">
        <v>800</v>
      </c>
      <c r="H57" s="673"/>
      <c r="I57" s="352">
        <f t="shared" si="27"/>
        <v>4</v>
      </c>
      <c r="J57" s="352">
        <f t="shared" si="28"/>
        <v>3125.5652768284372</v>
      </c>
      <c r="K57" s="194">
        <f t="shared" si="29"/>
        <v>781.39131920710929</v>
      </c>
      <c r="L57" s="645"/>
      <c r="M57" s="193">
        <f>RANK(K57, K$42:$K$71)</f>
        <v>17</v>
      </c>
      <c r="N57" s="665"/>
      <c r="O57" s="665"/>
      <c r="P57" s="541">
        <v>4</v>
      </c>
      <c r="Q57" s="542">
        <v>3178.1818181818217</v>
      </c>
      <c r="R57" s="542">
        <v>794.54545454545541</v>
      </c>
      <c r="S57" s="541">
        <f t="shared" si="11"/>
        <v>16</v>
      </c>
      <c r="T57" s="673"/>
      <c r="U57" s="541">
        <v>4</v>
      </c>
      <c r="V57" s="542">
        <v>3122.0000000000027</v>
      </c>
      <c r="W57" s="542">
        <v>780.50000000000068</v>
      </c>
      <c r="X57" s="541">
        <f t="shared" si="13"/>
        <v>18</v>
      </c>
      <c r="Y57" s="673"/>
      <c r="Z57" s="541">
        <v>4</v>
      </c>
      <c r="AA57" s="542">
        <v>3134.9999999999932</v>
      </c>
      <c r="AB57" s="542">
        <v>783.74999999999829</v>
      </c>
      <c r="AC57" s="541">
        <f t="shared" si="15"/>
        <v>18</v>
      </c>
      <c r="AD57" s="673"/>
      <c r="AE57" s="541">
        <v>4</v>
      </c>
      <c r="AF57" s="542">
        <v>3109.090909090909</v>
      </c>
      <c r="AG57" s="542">
        <v>777.27272727272725</v>
      </c>
      <c r="AH57" s="541">
        <f t="shared" si="17"/>
        <v>17</v>
      </c>
      <c r="AI57" s="673"/>
      <c r="AJ57" s="541">
        <v>4</v>
      </c>
      <c r="AK57" s="542">
        <v>3113.6842105263268</v>
      </c>
      <c r="AL57" s="542">
        <v>778.42105263158169</v>
      </c>
      <c r="AM57" s="541">
        <f t="shared" si="19"/>
        <v>18</v>
      </c>
      <c r="AN57" s="673"/>
      <c r="AO57" s="541">
        <v>4</v>
      </c>
      <c r="AP57" s="542">
        <v>3128.0000000000027</v>
      </c>
      <c r="AQ57" s="542">
        <v>782.00000000000068</v>
      </c>
      <c r="AR57" s="541">
        <f t="shared" si="21"/>
        <v>15</v>
      </c>
      <c r="AS57" s="673"/>
      <c r="AT57" s="541">
        <v>4</v>
      </c>
      <c r="AU57" s="542">
        <v>3092.9999999999991</v>
      </c>
      <c r="AV57" s="542">
        <v>773.24999999999977</v>
      </c>
      <c r="AW57" s="541">
        <f t="shared" si="23"/>
        <v>18</v>
      </c>
      <c r="AX57" s="673"/>
      <c r="AZ57" s="361" t="e">
        <f t="shared" si="25"/>
        <v>#N/A</v>
      </c>
      <c r="BA57" s="673"/>
    </row>
    <row r="58" spans="2:53">
      <c r="B58" s="687"/>
      <c r="C58" s="284">
        <v>17</v>
      </c>
      <c r="D58" s="196" t="s">
        <v>690</v>
      </c>
      <c r="E58" s="196">
        <v>4</v>
      </c>
      <c r="F58" s="196">
        <v>2800</v>
      </c>
      <c r="G58" s="496">
        <v>700</v>
      </c>
      <c r="H58" s="673"/>
      <c r="I58" s="352">
        <f t="shared" si="27"/>
        <v>4</v>
      </c>
      <c r="J58" s="352">
        <f t="shared" si="28"/>
        <v>2896.5710113034934</v>
      </c>
      <c r="K58" s="194">
        <f t="shared" si="29"/>
        <v>724.14275282587334</v>
      </c>
      <c r="L58" s="645"/>
      <c r="M58" s="193">
        <f>RANK(K58, K$42:$K$71)</f>
        <v>20</v>
      </c>
      <c r="N58" s="665"/>
      <c r="O58" s="665"/>
      <c r="P58" s="541">
        <v>4</v>
      </c>
      <c r="Q58" s="542">
        <v>2778.4615384615372</v>
      </c>
      <c r="R58" s="542">
        <v>694.6153846153843</v>
      </c>
      <c r="S58" s="541">
        <f t="shared" si="11"/>
        <v>20</v>
      </c>
      <c r="T58" s="673"/>
      <c r="U58" s="541">
        <v>4</v>
      </c>
      <c r="V58" s="542">
        <v>3043.4782608695618</v>
      </c>
      <c r="W58" s="542">
        <v>760.86956521739046</v>
      </c>
      <c r="X58" s="541">
        <f t="shared" si="13"/>
        <v>19</v>
      </c>
      <c r="Y58" s="673"/>
      <c r="Z58" s="541">
        <v>4</v>
      </c>
      <c r="AA58" s="542">
        <v>2973.4426229508185</v>
      </c>
      <c r="AB58" s="542">
        <v>743.36065573770463</v>
      </c>
      <c r="AC58" s="541">
        <f t="shared" si="15"/>
        <v>19</v>
      </c>
      <c r="AD58" s="673"/>
      <c r="AE58" s="541">
        <v>4</v>
      </c>
      <c r="AF58" s="542">
        <v>2942.4489795918375</v>
      </c>
      <c r="AG58" s="542">
        <v>735.61224489795939</v>
      </c>
      <c r="AH58" s="541">
        <f t="shared" si="17"/>
        <v>19</v>
      </c>
      <c r="AI58" s="673"/>
      <c r="AJ58" s="541">
        <v>4</v>
      </c>
      <c r="AK58" s="542">
        <v>2994.4186046511622</v>
      </c>
      <c r="AL58" s="542">
        <v>748.60465116279056</v>
      </c>
      <c r="AM58" s="541">
        <f t="shared" si="19"/>
        <v>19</v>
      </c>
      <c r="AN58" s="673"/>
      <c r="AO58" s="541">
        <v>4</v>
      </c>
      <c r="AP58" s="542">
        <v>2785.7142857142849</v>
      </c>
      <c r="AQ58" s="542">
        <v>696.42857142857122</v>
      </c>
      <c r="AR58" s="541">
        <f t="shared" si="21"/>
        <v>19</v>
      </c>
      <c r="AS58" s="673"/>
      <c r="AT58" s="541">
        <v>4</v>
      </c>
      <c r="AU58" s="542">
        <v>2758.0327868852482</v>
      </c>
      <c r="AV58" s="542">
        <v>689.50819672131206</v>
      </c>
      <c r="AW58" s="541">
        <f t="shared" si="23"/>
        <v>22</v>
      </c>
      <c r="AX58" s="673"/>
      <c r="AZ58" s="361" t="e">
        <f t="shared" si="25"/>
        <v>#N/A</v>
      </c>
      <c r="BA58" s="673"/>
    </row>
    <row r="59" spans="2:53">
      <c r="B59" s="687"/>
      <c r="C59" s="284">
        <v>18</v>
      </c>
      <c r="D59" s="491" t="s">
        <v>721</v>
      </c>
      <c r="E59" s="196">
        <v>4</v>
      </c>
      <c r="F59" s="196">
        <v>2800</v>
      </c>
      <c r="G59" s="496">
        <v>700</v>
      </c>
      <c r="H59" s="673"/>
      <c r="I59" s="352">
        <f t="shared" si="27"/>
        <v>3</v>
      </c>
      <c r="J59" s="352">
        <f t="shared" si="28"/>
        <v>3043.5827664399062</v>
      </c>
      <c r="K59" s="194">
        <f t="shared" si="29"/>
        <v>1014.5275888133021</v>
      </c>
      <c r="L59" s="645"/>
      <c r="M59" s="193">
        <f>RANK(K59, K$42:$K$71)</f>
        <v>9</v>
      </c>
      <c r="N59" s="665"/>
      <c r="O59" s="665"/>
      <c r="P59" s="541">
        <v>3</v>
      </c>
      <c r="Q59" s="542">
        <v>3221.9999999999941</v>
      </c>
      <c r="R59" s="542">
        <v>1073.999999999998</v>
      </c>
      <c r="S59" s="541">
        <f t="shared" si="11"/>
        <v>1</v>
      </c>
      <c r="T59" s="673"/>
      <c r="U59" s="541">
        <v>3</v>
      </c>
      <c r="V59" s="542">
        <v>3231.9999999999941</v>
      </c>
      <c r="W59" s="542">
        <v>1077.3333333333314</v>
      </c>
      <c r="X59" s="541">
        <f t="shared" si="13"/>
        <v>5</v>
      </c>
      <c r="Y59" s="673"/>
      <c r="Z59" s="541">
        <v>3</v>
      </c>
      <c r="AA59" s="542">
        <v>2958.0000000000105</v>
      </c>
      <c r="AB59" s="542">
        <v>986.00000000000352</v>
      </c>
      <c r="AC59" s="541">
        <f t="shared" si="15"/>
        <v>9</v>
      </c>
      <c r="AD59" s="673"/>
      <c r="AE59" s="541">
        <v>3</v>
      </c>
      <c r="AF59" s="542">
        <v>3022.2222222222154</v>
      </c>
      <c r="AG59" s="542">
        <v>1007.4074074074051</v>
      </c>
      <c r="AH59" s="541">
        <f t="shared" si="17"/>
        <v>8</v>
      </c>
      <c r="AI59" s="673"/>
      <c r="AJ59" s="541">
        <v>3</v>
      </c>
      <c r="AK59" s="542">
        <v>3067.9999999999945</v>
      </c>
      <c r="AL59" s="542">
        <v>1022.6666666666648</v>
      </c>
      <c r="AM59" s="541">
        <f t="shared" si="19"/>
        <v>8</v>
      </c>
      <c r="AN59" s="673"/>
      <c r="AO59" s="541">
        <v>3</v>
      </c>
      <c r="AP59" s="542">
        <v>2934.8571428571536</v>
      </c>
      <c r="AQ59" s="542">
        <v>978.28571428571786</v>
      </c>
      <c r="AR59" s="541">
        <f t="shared" si="21"/>
        <v>9</v>
      </c>
      <c r="AS59" s="673"/>
      <c r="AT59" s="541">
        <v>3</v>
      </c>
      <c r="AU59" s="542">
        <v>2867.9999999999836</v>
      </c>
      <c r="AV59" s="542">
        <v>955.99999999999454</v>
      </c>
      <c r="AW59" s="541">
        <f t="shared" si="23"/>
        <v>9</v>
      </c>
      <c r="AX59" s="673"/>
      <c r="AZ59" s="361" t="e">
        <f t="shared" si="25"/>
        <v>#N/A</v>
      </c>
      <c r="BA59" s="673"/>
    </row>
    <row r="60" spans="2:53">
      <c r="B60" s="687"/>
      <c r="C60" s="284">
        <v>19</v>
      </c>
      <c r="D60" s="491" t="s">
        <v>722</v>
      </c>
      <c r="E60" s="196">
        <v>3</v>
      </c>
      <c r="F60" s="196">
        <v>2800</v>
      </c>
      <c r="G60" s="496">
        <v>933.33333333333337</v>
      </c>
      <c r="H60" s="673"/>
      <c r="I60" s="352">
        <f t="shared" si="27"/>
        <v>3</v>
      </c>
      <c r="J60" s="352">
        <f t="shared" si="28"/>
        <v>3071.8353741496626</v>
      </c>
      <c r="K60" s="194">
        <f t="shared" si="29"/>
        <v>1023.9451247165543</v>
      </c>
      <c r="L60" s="645"/>
      <c r="M60" s="193">
        <f>RANK(K60, K$42:$K$71)</f>
        <v>8</v>
      </c>
      <c r="N60" s="665"/>
      <c r="O60" s="665"/>
      <c r="P60" s="541">
        <v>3</v>
      </c>
      <c r="Q60" s="542">
        <v>3168.8888888889001</v>
      </c>
      <c r="R60" s="542">
        <v>1056.2962962962999</v>
      </c>
      <c r="S60" s="541">
        <f t="shared" si="11"/>
        <v>5</v>
      </c>
      <c r="T60" s="673"/>
      <c r="U60" s="541">
        <v>3</v>
      </c>
      <c r="V60" s="542">
        <v>3190.7142857142971</v>
      </c>
      <c r="W60" s="542">
        <v>1063.5714285714323</v>
      </c>
      <c r="X60" s="541">
        <f t="shared" si="13"/>
        <v>9</v>
      </c>
      <c r="Y60" s="673"/>
      <c r="Z60" s="541">
        <v>3</v>
      </c>
      <c r="AA60" s="542">
        <v>2966.6666666666774</v>
      </c>
      <c r="AB60" s="542">
        <v>988.88888888889244</v>
      </c>
      <c r="AC60" s="541">
        <f t="shared" si="15"/>
        <v>8</v>
      </c>
      <c r="AD60" s="673"/>
      <c r="AE60" s="541">
        <v>3</v>
      </c>
      <c r="AF60" s="542">
        <v>2908.7999999999915</v>
      </c>
      <c r="AG60" s="542">
        <v>969.59999999999718</v>
      </c>
      <c r="AH60" s="541">
        <f t="shared" si="17"/>
        <v>9</v>
      </c>
      <c r="AI60" s="673"/>
      <c r="AJ60" s="541">
        <v>3</v>
      </c>
      <c r="AK60" s="542">
        <v>3157.7777777777701</v>
      </c>
      <c r="AL60" s="542">
        <v>1052.5925925925901</v>
      </c>
      <c r="AM60" s="541">
        <f t="shared" si="19"/>
        <v>5</v>
      </c>
      <c r="AN60" s="673"/>
      <c r="AO60" s="541">
        <v>3</v>
      </c>
      <c r="AP60" s="542">
        <v>3065.9999999999945</v>
      </c>
      <c r="AQ60" s="542">
        <v>1021.9999999999982</v>
      </c>
      <c r="AR60" s="541">
        <f t="shared" si="21"/>
        <v>8</v>
      </c>
      <c r="AS60" s="673"/>
      <c r="AT60" s="541">
        <v>3</v>
      </c>
      <c r="AU60" s="542">
        <v>3044.0000000000109</v>
      </c>
      <c r="AV60" s="542">
        <v>1014.6666666666703</v>
      </c>
      <c r="AW60" s="541">
        <f t="shared" si="23"/>
        <v>8</v>
      </c>
      <c r="AX60" s="673"/>
      <c r="AZ60" s="361" t="e">
        <f t="shared" si="25"/>
        <v>#N/A</v>
      </c>
      <c r="BA60" s="673"/>
    </row>
    <row r="61" spans="2:53">
      <c r="B61" s="687"/>
      <c r="C61" s="284">
        <v>20</v>
      </c>
      <c r="D61" s="491" t="s">
        <v>723</v>
      </c>
      <c r="E61" s="196">
        <v>3</v>
      </c>
      <c r="F61" s="196">
        <v>2200</v>
      </c>
      <c r="G61" s="496">
        <v>733.33333333333337</v>
      </c>
      <c r="H61" s="673"/>
      <c r="I61" s="352">
        <f t="shared" si="27"/>
        <v>3</v>
      </c>
      <c r="J61" s="352">
        <f t="shared" si="28"/>
        <v>2324.2707944406161</v>
      </c>
      <c r="K61" s="194">
        <f t="shared" si="29"/>
        <v>774.75693148020525</v>
      </c>
      <c r="L61" s="645"/>
      <c r="M61" s="193">
        <f>RANK(K61, K$42:$K$71)</f>
        <v>18</v>
      </c>
      <c r="N61" s="665"/>
      <c r="O61" s="665"/>
      <c r="P61" s="541">
        <v>3</v>
      </c>
      <c r="Q61" s="542">
        <v>2276.9999999999991</v>
      </c>
      <c r="R61" s="542">
        <v>758.99999999999966</v>
      </c>
      <c r="S61" s="541">
        <f t="shared" si="11"/>
        <v>19</v>
      </c>
      <c r="T61" s="673"/>
      <c r="U61" s="541">
        <v>3</v>
      </c>
      <c r="V61" s="542">
        <v>2371.5789473684194</v>
      </c>
      <c r="W61" s="542">
        <v>790.52631578947319</v>
      </c>
      <c r="X61" s="541">
        <f t="shared" si="13"/>
        <v>17</v>
      </c>
      <c r="Y61" s="673"/>
      <c r="Z61" s="541">
        <v>3</v>
      </c>
      <c r="AA61" s="542">
        <v>2355.8823529411852</v>
      </c>
      <c r="AB61" s="542">
        <v>785.29411764706174</v>
      </c>
      <c r="AC61" s="541">
        <f t="shared" si="15"/>
        <v>17</v>
      </c>
      <c r="AD61" s="673"/>
      <c r="AE61" s="541">
        <v>3</v>
      </c>
      <c r="AF61" s="542">
        <v>2361.9999999999959</v>
      </c>
      <c r="AG61" s="542">
        <v>787.33333333333201</v>
      </c>
      <c r="AH61" s="541">
        <f t="shared" si="17"/>
        <v>15</v>
      </c>
      <c r="AI61" s="673"/>
      <c r="AJ61" s="541">
        <v>3</v>
      </c>
      <c r="AK61" s="542">
        <v>2341.6666666666747</v>
      </c>
      <c r="AL61" s="542">
        <v>780.55555555555827</v>
      </c>
      <c r="AM61" s="541">
        <f t="shared" si="19"/>
        <v>17</v>
      </c>
      <c r="AN61" s="673"/>
      <c r="AO61" s="541">
        <v>3</v>
      </c>
      <c r="AP61" s="542">
        <v>2106.3829787234117</v>
      </c>
      <c r="AQ61" s="542">
        <v>702.12765957447061</v>
      </c>
      <c r="AR61" s="541">
        <f t="shared" si="21"/>
        <v>18</v>
      </c>
      <c r="AS61" s="673"/>
      <c r="AT61" s="541">
        <v>3</v>
      </c>
      <c r="AU61" s="542">
        <v>2455.3846153846243</v>
      </c>
      <c r="AV61" s="542">
        <v>818.46153846154141</v>
      </c>
      <c r="AW61" s="541">
        <f t="shared" si="23"/>
        <v>12</v>
      </c>
      <c r="AX61" s="673"/>
      <c r="AZ61" s="361" t="e">
        <f t="shared" si="25"/>
        <v>#N/A</v>
      </c>
      <c r="BA61" s="673"/>
    </row>
    <row r="62" spans="2:53">
      <c r="B62" s="687"/>
      <c r="C62" s="284">
        <v>21</v>
      </c>
      <c r="D62" s="491" t="s">
        <v>598</v>
      </c>
      <c r="E62" s="196">
        <v>4</v>
      </c>
      <c r="F62" s="196">
        <v>2200</v>
      </c>
      <c r="G62" s="496">
        <v>550</v>
      </c>
      <c r="H62" s="673"/>
      <c r="I62" s="352">
        <f t="shared" si="27"/>
        <v>4</v>
      </c>
      <c r="J62" s="352">
        <f t="shared" si="28"/>
        <v>2295.924242424237</v>
      </c>
      <c r="K62" s="194">
        <f t="shared" si="29"/>
        <v>573.98106060605926</v>
      </c>
      <c r="L62" s="645"/>
      <c r="M62" s="193">
        <f>RANK(K62, K$42:$K$71)</f>
        <v>23</v>
      </c>
      <c r="N62" s="665"/>
      <c r="O62" s="665"/>
      <c r="P62" s="541">
        <v>4</v>
      </c>
      <c r="Q62" s="542">
        <v>2239.9999999999959</v>
      </c>
      <c r="R62" s="542">
        <v>559.99999999999898</v>
      </c>
      <c r="S62" s="541">
        <f t="shared" si="11"/>
        <v>23</v>
      </c>
      <c r="T62" s="673"/>
      <c r="U62" s="541">
        <v>4</v>
      </c>
      <c r="V62" s="542">
        <v>2220.0000000000077</v>
      </c>
      <c r="W62" s="542">
        <v>555.00000000000193</v>
      </c>
      <c r="X62" s="541">
        <f t="shared" si="13"/>
        <v>23</v>
      </c>
      <c r="Y62" s="673"/>
      <c r="Z62" s="541">
        <v>4</v>
      </c>
      <c r="AA62" s="542">
        <v>2563.6363636363544</v>
      </c>
      <c r="AB62" s="542">
        <v>640.9090909090886</v>
      </c>
      <c r="AC62" s="541">
        <f t="shared" si="15"/>
        <v>23</v>
      </c>
      <c r="AD62" s="673"/>
      <c r="AE62" s="541">
        <v>4</v>
      </c>
      <c r="AF62" s="542">
        <v>2170.9090909090828</v>
      </c>
      <c r="AG62" s="542">
        <v>542.7272727272707</v>
      </c>
      <c r="AH62" s="541">
        <f t="shared" si="17"/>
        <v>23</v>
      </c>
      <c r="AI62" s="673"/>
      <c r="AJ62" s="541">
        <v>4</v>
      </c>
      <c r="AK62" s="542">
        <v>2267.9999999999936</v>
      </c>
      <c r="AL62" s="542">
        <v>566.99999999999841</v>
      </c>
      <c r="AM62" s="541">
        <f t="shared" si="19"/>
        <v>23</v>
      </c>
      <c r="AN62" s="673"/>
      <c r="AO62" s="541">
        <v>4</v>
      </c>
      <c r="AP62" s="542">
        <v>2312.9999999999895</v>
      </c>
      <c r="AQ62" s="542">
        <v>578.24999999999739</v>
      </c>
      <c r="AR62" s="541">
        <f t="shared" si="21"/>
        <v>23</v>
      </c>
      <c r="AS62" s="673"/>
      <c r="AT62" s="541" t="s">
        <v>564</v>
      </c>
      <c r="AU62" s="542" t="s">
        <v>564</v>
      </c>
      <c r="AV62" s="542" t="s">
        <v>564</v>
      </c>
      <c r="AW62" s="541" t="e">
        <f t="shared" si="23"/>
        <v>#VALUE!</v>
      </c>
      <c r="AX62" s="673"/>
      <c r="AZ62" s="361" t="e">
        <f t="shared" si="25"/>
        <v>#N/A</v>
      </c>
      <c r="BA62" s="673"/>
    </row>
    <row r="63" spans="2:53">
      <c r="B63" s="687"/>
      <c r="C63" s="284">
        <v>22</v>
      </c>
      <c r="D63" s="491" t="s">
        <v>700</v>
      </c>
      <c r="E63" s="196">
        <v>4</v>
      </c>
      <c r="F63" s="196">
        <v>3200</v>
      </c>
      <c r="G63" s="496">
        <v>800</v>
      </c>
      <c r="H63" s="673"/>
      <c r="I63" s="352">
        <f t="shared" si="27"/>
        <v>4</v>
      </c>
      <c r="J63" s="352">
        <f t="shared" si="28"/>
        <v>3179.4721224373548</v>
      </c>
      <c r="K63" s="194">
        <f t="shared" si="29"/>
        <v>794.86803060933869</v>
      </c>
      <c r="L63" s="645"/>
      <c r="M63" s="193">
        <f>RANK(K63, K$42:$K$71)</f>
        <v>13</v>
      </c>
      <c r="N63" s="665"/>
      <c r="O63" s="665"/>
      <c r="P63" s="541">
        <v>4</v>
      </c>
      <c r="Q63" s="542">
        <v>3185.5045871559628</v>
      </c>
      <c r="R63" s="542">
        <v>796.3761467889907</v>
      </c>
      <c r="S63" s="541">
        <f t="shared" si="11"/>
        <v>15</v>
      </c>
      <c r="T63" s="673"/>
      <c r="U63" s="541">
        <v>4</v>
      </c>
      <c r="V63" s="542">
        <v>3189.9999999999945</v>
      </c>
      <c r="W63" s="542">
        <v>797.49999999999864</v>
      </c>
      <c r="X63" s="541">
        <f t="shared" si="13"/>
        <v>15</v>
      </c>
      <c r="Y63" s="673"/>
      <c r="Z63" s="541">
        <v>4</v>
      </c>
      <c r="AA63" s="542">
        <v>3198.9473684210502</v>
      </c>
      <c r="AB63" s="542">
        <v>799.73684210526255</v>
      </c>
      <c r="AC63" s="541">
        <f t="shared" si="15"/>
        <v>12</v>
      </c>
      <c r="AD63" s="673"/>
      <c r="AE63" s="541">
        <v>4</v>
      </c>
      <c r="AF63" s="542">
        <v>3201.9230769230785</v>
      </c>
      <c r="AG63" s="542">
        <v>800.48076923076962</v>
      </c>
      <c r="AH63" s="541">
        <f t="shared" si="17"/>
        <v>12</v>
      </c>
      <c r="AI63" s="673"/>
      <c r="AJ63" s="541">
        <v>4</v>
      </c>
      <c r="AK63" s="542">
        <v>3150.666666666667</v>
      </c>
      <c r="AL63" s="542">
        <v>787.66666666666674</v>
      </c>
      <c r="AM63" s="541">
        <f t="shared" si="19"/>
        <v>14</v>
      </c>
      <c r="AN63" s="673"/>
      <c r="AO63" s="541">
        <v>4</v>
      </c>
      <c r="AP63" s="542">
        <v>3183.9999999999986</v>
      </c>
      <c r="AQ63" s="542">
        <v>795.99999999999966</v>
      </c>
      <c r="AR63" s="541">
        <f t="shared" si="21"/>
        <v>12</v>
      </c>
      <c r="AS63" s="673"/>
      <c r="AT63" s="541">
        <v>4</v>
      </c>
      <c r="AU63" s="542">
        <v>3145.2631578947348</v>
      </c>
      <c r="AV63" s="542">
        <v>786.31578947368371</v>
      </c>
      <c r="AW63" s="541">
        <f t="shared" si="23"/>
        <v>15</v>
      </c>
      <c r="AX63" s="673"/>
      <c r="AZ63" s="361" t="e">
        <f t="shared" si="25"/>
        <v>#N/A</v>
      </c>
      <c r="BA63" s="673"/>
    </row>
    <row r="64" spans="2:53">
      <c r="B64" s="687"/>
      <c r="C64" s="284">
        <v>23</v>
      </c>
      <c r="D64" s="196" t="s">
        <v>724</v>
      </c>
      <c r="E64" s="196">
        <v>4</v>
      </c>
      <c r="F64" s="196">
        <v>3200</v>
      </c>
      <c r="G64" s="496">
        <v>800</v>
      </c>
      <c r="H64" s="673"/>
      <c r="I64" s="352">
        <f t="shared" si="27"/>
        <v>4</v>
      </c>
      <c r="J64" s="352">
        <f t="shared" si="28"/>
        <v>3178.9411110407395</v>
      </c>
      <c r="K64" s="194">
        <f t="shared" si="29"/>
        <v>794.73527776018489</v>
      </c>
      <c r="L64" s="645"/>
      <c r="M64" s="193">
        <f>RANK(K64, K$42:$K$71)</f>
        <v>14</v>
      </c>
      <c r="N64" s="665"/>
      <c r="O64" s="665"/>
      <c r="P64" s="541">
        <v>4</v>
      </c>
      <c r="Q64" s="542">
        <v>3193.6082474226787</v>
      </c>
      <c r="R64" s="542">
        <v>798.40206185566967</v>
      </c>
      <c r="S64" s="541">
        <f t="shared" si="11"/>
        <v>13</v>
      </c>
      <c r="T64" s="673"/>
      <c r="U64" s="541">
        <v>4</v>
      </c>
      <c r="V64" s="542">
        <v>3185.217391304348</v>
      </c>
      <c r="W64" s="542">
        <v>796.304347826087</v>
      </c>
      <c r="X64" s="541">
        <f t="shared" si="13"/>
        <v>16</v>
      </c>
      <c r="Y64" s="673"/>
      <c r="Z64" s="541">
        <v>4</v>
      </c>
      <c r="AA64" s="542">
        <v>3172.8358208955224</v>
      </c>
      <c r="AB64" s="542">
        <v>793.20895522388059</v>
      </c>
      <c r="AC64" s="541">
        <f t="shared" si="15"/>
        <v>15</v>
      </c>
      <c r="AD64" s="673"/>
      <c r="AE64" s="541">
        <v>4</v>
      </c>
      <c r="AF64" s="542">
        <v>3193.170731707316</v>
      </c>
      <c r="AG64" s="542">
        <v>798.292682926829</v>
      </c>
      <c r="AH64" s="541">
        <f t="shared" si="17"/>
        <v>13</v>
      </c>
      <c r="AI64" s="673"/>
      <c r="AJ64" s="541">
        <v>4</v>
      </c>
      <c r="AK64" s="542">
        <v>3197.6470588235334</v>
      </c>
      <c r="AL64" s="542">
        <v>799.41176470588334</v>
      </c>
      <c r="AM64" s="541">
        <f t="shared" si="19"/>
        <v>12</v>
      </c>
      <c r="AN64" s="673"/>
      <c r="AO64" s="541">
        <v>4</v>
      </c>
      <c r="AP64" s="542">
        <v>3142.666666666667</v>
      </c>
      <c r="AQ64" s="542">
        <v>785.66666666666674</v>
      </c>
      <c r="AR64" s="541">
        <f t="shared" si="21"/>
        <v>14</v>
      </c>
      <c r="AS64" s="673"/>
      <c r="AT64" s="541">
        <v>4</v>
      </c>
      <c r="AU64" s="542">
        <v>3167.4418604651155</v>
      </c>
      <c r="AV64" s="542">
        <v>791.86046511627887</v>
      </c>
      <c r="AW64" s="541">
        <f t="shared" si="23"/>
        <v>14</v>
      </c>
      <c r="AX64" s="673"/>
      <c r="AZ64" s="361" t="e">
        <f t="shared" si="25"/>
        <v>#N/A</v>
      </c>
      <c r="BA64" s="673"/>
    </row>
    <row r="65" spans="2:53">
      <c r="B65" s="687"/>
      <c r="C65" s="284">
        <v>24</v>
      </c>
      <c r="D65" s="491" t="s">
        <v>572</v>
      </c>
      <c r="E65" s="196">
        <v>8</v>
      </c>
      <c r="F65" s="196">
        <v>1500</v>
      </c>
      <c r="G65" s="496">
        <v>187.5</v>
      </c>
      <c r="H65" s="673"/>
      <c r="I65" s="352">
        <f t="shared" si="27"/>
        <v>8</v>
      </c>
      <c r="J65" s="352">
        <f t="shared" si="28"/>
        <v>1467.8254942370418</v>
      </c>
      <c r="K65" s="194">
        <f t="shared" si="29"/>
        <v>183.47818677963022</v>
      </c>
      <c r="L65" s="645"/>
      <c r="M65" s="193">
        <f>RANK(K65, K$42:$K$71)</f>
        <v>24</v>
      </c>
      <c r="N65" s="665"/>
      <c r="O65" s="665"/>
      <c r="P65" s="541">
        <v>8</v>
      </c>
      <c r="Q65" s="542">
        <v>1467.4285714285697</v>
      </c>
      <c r="R65" s="542">
        <v>183.42857142857122</v>
      </c>
      <c r="S65" s="541">
        <f t="shared" si="11"/>
        <v>24</v>
      </c>
      <c r="T65" s="673"/>
      <c r="U65" s="541">
        <v>8</v>
      </c>
      <c r="V65" s="542">
        <v>1466.0869565217376</v>
      </c>
      <c r="W65" s="542">
        <v>183.26086956521721</v>
      </c>
      <c r="X65" s="541">
        <f t="shared" si="13"/>
        <v>24</v>
      </c>
      <c r="Y65" s="673"/>
      <c r="Z65" s="541">
        <v>8</v>
      </c>
      <c r="AA65" s="542">
        <v>1469.0322580645175</v>
      </c>
      <c r="AB65" s="542">
        <v>183.62903225806468</v>
      </c>
      <c r="AC65" s="541">
        <f t="shared" si="15"/>
        <v>24</v>
      </c>
      <c r="AD65" s="673"/>
      <c r="AE65" s="541">
        <v>8</v>
      </c>
      <c r="AF65" s="542">
        <v>1483.4482758620702</v>
      </c>
      <c r="AG65" s="542">
        <v>185.43103448275878</v>
      </c>
      <c r="AH65" s="541">
        <f t="shared" si="17"/>
        <v>24</v>
      </c>
      <c r="AI65" s="673"/>
      <c r="AJ65" s="541">
        <v>8</v>
      </c>
      <c r="AK65" s="542">
        <v>1443.6923076923092</v>
      </c>
      <c r="AL65" s="542">
        <v>180.46153846153865</v>
      </c>
      <c r="AM65" s="541">
        <f t="shared" si="19"/>
        <v>24</v>
      </c>
      <c r="AN65" s="673"/>
      <c r="AO65" s="541">
        <v>8</v>
      </c>
      <c r="AP65" s="542">
        <v>1466.7567567567555</v>
      </c>
      <c r="AQ65" s="542">
        <v>183.34459459459444</v>
      </c>
      <c r="AR65" s="541">
        <f t="shared" si="21"/>
        <v>24</v>
      </c>
      <c r="AS65" s="673"/>
      <c r="AT65" s="541">
        <v>8</v>
      </c>
      <c r="AU65" s="542">
        <v>1478.3333333333321</v>
      </c>
      <c r="AV65" s="542">
        <v>184.79166666666652</v>
      </c>
      <c r="AW65" s="541">
        <f t="shared" si="23"/>
        <v>23</v>
      </c>
      <c r="AX65" s="673"/>
      <c r="AZ65" s="361" t="e">
        <f t="shared" si="25"/>
        <v>#N/A</v>
      </c>
      <c r="BA65" s="673"/>
    </row>
    <row r="66" spans="2:53">
      <c r="B66" s="687"/>
      <c r="C66" s="284">
        <v>25</v>
      </c>
      <c r="D66" s="196"/>
      <c r="E66" s="196"/>
      <c r="F66" s="196"/>
      <c r="G66" s="496"/>
      <c r="H66" s="673"/>
      <c r="I66" s="352" t="str">
        <f t="shared" si="27"/>
        <v>-</v>
      </c>
      <c r="J66" s="352" t="str">
        <f t="shared" si="28"/>
        <v>-</v>
      </c>
      <c r="K66" s="194" t="str">
        <f t="shared" si="29"/>
        <v>-</v>
      </c>
      <c r="L66" s="645"/>
      <c r="M66" s="193" t="e">
        <f>RANK(K66, K$42:$K$71)</f>
        <v>#VALUE!</v>
      </c>
      <c r="N66" s="665"/>
      <c r="O66" s="665"/>
      <c r="P66" s="541"/>
      <c r="Q66" s="542"/>
      <c r="R66" s="542"/>
      <c r="S66" s="541" t="e">
        <f t="shared" si="11"/>
        <v>#N/A</v>
      </c>
      <c r="T66" s="673"/>
      <c r="U66" s="541"/>
      <c r="V66" s="542"/>
      <c r="W66" s="542"/>
      <c r="X66" s="541" t="e">
        <f t="shared" si="13"/>
        <v>#N/A</v>
      </c>
      <c r="Y66" s="673"/>
      <c r="Z66" s="541"/>
      <c r="AA66" s="542"/>
      <c r="AB66" s="542"/>
      <c r="AC66" s="541" t="e">
        <f t="shared" si="15"/>
        <v>#N/A</v>
      </c>
      <c r="AD66" s="673"/>
      <c r="AE66" s="541"/>
      <c r="AF66" s="542"/>
      <c r="AG66" s="542"/>
      <c r="AH66" s="541" t="e">
        <f t="shared" si="17"/>
        <v>#N/A</v>
      </c>
      <c r="AI66" s="673"/>
      <c r="AJ66" s="541"/>
      <c r="AK66" s="542"/>
      <c r="AL66" s="542"/>
      <c r="AM66" s="541" t="e">
        <f t="shared" si="19"/>
        <v>#N/A</v>
      </c>
      <c r="AN66" s="673"/>
      <c r="AO66" s="541"/>
      <c r="AP66" s="542"/>
      <c r="AQ66" s="542"/>
      <c r="AR66" s="541" t="e">
        <f t="shared" si="21"/>
        <v>#N/A</v>
      </c>
      <c r="AS66" s="673"/>
      <c r="AT66" s="541"/>
      <c r="AU66" s="542"/>
      <c r="AV66" s="542"/>
      <c r="AW66" s="541" t="e">
        <f t="shared" si="23"/>
        <v>#N/A</v>
      </c>
      <c r="AX66" s="673"/>
      <c r="AZ66" s="361" t="e">
        <f t="shared" si="25"/>
        <v>#N/A</v>
      </c>
      <c r="BA66" s="673"/>
    </row>
    <row r="67" spans="2:53">
      <c r="B67" s="687"/>
      <c r="C67" s="284">
        <v>26</v>
      </c>
      <c r="D67" s="196"/>
      <c r="E67" s="196"/>
      <c r="F67" s="196"/>
      <c r="G67" s="496"/>
      <c r="H67" s="673"/>
      <c r="I67" s="352" t="str">
        <f t="shared" si="27"/>
        <v>-</v>
      </c>
      <c r="J67" s="352" t="str">
        <f t="shared" si="28"/>
        <v>-</v>
      </c>
      <c r="K67" s="194" t="str">
        <f t="shared" si="29"/>
        <v>-</v>
      </c>
      <c r="L67" s="645"/>
      <c r="M67" s="193" t="e">
        <f>RANK(K67, K$42:$K$71)</f>
        <v>#VALUE!</v>
      </c>
      <c r="N67" s="665"/>
      <c r="O67" s="665"/>
      <c r="P67" s="541"/>
      <c r="Q67" s="542"/>
      <c r="R67" s="542"/>
      <c r="S67" s="541" t="e">
        <f t="shared" si="11"/>
        <v>#N/A</v>
      </c>
      <c r="T67" s="673"/>
      <c r="U67" s="541"/>
      <c r="V67" s="542"/>
      <c r="W67" s="542"/>
      <c r="X67" s="541" t="e">
        <f t="shared" si="13"/>
        <v>#N/A</v>
      </c>
      <c r="Y67" s="673"/>
      <c r="Z67" s="541"/>
      <c r="AA67" s="542"/>
      <c r="AB67" s="542"/>
      <c r="AC67" s="541" t="e">
        <f t="shared" si="15"/>
        <v>#N/A</v>
      </c>
      <c r="AD67" s="673"/>
      <c r="AE67" s="541"/>
      <c r="AF67" s="542"/>
      <c r="AG67" s="542"/>
      <c r="AH67" s="541" t="e">
        <f t="shared" si="17"/>
        <v>#N/A</v>
      </c>
      <c r="AI67" s="673"/>
      <c r="AJ67" s="541"/>
      <c r="AK67" s="542"/>
      <c r="AL67" s="542"/>
      <c r="AM67" s="541" t="e">
        <f t="shared" si="19"/>
        <v>#N/A</v>
      </c>
      <c r="AN67" s="673"/>
      <c r="AO67" s="541"/>
      <c r="AP67" s="542"/>
      <c r="AQ67" s="542"/>
      <c r="AR67" s="541" t="e">
        <f t="shared" si="21"/>
        <v>#N/A</v>
      </c>
      <c r="AS67" s="673"/>
      <c r="AT67" s="541"/>
      <c r="AU67" s="542"/>
      <c r="AV67" s="542"/>
      <c r="AW67" s="541" t="e">
        <f t="shared" si="23"/>
        <v>#N/A</v>
      </c>
      <c r="AX67" s="673"/>
      <c r="AZ67" s="361" t="e">
        <f t="shared" si="25"/>
        <v>#N/A</v>
      </c>
      <c r="BA67" s="673"/>
    </row>
    <row r="68" spans="2:53">
      <c r="B68" s="687"/>
      <c r="C68" s="284">
        <v>27</v>
      </c>
      <c r="D68" s="196"/>
      <c r="E68" s="196"/>
      <c r="F68" s="196"/>
      <c r="G68" s="496"/>
      <c r="H68" s="673"/>
      <c r="I68" s="352" t="str">
        <f t="shared" si="27"/>
        <v>-</v>
      </c>
      <c r="J68" s="352" t="str">
        <f t="shared" si="28"/>
        <v>-</v>
      </c>
      <c r="K68" s="194" t="str">
        <f t="shared" si="29"/>
        <v>-</v>
      </c>
      <c r="L68" s="645"/>
      <c r="M68" s="193" t="e">
        <f>RANK(K68, K$42:$K$71)</f>
        <v>#VALUE!</v>
      </c>
      <c r="N68" s="665"/>
      <c r="O68" s="665"/>
      <c r="P68" s="541"/>
      <c r="Q68" s="542"/>
      <c r="R68" s="542"/>
      <c r="S68" s="541" t="e">
        <f t="shared" si="11"/>
        <v>#N/A</v>
      </c>
      <c r="T68" s="673"/>
      <c r="U68" s="541"/>
      <c r="V68" s="542"/>
      <c r="W68" s="542"/>
      <c r="X68" s="541" t="e">
        <f t="shared" si="13"/>
        <v>#N/A</v>
      </c>
      <c r="Y68" s="673"/>
      <c r="Z68" s="541"/>
      <c r="AA68" s="542"/>
      <c r="AB68" s="542"/>
      <c r="AC68" s="541" t="e">
        <f t="shared" si="15"/>
        <v>#N/A</v>
      </c>
      <c r="AD68" s="673"/>
      <c r="AE68" s="541"/>
      <c r="AF68" s="542"/>
      <c r="AG68" s="542"/>
      <c r="AH68" s="541" t="e">
        <f t="shared" si="17"/>
        <v>#N/A</v>
      </c>
      <c r="AI68" s="673"/>
      <c r="AJ68" s="541"/>
      <c r="AK68" s="542"/>
      <c r="AL68" s="542"/>
      <c r="AM68" s="541" t="e">
        <f t="shared" si="19"/>
        <v>#N/A</v>
      </c>
      <c r="AN68" s="673"/>
      <c r="AO68" s="541"/>
      <c r="AP68" s="542"/>
      <c r="AQ68" s="542"/>
      <c r="AR68" s="541" t="e">
        <f t="shared" si="21"/>
        <v>#N/A</v>
      </c>
      <c r="AS68" s="673"/>
      <c r="AT68" s="541"/>
      <c r="AU68" s="542"/>
      <c r="AV68" s="542"/>
      <c r="AW68" s="541" t="e">
        <f t="shared" si="23"/>
        <v>#N/A</v>
      </c>
      <c r="AX68" s="673"/>
      <c r="AZ68" s="361" t="e">
        <f t="shared" si="25"/>
        <v>#N/A</v>
      </c>
      <c r="BA68" s="673"/>
    </row>
    <row r="69" spans="2:53">
      <c r="B69" s="687"/>
      <c r="C69" s="284">
        <v>28</v>
      </c>
      <c r="D69" s="196"/>
      <c r="E69" s="196"/>
      <c r="F69" s="196"/>
      <c r="G69" s="196"/>
      <c r="H69" s="673"/>
      <c r="I69" s="352" t="str">
        <f t="shared" si="27"/>
        <v>-</v>
      </c>
      <c r="J69" s="352" t="str">
        <f t="shared" si="28"/>
        <v>-</v>
      </c>
      <c r="K69" s="194" t="str">
        <f t="shared" si="29"/>
        <v>-</v>
      </c>
      <c r="L69" s="645"/>
      <c r="M69" s="193" t="e">
        <f>RANK(K69, K$42:$K$71)</f>
        <v>#VALUE!</v>
      </c>
      <c r="N69" s="665"/>
      <c r="O69" s="665"/>
      <c r="P69" s="541"/>
      <c r="Q69" s="542"/>
      <c r="R69" s="542"/>
      <c r="S69" s="541" t="e">
        <f t="shared" si="11"/>
        <v>#N/A</v>
      </c>
      <c r="T69" s="673"/>
      <c r="U69" s="541"/>
      <c r="V69" s="542"/>
      <c r="W69" s="542"/>
      <c r="X69" s="541" t="e">
        <f t="shared" si="13"/>
        <v>#N/A</v>
      </c>
      <c r="Y69" s="673"/>
      <c r="Z69" s="541"/>
      <c r="AA69" s="542"/>
      <c r="AB69" s="542"/>
      <c r="AC69" s="541" t="e">
        <f t="shared" si="15"/>
        <v>#N/A</v>
      </c>
      <c r="AD69" s="673"/>
      <c r="AE69" s="541"/>
      <c r="AF69" s="542"/>
      <c r="AG69" s="542"/>
      <c r="AH69" s="541" t="e">
        <f t="shared" si="17"/>
        <v>#N/A</v>
      </c>
      <c r="AI69" s="673"/>
      <c r="AJ69" s="541"/>
      <c r="AK69" s="542"/>
      <c r="AL69" s="542"/>
      <c r="AM69" s="541" t="e">
        <f t="shared" si="19"/>
        <v>#N/A</v>
      </c>
      <c r="AN69" s="673"/>
      <c r="AO69" s="541"/>
      <c r="AP69" s="542"/>
      <c r="AQ69" s="542"/>
      <c r="AR69" s="541" t="e">
        <f t="shared" si="21"/>
        <v>#N/A</v>
      </c>
      <c r="AS69" s="673"/>
      <c r="AT69" s="541"/>
      <c r="AU69" s="542"/>
      <c r="AV69" s="542"/>
      <c r="AW69" s="541" t="e">
        <f t="shared" si="23"/>
        <v>#N/A</v>
      </c>
      <c r="AX69" s="673"/>
      <c r="AZ69" s="361" t="e">
        <f t="shared" si="25"/>
        <v>#N/A</v>
      </c>
      <c r="BA69" s="673"/>
    </row>
    <row r="70" spans="2:53">
      <c r="B70" s="687"/>
      <c r="C70" s="284">
        <v>29</v>
      </c>
      <c r="D70" s="196"/>
      <c r="E70" s="196"/>
      <c r="F70" s="196"/>
      <c r="G70" s="196"/>
      <c r="H70" s="673"/>
      <c r="I70" s="352" t="str">
        <f t="shared" si="27"/>
        <v>-</v>
      </c>
      <c r="J70" s="352" t="str">
        <f t="shared" si="28"/>
        <v>-</v>
      </c>
      <c r="K70" s="194" t="str">
        <f t="shared" si="29"/>
        <v>-</v>
      </c>
      <c r="L70" s="645"/>
      <c r="M70" s="193" t="e">
        <f>RANK(K70, K$42:$K$71)</f>
        <v>#VALUE!</v>
      </c>
      <c r="N70" s="665"/>
      <c r="O70" s="665"/>
      <c r="P70" s="541"/>
      <c r="Q70" s="542"/>
      <c r="R70" s="542"/>
      <c r="S70" s="541" t="e">
        <f t="shared" si="11"/>
        <v>#N/A</v>
      </c>
      <c r="T70" s="673"/>
      <c r="U70" s="541"/>
      <c r="V70" s="542"/>
      <c r="W70" s="542"/>
      <c r="X70" s="541" t="e">
        <f t="shared" si="13"/>
        <v>#N/A</v>
      </c>
      <c r="Y70" s="673"/>
      <c r="Z70" s="541"/>
      <c r="AA70" s="542"/>
      <c r="AB70" s="542"/>
      <c r="AC70" s="541" t="e">
        <f t="shared" si="15"/>
        <v>#N/A</v>
      </c>
      <c r="AD70" s="673"/>
      <c r="AE70" s="541"/>
      <c r="AF70" s="542"/>
      <c r="AG70" s="542"/>
      <c r="AH70" s="541" t="e">
        <f t="shared" si="17"/>
        <v>#N/A</v>
      </c>
      <c r="AI70" s="673"/>
      <c r="AJ70" s="541"/>
      <c r="AK70" s="542"/>
      <c r="AL70" s="542"/>
      <c r="AM70" s="541" t="e">
        <f t="shared" si="19"/>
        <v>#N/A</v>
      </c>
      <c r="AN70" s="673"/>
      <c r="AO70" s="541"/>
      <c r="AP70" s="542"/>
      <c r="AQ70" s="542"/>
      <c r="AR70" s="541" t="e">
        <f t="shared" si="21"/>
        <v>#N/A</v>
      </c>
      <c r="AS70" s="673"/>
      <c r="AT70" s="541"/>
      <c r="AU70" s="542"/>
      <c r="AV70" s="542"/>
      <c r="AW70" s="541" t="e">
        <f t="shared" si="23"/>
        <v>#N/A</v>
      </c>
      <c r="AX70" s="673"/>
      <c r="AZ70" s="361" t="e">
        <f t="shared" si="25"/>
        <v>#N/A</v>
      </c>
      <c r="BA70" s="673"/>
    </row>
    <row r="71" spans="2:53">
      <c r="B71" s="688"/>
      <c r="C71" s="284">
        <v>30</v>
      </c>
      <c r="D71" s="196"/>
      <c r="E71" s="196"/>
      <c r="F71" s="196"/>
      <c r="G71" s="196"/>
      <c r="H71" s="674"/>
      <c r="I71" s="352" t="str">
        <f t="shared" si="27"/>
        <v>-</v>
      </c>
      <c r="J71" s="352" t="str">
        <f t="shared" si="28"/>
        <v>-</v>
      </c>
      <c r="K71" s="194" t="str">
        <f t="shared" si="29"/>
        <v>-</v>
      </c>
      <c r="L71" s="646"/>
      <c r="M71" s="193" t="e">
        <f>RANK(K71, K$42:$K$71)</f>
        <v>#VALUE!</v>
      </c>
      <c r="N71" s="666"/>
      <c r="O71" s="666"/>
      <c r="P71" s="541"/>
      <c r="Q71" s="542"/>
      <c r="R71" s="542"/>
      <c r="S71" s="541" t="e">
        <f t="shared" si="11"/>
        <v>#N/A</v>
      </c>
      <c r="T71" s="674"/>
      <c r="U71" s="541"/>
      <c r="V71" s="542"/>
      <c r="W71" s="542"/>
      <c r="X71" s="541" t="e">
        <f t="shared" si="13"/>
        <v>#N/A</v>
      </c>
      <c r="Y71" s="674"/>
      <c r="Z71" s="541"/>
      <c r="AA71" s="542"/>
      <c r="AB71" s="542"/>
      <c r="AC71" s="541" t="e">
        <f t="shared" si="15"/>
        <v>#N/A</v>
      </c>
      <c r="AD71" s="674"/>
      <c r="AE71" s="541"/>
      <c r="AF71" s="542"/>
      <c r="AG71" s="542"/>
      <c r="AH71" s="541" t="e">
        <f t="shared" si="17"/>
        <v>#N/A</v>
      </c>
      <c r="AI71" s="674"/>
      <c r="AJ71" s="541"/>
      <c r="AK71" s="542"/>
      <c r="AL71" s="542"/>
      <c r="AM71" s="541" t="e">
        <f t="shared" si="19"/>
        <v>#N/A</v>
      </c>
      <c r="AN71" s="674"/>
      <c r="AO71" s="541"/>
      <c r="AP71" s="542"/>
      <c r="AQ71" s="542"/>
      <c r="AR71" s="541" t="e">
        <f t="shared" si="21"/>
        <v>#N/A</v>
      </c>
      <c r="AS71" s="674"/>
      <c r="AT71" s="541"/>
      <c r="AU71" s="542"/>
      <c r="AV71" s="542"/>
      <c r="AW71" s="541" t="e">
        <f t="shared" si="23"/>
        <v>#N/A</v>
      </c>
      <c r="AX71" s="674"/>
      <c r="AZ71" s="361" t="e">
        <f t="shared" si="25"/>
        <v>#N/A</v>
      </c>
      <c r="BA71" s="674"/>
    </row>
    <row r="72" spans="2:53" ht="15.75">
      <c r="B72" s="689" t="s">
        <v>162</v>
      </c>
      <c r="C72" s="690"/>
      <c r="D72" s="690"/>
      <c r="E72" s="690"/>
      <c r="F72" s="690"/>
      <c r="G72" s="690"/>
      <c r="H72" s="690"/>
      <c r="I72" s="202"/>
      <c r="J72" s="197"/>
      <c r="K72" s="202"/>
      <c r="L72" s="202"/>
      <c r="M72" s="198"/>
      <c r="N72" s="664" t="s">
        <v>156</v>
      </c>
      <c r="O72" s="664" t="s">
        <v>155</v>
      </c>
      <c r="P72" s="670">
        <f>P37+7</f>
        <v>46280</v>
      </c>
      <c r="Q72" s="671"/>
      <c r="R72" s="671"/>
      <c r="S72" s="671"/>
      <c r="T72" s="671"/>
      <c r="U72" s="667">
        <f>P72+1</f>
        <v>46281</v>
      </c>
      <c r="V72" s="668"/>
      <c r="W72" s="668"/>
      <c r="X72" s="668"/>
      <c r="Y72" s="669"/>
      <c r="Z72" s="667">
        <f>U72+1</f>
        <v>46282</v>
      </c>
      <c r="AA72" s="668"/>
      <c r="AB72" s="668"/>
      <c r="AC72" s="668"/>
      <c r="AD72" s="669"/>
      <c r="AE72" s="667">
        <f>Z72+1</f>
        <v>46283</v>
      </c>
      <c r="AF72" s="668"/>
      <c r="AG72" s="668"/>
      <c r="AH72" s="668"/>
      <c r="AI72" s="669"/>
      <c r="AJ72" s="667">
        <f>AE72+1</f>
        <v>46284</v>
      </c>
      <c r="AK72" s="668"/>
      <c r="AL72" s="668"/>
      <c r="AM72" s="668"/>
      <c r="AN72" s="669"/>
      <c r="AO72" s="667">
        <f>AJ72+1</f>
        <v>46285</v>
      </c>
      <c r="AP72" s="668"/>
      <c r="AQ72" s="668"/>
      <c r="AR72" s="668"/>
      <c r="AS72" s="669"/>
      <c r="AT72" s="667">
        <f>AO72+1</f>
        <v>46286</v>
      </c>
      <c r="AU72" s="668"/>
      <c r="AV72" s="668"/>
      <c r="AW72" s="668"/>
      <c r="AX72" s="669"/>
    </row>
    <row r="73" spans="2:53" ht="15.75">
      <c r="B73" s="678"/>
      <c r="C73" s="678"/>
      <c r="D73" s="678"/>
      <c r="E73" s="678"/>
      <c r="F73" s="678"/>
      <c r="G73" s="678"/>
      <c r="H73" s="678"/>
      <c r="I73" s="199"/>
      <c r="J73" s="199"/>
      <c r="K73" s="199"/>
      <c r="L73" s="199"/>
      <c r="M73" s="200"/>
      <c r="N73" s="666"/>
      <c r="O73" s="666"/>
      <c r="P73" s="670" t="s">
        <v>317</v>
      </c>
      <c r="Q73" s="671"/>
      <c r="R73" s="671"/>
      <c r="S73" s="671"/>
      <c r="T73" s="671"/>
      <c r="U73" s="670" t="s">
        <v>318</v>
      </c>
      <c r="V73" s="671"/>
      <c r="W73" s="671"/>
      <c r="X73" s="671"/>
      <c r="Y73" s="671"/>
      <c r="Z73" s="670" t="s">
        <v>319</v>
      </c>
      <c r="AA73" s="671"/>
      <c r="AB73" s="671"/>
      <c r="AC73" s="671"/>
      <c r="AD73" s="671"/>
      <c r="AE73" s="670" t="s">
        <v>320</v>
      </c>
      <c r="AF73" s="671"/>
      <c r="AG73" s="671"/>
      <c r="AH73" s="671"/>
      <c r="AI73" s="671"/>
      <c r="AJ73" s="670" t="s">
        <v>321</v>
      </c>
      <c r="AK73" s="671"/>
      <c r="AL73" s="671"/>
      <c r="AM73" s="671"/>
      <c r="AN73" s="671"/>
      <c r="AO73" s="670" t="s">
        <v>322</v>
      </c>
      <c r="AP73" s="671"/>
      <c r="AQ73" s="671"/>
      <c r="AR73" s="671"/>
      <c r="AS73" s="671"/>
      <c r="AT73" s="670" t="s">
        <v>323</v>
      </c>
      <c r="AU73" s="671"/>
      <c r="AV73" s="671"/>
      <c r="AW73" s="671"/>
      <c r="AX73" s="671"/>
    </row>
    <row r="74" spans="2:53">
      <c r="B74" s="664" t="s">
        <v>446</v>
      </c>
      <c r="C74" s="679" t="s">
        <v>447</v>
      </c>
      <c r="D74" s="682"/>
      <c r="E74" s="660" t="s">
        <v>448</v>
      </c>
      <c r="F74" s="661"/>
      <c r="G74" s="662"/>
      <c r="H74" s="664" t="s">
        <v>449</v>
      </c>
      <c r="I74" s="651" t="s">
        <v>450</v>
      </c>
      <c r="J74" s="652"/>
      <c r="K74" s="653"/>
      <c r="L74" s="654" t="s">
        <v>449</v>
      </c>
      <c r="M74" s="654" t="s">
        <v>451</v>
      </c>
      <c r="N74" s="664"/>
      <c r="O74" s="664" t="s">
        <v>452</v>
      </c>
      <c r="P74" s="660" t="s">
        <v>453</v>
      </c>
      <c r="Q74" s="661"/>
      <c r="R74" s="661"/>
      <c r="S74" s="662"/>
      <c r="T74" s="664" t="s">
        <v>449</v>
      </c>
      <c r="U74" s="660" t="s">
        <v>453</v>
      </c>
      <c r="V74" s="661"/>
      <c r="W74" s="661"/>
      <c r="X74" s="662"/>
      <c r="Y74" s="664" t="s">
        <v>449</v>
      </c>
      <c r="Z74" s="660" t="s">
        <v>453</v>
      </c>
      <c r="AA74" s="661"/>
      <c r="AB74" s="661"/>
      <c r="AC74" s="662"/>
      <c r="AD74" s="664" t="s">
        <v>449</v>
      </c>
      <c r="AE74" s="660" t="s">
        <v>453</v>
      </c>
      <c r="AF74" s="661"/>
      <c r="AG74" s="661"/>
      <c r="AH74" s="662"/>
      <c r="AI74" s="664" t="s">
        <v>449</v>
      </c>
      <c r="AJ74" s="660" t="s">
        <v>453</v>
      </c>
      <c r="AK74" s="661"/>
      <c r="AL74" s="661"/>
      <c r="AM74" s="662"/>
      <c r="AN74" s="664" t="s">
        <v>449</v>
      </c>
      <c r="AO74" s="660" t="s">
        <v>453</v>
      </c>
      <c r="AP74" s="661"/>
      <c r="AQ74" s="661"/>
      <c r="AR74" s="662"/>
      <c r="AS74" s="664" t="s">
        <v>449</v>
      </c>
      <c r="AT74" s="660" t="s">
        <v>453</v>
      </c>
      <c r="AU74" s="661"/>
      <c r="AV74" s="661"/>
      <c r="AW74" s="662"/>
      <c r="AX74" s="664" t="s">
        <v>449</v>
      </c>
      <c r="BA74" s="664" t="s">
        <v>359</v>
      </c>
    </row>
    <row r="75" spans="2:53">
      <c r="B75" s="665"/>
      <c r="C75" s="680"/>
      <c r="D75" s="683"/>
      <c r="E75" s="660" t="s">
        <v>454</v>
      </c>
      <c r="F75" s="661"/>
      <c r="G75" s="662"/>
      <c r="H75" s="665"/>
      <c r="I75" s="651" t="s">
        <v>454</v>
      </c>
      <c r="J75" s="652"/>
      <c r="K75" s="653"/>
      <c r="L75" s="655"/>
      <c r="M75" s="655"/>
      <c r="N75" s="665"/>
      <c r="O75" s="665"/>
      <c r="P75" s="660" t="s">
        <v>455</v>
      </c>
      <c r="Q75" s="661"/>
      <c r="R75" s="661"/>
      <c r="S75" s="662"/>
      <c r="T75" s="665"/>
      <c r="U75" s="660" t="s">
        <v>455</v>
      </c>
      <c r="V75" s="661"/>
      <c r="W75" s="661"/>
      <c r="X75" s="662"/>
      <c r="Y75" s="665"/>
      <c r="Z75" s="660" t="s">
        <v>455</v>
      </c>
      <c r="AA75" s="661"/>
      <c r="AB75" s="661"/>
      <c r="AC75" s="662"/>
      <c r="AD75" s="665"/>
      <c r="AE75" s="660" t="s">
        <v>455</v>
      </c>
      <c r="AF75" s="661"/>
      <c r="AG75" s="661"/>
      <c r="AH75" s="662"/>
      <c r="AI75" s="665"/>
      <c r="AJ75" s="660" t="s">
        <v>455</v>
      </c>
      <c r="AK75" s="661"/>
      <c r="AL75" s="661"/>
      <c r="AM75" s="662"/>
      <c r="AN75" s="665"/>
      <c r="AO75" s="660" t="s">
        <v>455</v>
      </c>
      <c r="AP75" s="661"/>
      <c r="AQ75" s="661"/>
      <c r="AR75" s="662"/>
      <c r="AS75" s="665"/>
      <c r="AT75" s="660" t="s">
        <v>455</v>
      </c>
      <c r="AU75" s="661"/>
      <c r="AV75" s="661"/>
      <c r="AW75" s="662"/>
      <c r="AX75" s="665"/>
      <c r="BA75" s="665"/>
    </row>
    <row r="76" spans="2:53">
      <c r="B76" s="666"/>
      <c r="C76" s="681"/>
      <c r="D76" s="684"/>
      <c r="E76" s="286" t="s">
        <v>456</v>
      </c>
      <c r="F76" s="286" t="s">
        <v>457</v>
      </c>
      <c r="G76" s="286" t="s">
        <v>458</v>
      </c>
      <c r="H76" s="666"/>
      <c r="I76" s="285" t="s">
        <v>456</v>
      </c>
      <c r="J76" s="285" t="s">
        <v>457</v>
      </c>
      <c r="K76" s="285" t="s">
        <v>458</v>
      </c>
      <c r="L76" s="656"/>
      <c r="M76" s="656"/>
      <c r="N76" s="665"/>
      <c r="O76" s="665"/>
      <c r="P76" s="286" t="s">
        <v>456</v>
      </c>
      <c r="Q76" s="286" t="s">
        <v>457</v>
      </c>
      <c r="R76" s="286" t="s">
        <v>458</v>
      </c>
      <c r="S76" s="286" t="s">
        <v>451</v>
      </c>
      <c r="T76" s="666"/>
      <c r="U76" s="286" t="s">
        <v>456</v>
      </c>
      <c r="V76" s="286" t="s">
        <v>457</v>
      </c>
      <c r="W76" s="286" t="s">
        <v>458</v>
      </c>
      <c r="X76" s="286" t="s">
        <v>451</v>
      </c>
      <c r="Y76" s="666"/>
      <c r="Z76" s="286" t="s">
        <v>456</v>
      </c>
      <c r="AA76" s="286" t="s">
        <v>457</v>
      </c>
      <c r="AB76" s="286" t="s">
        <v>458</v>
      </c>
      <c r="AC76" s="286" t="s">
        <v>451</v>
      </c>
      <c r="AD76" s="666"/>
      <c r="AE76" s="286" t="s">
        <v>456</v>
      </c>
      <c r="AF76" s="286" t="s">
        <v>457</v>
      </c>
      <c r="AG76" s="286" t="s">
        <v>458</v>
      </c>
      <c r="AH76" s="286" t="s">
        <v>451</v>
      </c>
      <c r="AI76" s="666"/>
      <c r="AJ76" s="286" t="s">
        <v>456</v>
      </c>
      <c r="AK76" s="286" t="s">
        <v>457</v>
      </c>
      <c r="AL76" s="286" t="s">
        <v>458</v>
      </c>
      <c r="AM76" s="286" t="s">
        <v>451</v>
      </c>
      <c r="AN76" s="666"/>
      <c r="AO76" s="286" t="s">
        <v>456</v>
      </c>
      <c r="AP76" s="286" t="s">
        <v>457</v>
      </c>
      <c r="AQ76" s="286" t="s">
        <v>458</v>
      </c>
      <c r="AR76" s="286" t="s">
        <v>451</v>
      </c>
      <c r="AS76" s="666"/>
      <c r="AT76" s="286" t="s">
        <v>456</v>
      </c>
      <c r="AU76" s="286" t="s">
        <v>457</v>
      </c>
      <c r="AV76" s="286" t="s">
        <v>458</v>
      </c>
      <c r="AW76" s="286" t="s">
        <v>451</v>
      </c>
      <c r="AX76" s="666"/>
      <c r="AZ76" s="362" t="s">
        <v>360</v>
      </c>
      <c r="BA76" s="666"/>
    </row>
    <row r="77" spans="2:53">
      <c r="B77" s="686" t="s">
        <v>150</v>
      </c>
      <c r="C77" s="287">
        <v>1</v>
      </c>
      <c r="D77" s="196"/>
      <c r="E77" s="196"/>
      <c r="F77" s="196"/>
      <c r="G77" s="496"/>
      <c r="H77" s="672" t="e">
        <f>AVERAGE(G77:G106)</f>
        <v>#DIV/0!</v>
      </c>
      <c r="I77" s="352" t="str">
        <f>IFERROR(AVERAGE(P77,U77,Z77,AE77,AJ77,AO77,AT77),"-")</f>
        <v>-</v>
      </c>
      <c r="J77" s="352" t="str">
        <f>IFERROR(AVERAGE(Q77,V77,AA77,AF77,AK77,AP77,AU77),"-")</f>
        <v>-</v>
      </c>
      <c r="K77" s="194" t="str">
        <f>IFERROR(AVERAGE(R77,W77,AB77,AG77,AL77,AQ77,AV77),"-")</f>
        <v>-</v>
      </c>
      <c r="L77" s="657" t="str">
        <f>IFERROR(AVERAGE(K77:K106),"-")</f>
        <v>-</v>
      </c>
      <c r="M77" s="193" t="e">
        <f>RANK(K77, K$77:$K$106)</f>
        <v>#VALUE!</v>
      </c>
      <c r="N77" s="665"/>
      <c r="O77" s="665"/>
      <c r="P77" s="503"/>
      <c r="Q77" s="507"/>
      <c r="R77" s="507"/>
      <c r="S77" s="503"/>
      <c r="T77" s="672"/>
      <c r="U77" s="503"/>
      <c r="V77" s="507"/>
      <c r="W77" s="507"/>
      <c r="X77" s="503"/>
      <c r="Y77" s="672"/>
      <c r="Z77" s="503"/>
      <c r="AA77" s="507"/>
      <c r="AB77" s="507"/>
      <c r="AC77" s="503"/>
      <c r="AD77" s="672"/>
      <c r="AE77" s="503"/>
      <c r="AF77" s="507"/>
      <c r="AG77" s="507"/>
      <c r="AH77" s="503"/>
      <c r="AI77" s="672"/>
      <c r="AJ77" s="503"/>
      <c r="AK77" s="507"/>
      <c r="AL77" s="507"/>
      <c r="AM77" s="503"/>
      <c r="AN77" s="672"/>
      <c r="AO77" s="503"/>
      <c r="AP77" s="507"/>
      <c r="AQ77" s="507"/>
      <c r="AR77" s="503"/>
      <c r="AS77" s="672"/>
      <c r="AT77" s="503"/>
      <c r="AU77" s="507"/>
      <c r="AV77" s="507"/>
      <c r="AW77" s="503"/>
      <c r="AX77" s="672"/>
      <c r="AZ77" s="361" t="e">
        <f t="shared" ref="AZ77:AZ106" si="30">RANK(AY77, AY$77:AY$106)</f>
        <v>#N/A</v>
      </c>
      <c r="BA77" s="672" t="e">
        <f t="shared" ref="BA77" si="31">AVERAGE(AY77:AY106)</f>
        <v>#DIV/0!</v>
      </c>
    </row>
    <row r="78" spans="2:53">
      <c r="B78" s="687"/>
      <c r="C78" s="287">
        <v>2</v>
      </c>
      <c r="D78" s="491"/>
      <c r="E78" s="196"/>
      <c r="F78" s="196"/>
      <c r="G78" s="496"/>
      <c r="H78" s="673"/>
      <c r="I78" s="352" t="str">
        <f t="shared" ref="I78:I106" si="32">IFERROR(AVERAGE(P78,U78,Z78,AE78,AJ78,AO78,AT78),"-")</f>
        <v>-</v>
      </c>
      <c r="J78" s="352" t="str">
        <f t="shared" ref="J78:J106" si="33">IFERROR(AVERAGE(Q78,V78,AA78,AF78,AK78,AP78,AU78),"-")</f>
        <v>-</v>
      </c>
      <c r="K78" s="194" t="str">
        <f t="shared" ref="K78:K106" si="34">IFERROR(AVERAGE(R78,W78,AB78,AG78,AL78,AQ78,AV78),"-")</f>
        <v>-</v>
      </c>
      <c r="L78" s="658"/>
      <c r="M78" s="193" t="e">
        <f>RANK(K78, K$77:$K$106)</f>
        <v>#VALUE!</v>
      </c>
      <c r="N78" s="665"/>
      <c r="O78" s="665"/>
      <c r="P78" s="503"/>
      <c r="Q78" s="507"/>
      <c r="R78" s="507"/>
      <c r="S78" s="503"/>
      <c r="T78" s="673"/>
      <c r="U78" s="503"/>
      <c r="V78" s="507"/>
      <c r="W78" s="507"/>
      <c r="X78" s="503"/>
      <c r="Y78" s="673"/>
      <c r="Z78" s="503"/>
      <c r="AA78" s="507"/>
      <c r="AB78" s="507"/>
      <c r="AC78" s="503"/>
      <c r="AD78" s="673"/>
      <c r="AE78" s="503"/>
      <c r="AF78" s="507"/>
      <c r="AG78" s="507"/>
      <c r="AH78" s="503"/>
      <c r="AI78" s="673"/>
      <c r="AJ78" s="503"/>
      <c r="AK78" s="507"/>
      <c r="AL78" s="507"/>
      <c r="AM78" s="503"/>
      <c r="AN78" s="673"/>
      <c r="AO78" s="503"/>
      <c r="AP78" s="507"/>
      <c r="AQ78" s="507"/>
      <c r="AR78" s="503"/>
      <c r="AS78" s="673"/>
      <c r="AT78" s="503"/>
      <c r="AU78" s="507"/>
      <c r="AV78" s="507"/>
      <c r="AW78" s="503"/>
      <c r="AX78" s="673"/>
      <c r="AZ78" s="361" t="e">
        <f t="shared" si="30"/>
        <v>#N/A</v>
      </c>
      <c r="BA78" s="673"/>
    </row>
    <row r="79" spans="2:53">
      <c r="B79" s="687"/>
      <c r="C79" s="287">
        <v>3</v>
      </c>
      <c r="D79" s="196"/>
      <c r="E79" s="196"/>
      <c r="F79" s="196"/>
      <c r="G79" s="496"/>
      <c r="H79" s="673"/>
      <c r="I79" s="352" t="str">
        <f t="shared" si="32"/>
        <v>-</v>
      </c>
      <c r="J79" s="352" t="str">
        <f t="shared" si="33"/>
        <v>-</v>
      </c>
      <c r="K79" s="194" t="str">
        <f t="shared" si="34"/>
        <v>-</v>
      </c>
      <c r="L79" s="658"/>
      <c r="M79" s="193" t="e">
        <f>RANK(K79, K$77:$K$106)</f>
        <v>#VALUE!</v>
      </c>
      <c r="N79" s="665"/>
      <c r="O79" s="665"/>
      <c r="P79" s="503"/>
      <c r="Q79" s="507"/>
      <c r="R79" s="507"/>
      <c r="S79" s="503"/>
      <c r="T79" s="673"/>
      <c r="U79" s="503"/>
      <c r="V79" s="507"/>
      <c r="W79" s="507"/>
      <c r="X79" s="503"/>
      <c r="Y79" s="673"/>
      <c r="Z79" s="503"/>
      <c r="AA79" s="507"/>
      <c r="AB79" s="507"/>
      <c r="AC79" s="503"/>
      <c r="AD79" s="673"/>
      <c r="AE79" s="503"/>
      <c r="AF79" s="507"/>
      <c r="AG79" s="507"/>
      <c r="AH79" s="503"/>
      <c r="AI79" s="673"/>
      <c r="AJ79" s="503"/>
      <c r="AK79" s="507"/>
      <c r="AL79" s="507"/>
      <c r="AM79" s="503"/>
      <c r="AN79" s="673"/>
      <c r="AO79" s="503"/>
      <c r="AP79" s="507"/>
      <c r="AQ79" s="507"/>
      <c r="AR79" s="503"/>
      <c r="AS79" s="673"/>
      <c r="AT79" s="503"/>
      <c r="AU79" s="507"/>
      <c r="AV79" s="507"/>
      <c r="AW79" s="503"/>
      <c r="AX79" s="673"/>
      <c r="AZ79" s="361" t="e">
        <f t="shared" si="30"/>
        <v>#N/A</v>
      </c>
      <c r="BA79" s="673"/>
    </row>
    <row r="80" spans="2:53">
      <c r="B80" s="687"/>
      <c r="C80" s="287">
        <v>4</v>
      </c>
      <c r="D80" s="196"/>
      <c r="E80" s="196"/>
      <c r="F80" s="196"/>
      <c r="G80" s="496"/>
      <c r="H80" s="673"/>
      <c r="I80" s="352" t="str">
        <f t="shared" si="32"/>
        <v>-</v>
      </c>
      <c r="J80" s="352" t="str">
        <f t="shared" si="33"/>
        <v>-</v>
      </c>
      <c r="K80" s="194" t="str">
        <f t="shared" si="34"/>
        <v>-</v>
      </c>
      <c r="L80" s="658"/>
      <c r="M80" s="193" t="e">
        <f>RANK(K80, K$77:$K$106)</f>
        <v>#VALUE!</v>
      </c>
      <c r="N80" s="665"/>
      <c r="O80" s="665"/>
      <c r="P80" s="503"/>
      <c r="Q80" s="507"/>
      <c r="R80" s="507"/>
      <c r="S80" s="503"/>
      <c r="T80" s="673"/>
      <c r="U80" s="503"/>
      <c r="V80" s="507"/>
      <c r="W80" s="507"/>
      <c r="X80" s="503"/>
      <c r="Y80" s="673"/>
      <c r="Z80" s="503"/>
      <c r="AA80" s="507"/>
      <c r="AB80" s="507"/>
      <c r="AC80" s="503"/>
      <c r="AD80" s="673"/>
      <c r="AE80" s="503"/>
      <c r="AF80" s="507"/>
      <c r="AG80" s="507"/>
      <c r="AH80" s="503"/>
      <c r="AI80" s="673"/>
      <c r="AJ80" s="503"/>
      <c r="AK80" s="507"/>
      <c r="AL80" s="507"/>
      <c r="AM80" s="503"/>
      <c r="AN80" s="673"/>
      <c r="AO80" s="503"/>
      <c r="AP80" s="507"/>
      <c r="AQ80" s="507"/>
      <c r="AR80" s="503"/>
      <c r="AS80" s="673"/>
      <c r="AT80" s="503"/>
      <c r="AU80" s="507"/>
      <c r="AV80" s="507"/>
      <c r="AW80" s="503"/>
      <c r="AX80" s="673"/>
      <c r="AZ80" s="361" t="e">
        <f t="shared" si="30"/>
        <v>#N/A</v>
      </c>
      <c r="BA80" s="673"/>
    </row>
    <row r="81" spans="2:53">
      <c r="B81" s="687"/>
      <c r="C81" s="287">
        <v>5</v>
      </c>
      <c r="D81" s="196"/>
      <c r="E81" s="196"/>
      <c r="F81" s="196"/>
      <c r="G81" s="496"/>
      <c r="H81" s="673"/>
      <c r="I81" s="352" t="str">
        <f t="shared" si="32"/>
        <v>-</v>
      </c>
      <c r="J81" s="352" t="str">
        <f t="shared" si="33"/>
        <v>-</v>
      </c>
      <c r="K81" s="194" t="str">
        <f t="shared" si="34"/>
        <v>-</v>
      </c>
      <c r="L81" s="658"/>
      <c r="M81" s="193" t="e">
        <f>RANK(K81, K$77:$K$106)</f>
        <v>#VALUE!</v>
      </c>
      <c r="N81" s="665"/>
      <c r="O81" s="665"/>
      <c r="P81" s="503"/>
      <c r="Q81" s="507"/>
      <c r="R81" s="507"/>
      <c r="S81" s="503"/>
      <c r="T81" s="673"/>
      <c r="U81" s="503"/>
      <c r="V81" s="507"/>
      <c r="W81" s="507"/>
      <c r="X81" s="503"/>
      <c r="Y81" s="673"/>
      <c r="Z81" s="503"/>
      <c r="AA81" s="507"/>
      <c r="AB81" s="507"/>
      <c r="AC81" s="503"/>
      <c r="AD81" s="673"/>
      <c r="AE81" s="503"/>
      <c r="AF81" s="507"/>
      <c r="AG81" s="507"/>
      <c r="AH81" s="503"/>
      <c r="AI81" s="673"/>
      <c r="AJ81" s="503"/>
      <c r="AK81" s="507"/>
      <c r="AL81" s="507"/>
      <c r="AM81" s="503"/>
      <c r="AN81" s="673"/>
      <c r="AO81" s="503"/>
      <c r="AP81" s="507"/>
      <c r="AQ81" s="507"/>
      <c r="AR81" s="503"/>
      <c r="AS81" s="673"/>
      <c r="AT81" s="503"/>
      <c r="AU81" s="507"/>
      <c r="AV81" s="507"/>
      <c r="AW81" s="503"/>
      <c r="AX81" s="673"/>
      <c r="AZ81" s="361" t="e">
        <f t="shared" si="30"/>
        <v>#N/A</v>
      </c>
      <c r="BA81" s="673"/>
    </row>
    <row r="82" spans="2:53">
      <c r="B82" s="687"/>
      <c r="C82" s="287">
        <v>6</v>
      </c>
      <c r="D82" s="196"/>
      <c r="E82" s="196"/>
      <c r="F82" s="196"/>
      <c r="G82" s="496"/>
      <c r="H82" s="673"/>
      <c r="I82" s="352" t="str">
        <f t="shared" si="32"/>
        <v>-</v>
      </c>
      <c r="J82" s="352" t="str">
        <f t="shared" si="33"/>
        <v>-</v>
      </c>
      <c r="K82" s="194" t="str">
        <f t="shared" si="34"/>
        <v>-</v>
      </c>
      <c r="L82" s="658"/>
      <c r="M82" s="193" t="e">
        <f>RANK(K82, K$77:$K$106)</f>
        <v>#VALUE!</v>
      </c>
      <c r="N82" s="665"/>
      <c r="O82" s="665"/>
      <c r="P82" s="503"/>
      <c r="Q82" s="507"/>
      <c r="R82" s="507"/>
      <c r="S82" s="503"/>
      <c r="T82" s="673"/>
      <c r="U82" s="503"/>
      <c r="V82" s="507"/>
      <c r="W82" s="507"/>
      <c r="X82" s="503"/>
      <c r="Y82" s="673"/>
      <c r="Z82" s="503"/>
      <c r="AA82" s="507"/>
      <c r="AB82" s="507"/>
      <c r="AC82" s="503"/>
      <c r="AD82" s="673"/>
      <c r="AE82" s="503"/>
      <c r="AF82" s="507"/>
      <c r="AG82" s="507"/>
      <c r="AH82" s="503"/>
      <c r="AI82" s="673"/>
      <c r="AJ82" s="503"/>
      <c r="AK82" s="507"/>
      <c r="AL82" s="507"/>
      <c r="AM82" s="503"/>
      <c r="AN82" s="673"/>
      <c r="AO82" s="503"/>
      <c r="AP82" s="507"/>
      <c r="AQ82" s="507"/>
      <c r="AR82" s="503"/>
      <c r="AS82" s="673"/>
      <c r="AT82" s="503"/>
      <c r="AU82" s="507"/>
      <c r="AV82" s="507"/>
      <c r="AW82" s="503"/>
      <c r="AX82" s="673"/>
      <c r="AZ82" s="361" t="e">
        <f t="shared" si="30"/>
        <v>#N/A</v>
      </c>
      <c r="BA82" s="673"/>
    </row>
    <row r="83" spans="2:53">
      <c r="B83" s="687"/>
      <c r="C83" s="287">
        <v>7</v>
      </c>
      <c r="D83" s="196"/>
      <c r="E83" s="196"/>
      <c r="F83" s="196"/>
      <c r="G83" s="496"/>
      <c r="H83" s="673"/>
      <c r="I83" s="352" t="str">
        <f t="shared" si="32"/>
        <v>-</v>
      </c>
      <c r="J83" s="352" t="str">
        <f t="shared" si="33"/>
        <v>-</v>
      </c>
      <c r="K83" s="194" t="str">
        <f t="shared" si="34"/>
        <v>-</v>
      </c>
      <c r="L83" s="658"/>
      <c r="M83" s="193" t="e">
        <f>RANK(K83, K$77:$K$106)</f>
        <v>#VALUE!</v>
      </c>
      <c r="N83" s="665"/>
      <c r="O83" s="665"/>
      <c r="P83" s="503"/>
      <c r="Q83" s="507"/>
      <c r="R83" s="507"/>
      <c r="S83" s="503"/>
      <c r="T83" s="673"/>
      <c r="U83" s="503"/>
      <c r="V83" s="507"/>
      <c r="W83" s="507"/>
      <c r="X83" s="503"/>
      <c r="Y83" s="673"/>
      <c r="Z83" s="503"/>
      <c r="AA83" s="507"/>
      <c r="AB83" s="507"/>
      <c r="AC83" s="503"/>
      <c r="AD83" s="673"/>
      <c r="AE83" s="503"/>
      <c r="AF83" s="507"/>
      <c r="AG83" s="507"/>
      <c r="AH83" s="503"/>
      <c r="AI83" s="673"/>
      <c r="AJ83" s="503"/>
      <c r="AK83" s="507"/>
      <c r="AL83" s="507"/>
      <c r="AM83" s="503"/>
      <c r="AN83" s="673"/>
      <c r="AO83" s="503"/>
      <c r="AP83" s="507"/>
      <c r="AQ83" s="507"/>
      <c r="AR83" s="503"/>
      <c r="AS83" s="673"/>
      <c r="AT83" s="503"/>
      <c r="AU83" s="507"/>
      <c r="AV83" s="507"/>
      <c r="AW83" s="503"/>
      <c r="AX83" s="673"/>
      <c r="AZ83" s="361" t="e">
        <f t="shared" si="30"/>
        <v>#N/A</v>
      </c>
      <c r="BA83" s="673"/>
    </row>
    <row r="84" spans="2:53">
      <c r="B84" s="687"/>
      <c r="C84" s="287">
        <v>8</v>
      </c>
      <c r="D84" s="196"/>
      <c r="E84" s="196"/>
      <c r="F84" s="196"/>
      <c r="G84" s="496"/>
      <c r="H84" s="673"/>
      <c r="I84" s="352" t="str">
        <f t="shared" si="32"/>
        <v>-</v>
      </c>
      <c r="J84" s="352" t="str">
        <f t="shared" si="33"/>
        <v>-</v>
      </c>
      <c r="K84" s="194" t="str">
        <f t="shared" si="34"/>
        <v>-</v>
      </c>
      <c r="L84" s="658"/>
      <c r="M84" s="193" t="e">
        <f>RANK(K84, K$77:$K$106)</f>
        <v>#VALUE!</v>
      </c>
      <c r="N84" s="665"/>
      <c r="O84" s="665"/>
      <c r="P84" s="503"/>
      <c r="Q84" s="507"/>
      <c r="R84" s="507"/>
      <c r="S84" s="503"/>
      <c r="T84" s="673"/>
      <c r="U84" s="503"/>
      <c r="V84" s="507"/>
      <c r="W84" s="507"/>
      <c r="X84" s="503"/>
      <c r="Y84" s="673"/>
      <c r="Z84" s="503"/>
      <c r="AA84" s="507"/>
      <c r="AB84" s="507"/>
      <c r="AC84" s="503"/>
      <c r="AD84" s="673"/>
      <c r="AE84" s="503"/>
      <c r="AF84" s="507"/>
      <c r="AG84" s="507"/>
      <c r="AH84" s="503"/>
      <c r="AI84" s="673"/>
      <c r="AJ84" s="503"/>
      <c r="AK84" s="507"/>
      <c r="AL84" s="507"/>
      <c r="AM84" s="503"/>
      <c r="AN84" s="673"/>
      <c r="AO84" s="503"/>
      <c r="AP84" s="507"/>
      <c r="AQ84" s="507"/>
      <c r="AR84" s="503"/>
      <c r="AS84" s="673"/>
      <c r="AT84" s="503"/>
      <c r="AU84" s="507"/>
      <c r="AV84" s="507"/>
      <c r="AW84" s="503"/>
      <c r="AX84" s="673"/>
      <c r="AZ84" s="361" t="e">
        <f t="shared" si="30"/>
        <v>#N/A</v>
      </c>
      <c r="BA84" s="673"/>
    </row>
    <row r="85" spans="2:53">
      <c r="B85" s="687"/>
      <c r="C85" s="287">
        <v>9</v>
      </c>
      <c r="D85" s="196"/>
      <c r="E85" s="196"/>
      <c r="F85" s="196"/>
      <c r="G85" s="496"/>
      <c r="H85" s="673"/>
      <c r="I85" s="352" t="str">
        <f t="shared" si="32"/>
        <v>-</v>
      </c>
      <c r="J85" s="352" t="str">
        <f t="shared" si="33"/>
        <v>-</v>
      </c>
      <c r="K85" s="194" t="str">
        <f t="shared" si="34"/>
        <v>-</v>
      </c>
      <c r="L85" s="658"/>
      <c r="M85" s="193" t="e">
        <f>RANK(K85, K$77:$K$106)</f>
        <v>#VALUE!</v>
      </c>
      <c r="N85" s="665"/>
      <c r="O85" s="665"/>
      <c r="P85" s="503"/>
      <c r="Q85" s="507"/>
      <c r="R85" s="507"/>
      <c r="S85" s="503"/>
      <c r="T85" s="673"/>
      <c r="U85" s="503"/>
      <c r="V85" s="507"/>
      <c r="W85" s="507"/>
      <c r="X85" s="503"/>
      <c r="Y85" s="673"/>
      <c r="Z85" s="503"/>
      <c r="AA85" s="507"/>
      <c r="AB85" s="507"/>
      <c r="AC85" s="503"/>
      <c r="AD85" s="673"/>
      <c r="AE85" s="503"/>
      <c r="AF85" s="507"/>
      <c r="AG85" s="507"/>
      <c r="AH85" s="503"/>
      <c r="AI85" s="673"/>
      <c r="AJ85" s="503"/>
      <c r="AK85" s="507"/>
      <c r="AL85" s="507"/>
      <c r="AM85" s="503"/>
      <c r="AN85" s="673"/>
      <c r="AO85" s="503"/>
      <c r="AP85" s="507"/>
      <c r="AQ85" s="507"/>
      <c r="AR85" s="503"/>
      <c r="AS85" s="673"/>
      <c r="AT85" s="503"/>
      <c r="AU85" s="507"/>
      <c r="AV85" s="507"/>
      <c r="AW85" s="503"/>
      <c r="AX85" s="673"/>
      <c r="AZ85" s="361" t="e">
        <f t="shared" si="30"/>
        <v>#N/A</v>
      </c>
      <c r="BA85" s="673"/>
    </row>
    <row r="86" spans="2:53">
      <c r="B86" s="687"/>
      <c r="C86" s="287">
        <v>10</v>
      </c>
      <c r="D86" s="196"/>
      <c r="E86" s="196"/>
      <c r="F86" s="196"/>
      <c r="G86" s="496"/>
      <c r="H86" s="673"/>
      <c r="I86" s="352" t="str">
        <f t="shared" si="32"/>
        <v>-</v>
      </c>
      <c r="J86" s="352" t="str">
        <f t="shared" si="33"/>
        <v>-</v>
      </c>
      <c r="K86" s="194" t="str">
        <f t="shared" si="34"/>
        <v>-</v>
      </c>
      <c r="L86" s="658"/>
      <c r="M86" s="193" t="e">
        <f>RANK(K86, K$77:$K$106)</f>
        <v>#VALUE!</v>
      </c>
      <c r="N86" s="665"/>
      <c r="O86" s="665"/>
      <c r="P86" s="503"/>
      <c r="Q86" s="507"/>
      <c r="R86" s="507"/>
      <c r="S86" s="503"/>
      <c r="T86" s="673"/>
      <c r="U86" s="503"/>
      <c r="V86" s="507"/>
      <c r="W86" s="507"/>
      <c r="X86" s="503"/>
      <c r="Y86" s="673"/>
      <c r="Z86" s="503"/>
      <c r="AA86" s="507"/>
      <c r="AB86" s="507"/>
      <c r="AC86" s="503"/>
      <c r="AD86" s="673"/>
      <c r="AE86" s="503"/>
      <c r="AF86" s="507"/>
      <c r="AG86" s="507"/>
      <c r="AH86" s="503"/>
      <c r="AI86" s="673"/>
      <c r="AJ86" s="503"/>
      <c r="AK86" s="507"/>
      <c r="AL86" s="507"/>
      <c r="AM86" s="503"/>
      <c r="AN86" s="673"/>
      <c r="AO86" s="503"/>
      <c r="AP86" s="507"/>
      <c r="AQ86" s="507"/>
      <c r="AR86" s="503"/>
      <c r="AS86" s="673"/>
      <c r="AT86" s="503"/>
      <c r="AU86" s="507"/>
      <c r="AV86" s="507"/>
      <c r="AW86" s="503"/>
      <c r="AX86" s="673"/>
      <c r="AZ86" s="361" t="e">
        <f t="shared" si="30"/>
        <v>#N/A</v>
      </c>
      <c r="BA86" s="673"/>
    </row>
    <row r="87" spans="2:53">
      <c r="B87" s="687"/>
      <c r="C87" s="287">
        <v>11</v>
      </c>
      <c r="D87" s="196"/>
      <c r="E87" s="196"/>
      <c r="F87" s="196"/>
      <c r="G87" s="496"/>
      <c r="H87" s="673"/>
      <c r="I87" s="352" t="str">
        <f t="shared" si="32"/>
        <v>-</v>
      </c>
      <c r="J87" s="352" t="str">
        <f t="shared" si="33"/>
        <v>-</v>
      </c>
      <c r="K87" s="194" t="str">
        <f t="shared" si="34"/>
        <v>-</v>
      </c>
      <c r="L87" s="658"/>
      <c r="M87" s="193" t="e">
        <f>RANK(K87, K$77:$K$106)</f>
        <v>#VALUE!</v>
      </c>
      <c r="N87" s="665"/>
      <c r="O87" s="665"/>
      <c r="P87" s="503"/>
      <c r="Q87" s="507"/>
      <c r="R87" s="507"/>
      <c r="S87" s="503"/>
      <c r="T87" s="673"/>
      <c r="U87" s="503"/>
      <c r="V87" s="507"/>
      <c r="W87" s="507"/>
      <c r="X87" s="503"/>
      <c r="Y87" s="673"/>
      <c r="Z87" s="503"/>
      <c r="AA87" s="507"/>
      <c r="AB87" s="507"/>
      <c r="AC87" s="503"/>
      <c r="AD87" s="673"/>
      <c r="AE87" s="503"/>
      <c r="AF87" s="507"/>
      <c r="AG87" s="507"/>
      <c r="AH87" s="503"/>
      <c r="AI87" s="673"/>
      <c r="AJ87" s="503"/>
      <c r="AK87" s="507"/>
      <c r="AL87" s="507"/>
      <c r="AM87" s="503"/>
      <c r="AN87" s="673"/>
      <c r="AO87" s="503"/>
      <c r="AP87" s="507"/>
      <c r="AQ87" s="507"/>
      <c r="AR87" s="503"/>
      <c r="AS87" s="673"/>
      <c r="AT87" s="503"/>
      <c r="AU87" s="507"/>
      <c r="AV87" s="507"/>
      <c r="AW87" s="503"/>
      <c r="AX87" s="673"/>
      <c r="AZ87" s="361" t="e">
        <f t="shared" si="30"/>
        <v>#N/A</v>
      </c>
      <c r="BA87" s="673"/>
    </row>
    <row r="88" spans="2:53">
      <c r="B88" s="687"/>
      <c r="C88" s="287">
        <v>12</v>
      </c>
      <c r="D88" s="491"/>
      <c r="E88" s="196"/>
      <c r="F88" s="196"/>
      <c r="G88" s="496"/>
      <c r="H88" s="673"/>
      <c r="I88" s="352" t="str">
        <f t="shared" si="32"/>
        <v>-</v>
      </c>
      <c r="J88" s="352" t="str">
        <f t="shared" si="33"/>
        <v>-</v>
      </c>
      <c r="K88" s="194" t="str">
        <f t="shared" si="34"/>
        <v>-</v>
      </c>
      <c r="L88" s="658"/>
      <c r="M88" s="193" t="e">
        <f>RANK(K88, K$77:$K$106)</f>
        <v>#VALUE!</v>
      </c>
      <c r="N88" s="665"/>
      <c r="O88" s="665"/>
      <c r="P88" s="503"/>
      <c r="Q88" s="507"/>
      <c r="R88" s="507"/>
      <c r="S88" s="503"/>
      <c r="T88" s="673"/>
      <c r="U88" s="503"/>
      <c r="V88" s="507"/>
      <c r="W88" s="507"/>
      <c r="X88" s="503"/>
      <c r="Y88" s="673"/>
      <c r="Z88" s="503"/>
      <c r="AA88" s="507"/>
      <c r="AB88" s="507"/>
      <c r="AC88" s="503"/>
      <c r="AD88" s="673"/>
      <c r="AE88" s="503"/>
      <c r="AF88" s="507"/>
      <c r="AG88" s="507"/>
      <c r="AH88" s="503"/>
      <c r="AI88" s="673"/>
      <c r="AJ88" s="503"/>
      <c r="AK88" s="507"/>
      <c r="AL88" s="507"/>
      <c r="AM88" s="503"/>
      <c r="AN88" s="673"/>
      <c r="AO88" s="503"/>
      <c r="AP88" s="507"/>
      <c r="AQ88" s="507"/>
      <c r="AR88" s="503"/>
      <c r="AS88" s="673"/>
      <c r="AT88" s="503"/>
      <c r="AU88" s="507"/>
      <c r="AV88" s="507"/>
      <c r="AW88" s="503"/>
      <c r="AX88" s="673"/>
      <c r="AZ88" s="361" t="e">
        <f t="shared" si="30"/>
        <v>#N/A</v>
      </c>
      <c r="BA88" s="673"/>
    </row>
    <row r="89" spans="2:53">
      <c r="B89" s="687"/>
      <c r="C89" s="287">
        <v>13</v>
      </c>
      <c r="D89" s="196"/>
      <c r="E89" s="196"/>
      <c r="F89" s="196"/>
      <c r="G89" s="496"/>
      <c r="H89" s="673"/>
      <c r="I89" s="352" t="str">
        <f t="shared" si="32"/>
        <v>-</v>
      </c>
      <c r="J89" s="352" t="str">
        <f t="shared" si="33"/>
        <v>-</v>
      </c>
      <c r="K89" s="194" t="str">
        <f t="shared" si="34"/>
        <v>-</v>
      </c>
      <c r="L89" s="658"/>
      <c r="M89" s="193" t="e">
        <f>RANK(K89, K$77:$K$106)</f>
        <v>#VALUE!</v>
      </c>
      <c r="N89" s="665"/>
      <c r="O89" s="665"/>
      <c r="P89" s="503"/>
      <c r="Q89" s="507"/>
      <c r="R89" s="507"/>
      <c r="S89" s="503"/>
      <c r="T89" s="673"/>
      <c r="U89" s="503"/>
      <c r="V89" s="507"/>
      <c r="W89" s="507"/>
      <c r="X89" s="503"/>
      <c r="Y89" s="673"/>
      <c r="Z89" s="503"/>
      <c r="AA89" s="507"/>
      <c r="AB89" s="507"/>
      <c r="AC89" s="503"/>
      <c r="AD89" s="673"/>
      <c r="AE89" s="503"/>
      <c r="AF89" s="507"/>
      <c r="AG89" s="507"/>
      <c r="AH89" s="503"/>
      <c r="AI89" s="673"/>
      <c r="AJ89" s="503"/>
      <c r="AK89" s="507"/>
      <c r="AL89" s="507"/>
      <c r="AM89" s="503"/>
      <c r="AN89" s="673"/>
      <c r="AO89" s="503"/>
      <c r="AP89" s="507"/>
      <c r="AQ89" s="507"/>
      <c r="AR89" s="503"/>
      <c r="AS89" s="673"/>
      <c r="AT89" s="503"/>
      <c r="AU89" s="507"/>
      <c r="AV89" s="507"/>
      <c r="AW89" s="503"/>
      <c r="AX89" s="673"/>
      <c r="AZ89" s="361" t="e">
        <f t="shared" si="30"/>
        <v>#N/A</v>
      </c>
      <c r="BA89" s="673"/>
    </row>
    <row r="90" spans="2:53">
      <c r="B90" s="687"/>
      <c r="C90" s="287">
        <v>14</v>
      </c>
      <c r="D90" s="196"/>
      <c r="E90" s="196"/>
      <c r="F90" s="196"/>
      <c r="G90" s="496"/>
      <c r="H90" s="673"/>
      <c r="I90" s="352" t="str">
        <f t="shared" si="32"/>
        <v>-</v>
      </c>
      <c r="J90" s="352" t="str">
        <f t="shared" si="33"/>
        <v>-</v>
      </c>
      <c r="K90" s="194" t="str">
        <f t="shared" si="34"/>
        <v>-</v>
      </c>
      <c r="L90" s="658"/>
      <c r="M90" s="193" t="e">
        <f>RANK(K90, K$77:$K$106)</f>
        <v>#VALUE!</v>
      </c>
      <c r="N90" s="665"/>
      <c r="O90" s="665"/>
      <c r="P90" s="503"/>
      <c r="Q90" s="507"/>
      <c r="R90" s="507"/>
      <c r="S90" s="503"/>
      <c r="T90" s="673"/>
      <c r="U90" s="503"/>
      <c r="V90" s="507"/>
      <c r="W90" s="507"/>
      <c r="X90" s="503"/>
      <c r="Y90" s="673"/>
      <c r="Z90" s="503"/>
      <c r="AA90" s="507"/>
      <c r="AB90" s="507"/>
      <c r="AC90" s="503"/>
      <c r="AD90" s="673"/>
      <c r="AE90" s="503"/>
      <c r="AF90" s="507"/>
      <c r="AG90" s="507"/>
      <c r="AH90" s="503"/>
      <c r="AI90" s="673"/>
      <c r="AJ90" s="503"/>
      <c r="AK90" s="507"/>
      <c r="AL90" s="507"/>
      <c r="AM90" s="503"/>
      <c r="AN90" s="673"/>
      <c r="AO90" s="503"/>
      <c r="AP90" s="507"/>
      <c r="AQ90" s="507"/>
      <c r="AR90" s="503"/>
      <c r="AS90" s="673"/>
      <c r="AT90" s="503"/>
      <c r="AU90" s="507"/>
      <c r="AV90" s="507"/>
      <c r="AW90" s="503"/>
      <c r="AX90" s="673"/>
      <c r="AZ90" s="361" t="e">
        <f t="shared" si="30"/>
        <v>#N/A</v>
      </c>
      <c r="BA90" s="673"/>
    </row>
    <row r="91" spans="2:53">
      <c r="B91" s="687"/>
      <c r="C91" s="287">
        <v>15</v>
      </c>
      <c r="D91" s="491"/>
      <c r="E91" s="196"/>
      <c r="F91" s="196"/>
      <c r="G91" s="496"/>
      <c r="H91" s="673"/>
      <c r="I91" s="352" t="str">
        <f t="shared" si="32"/>
        <v>-</v>
      </c>
      <c r="J91" s="352" t="str">
        <f t="shared" si="33"/>
        <v>-</v>
      </c>
      <c r="K91" s="194" t="str">
        <f t="shared" si="34"/>
        <v>-</v>
      </c>
      <c r="L91" s="658"/>
      <c r="M91" s="193" t="e">
        <f>RANK(K91, K$77:$K$106)</f>
        <v>#VALUE!</v>
      </c>
      <c r="N91" s="665"/>
      <c r="O91" s="665"/>
      <c r="P91" s="503"/>
      <c r="Q91" s="507"/>
      <c r="R91" s="507"/>
      <c r="S91" s="503"/>
      <c r="T91" s="673"/>
      <c r="U91" s="503"/>
      <c r="V91" s="507"/>
      <c r="W91" s="507"/>
      <c r="X91" s="503"/>
      <c r="Y91" s="673"/>
      <c r="Z91" s="503"/>
      <c r="AA91" s="507"/>
      <c r="AB91" s="507"/>
      <c r="AC91" s="503"/>
      <c r="AD91" s="673"/>
      <c r="AE91" s="503"/>
      <c r="AF91" s="507"/>
      <c r="AG91" s="507"/>
      <c r="AH91" s="503"/>
      <c r="AI91" s="673"/>
      <c r="AJ91" s="503"/>
      <c r="AK91" s="507"/>
      <c r="AL91" s="507"/>
      <c r="AM91" s="503"/>
      <c r="AN91" s="673"/>
      <c r="AO91" s="503"/>
      <c r="AP91" s="507"/>
      <c r="AQ91" s="507"/>
      <c r="AR91" s="503"/>
      <c r="AS91" s="673"/>
      <c r="AT91" s="503"/>
      <c r="AU91" s="507"/>
      <c r="AV91" s="507"/>
      <c r="AW91" s="503"/>
      <c r="AX91" s="673"/>
      <c r="AZ91" s="361" t="e">
        <f t="shared" si="30"/>
        <v>#N/A</v>
      </c>
      <c r="BA91" s="673"/>
    </row>
    <row r="92" spans="2:53">
      <c r="B92" s="687"/>
      <c r="C92" s="287">
        <v>16</v>
      </c>
      <c r="D92" s="196"/>
      <c r="E92" s="196"/>
      <c r="F92" s="196"/>
      <c r="G92" s="496"/>
      <c r="H92" s="673"/>
      <c r="I92" s="352" t="str">
        <f t="shared" si="32"/>
        <v>-</v>
      </c>
      <c r="J92" s="352" t="str">
        <f t="shared" si="33"/>
        <v>-</v>
      </c>
      <c r="K92" s="194" t="str">
        <f t="shared" si="34"/>
        <v>-</v>
      </c>
      <c r="L92" s="658"/>
      <c r="M92" s="193" t="e">
        <f>RANK(K92, K$77:$K$106)</f>
        <v>#VALUE!</v>
      </c>
      <c r="N92" s="665"/>
      <c r="O92" s="665"/>
      <c r="P92" s="503"/>
      <c r="Q92" s="507"/>
      <c r="R92" s="507"/>
      <c r="S92" s="503"/>
      <c r="T92" s="673"/>
      <c r="U92" s="503"/>
      <c r="V92" s="507"/>
      <c r="W92" s="507"/>
      <c r="X92" s="503"/>
      <c r="Y92" s="673"/>
      <c r="Z92" s="503"/>
      <c r="AA92" s="507"/>
      <c r="AB92" s="507"/>
      <c r="AC92" s="503"/>
      <c r="AD92" s="673"/>
      <c r="AE92" s="503"/>
      <c r="AF92" s="507"/>
      <c r="AG92" s="507"/>
      <c r="AH92" s="503"/>
      <c r="AI92" s="673"/>
      <c r="AJ92" s="503"/>
      <c r="AK92" s="507"/>
      <c r="AL92" s="507"/>
      <c r="AM92" s="503"/>
      <c r="AN92" s="673"/>
      <c r="AO92" s="503"/>
      <c r="AP92" s="507"/>
      <c r="AQ92" s="507"/>
      <c r="AR92" s="503"/>
      <c r="AS92" s="673"/>
      <c r="AT92" s="503"/>
      <c r="AU92" s="507"/>
      <c r="AV92" s="507"/>
      <c r="AW92" s="503"/>
      <c r="AX92" s="673"/>
      <c r="AZ92" s="361" t="e">
        <f t="shared" si="30"/>
        <v>#N/A</v>
      </c>
      <c r="BA92" s="673"/>
    </row>
    <row r="93" spans="2:53">
      <c r="B93" s="687"/>
      <c r="C93" s="287">
        <v>17</v>
      </c>
      <c r="D93" s="196"/>
      <c r="E93" s="196"/>
      <c r="F93" s="196"/>
      <c r="G93" s="496"/>
      <c r="H93" s="673"/>
      <c r="I93" s="352" t="str">
        <f t="shared" si="32"/>
        <v>-</v>
      </c>
      <c r="J93" s="352" t="str">
        <f t="shared" si="33"/>
        <v>-</v>
      </c>
      <c r="K93" s="194" t="str">
        <f t="shared" si="34"/>
        <v>-</v>
      </c>
      <c r="L93" s="658"/>
      <c r="M93" s="193" t="e">
        <f>RANK(K93, K$77:$K$106)</f>
        <v>#VALUE!</v>
      </c>
      <c r="N93" s="665"/>
      <c r="O93" s="665"/>
      <c r="P93" s="503"/>
      <c r="Q93" s="507"/>
      <c r="R93" s="507"/>
      <c r="S93" s="503"/>
      <c r="T93" s="673"/>
      <c r="U93" s="503"/>
      <c r="V93" s="507"/>
      <c r="W93" s="507"/>
      <c r="X93" s="503"/>
      <c r="Y93" s="673"/>
      <c r="Z93" s="503"/>
      <c r="AA93" s="507"/>
      <c r="AB93" s="507"/>
      <c r="AC93" s="503"/>
      <c r="AD93" s="673"/>
      <c r="AE93" s="503"/>
      <c r="AF93" s="507"/>
      <c r="AG93" s="507"/>
      <c r="AH93" s="503"/>
      <c r="AI93" s="673"/>
      <c r="AJ93" s="503"/>
      <c r="AK93" s="507"/>
      <c r="AL93" s="507"/>
      <c r="AM93" s="503"/>
      <c r="AN93" s="673"/>
      <c r="AO93" s="503"/>
      <c r="AP93" s="507"/>
      <c r="AQ93" s="507"/>
      <c r="AR93" s="503"/>
      <c r="AS93" s="673"/>
      <c r="AT93" s="503"/>
      <c r="AU93" s="507"/>
      <c r="AV93" s="507"/>
      <c r="AW93" s="503"/>
      <c r="AX93" s="673"/>
      <c r="AZ93" s="361" t="e">
        <f t="shared" si="30"/>
        <v>#N/A</v>
      </c>
      <c r="BA93" s="673"/>
    </row>
    <row r="94" spans="2:53">
      <c r="B94" s="687"/>
      <c r="C94" s="287">
        <v>18</v>
      </c>
      <c r="D94" s="491"/>
      <c r="E94" s="196"/>
      <c r="F94" s="196"/>
      <c r="G94" s="496"/>
      <c r="H94" s="673"/>
      <c r="I94" s="352" t="str">
        <f t="shared" si="32"/>
        <v>-</v>
      </c>
      <c r="J94" s="352" t="str">
        <f t="shared" si="33"/>
        <v>-</v>
      </c>
      <c r="K94" s="194" t="str">
        <f t="shared" si="34"/>
        <v>-</v>
      </c>
      <c r="L94" s="658"/>
      <c r="M94" s="193" t="e">
        <f>RANK(K94, K$77:$K$106)</f>
        <v>#VALUE!</v>
      </c>
      <c r="N94" s="665"/>
      <c r="O94" s="665"/>
      <c r="P94" s="503"/>
      <c r="Q94" s="507"/>
      <c r="R94" s="507"/>
      <c r="S94" s="503"/>
      <c r="T94" s="673"/>
      <c r="U94" s="503"/>
      <c r="V94" s="507"/>
      <c r="W94" s="507"/>
      <c r="X94" s="503"/>
      <c r="Y94" s="673"/>
      <c r="Z94" s="503"/>
      <c r="AA94" s="507"/>
      <c r="AB94" s="507"/>
      <c r="AC94" s="503"/>
      <c r="AD94" s="673"/>
      <c r="AE94" s="503"/>
      <c r="AF94" s="507"/>
      <c r="AG94" s="507"/>
      <c r="AH94" s="503"/>
      <c r="AI94" s="673"/>
      <c r="AJ94" s="503"/>
      <c r="AK94" s="507"/>
      <c r="AL94" s="507"/>
      <c r="AM94" s="503"/>
      <c r="AN94" s="673"/>
      <c r="AO94" s="503"/>
      <c r="AP94" s="507"/>
      <c r="AQ94" s="507"/>
      <c r="AR94" s="503"/>
      <c r="AS94" s="673"/>
      <c r="AT94" s="503"/>
      <c r="AU94" s="507"/>
      <c r="AV94" s="507"/>
      <c r="AW94" s="503"/>
      <c r="AX94" s="673"/>
      <c r="AZ94" s="361" t="e">
        <f t="shared" si="30"/>
        <v>#N/A</v>
      </c>
      <c r="BA94" s="673"/>
    </row>
    <row r="95" spans="2:53">
      <c r="B95" s="687"/>
      <c r="C95" s="287">
        <v>19</v>
      </c>
      <c r="D95" s="491"/>
      <c r="E95" s="196"/>
      <c r="F95" s="196"/>
      <c r="G95" s="496"/>
      <c r="H95" s="673"/>
      <c r="I95" s="352" t="str">
        <f t="shared" si="32"/>
        <v>-</v>
      </c>
      <c r="J95" s="352" t="str">
        <f t="shared" si="33"/>
        <v>-</v>
      </c>
      <c r="K95" s="194" t="str">
        <f t="shared" si="34"/>
        <v>-</v>
      </c>
      <c r="L95" s="658"/>
      <c r="M95" s="193" t="e">
        <f>RANK(K95, K$77:$K$106)</f>
        <v>#VALUE!</v>
      </c>
      <c r="N95" s="665"/>
      <c r="O95" s="665"/>
      <c r="P95" s="503"/>
      <c r="Q95" s="507"/>
      <c r="R95" s="507"/>
      <c r="S95" s="503"/>
      <c r="T95" s="673"/>
      <c r="U95" s="503"/>
      <c r="V95" s="507"/>
      <c r="W95" s="507"/>
      <c r="X95" s="503"/>
      <c r="Y95" s="673"/>
      <c r="Z95" s="503"/>
      <c r="AA95" s="507"/>
      <c r="AB95" s="507"/>
      <c r="AC95" s="503"/>
      <c r="AD95" s="673"/>
      <c r="AE95" s="503"/>
      <c r="AF95" s="507"/>
      <c r="AG95" s="507"/>
      <c r="AH95" s="503"/>
      <c r="AI95" s="673"/>
      <c r="AJ95" s="503"/>
      <c r="AK95" s="507"/>
      <c r="AL95" s="507"/>
      <c r="AM95" s="503"/>
      <c r="AN95" s="673"/>
      <c r="AO95" s="503"/>
      <c r="AP95" s="507"/>
      <c r="AQ95" s="507"/>
      <c r="AR95" s="503"/>
      <c r="AS95" s="673"/>
      <c r="AT95" s="503"/>
      <c r="AU95" s="507"/>
      <c r="AV95" s="507"/>
      <c r="AW95" s="503"/>
      <c r="AX95" s="673"/>
      <c r="AZ95" s="361" t="e">
        <f t="shared" si="30"/>
        <v>#N/A</v>
      </c>
      <c r="BA95" s="673"/>
    </row>
    <row r="96" spans="2:53">
      <c r="B96" s="687"/>
      <c r="C96" s="287">
        <v>20</v>
      </c>
      <c r="D96" s="491"/>
      <c r="E96" s="196"/>
      <c r="F96" s="196"/>
      <c r="G96" s="496"/>
      <c r="H96" s="673"/>
      <c r="I96" s="352" t="str">
        <f t="shared" si="32"/>
        <v>-</v>
      </c>
      <c r="J96" s="352" t="str">
        <f t="shared" si="33"/>
        <v>-</v>
      </c>
      <c r="K96" s="194" t="str">
        <f t="shared" si="34"/>
        <v>-</v>
      </c>
      <c r="L96" s="658"/>
      <c r="M96" s="193" t="e">
        <f>RANK(K96, K$77:$K$106)</f>
        <v>#VALUE!</v>
      </c>
      <c r="N96" s="665"/>
      <c r="O96" s="665"/>
      <c r="P96" s="503"/>
      <c r="Q96" s="507"/>
      <c r="R96" s="507"/>
      <c r="S96" s="503"/>
      <c r="T96" s="673"/>
      <c r="U96" s="503"/>
      <c r="V96" s="507"/>
      <c r="W96" s="507"/>
      <c r="X96" s="503"/>
      <c r="Y96" s="673"/>
      <c r="Z96" s="503"/>
      <c r="AA96" s="507"/>
      <c r="AB96" s="507"/>
      <c r="AC96" s="503"/>
      <c r="AD96" s="673"/>
      <c r="AE96" s="503"/>
      <c r="AF96" s="507"/>
      <c r="AG96" s="507"/>
      <c r="AH96" s="503"/>
      <c r="AI96" s="673"/>
      <c r="AJ96" s="503"/>
      <c r="AK96" s="507"/>
      <c r="AL96" s="507"/>
      <c r="AM96" s="503"/>
      <c r="AN96" s="673"/>
      <c r="AO96" s="503"/>
      <c r="AP96" s="507"/>
      <c r="AQ96" s="507"/>
      <c r="AR96" s="503"/>
      <c r="AS96" s="673"/>
      <c r="AT96" s="503"/>
      <c r="AU96" s="507"/>
      <c r="AV96" s="507"/>
      <c r="AW96" s="503"/>
      <c r="AX96" s="673"/>
      <c r="AZ96" s="361" t="e">
        <f t="shared" si="30"/>
        <v>#N/A</v>
      </c>
      <c r="BA96" s="673"/>
    </row>
    <row r="97" spans="2:53">
      <c r="B97" s="687"/>
      <c r="C97" s="287">
        <v>21</v>
      </c>
      <c r="D97" s="491"/>
      <c r="E97" s="196"/>
      <c r="F97" s="196"/>
      <c r="G97" s="496"/>
      <c r="H97" s="673"/>
      <c r="I97" s="352" t="str">
        <f t="shared" si="32"/>
        <v>-</v>
      </c>
      <c r="J97" s="352" t="str">
        <f t="shared" si="33"/>
        <v>-</v>
      </c>
      <c r="K97" s="194" t="str">
        <f t="shared" si="34"/>
        <v>-</v>
      </c>
      <c r="L97" s="658"/>
      <c r="M97" s="193" t="e">
        <f>RANK(K97, K$77:$K$106)</f>
        <v>#VALUE!</v>
      </c>
      <c r="N97" s="665"/>
      <c r="O97" s="665"/>
      <c r="P97" s="503"/>
      <c r="Q97" s="507"/>
      <c r="R97" s="507"/>
      <c r="S97" s="503"/>
      <c r="T97" s="673"/>
      <c r="U97" s="503"/>
      <c r="V97" s="507"/>
      <c r="W97" s="507"/>
      <c r="X97" s="503"/>
      <c r="Y97" s="673"/>
      <c r="Z97" s="503"/>
      <c r="AA97" s="507"/>
      <c r="AB97" s="507"/>
      <c r="AC97" s="503"/>
      <c r="AD97" s="673"/>
      <c r="AE97" s="503"/>
      <c r="AF97" s="507"/>
      <c r="AG97" s="507"/>
      <c r="AH97" s="503"/>
      <c r="AI97" s="673"/>
      <c r="AJ97" s="503"/>
      <c r="AK97" s="507"/>
      <c r="AL97" s="507"/>
      <c r="AM97" s="503"/>
      <c r="AN97" s="673"/>
      <c r="AO97" s="503"/>
      <c r="AP97" s="507"/>
      <c r="AQ97" s="507"/>
      <c r="AR97" s="503"/>
      <c r="AS97" s="673"/>
      <c r="AT97" s="503"/>
      <c r="AU97" s="507"/>
      <c r="AV97" s="507"/>
      <c r="AW97" s="503"/>
      <c r="AX97" s="673"/>
      <c r="AZ97" s="361" t="e">
        <f t="shared" si="30"/>
        <v>#N/A</v>
      </c>
      <c r="BA97" s="673"/>
    </row>
    <row r="98" spans="2:53">
      <c r="B98" s="687"/>
      <c r="C98" s="287">
        <v>22</v>
      </c>
      <c r="D98" s="491"/>
      <c r="E98" s="196"/>
      <c r="F98" s="196"/>
      <c r="G98" s="496"/>
      <c r="H98" s="673"/>
      <c r="I98" s="352" t="str">
        <f t="shared" si="32"/>
        <v>-</v>
      </c>
      <c r="J98" s="352" t="str">
        <f t="shared" si="33"/>
        <v>-</v>
      </c>
      <c r="K98" s="194" t="str">
        <f t="shared" si="34"/>
        <v>-</v>
      </c>
      <c r="L98" s="658"/>
      <c r="M98" s="193" t="e">
        <f>RANK(K98, K$77:$K$106)</f>
        <v>#VALUE!</v>
      </c>
      <c r="N98" s="665"/>
      <c r="O98" s="665"/>
      <c r="P98" s="503"/>
      <c r="Q98" s="507"/>
      <c r="R98" s="507"/>
      <c r="S98" s="503"/>
      <c r="T98" s="673"/>
      <c r="U98" s="503"/>
      <c r="V98" s="507"/>
      <c r="W98" s="507"/>
      <c r="X98" s="503"/>
      <c r="Y98" s="673"/>
      <c r="Z98" s="503"/>
      <c r="AA98" s="507"/>
      <c r="AB98" s="507"/>
      <c r="AC98" s="503"/>
      <c r="AD98" s="673"/>
      <c r="AE98" s="503"/>
      <c r="AF98" s="507"/>
      <c r="AG98" s="507"/>
      <c r="AH98" s="503"/>
      <c r="AI98" s="673"/>
      <c r="AJ98" s="503"/>
      <c r="AK98" s="507"/>
      <c r="AL98" s="507"/>
      <c r="AM98" s="503"/>
      <c r="AN98" s="673"/>
      <c r="AO98" s="503"/>
      <c r="AP98" s="507"/>
      <c r="AQ98" s="507"/>
      <c r="AR98" s="503"/>
      <c r="AS98" s="673"/>
      <c r="AT98" s="503"/>
      <c r="AU98" s="507"/>
      <c r="AV98" s="507"/>
      <c r="AW98" s="503"/>
      <c r="AX98" s="673"/>
      <c r="AZ98" s="361" t="e">
        <f t="shared" si="30"/>
        <v>#N/A</v>
      </c>
      <c r="BA98" s="673"/>
    </row>
    <row r="99" spans="2:53">
      <c r="B99" s="687"/>
      <c r="C99" s="287">
        <v>23</v>
      </c>
      <c r="D99" s="196"/>
      <c r="E99" s="196"/>
      <c r="F99" s="196"/>
      <c r="G99" s="496"/>
      <c r="H99" s="673"/>
      <c r="I99" s="352" t="str">
        <f t="shared" si="32"/>
        <v>-</v>
      </c>
      <c r="J99" s="352" t="str">
        <f t="shared" si="33"/>
        <v>-</v>
      </c>
      <c r="K99" s="194" t="str">
        <f t="shared" si="34"/>
        <v>-</v>
      </c>
      <c r="L99" s="658"/>
      <c r="M99" s="193" t="e">
        <f>RANK(K99, K$77:$K$106)</f>
        <v>#VALUE!</v>
      </c>
      <c r="N99" s="665"/>
      <c r="O99" s="665"/>
      <c r="P99" s="503"/>
      <c r="Q99" s="507"/>
      <c r="R99" s="507"/>
      <c r="S99" s="503"/>
      <c r="T99" s="673"/>
      <c r="U99" s="503"/>
      <c r="V99" s="507"/>
      <c r="W99" s="507"/>
      <c r="X99" s="503"/>
      <c r="Y99" s="673"/>
      <c r="Z99" s="503"/>
      <c r="AA99" s="507"/>
      <c r="AB99" s="507"/>
      <c r="AC99" s="503"/>
      <c r="AD99" s="673"/>
      <c r="AE99" s="503"/>
      <c r="AF99" s="507"/>
      <c r="AG99" s="507"/>
      <c r="AH99" s="503"/>
      <c r="AI99" s="673"/>
      <c r="AJ99" s="503"/>
      <c r="AK99" s="507"/>
      <c r="AL99" s="507"/>
      <c r="AM99" s="503"/>
      <c r="AN99" s="673"/>
      <c r="AO99" s="503"/>
      <c r="AP99" s="507"/>
      <c r="AQ99" s="507"/>
      <c r="AR99" s="503"/>
      <c r="AS99" s="673"/>
      <c r="AT99" s="503"/>
      <c r="AU99" s="507"/>
      <c r="AV99" s="507"/>
      <c r="AW99" s="503"/>
      <c r="AX99" s="673"/>
      <c r="AZ99" s="361" t="e">
        <f t="shared" si="30"/>
        <v>#N/A</v>
      </c>
      <c r="BA99" s="673"/>
    </row>
    <row r="100" spans="2:53">
      <c r="B100" s="687"/>
      <c r="C100" s="287">
        <v>24</v>
      </c>
      <c r="D100" s="491"/>
      <c r="E100" s="196"/>
      <c r="F100" s="196"/>
      <c r="G100" s="496"/>
      <c r="H100" s="673"/>
      <c r="I100" s="352" t="str">
        <f t="shared" si="32"/>
        <v>-</v>
      </c>
      <c r="J100" s="352" t="str">
        <f t="shared" si="33"/>
        <v>-</v>
      </c>
      <c r="K100" s="194" t="str">
        <f t="shared" si="34"/>
        <v>-</v>
      </c>
      <c r="L100" s="658"/>
      <c r="M100" s="193" t="e">
        <f>RANK(K100, K$77:$K$106)</f>
        <v>#VALUE!</v>
      </c>
      <c r="N100" s="665"/>
      <c r="O100" s="665"/>
      <c r="P100" s="503"/>
      <c r="Q100" s="507"/>
      <c r="R100" s="507"/>
      <c r="S100" s="503"/>
      <c r="T100" s="673"/>
      <c r="U100" s="503"/>
      <c r="V100" s="507"/>
      <c r="W100" s="507"/>
      <c r="X100" s="503"/>
      <c r="Y100" s="673"/>
      <c r="Z100" s="503"/>
      <c r="AA100" s="507"/>
      <c r="AB100" s="507"/>
      <c r="AC100" s="503"/>
      <c r="AD100" s="673"/>
      <c r="AE100" s="503"/>
      <c r="AF100" s="507"/>
      <c r="AG100" s="507"/>
      <c r="AH100" s="503"/>
      <c r="AI100" s="673"/>
      <c r="AJ100" s="503"/>
      <c r="AK100" s="507"/>
      <c r="AL100" s="507"/>
      <c r="AM100" s="503"/>
      <c r="AN100" s="673"/>
      <c r="AO100" s="503"/>
      <c r="AP100" s="507"/>
      <c r="AQ100" s="507"/>
      <c r="AR100" s="503"/>
      <c r="AS100" s="673"/>
      <c r="AT100" s="503"/>
      <c r="AU100" s="507"/>
      <c r="AV100" s="507"/>
      <c r="AW100" s="503"/>
      <c r="AX100" s="673"/>
      <c r="AZ100" s="361" t="e">
        <f t="shared" si="30"/>
        <v>#N/A</v>
      </c>
      <c r="BA100" s="673"/>
    </row>
    <row r="101" spans="2:53">
      <c r="B101" s="687"/>
      <c r="C101" s="287">
        <v>25</v>
      </c>
      <c r="D101" s="196"/>
      <c r="E101" s="196"/>
      <c r="F101" s="196"/>
      <c r="G101" s="496"/>
      <c r="H101" s="673"/>
      <c r="I101" s="352" t="str">
        <f t="shared" si="32"/>
        <v>-</v>
      </c>
      <c r="J101" s="352" t="str">
        <f t="shared" si="33"/>
        <v>-</v>
      </c>
      <c r="K101" s="194" t="str">
        <f t="shared" si="34"/>
        <v>-</v>
      </c>
      <c r="L101" s="658"/>
      <c r="M101" s="193" t="e">
        <f>RANK(K101, K$77:$K$106)</f>
        <v>#VALUE!</v>
      </c>
      <c r="N101" s="665"/>
      <c r="O101" s="665"/>
      <c r="P101" s="503"/>
      <c r="Q101" s="507"/>
      <c r="R101" s="507"/>
      <c r="S101" s="503"/>
      <c r="T101" s="673"/>
      <c r="U101" s="503"/>
      <c r="V101" s="507"/>
      <c r="W101" s="507"/>
      <c r="X101" s="503"/>
      <c r="Y101" s="673"/>
      <c r="Z101" s="503"/>
      <c r="AA101" s="507"/>
      <c r="AB101" s="507"/>
      <c r="AC101" s="503"/>
      <c r="AD101" s="673"/>
      <c r="AE101" s="503"/>
      <c r="AF101" s="507"/>
      <c r="AG101" s="507"/>
      <c r="AH101" s="503"/>
      <c r="AI101" s="673"/>
      <c r="AJ101" s="503"/>
      <c r="AK101" s="507"/>
      <c r="AL101" s="507"/>
      <c r="AM101" s="503"/>
      <c r="AN101" s="673"/>
      <c r="AO101" s="503"/>
      <c r="AP101" s="507"/>
      <c r="AQ101" s="507"/>
      <c r="AR101" s="503"/>
      <c r="AS101" s="673"/>
      <c r="AT101" s="503"/>
      <c r="AU101" s="507"/>
      <c r="AV101" s="507"/>
      <c r="AW101" s="503"/>
      <c r="AX101" s="673"/>
      <c r="AZ101" s="361" t="e">
        <f t="shared" si="30"/>
        <v>#N/A</v>
      </c>
      <c r="BA101" s="673"/>
    </row>
    <row r="102" spans="2:53">
      <c r="B102" s="687"/>
      <c r="C102" s="287">
        <v>26</v>
      </c>
      <c r="D102" s="196"/>
      <c r="E102" s="196"/>
      <c r="F102" s="196"/>
      <c r="G102" s="496"/>
      <c r="H102" s="673"/>
      <c r="I102" s="352" t="str">
        <f t="shared" si="32"/>
        <v>-</v>
      </c>
      <c r="J102" s="352" t="str">
        <f t="shared" si="33"/>
        <v>-</v>
      </c>
      <c r="K102" s="194" t="str">
        <f t="shared" si="34"/>
        <v>-</v>
      </c>
      <c r="L102" s="658"/>
      <c r="M102" s="193" t="e">
        <f>RANK(K102, K$77:$K$106)</f>
        <v>#VALUE!</v>
      </c>
      <c r="N102" s="665"/>
      <c r="O102" s="665"/>
      <c r="P102" s="503"/>
      <c r="Q102" s="507"/>
      <c r="R102" s="507"/>
      <c r="S102" s="503"/>
      <c r="T102" s="673"/>
      <c r="U102" s="503"/>
      <c r="V102" s="507"/>
      <c r="W102" s="507"/>
      <c r="X102" s="503"/>
      <c r="Y102" s="673"/>
      <c r="Z102" s="503"/>
      <c r="AA102" s="507"/>
      <c r="AB102" s="507"/>
      <c r="AC102" s="503"/>
      <c r="AD102" s="673"/>
      <c r="AE102" s="503"/>
      <c r="AF102" s="507"/>
      <c r="AG102" s="507"/>
      <c r="AH102" s="503"/>
      <c r="AI102" s="673"/>
      <c r="AJ102" s="503"/>
      <c r="AK102" s="507"/>
      <c r="AL102" s="507"/>
      <c r="AM102" s="503"/>
      <c r="AN102" s="673"/>
      <c r="AO102" s="503"/>
      <c r="AP102" s="507"/>
      <c r="AQ102" s="507"/>
      <c r="AR102" s="503"/>
      <c r="AS102" s="673"/>
      <c r="AT102" s="503"/>
      <c r="AU102" s="507"/>
      <c r="AV102" s="507"/>
      <c r="AW102" s="503"/>
      <c r="AX102" s="673"/>
      <c r="AZ102" s="361" t="e">
        <f t="shared" si="30"/>
        <v>#N/A</v>
      </c>
      <c r="BA102" s="673"/>
    </row>
    <row r="103" spans="2:53">
      <c r="B103" s="687"/>
      <c r="C103" s="287">
        <v>27</v>
      </c>
      <c r="D103" s="196"/>
      <c r="E103" s="196"/>
      <c r="F103" s="196"/>
      <c r="G103" s="496"/>
      <c r="H103" s="673"/>
      <c r="I103" s="352" t="str">
        <f t="shared" si="32"/>
        <v>-</v>
      </c>
      <c r="J103" s="352" t="str">
        <f t="shared" si="33"/>
        <v>-</v>
      </c>
      <c r="K103" s="194" t="str">
        <f t="shared" si="34"/>
        <v>-</v>
      </c>
      <c r="L103" s="658"/>
      <c r="M103" s="193" t="e">
        <f>RANK(K103, K$77:$K$106)</f>
        <v>#VALUE!</v>
      </c>
      <c r="N103" s="665"/>
      <c r="O103" s="665"/>
      <c r="P103" s="503"/>
      <c r="Q103" s="507"/>
      <c r="R103" s="507"/>
      <c r="S103" s="503"/>
      <c r="T103" s="673"/>
      <c r="U103" s="503"/>
      <c r="V103" s="507"/>
      <c r="W103" s="507"/>
      <c r="X103" s="503"/>
      <c r="Y103" s="673"/>
      <c r="Z103" s="503"/>
      <c r="AA103" s="507"/>
      <c r="AB103" s="507"/>
      <c r="AC103" s="503"/>
      <c r="AD103" s="673"/>
      <c r="AE103" s="503"/>
      <c r="AF103" s="507"/>
      <c r="AG103" s="507"/>
      <c r="AH103" s="503"/>
      <c r="AI103" s="673"/>
      <c r="AJ103" s="503"/>
      <c r="AK103" s="507"/>
      <c r="AL103" s="507"/>
      <c r="AM103" s="503"/>
      <c r="AN103" s="673"/>
      <c r="AO103" s="503"/>
      <c r="AP103" s="507"/>
      <c r="AQ103" s="507"/>
      <c r="AR103" s="503"/>
      <c r="AS103" s="673"/>
      <c r="AT103" s="503"/>
      <c r="AU103" s="507"/>
      <c r="AV103" s="507"/>
      <c r="AW103" s="503"/>
      <c r="AX103" s="673"/>
      <c r="AZ103" s="361" t="e">
        <f t="shared" si="30"/>
        <v>#N/A</v>
      </c>
      <c r="BA103" s="673"/>
    </row>
    <row r="104" spans="2:53">
      <c r="B104" s="687"/>
      <c r="C104" s="287">
        <v>28</v>
      </c>
      <c r="D104" s="196"/>
      <c r="E104" s="196"/>
      <c r="F104" s="196"/>
      <c r="G104" s="196"/>
      <c r="H104" s="673"/>
      <c r="I104" s="352" t="str">
        <f t="shared" si="32"/>
        <v>-</v>
      </c>
      <c r="J104" s="352" t="str">
        <f t="shared" si="33"/>
        <v>-</v>
      </c>
      <c r="K104" s="194" t="str">
        <f t="shared" si="34"/>
        <v>-</v>
      </c>
      <c r="L104" s="658"/>
      <c r="M104" s="193" t="e">
        <f>RANK(K104, K$77:$K$106)</f>
        <v>#VALUE!</v>
      </c>
      <c r="N104" s="665"/>
      <c r="O104" s="665"/>
      <c r="P104" s="503"/>
      <c r="Q104" s="507"/>
      <c r="R104" s="507"/>
      <c r="S104" s="503"/>
      <c r="T104" s="673"/>
      <c r="U104" s="503"/>
      <c r="V104" s="507"/>
      <c r="W104" s="507"/>
      <c r="X104" s="503"/>
      <c r="Y104" s="673"/>
      <c r="Z104" s="503"/>
      <c r="AA104" s="507"/>
      <c r="AB104" s="507"/>
      <c r="AC104" s="503"/>
      <c r="AD104" s="673"/>
      <c r="AE104" s="503"/>
      <c r="AF104" s="507"/>
      <c r="AG104" s="507"/>
      <c r="AH104" s="503"/>
      <c r="AI104" s="673"/>
      <c r="AJ104" s="503"/>
      <c r="AK104" s="507"/>
      <c r="AL104" s="507"/>
      <c r="AM104" s="503"/>
      <c r="AN104" s="673"/>
      <c r="AO104" s="503"/>
      <c r="AP104" s="507"/>
      <c r="AQ104" s="507"/>
      <c r="AR104" s="503"/>
      <c r="AS104" s="673"/>
      <c r="AT104" s="503"/>
      <c r="AU104" s="507"/>
      <c r="AV104" s="507"/>
      <c r="AW104" s="503"/>
      <c r="AX104" s="673"/>
      <c r="AZ104" s="361" t="e">
        <f t="shared" si="30"/>
        <v>#N/A</v>
      </c>
      <c r="BA104" s="673"/>
    </row>
    <row r="105" spans="2:53">
      <c r="B105" s="687"/>
      <c r="C105" s="287">
        <v>29</v>
      </c>
      <c r="D105" s="196"/>
      <c r="E105" s="196"/>
      <c r="F105" s="196"/>
      <c r="G105" s="196"/>
      <c r="H105" s="673"/>
      <c r="I105" s="352" t="str">
        <f t="shared" si="32"/>
        <v>-</v>
      </c>
      <c r="J105" s="352" t="str">
        <f t="shared" si="33"/>
        <v>-</v>
      </c>
      <c r="K105" s="194" t="str">
        <f t="shared" si="34"/>
        <v>-</v>
      </c>
      <c r="L105" s="658"/>
      <c r="M105" s="193" t="e">
        <f>RANK(K105, K$77:$K$106)</f>
        <v>#VALUE!</v>
      </c>
      <c r="N105" s="665"/>
      <c r="O105" s="665"/>
      <c r="P105" s="503"/>
      <c r="Q105" s="507"/>
      <c r="R105" s="507"/>
      <c r="S105" s="503"/>
      <c r="T105" s="673"/>
      <c r="U105" s="503"/>
      <c r="V105" s="507"/>
      <c r="W105" s="507"/>
      <c r="X105" s="503"/>
      <c r="Y105" s="673"/>
      <c r="Z105" s="503"/>
      <c r="AA105" s="507"/>
      <c r="AB105" s="507"/>
      <c r="AC105" s="503"/>
      <c r="AD105" s="673"/>
      <c r="AE105" s="503"/>
      <c r="AF105" s="507"/>
      <c r="AG105" s="507"/>
      <c r="AH105" s="503"/>
      <c r="AI105" s="673"/>
      <c r="AJ105" s="503"/>
      <c r="AK105" s="507"/>
      <c r="AL105" s="507"/>
      <c r="AM105" s="503"/>
      <c r="AN105" s="673"/>
      <c r="AO105" s="503"/>
      <c r="AP105" s="507"/>
      <c r="AQ105" s="507"/>
      <c r="AR105" s="503"/>
      <c r="AS105" s="673"/>
      <c r="AT105" s="503"/>
      <c r="AU105" s="507"/>
      <c r="AV105" s="507"/>
      <c r="AW105" s="503"/>
      <c r="AX105" s="673"/>
      <c r="AZ105" s="361" t="e">
        <f t="shared" si="30"/>
        <v>#N/A</v>
      </c>
      <c r="BA105" s="673"/>
    </row>
    <row r="106" spans="2:53">
      <c r="B106" s="688"/>
      <c r="C106" s="287">
        <v>30</v>
      </c>
      <c r="D106" s="196"/>
      <c r="E106" s="196"/>
      <c r="F106" s="196"/>
      <c r="G106" s="196"/>
      <c r="H106" s="674"/>
      <c r="I106" s="352" t="str">
        <f t="shared" si="32"/>
        <v>-</v>
      </c>
      <c r="J106" s="352" t="str">
        <f t="shared" si="33"/>
        <v>-</v>
      </c>
      <c r="K106" s="194" t="str">
        <f t="shared" si="34"/>
        <v>-</v>
      </c>
      <c r="L106" s="659"/>
      <c r="M106" s="193" t="e">
        <f>RANK(K106, K$77:$K$106)</f>
        <v>#VALUE!</v>
      </c>
      <c r="N106" s="666"/>
      <c r="O106" s="666"/>
      <c r="P106" s="503"/>
      <c r="Q106" s="507"/>
      <c r="R106" s="507"/>
      <c r="S106" s="503"/>
      <c r="T106" s="674"/>
      <c r="U106" s="503"/>
      <c r="V106" s="507"/>
      <c r="W106" s="507"/>
      <c r="X106" s="503"/>
      <c r="Y106" s="674"/>
      <c r="Z106" s="503"/>
      <c r="AA106" s="507"/>
      <c r="AB106" s="507"/>
      <c r="AC106" s="503"/>
      <c r="AD106" s="674"/>
      <c r="AE106" s="503"/>
      <c r="AF106" s="507"/>
      <c r="AG106" s="507"/>
      <c r="AH106" s="503"/>
      <c r="AI106" s="674"/>
      <c r="AJ106" s="503"/>
      <c r="AK106" s="507"/>
      <c r="AL106" s="507"/>
      <c r="AM106" s="503"/>
      <c r="AN106" s="674"/>
      <c r="AO106" s="503"/>
      <c r="AP106" s="507"/>
      <c r="AQ106" s="507"/>
      <c r="AR106" s="503"/>
      <c r="AS106" s="674"/>
      <c r="AT106" s="503"/>
      <c r="AU106" s="507"/>
      <c r="AV106" s="507"/>
      <c r="AW106" s="503"/>
      <c r="AX106" s="674"/>
      <c r="AZ106" s="361" t="e">
        <f t="shared" si="30"/>
        <v>#N/A</v>
      </c>
      <c r="BA106" s="674"/>
    </row>
    <row r="107" spans="2:53" ht="15.75">
      <c r="B107" s="675" t="s">
        <v>162</v>
      </c>
      <c r="C107" s="676"/>
      <c r="D107" s="676"/>
      <c r="E107" s="676"/>
      <c r="F107" s="676"/>
      <c r="G107" s="676"/>
      <c r="H107" s="677"/>
      <c r="I107" s="202"/>
      <c r="J107" s="202"/>
      <c r="K107" s="202"/>
      <c r="L107" s="202"/>
      <c r="M107" s="201"/>
      <c r="N107" s="664" t="s">
        <v>156</v>
      </c>
      <c r="O107" s="664" t="s">
        <v>155</v>
      </c>
      <c r="P107" s="670">
        <f>P72+7</f>
        <v>46287</v>
      </c>
      <c r="Q107" s="671"/>
      <c r="R107" s="671"/>
      <c r="S107" s="671"/>
      <c r="T107" s="671"/>
      <c r="U107" s="667">
        <f>P107+1</f>
        <v>46288</v>
      </c>
      <c r="V107" s="668"/>
      <c r="W107" s="668"/>
      <c r="X107" s="668"/>
      <c r="Y107" s="669"/>
      <c r="Z107" s="667">
        <f>U107+1</f>
        <v>46289</v>
      </c>
      <c r="AA107" s="668"/>
      <c r="AB107" s="668"/>
      <c r="AC107" s="668"/>
      <c r="AD107" s="669"/>
      <c r="AE107" s="667">
        <f>Z107+1</f>
        <v>46290</v>
      </c>
      <c r="AF107" s="668"/>
      <c r="AG107" s="668"/>
      <c r="AH107" s="668"/>
      <c r="AI107" s="669"/>
      <c r="AJ107" s="667">
        <f>AE107+1</f>
        <v>46291</v>
      </c>
      <c r="AK107" s="668"/>
      <c r="AL107" s="668"/>
      <c r="AM107" s="668"/>
      <c r="AN107" s="669"/>
      <c r="AO107" s="667">
        <f>AJ107+1</f>
        <v>46292</v>
      </c>
      <c r="AP107" s="668"/>
      <c r="AQ107" s="668"/>
      <c r="AR107" s="668"/>
      <c r="AS107" s="669"/>
      <c r="AT107" s="667">
        <f>AO107+1</f>
        <v>46293</v>
      </c>
      <c r="AU107" s="668"/>
      <c r="AV107" s="668"/>
      <c r="AW107" s="668"/>
      <c r="AX107" s="669"/>
    </row>
    <row r="108" spans="2:53" ht="15.75">
      <c r="B108" s="678"/>
      <c r="C108" s="678"/>
      <c r="D108" s="678"/>
      <c r="E108" s="678"/>
      <c r="F108" s="678"/>
      <c r="G108" s="678"/>
      <c r="H108" s="678"/>
      <c r="I108" s="199"/>
      <c r="J108" s="199"/>
      <c r="K108" s="199"/>
      <c r="L108" s="199"/>
      <c r="M108" s="200"/>
      <c r="N108" s="666"/>
      <c r="O108" s="666"/>
      <c r="P108" s="670" t="s">
        <v>317</v>
      </c>
      <c r="Q108" s="671"/>
      <c r="R108" s="671"/>
      <c r="S108" s="671"/>
      <c r="T108" s="671"/>
      <c r="U108" s="670" t="s">
        <v>318</v>
      </c>
      <c r="V108" s="671"/>
      <c r="W108" s="671"/>
      <c r="X108" s="671"/>
      <c r="Y108" s="671"/>
      <c r="Z108" s="670" t="s">
        <v>319</v>
      </c>
      <c r="AA108" s="671"/>
      <c r="AB108" s="671"/>
      <c r="AC108" s="671"/>
      <c r="AD108" s="671"/>
      <c r="AE108" s="670" t="s">
        <v>320</v>
      </c>
      <c r="AF108" s="671"/>
      <c r="AG108" s="671"/>
      <c r="AH108" s="671"/>
      <c r="AI108" s="671"/>
      <c r="AJ108" s="670" t="s">
        <v>321</v>
      </c>
      <c r="AK108" s="671"/>
      <c r="AL108" s="671"/>
      <c r="AM108" s="671"/>
      <c r="AN108" s="671"/>
      <c r="AO108" s="670" t="s">
        <v>322</v>
      </c>
      <c r="AP108" s="671"/>
      <c r="AQ108" s="671"/>
      <c r="AR108" s="671"/>
      <c r="AS108" s="671"/>
      <c r="AT108" s="670" t="s">
        <v>323</v>
      </c>
      <c r="AU108" s="671"/>
      <c r="AV108" s="671"/>
      <c r="AW108" s="671"/>
      <c r="AX108" s="671"/>
    </row>
    <row r="109" spans="2:53">
      <c r="B109" s="663" t="s">
        <v>362</v>
      </c>
      <c r="C109" s="663" t="s">
        <v>372</v>
      </c>
      <c r="D109" s="663"/>
      <c r="E109" s="663" t="s">
        <v>363</v>
      </c>
      <c r="F109" s="663"/>
      <c r="G109" s="663"/>
      <c r="H109" s="679" t="s">
        <v>359</v>
      </c>
      <c r="I109" s="647" t="s">
        <v>364</v>
      </c>
      <c r="J109" s="647"/>
      <c r="K109" s="647"/>
      <c r="L109" s="648" t="s">
        <v>359</v>
      </c>
      <c r="M109" s="654" t="s">
        <v>360</v>
      </c>
      <c r="N109" s="663"/>
      <c r="O109" s="663" t="s">
        <v>365</v>
      </c>
      <c r="P109" s="660" t="s">
        <v>361</v>
      </c>
      <c r="Q109" s="661"/>
      <c r="R109" s="661"/>
      <c r="S109" s="662"/>
      <c r="T109" s="663" t="s">
        <v>359</v>
      </c>
      <c r="U109" s="660" t="s">
        <v>361</v>
      </c>
      <c r="V109" s="661"/>
      <c r="W109" s="661"/>
      <c r="X109" s="662"/>
      <c r="Y109" s="663" t="s">
        <v>359</v>
      </c>
      <c r="Z109" s="660" t="s">
        <v>361</v>
      </c>
      <c r="AA109" s="661"/>
      <c r="AB109" s="661"/>
      <c r="AC109" s="662"/>
      <c r="AD109" s="663" t="s">
        <v>359</v>
      </c>
      <c r="AE109" s="660" t="s">
        <v>361</v>
      </c>
      <c r="AF109" s="661"/>
      <c r="AG109" s="661"/>
      <c r="AH109" s="662"/>
      <c r="AI109" s="663" t="s">
        <v>359</v>
      </c>
      <c r="AJ109" s="660" t="s">
        <v>361</v>
      </c>
      <c r="AK109" s="661"/>
      <c r="AL109" s="661"/>
      <c r="AM109" s="662"/>
      <c r="AN109" s="663" t="s">
        <v>359</v>
      </c>
      <c r="AO109" s="660" t="s">
        <v>361</v>
      </c>
      <c r="AP109" s="661"/>
      <c r="AQ109" s="661"/>
      <c r="AR109" s="662"/>
      <c r="AS109" s="663" t="s">
        <v>359</v>
      </c>
      <c r="AT109" s="660" t="s">
        <v>361</v>
      </c>
      <c r="AU109" s="661"/>
      <c r="AV109" s="661"/>
      <c r="AW109" s="662"/>
      <c r="AX109" s="663" t="s">
        <v>359</v>
      </c>
      <c r="BA109" s="663" t="s">
        <v>359</v>
      </c>
    </row>
    <row r="110" spans="2:53">
      <c r="B110" s="663"/>
      <c r="C110" s="663"/>
      <c r="D110" s="663"/>
      <c r="E110" s="663" t="s">
        <v>366</v>
      </c>
      <c r="F110" s="663"/>
      <c r="G110" s="663"/>
      <c r="H110" s="680"/>
      <c r="I110" s="647" t="s">
        <v>366</v>
      </c>
      <c r="J110" s="647"/>
      <c r="K110" s="647"/>
      <c r="L110" s="649"/>
      <c r="M110" s="655"/>
      <c r="N110" s="663"/>
      <c r="O110" s="663"/>
      <c r="P110" s="660" t="s">
        <v>367</v>
      </c>
      <c r="Q110" s="661"/>
      <c r="R110" s="661"/>
      <c r="S110" s="662"/>
      <c r="T110" s="663"/>
      <c r="U110" s="660" t="s">
        <v>367</v>
      </c>
      <c r="V110" s="661"/>
      <c r="W110" s="661"/>
      <c r="X110" s="662"/>
      <c r="Y110" s="663"/>
      <c r="Z110" s="660" t="s">
        <v>367</v>
      </c>
      <c r="AA110" s="661"/>
      <c r="AB110" s="661"/>
      <c r="AC110" s="662"/>
      <c r="AD110" s="663"/>
      <c r="AE110" s="660" t="s">
        <v>367</v>
      </c>
      <c r="AF110" s="661"/>
      <c r="AG110" s="661"/>
      <c r="AH110" s="662"/>
      <c r="AI110" s="663"/>
      <c r="AJ110" s="660" t="s">
        <v>367</v>
      </c>
      <c r="AK110" s="661"/>
      <c r="AL110" s="661"/>
      <c r="AM110" s="662"/>
      <c r="AN110" s="663"/>
      <c r="AO110" s="660" t="s">
        <v>367</v>
      </c>
      <c r="AP110" s="661"/>
      <c r="AQ110" s="661"/>
      <c r="AR110" s="662"/>
      <c r="AS110" s="663"/>
      <c r="AT110" s="660" t="s">
        <v>367</v>
      </c>
      <c r="AU110" s="661"/>
      <c r="AV110" s="661"/>
      <c r="AW110" s="662"/>
      <c r="AX110" s="663"/>
      <c r="BA110" s="663"/>
    </row>
    <row r="111" spans="2:53">
      <c r="B111" s="663"/>
      <c r="C111" s="663"/>
      <c r="D111" s="663"/>
      <c r="E111" s="274" t="s">
        <v>368</v>
      </c>
      <c r="F111" s="274" t="s">
        <v>369</v>
      </c>
      <c r="G111" s="274" t="s">
        <v>370</v>
      </c>
      <c r="H111" s="681"/>
      <c r="I111" s="273" t="s">
        <v>368</v>
      </c>
      <c r="J111" s="273" t="s">
        <v>369</v>
      </c>
      <c r="K111" s="273" t="s">
        <v>370</v>
      </c>
      <c r="L111" s="650"/>
      <c r="M111" s="656"/>
      <c r="N111" s="663"/>
      <c r="O111" s="663"/>
      <c r="P111" s="274" t="s">
        <v>368</v>
      </c>
      <c r="Q111" s="274" t="s">
        <v>369</v>
      </c>
      <c r="R111" s="274" t="s">
        <v>370</v>
      </c>
      <c r="S111" s="274" t="s">
        <v>360</v>
      </c>
      <c r="T111" s="663"/>
      <c r="U111" s="274" t="s">
        <v>368</v>
      </c>
      <c r="V111" s="274" t="s">
        <v>369</v>
      </c>
      <c r="W111" s="274" t="s">
        <v>370</v>
      </c>
      <c r="X111" s="274" t="s">
        <v>360</v>
      </c>
      <c r="Y111" s="663"/>
      <c r="Z111" s="274" t="s">
        <v>368</v>
      </c>
      <c r="AA111" s="274" t="s">
        <v>369</v>
      </c>
      <c r="AB111" s="274" t="s">
        <v>370</v>
      </c>
      <c r="AC111" s="274" t="s">
        <v>360</v>
      </c>
      <c r="AD111" s="663"/>
      <c r="AE111" s="274" t="s">
        <v>368</v>
      </c>
      <c r="AF111" s="274" t="s">
        <v>369</v>
      </c>
      <c r="AG111" s="274" t="s">
        <v>370</v>
      </c>
      <c r="AH111" s="274" t="s">
        <v>360</v>
      </c>
      <c r="AI111" s="663"/>
      <c r="AJ111" s="274" t="s">
        <v>368</v>
      </c>
      <c r="AK111" s="274" t="s">
        <v>369</v>
      </c>
      <c r="AL111" s="274" t="s">
        <v>370</v>
      </c>
      <c r="AM111" s="274" t="s">
        <v>360</v>
      </c>
      <c r="AN111" s="663"/>
      <c r="AO111" s="274" t="s">
        <v>368</v>
      </c>
      <c r="AP111" s="274" t="s">
        <v>369</v>
      </c>
      <c r="AQ111" s="274" t="s">
        <v>370</v>
      </c>
      <c r="AR111" s="274" t="s">
        <v>360</v>
      </c>
      <c r="AS111" s="663"/>
      <c r="AT111" s="274" t="s">
        <v>368</v>
      </c>
      <c r="AU111" s="274" t="s">
        <v>369</v>
      </c>
      <c r="AV111" s="274" t="s">
        <v>370</v>
      </c>
      <c r="AW111" s="274" t="s">
        <v>360</v>
      </c>
      <c r="AX111" s="663"/>
      <c r="AZ111" s="362" t="s">
        <v>360</v>
      </c>
      <c r="BA111" s="663"/>
    </row>
    <row r="112" spans="2:53">
      <c r="B112" s="671" t="s">
        <v>150</v>
      </c>
      <c r="C112" s="275">
        <v>1</v>
      </c>
      <c r="D112" s="196"/>
      <c r="E112" s="196"/>
      <c r="F112" s="196"/>
      <c r="G112" s="481"/>
      <c r="H112" s="672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44" t="str">
        <f>IFERROR(AVERAGE(K112:K141),"-")</f>
        <v>-</v>
      </c>
      <c r="M112" s="193" t="e">
        <f>RANK(K112, K$112:$K$141)</f>
        <v>#VALUE!</v>
      </c>
      <c r="N112" s="663"/>
      <c r="O112" s="663"/>
      <c r="P112" s="508"/>
      <c r="Q112" s="509"/>
      <c r="R112" s="509"/>
      <c r="S112" s="508"/>
      <c r="T112" s="672"/>
      <c r="U112" s="508"/>
      <c r="V112" s="509"/>
      <c r="W112" s="509"/>
      <c r="X112" s="508"/>
      <c r="Y112" s="672"/>
      <c r="Z112" s="508"/>
      <c r="AA112" s="509"/>
      <c r="AB112" s="509"/>
      <c r="AC112" s="508"/>
      <c r="AD112" s="672"/>
      <c r="AE112" s="508"/>
      <c r="AF112" s="509"/>
      <c r="AG112" s="509"/>
      <c r="AH112" s="508"/>
      <c r="AI112" s="672"/>
      <c r="AJ112" s="508"/>
      <c r="AK112" s="509"/>
      <c r="AL112" s="509"/>
      <c r="AM112" s="508"/>
      <c r="AN112" s="672"/>
      <c r="AO112" s="508"/>
      <c r="AP112" s="509"/>
      <c r="AQ112" s="509"/>
      <c r="AR112" s="508"/>
      <c r="AS112" s="672"/>
      <c r="AT112" s="508"/>
      <c r="AU112" s="509"/>
      <c r="AV112" s="509"/>
      <c r="AW112" s="508"/>
      <c r="AX112" s="672"/>
      <c r="AZ112" s="361" t="e">
        <f t="shared" ref="AZ112:AZ141" si="35">RANK(AY112, AY$112:AY$141)</f>
        <v>#N/A</v>
      </c>
      <c r="BA112" s="672" t="e">
        <f t="shared" ref="BA112" si="36">AVERAGE(AY112:AY141)</f>
        <v>#DIV/0!</v>
      </c>
    </row>
    <row r="113" spans="2:53">
      <c r="B113" s="671"/>
      <c r="C113" s="275">
        <v>2</v>
      </c>
      <c r="D113" s="482"/>
      <c r="E113" s="196"/>
      <c r="F113" s="196"/>
      <c r="G113" s="481"/>
      <c r="H113" s="673"/>
      <c r="I113" s="352" t="str">
        <f t="shared" ref="I113:I141" si="37">IFERROR(AVERAGE(P113,U113,Z113,AE113,AJ113,AO113,AT113),"-")</f>
        <v>-</v>
      </c>
      <c r="J113" s="352" t="str">
        <f t="shared" ref="J113:J141" si="38">IFERROR(AVERAGE(Q113,V113,AA113,AF113,AK113,AP113,AU113),"-")</f>
        <v>-</v>
      </c>
      <c r="K113" s="194" t="str">
        <f t="shared" ref="K113:K141" si="39">IFERROR(AVERAGE(R113,W113,AB113,AG113,AL113,AQ113,AV113),"-")</f>
        <v>-</v>
      </c>
      <c r="L113" s="645"/>
      <c r="M113" s="193" t="e">
        <f>RANK(K113, K$112:$K$141)</f>
        <v>#VALUE!</v>
      </c>
      <c r="N113" s="663"/>
      <c r="O113" s="663"/>
      <c r="P113" s="508"/>
      <c r="Q113" s="509"/>
      <c r="R113" s="509"/>
      <c r="S113" s="508"/>
      <c r="T113" s="673"/>
      <c r="U113" s="508"/>
      <c r="V113" s="509"/>
      <c r="W113" s="509"/>
      <c r="X113" s="508"/>
      <c r="Y113" s="673"/>
      <c r="Z113" s="508"/>
      <c r="AA113" s="509"/>
      <c r="AB113" s="509"/>
      <c r="AC113" s="508"/>
      <c r="AD113" s="673"/>
      <c r="AE113" s="508"/>
      <c r="AF113" s="509"/>
      <c r="AG113" s="509"/>
      <c r="AH113" s="508"/>
      <c r="AI113" s="673"/>
      <c r="AJ113" s="508"/>
      <c r="AK113" s="509"/>
      <c r="AL113" s="509"/>
      <c r="AM113" s="508"/>
      <c r="AN113" s="673"/>
      <c r="AO113" s="508"/>
      <c r="AP113" s="509"/>
      <c r="AQ113" s="509"/>
      <c r="AR113" s="508"/>
      <c r="AS113" s="673"/>
      <c r="AT113" s="508"/>
      <c r="AU113" s="509"/>
      <c r="AV113" s="509"/>
      <c r="AW113" s="508"/>
      <c r="AX113" s="673"/>
      <c r="AZ113" s="361" t="e">
        <f t="shared" si="35"/>
        <v>#N/A</v>
      </c>
      <c r="BA113" s="673"/>
    </row>
    <row r="114" spans="2:53">
      <c r="B114" s="671"/>
      <c r="C114" s="275">
        <v>3</v>
      </c>
      <c r="D114" s="196"/>
      <c r="E114" s="196"/>
      <c r="F114" s="196"/>
      <c r="G114" s="481"/>
      <c r="H114" s="673"/>
      <c r="I114" s="352" t="str">
        <f t="shared" si="37"/>
        <v>-</v>
      </c>
      <c r="J114" s="352" t="str">
        <f t="shared" si="38"/>
        <v>-</v>
      </c>
      <c r="K114" s="194" t="str">
        <f t="shared" si="39"/>
        <v>-</v>
      </c>
      <c r="L114" s="645"/>
      <c r="M114" s="193" t="e">
        <f>RANK(K114, K$112:$K$141)</f>
        <v>#VALUE!</v>
      </c>
      <c r="N114" s="663"/>
      <c r="O114" s="663"/>
      <c r="P114" s="508"/>
      <c r="Q114" s="509"/>
      <c r="R114" s="509"/>
      <c r="S114" s="508"/>
      <c r="T114" s="673"/>
      <c r="U114" s="508"/>
      <c r="V114" s="509"/>
      <c r="W114" s="509"/>
      <c r="X114" s="508"/>
      <c r="Y114" s="673"/>
      <c r="Z114" s="508"/>
      <c r="AA114" s="509"/>
      <c r="AB114" s="509"/>
      <c r="AC114" s="508"/>
      <c r="AD114" s="673"/>
      <c r="AE114" s="508"/>
      <c r="AF114" s="509"/>
      <c r="AG114" s="509"/>
      <c r="AH114" s="508"/>
      <c r="AI114" s="673"/>
      <c r="AJ114" s="508"/>
      <c r="AK114" s="509"/>
      <c r="AL114" s="509"/>
      <c r="AM114" s="508"/>
      <c r="AN114" s="673"/>
      <c r="AO114" s="508"/>
      <c r="AP114" s="509"/>
      <c r="AQ114" s="509"/>
      <c r="AR114" s="508"/>
      <c r="AS114" s="673"/>
      <c r="AT114" s="508"/>
      <c r="AU114" s="509"/>
      <c r="AV114" s="509"/>
      <c r="AW114" s="508"/>
      <c r="AX114" s="673"/>
      <c r="AZ114" s="361" t="e">
        <f t="shared" si="35"/>
        <v>#N/A</v>
      </c>
      <c r="BA114" s="673"/>
    </row>
    <row r="115" spans="2:53">
      <c r="B115" s="671"/>
      <c r="C115" s="275">
        <v>4</v>
      </c>
      <c r="D115" s="196"/>
      <c r="E115" s="196"/>
      <c r="F115" s="196"/>
      <c r="G115" s="481"/>
      <c r="H115" s="673"/>
      <c r="I115" s="352" t="str">
        <f t="shared" si="37"/>
        <v>-</v>
      </c>
      <c r="J115" s="352" t="str">
        <f t="shared" si="38"/>
        <v>-</v>
      </c>
      <c r="K115" s="194" t="str">
        <f t="shared" si="39"/>
        <v>-</v>
      </c>
      <c r="L115" s="645"/>
      <c r="M115" s="193" t="e">
        <f>RANK(K115, K$112:$K$141)</f>
        <v>#VALUE!</v>
      </c>
      <c r="N115" s="663"/>
      <c r="O115" s="663"/>
      <c r="P115" s="508"/>
      <c r="Q115" s="509"/>
      <c r="R115" s="509"/>
      <c r="S115" s="508"/>
      <c r="T115" s="673"/>
      <c r="U115" s="508"/>
      <c r="V115" s="509"/>
      <c r="W115" s="509"/>
      <c r="X115" s="508"/>
      <c r="Y115" s="673"/>
      <c r="Z115" s="508"/>
      <c r="AA115" s="509"/>
      <c r="AB115" s="509"/>
      <c r="AC115" s="508"/>
      <c r="AD115" s="673"/>
      <c r="AE115" s="508"/>
      <c r="AF115" s="509"/>
      <c r="AG115" s="509"/>
      <c r="AH115" s="508"/>
      <c r="AI115" s="673"/>
      <c r="AJ115" s="508"/>
      <c r="AK115" s="509"/>
      <c r="AL115" s="509"/>
      <c r="AM115" s="508"/>
      <c r="AN115" s="673"/>
      <c r="AO115" s="508"/>
      <c r="AP115" s="509"/>
      <c r="AQ115" s="509"/>
      <c r="AR115" s="508"/>
      <c r="AS115" s="673"/>
      <c r="AT115" s="508"/>
      <c r="AU115" s="509"/>
      <c r="AV115" s="509"/>
      <c r="AW115" s="508"/>
      <c r="AX115" s="673"/>
      <c r="AZ115" s="361" t="e">
        <f t="shared" si="35"/>
        <v>#N/A</v>
      </c>
      <c r="BA115" s="673"/>
    </row>
    <row r="116" spans="2:53">
      <c r="B116" s="671"/>
      <c r="C116" s="275">
        <v>5</v>
      </c>
      <c r="D116" s="196"/>
      <c r="E116" s="196"/>
      <c r="F116" s="196"/>
      <c r="G116" s="481"/>
      <c r="H116" s="673"/>
      <c r="I116" s="352" t="str">
        <f t="shared" si="37"/>
        <v>-</v>
      </c>
      <c r="J116" s="352" t="str">
        <f t="shared" si="38"/>
        <v>-</v>
      </c>
      <c r="K116" s="194" t="str">
        <f t="shared" si="39"/>
        <v>-</v>
      </c>
      <c r="L116" s="645"/>
      <c r="M116" s="193" t="e">
        <f>RANK(K116, K$112:$K$141)</f>
        <v>#VALUE!</v>
      </c>
      <c r="N116" s="663"/>
      <c r="O116" s="663"/>
      <c r="P116" s="508"/>
      <c r="Q116" s="509"/>
      <c r="R116" s="509"/>
      <c r="S116" s="508"/>
      <c r="T116" s="673"/>
      <c r="U116" s="508"/>
      <c r="V116" s="509"/>
      <c r="W116" s="509"/>
      <c r="X116" s="508"/>
      <c r="Y116" s="673"/>
      <c r="Z116" s="508"/>
      <c r="AA116" s="509"/>
      <c r="AB116" s="509"/>
      <c r="AC116" s="508"/>
      <c r="AD116" s="673"/>
      <c r="AE116" s="508"/>
      <c r="AF116" s="509"/>
      <c r="AG116" s="509"/>
      <c r="AH116" s="508"/>
      <c r="AI116" s="673"/>
      <c r="AJ116" s="508"/>
      <c r="AK116" s="509"/>
      <c r="AL116" s="509"/>
      <c r="AM116" s="508"/>
      <c r="AN116" s="673"/>
      <c r="AO116" s="508"/>
      <c r="AP116" s="509"/>
      <c r="AQ116" s="509"/>
      <c r="AR116" s="508"/>
      <c r="AS116" s="673"/>
      <c r="AT116" s="508"/>
      <c r="AU116" s="509"/>
      <c r="AV116" s="509"/>
      <c r="AW116" s="508"/>
      <c r="AX116" s="673"/>
      <c r="AZ116" s="361" t="e">
        <f t="shared" si="35"/>
        <v>#N/A</v>
      </c>
      <c r="BA116" s="673"/>
    </row>
    <row r="117" spans="2:53">
      <c r="B117" s="671"/>
      <c r="C117" s="275">
        <v>6</v>
      </c>
      <c r="D117" s="196"/>
      <c r="E117" s="196"/>
      <c r="F117" s="196"/>
      <c r="G117" s="481"/>
      <c r="H117" s="673"/>
      <c r="I117" s="352" t="str">
        <f t="shared" si="37"/>
        <v>-</v>
      </c>
      <c r="J117" s="352" t="str">
        <f t="shared" si="38"/>
        <v>-</v>
      </c>
      <c r="K117" s="194" t="str">
        <f t="shared" si="39"/>
        <v>-</v>
      </c>
      <c r="L117" s="645"/>
      <c r="M117" s="193" t="e">
        <f>RANK(K117, K$112:$K$141)</f>
        <v>#VALUE!</v>
      </c>
      <c r="N117" s="663"/>
      <c r="O117" s="663"/>
      <c r="P117" s="508"/>
      <c r="Q117" s="509"/>
      <c r="R117" s="509"/>
      <c r="S117" s="508"/>
      <c r="T117" s="673"/>
      <c r="U117" s="508"/>
      <c r="V117" s="509"/>
      <c r="W117" s="509"/>
      <c r="X117" s="508"/>
      <c r="Y117" s="673"/>
      <c r="Z117" s="508"/>
      <c r="AA117" s="509"/>
      <c r="AB117" s="509"/>
      <c r="AC117" s="508"/>
      <c r="AD117" s="673"/>
      <c r="AE117" s="508"/>
      <c r="AF117" s="509"/>
      <c r="AG117" s="509"/>
      <c r="AH117" s="508"/>
      <c r="AI117" s="673"/>
      <c r="AJ117" s="508"/>
      <c r="AK117" s="509"/>
      <c r="AL117" s="509"/>
      <c r="AM117" s="508"/>
      <c r="AN117" s="673"/>
      <c r="AO117" s="508"/>
      <c r="AP117" s="509"/>
      <c r="AQ117" s="509"/>
      <c r="AR117" s="508"/>
      <c r="AS117" s="673"/>
      <c r="AT117" s="508"/>
      <c r="AU117" s="509"/>
      <c r="AV117" s="509"/>
      <c r="AW117" s="508"/>
      <c r="AX117" s="673"/>
      <c r="AZ117" s="361" t="e">
        <f t="shared" si="35"/>
        <v>#N/A</v>
      </c>
      <c r="BA117" s="673"/>
    </row>
    <row r="118" spans="2:53">
      <c r="B118" s="671"/>
      <c r="C118" s="275">
        <v>7</v>
      </c>
      <c r="D118" s="196"/>
      <c r="E118" s="196"/>
      <c r="F118" s="196"/>
      <c r="G118" s="481"/>
      <c r="H118" s="673"/>
      <c r="I118" s="352" t="str">
        <f t="shared" si="37"/>
        <v>-</v>
      </c>
      <c r="J118" s="352" t="str">
        <f t="shared" si="38"/>
        <v>-</v>
      </c>
      <c r="K118" s="194" t="str">
        <f t="shared" si="39"/>
        <v>-</v>
      </c>
      <c r="L118" s="645"/>
      <c r="M118" s="193" t="e">
        <f>RANK(K118, K$112:$K$141)</f>
        <v>#VALUE!</v>
      </c>
      <c r="N118" s="663"/>
      <c r="O118" s="663"/>
      <c r="P118" s="508"/>
      <c r="Q118" s="509"/>
      <c r="R118" s="509"/>
      <c r="S118" s="508"/>
      <c r="T118" s="673"/>
      <c r="U118" s="508"/>
      <c r="V118" s="509"/>
      <c r="W118" s="509"/>
      <c r="X118" s="508"/>
      <c r="Y118" s="673"/>
      <c r="Z118" s="508"/>
      <c r="AA118" s="509"/>
      <c r="AB118" s="509"/>
      <c r="AC118" s="508"/>
      <c r="AD118" s="673"/>
      <c r="AE118" s="508"/>
      <c r="AF118" s="509"/>
      <c r="AG118" s="509"/>
      <c r="AH118" s="508"/>
      <c r="AI118" s="673"/>
      <c r="AJ118" s="508"/>
      <c r="AK118" s="509"/>
      <c r="AL118" s="509"/>
      <c r="AM118" s="508"/>
      <c r="AN118" s="673"/>
      <c r="AO118" s="508"/>
      <c r="AP118" s="509"/>
      <c r="AQ118" s="509"/>
      <c r="AR118" s="508"/>
      <c r="AS118" s="673"/>
      <c r="AT118" s="508"/>
      <c r="AU118" s="509"/>
      <c r="AV118" s="509"/>
      <c r="AW118" s="508"/>
      <c r="AX118" s="673"/>
      <c r="AZ118" s="361" t="e">
        <f t="shared" si="35"/>
        <v>#N/A</v>
      </c>
      <c r="BA118" s="673"/>
    </row>
    <row r="119" spans="2:53">
      <c r="B119" s="671"/>
      <c r="C119" s="275">
        <v>8</v>
      </c>
      <c r="D119" s="196"/>
      <c r="E119" s="196"/>
      <c r="F119" s="196"/>
      <c r="G119" s="481"/>
      <c r="H119" s="673"/>
      <c r="I119" s="352" t="str">
        <f t="shared" si="37"/>
        <v>-</v>
      </c>
      <c r="J119" s="352" t="str">
        <f t="shared" si="38"/>
        <v>-</v>
      </c>
      <c r="K119" s="194" t="str">
        <f t="shared" si="39"/>
        <v>-</v>
      </c>
      <c r="L119" s="645"/>
      <c r="M119" s="193" t="e">
        <f>RANK(K119, K$112:$K$141)</f>
        <v>#VALUE!</v>
      </c>
      <c r="N119" s="663"/>
      <c r="O119" s="663"/>
      <c r="P119" s="508"/>
      <c r="Q119" s="509"/>
      <c r="R119" s="509"/>
      <c r="S119" s="508"/>
      <c r="T119" s="673"/>
      <c r="U119" s="508"/>
      <c r="V119" s="509"/>
      <c r="W119" s="509"/>
      <c r="X119" s="508"/>
      <c r="Y119" s="673"/>
      <c r="Z119" s="508"/>
      <c r="AA119" s="509"/>
      <c r="AB119" s="509"/>
      <c r="AC119" s="508"/>
      <c r="AD119" s="673"/>
      <c r="AE119" s="508"/>
      <c r="AF119" s="509"/>
      <c r="AG119" s="509"/>
      <c r="AH119" s="508"/>
      <c r="AI119" s="673"/>
      <c r="AJ119" s="508"/>
      <c r="AK119" s="509"/>
      <c r="AL119" s="509"/>
      <c r="AM119" s="508"/>
      <c r="AN119" s="673"/>
      <c r="AO119" s="508"/>
      <c r="AP119" s="509"/>
      <c r="AQ119" s="509"/>
      <c r="AR119" s="508"/>
      <c r="AS119" s="673"/>
      <c r="AT119" s="508"/>
      <c r="AU119" s="509"/>
      <c r="AV119" s="509"/>
      <c r="AW119" s="508"/>
      <c r="AX119" s="673"/>
      <c r="AZ119" s="361" t="e">
        <f t="shared" si="35"/>
        <v>#N/A</v>
      </c>
      <c r="BA119" s="673"/>
    </row>
    <row r="120" spans="2:53">
      <c r="B120" s="671"/>
      <c r="C120" s="275">
        <v>9</v>
      </c>
      <c r="D120" s="196"/>
      <c r="E120" s="196"/>
      <c r="F120" s="196"/>
      <c r="G120" s="481"/>
      <c r="H120" s="673"/>
      <c r="I120" s="352" t="str">
        <f t="shared" si="37"/>
        <v>-</v>
      </c>
      <c r="J120" s="352" t="str">
        <f t="shared" si="38"/>
        <v>-</v>
      </c>
      <c r="K120" s="194" t="str">
        <f t="shared" si="39"/>
        <v>-</v>
      </c>
      <c r="L120" s="645"/>
      <c r="M120" s="193" t="e">
        <f>RANK(K120, K$112:$K$141)</f>
        <v>#VALUE!</v>
      </c>
      <c r="N120" s="663"/>
      <c r="O120" s="663"/>
      <c r="P120" s="508"/>
      <c r="Q120" s="509"/>
      <c r="R120" s="509"/>
      <c r="S120" s="508"/>
      <c r="T120" s="673"/>
      <c r="U120" s="508"/>
      <c r="V120" s="509"/>
      <c r="W120" s="509"/>
      <c r="X120" s="508"/>
      <c r="Y120" s="673"/>
      <c r="Z120" s="508"/>
      <c r="AA120" s="509"/>
      <c r="AB120" s="509"/>
      <c r="AC120" s="508"/>
      <c r="AD120" s="673"/>
      <c r="AE120" s="508"/>
      <c r="AF120" s="509"/>
      <c r="AG120" s="509"/>
      <c r="AH120" s="508"/>
      <c r="AI120" s="673"/>
      <c r="AJ120" s="508"/>
      <c r="AK120" s="509"/>
      <c r="AL120" s="509"/>
      <c r="AM120" s="508"/>
      <c r="AN120" s="673"/>
      <c r="AO120" s="508"/>
      <c r="AP120" s="509"/>
      <c r="AQ120" s="509"/>
      <c r="AR120" s="508"/>
      <c r="AS120" s="673"/>
      <c r="AT120" s="508"/>
      <c r="AU120" s="509"/>
      <c r="AV120" s="509"/>
      <c r="AW120" s="508"/>
      <c r="AX120" s="673"/>
      <c r="AZ120" s="361" t="e">
        <f t="shared" si="35"/>
        <v>#N/A</v>
      </c>
      <c r="BA120" s="673"/>
    </row>
    <row r="121" spans="2:53">
      <c r="B121" s="671"/>
      <c r="C121" s="275">
        <v>10</v>
      </c>
      <c r="D121" s="196"/>
      <c r="E121" s="196"/>
      <c r="F121" s="196"/>
      <c r="G121" s="481"/>
      <c r="H121" s="673"/>
      <c r="I121" s="352" t="str">
        <f t="shared" si="37"/>
        <v>-</v>
      </c>
      <c r="J121" s="352" t="str">
        <f t="shared" si="38"/>
        <v>-</v>
      </c>
      <c r="K121" s="194" t="str">
        <f t="shared" si="39"/>
        <v>-</v>
      </c>
      <c r="L121" s="645"/>
      <c r="M121" s="193" t="e">
        <f>RANK(K121, K$112:$K$141)</f>
        <v>#VALUE!</v>
      </c>
      <c r="N121" s="663"/>
      <c r="O121" s="663"/>
      <c r="P121" s="508"/>
      <c r="Q121" s="509"/>
      <c r="R121" s="509"/>
      <c r="S121" s="508"/>
      <c r="T121" s="673"/>
      <c r="U121" s="508"/>
      <c r="V121" s="509"/>
      <c r="W121" s="509"/>
      <c r="X121" s="508"/>
      <c r="Y121" s="673"/>
      <c r="Z121" s="508"/>
      <c r="AA121" s="509"/>
      <c r="AB121" s="509"/>
      <c r="AC121" s="508"/>
      <c r="AD121" s="673"/>
      <c r="AE121" s="508"/>
      <c r="AF121" s="509"/>
      <c r="AG121" s="509"/>
      <c r="AH121" s="508"/>
      <c r="AI121" s="673"/>
      <c r="AJ121" s="508"/>
      <c r="AK121" s="509"/>
      <c r="AL121" s="509"/>
      <c r="AM121" s="508"/>
      <c r="AN121" s="673"/>
      <c r="AO121" s="508"/>
      <c r="AP121" s="509"/>
      <c r="AQ121" s="509"/>
      <c r="AR121" s="508"/>
      <c r="AS121" s="673"/>
      <c r="AT121" s="508"/>
      <c r="AU121" s="509"/>
      <c r="AV121" s="509"/>
      <c r="AW121" s="508"/>
      <c r="AX121" s="673"/>
      <c r="AZ121" s="361" t="e">
        <f t="shared" si="35"/>
        <v>#N/A</v>
      </c>
      <c r="BA121" s="673"/>
    </row>
    <row r="122" spans="2:53">
      <c r="B122" s="671"/>
      <c r="C122" s="275">
        <v>11</v>
      </c>
      <c r="D122" s="196"/>
      <c r="E122" s="196"/>
      <c r="F122" s="196"/>
      <c r="G122" s="481"/>
      <c r="H122" s="673"/>
      <c r="I122" s="352" t="str">
        <f t="shared" si="37"/>
        <v>-</v>
      </c>
      <c r="J122" s="352" t="str">
        <f t="shared" si="38"/>
        <v>-</v>
      </c>
      <c r="K122" s="194" t="str">
        <f t="shared" si="39"/>
        <v>-</v>
      </c>
      <c r="L122" s="645"/>
      <c r="M122" s="193" t="e">
        <f>RANK(K122, K$112:$K$141)</f>
        <v>#VALUE!</v>
      </c>
      <c r="N122" s="663"/>
      <c r="O122" s="663"/>
      <c r="P122" s="508"/>
      <c r="Q122" s="509"/>
      <c r="R122" s="509"/>
      <c r="S122" s="508"/>
      <c r="T122" s="673"/>
      <c r="U122" s="508"/>
      <c r="V122" s="509"/>
      <c r="W122" s="509"/>
      <c r="X122" s="508"/>
      <c r="Y122" s="673"/>
      <c r="Z122" s="508"/>
      <c r="AA122" s="509"/>
      <c r="AB122" s="509"/>
      <c r="AC122" s="508"/>
      <c r="AD122" s="673"/>
      <c r="AE122" s="508"/>
      <c r="AF122" s="509"/>
      <c r="AG122" s="509"/>
      <c r="AH122" s="508"/>
      <c r="AI122" s="673"/>
      <c r="AJ122" s="508"/>
      <c r="AK122" s="509"/>
      <c r="AL122" s="509"/>
      <c r="AM122" s="508"/>
      <c r="AN122" s="673"/>
      <c r="AO122" s="508"/>
      <c r="AP122" s="509"/>
      <c r="AQ122" s="509"/>
      <c r="AR122" s="508"/>
      <c r="AS122" s="673"/>
      <c r="AT122" s="508"/>
      <c r="AU122" s="509"/>
      <c r="AV122" s="509"/>
      <c r="AW122" s="508"/>
      <c r="AX122" s="673"/>
      <c r="AZ122" s="361" t="e">
        <f t="shared" si="35"/>
        <v>#N/A</v>
      </c>
      <c r="BA122" s="673"/>
    </row>
    <row r="123" spans="2:53">
      <c r="B123" s="671"/>
      <c r="C123" s="275">
        <v>12</v>
      </c>
      <c r="D123" s="482"/>
      <c r="E123" s="196"/>
      <c r="F123" s="196"/>
      <c r="G123" s="481"/>
      <c r="H123" s="673"/>
      <c r="I123" s="352" t="str">
        <f t="shared" si="37"/>
        <v>-</v>
      </c>
      <c r="J123" s="352" t="str">
        <f t="shared" si="38"/>
        <v>-</v>
      </c>
      <c r="K123" s="194" t="str">
        <f t="shared" si="39"/>
        <v>-</v>
      </c>
      <c r="L123" s="645"/>
      <c r="M123" s="193" t="e">
        <f>RANK(K123, K$112:$K$141)</f>
        <v>#VALUE!</v>
      </c>
      <c r="N123" s="663"/>
      <c r="O123" s="663"/>
      <c r="P123" s="508"/>
      <c r="Q123" s="509"/>
      <c r="R123" s="509"/>
      <c r="S123" s="508"/>
      <c r="T123" s="673"/>
      <c r="U123" s="508"/>
      <c r="V123" s="509"/>
      <c r="W123" s="509"/>
      <c r="X123" s="508"/>
      <c r="Y123" s="673"/>
      <c r="Z123" s="508"/>
      <c r="AA123" s="509"/>
      <c r="AB123" s="509"/>
      <c r="AC123" s="508"/>
      <c r="AD123" s="673"/>
      <c r="AE123" s="508"/>
      <c r="AF123" s="509"/>
      <c r="AG123" s="509"/>
      <c r="AH123" s="508"/>
      <c r="AI123" s="673"/>
      <c r="AJ123" s="508"/>
      <c r="AK123" s="509"/>
      <c r="AL123" s="509"/>
      <c r="AM123" s="508"/>
      <c r="AN123" s="673"/>
      <c r="AO123" s="508"/>
      <c r="AP123" s="509"/>
      <c r="AQ123" s="509"/>
      <c r="AR123" s="508"/>
      <c r="AS123" s="673"/>
      <c r="AT123" s="508"/>
      <c r="AU123" s="509"/>
      <c r="AV123" s="509"/>
      <c r="AW123" s="508"/>
      <c r="AX123" s="673"/>
      <c r="AZ123" s="361" t="e">
        <f t="shared" si="35"/>
        <v>#N/A</v>
      </c>
      <c r="BA123" s="673"/>
    </row>
    <row r="124" spans="2:53">
      <c r="B124" s="671"/>
      <c r="C124" s="275">
        <v>13</v>
      </c>
      <c r="D124" s="196"/>
      <c r="E124" s="196"/>
      <c r="F124" s="196"/>
      <c r="G124" s="481"/>
      <c r="H124" s="673"/>
      <c r="I124" s="352" t="str">
        <f t="shared" si="37"/>
        <v>-</v>
      </c>
      <c r="J124" s="352" t="str">
        <f t="shared" si="38"/>
        <v>-</v>
      </c>
      <c r="K124" s="194" t="str">
        <f t="shared" si="39"/>
        <v>-</v>
      </c>
      <c r="L124" s="645"/>
      <c r="M124" s="193" t="e">
        <f>RANK(K124, K$112:$K$141)</f>
        <v>#VALUE!</v>
      </c>
      <c r="N124" s="663"/>
      <c r="O124" s="663"/>
      <c r="P124" s="508"/>
      <c r="Q124" s="509"/>
      <c r="R124" s="509"/>
      <c r="S124" s="508"/>
      <c r="T124" s="673"/>
      <c r="U124" s="508"/>
      <c r="V124" s="509"/>
      <c r="W124" s="509"/>
      <c r="X124" s="508"/>
      <c r="Y124" s="673"/>
      <c r="Z124" s="508"/>
      <c r="AA124" s="509"/>
      <c r="AB124" s="509"/>
      <c r="AC124" s="508"/>
      <c r="AD124" s="673"/>
      <c r="AE124" s="508"/>
      <c r="AF124" s="509"/>
      <c r="AG124" s="509"/>
      <c r="AH124" s="508"/>
      <c r="AI124" s="673"/>
      <c r="AJ124" s="508"/>
      <c r="AK124" s="509"/>
      <c r="AL124" s="509"/>
      <c r="AM124" s="508"/>
      <c r="AN124" s="673"/>
      <c r="AO124" s="508"/>
      <c r="AP124" s="509"/>
      <c r="AQ124" s="509"/>
      <c r="AR124" s="508"/>
      <c r="AS124" s="673"/>
      <c r="AT124" s="508"/>
      <c r="AU124" s="509"/>
      <c r="AV124" s="509"/>
      <c r="AW124" s="508"/>
      <c r="AX124" s="673"/>
      <c r="AZ124" s="361" t="e">
        <f t="shared" si="35"/>
        <v>#N/A</v>
      </c>
      <c r="BA124" s="673"/>
    </row>
    <row r="125" spans="2:53">
      <c r="B125" s="671"/>
      <c r="C125" s="275">
        <v>14</v>
      </c>
      <c r="D125" s="196"/>
      <c r="E125" s="196"/>
      <c r="F125" s="196"/>
      <c r="G125" s="481"/>
      <c r="H125" s="673"/>
      <c r="I125" s="352" t="str">
        <f t="shared" si="37"/>
        <v>-</v>
      </c>
      <c r="J125" s="352" t="str">
        <f t="shared" si="38"/>
        <v>-</v>
      </c>
      <c r="K125" s="194" t="str">
        <f t="shared" si="39"/>
        <v>-</v>
      </c>
      <c r="L125" s="645"/>
      <c r="M125" s="193" t="e">
        <f>RANK(K125, K$112:$K$141)</f>
        <v>#VALUE!</v>
      </c>
      <c r="N125" s="663"/>
      <c r="O125" s="663"/>
      <c r="P125" s="508"/>
      <c r="Q125" s="509"/>
      <c r="R125" s="509"/>
      <c r="S125" s="508"/>
      <c r="T125" s="673"/>
      <c r="U125" s="508"/>
      <c r="V125" s="509"/>
      <c r="W125" s="509"/>
      <c r="X125" s="508"/>
      <c r="Y125" s="673"/>
      <c r="Z125" s="508"/>
      <c r="AA125" s="509"/>
      <c r="AB125" s="509"/>
      <c r="AC125" s="508"/>
      <c r="AD125" s="673"/>
      <c r="AE125" s="508"/>
      <c r="AF125" s="509"/>
      <c r="AG125" s="509"/>
      <c r="AH125" s="508"/>
      <c r="AI125" s="673"/>
      <c r="AJ125" s="508"/>
      <c r="AK125" s="509"/>
      <c r="AL125" s="509"/>
      <c r="AM125" s="508"/>
      <c r="AN125" s="673"/>
      <c r="AO125" s="508"/>
      <c r="AP125" s="509"/>
      <c r="AQ125" s="509"/>
      <c r="AR125" s="508"/>
      <c r="AS125" s="673"/>
      <c r="AT125" s="508"/>
      <c r="AU125" s="509"/>
      <c r="AV125" s="509"/>
      <c r="AW125" s="508"/>
      <c r="AX125" s="673"/>
      <c r="AZ125" s="361" t="e">
        <f t="shared" si="35"/>
        <v>#N/A</v>
      </c>
      <c r="BA125" s="673"/>
    </row>
    <row r="126" spans="2:53">
      <c r="B126" s="671"/>
      <c r="C126" s="275">
        <v>15</v>
      </c>
      <c r="D126" s="482"/>
      <c r="E126" s="196"/>
      <c r="F126" s="196"/>
      <c r="G126" s="481"/>
      <c r="H126" s="673"/>
      <c r="I126" s="352" t="str">
        <f t="shared" si="37"/>
        <v>-</v>
      </c>
      <c r="J126" s="352" t="str">
        <f t="shared" si="38"/>
        <v>-</v>
      </c>
      <c r="K126" s="194" t="str">
        <f t="shared" si="39"/>
        <v>-</v>
      </c>
      <c r="L126" s="645"/>
      <c r="M126" s="193" t="e">
        <f>RANK(K126, K$112:$K$141)</f>
        <v>#VALUE!</v>
      </c>
      <c r="N126" s="663"/>
      <c r="O126" s="663"/>
      <c r="P126" s="508"/>
      <c r="Q126" s="509"/>
      <c r="R126" s="509"/>
      <c r="S126" s="508"/>
      <c r="T126" s="673"/>
      <c r="U126" s="508"/>
      <c r="V126" s="509"/>
      <c r="W126" s="509"/>
      <c r="X126" s="508"/>
      <c r="Y126" s="673"/>
      <c r="Z126" s="508"/>
      <c r="AA126" s="509"/>
      <c r="AB126" s="509"/>
      <c r="AC126" s="508"/>
      <c r="AD126" s="673"/>
      <c r="AE126" s="508"/>
      <c r="AF126" s="509"/>
      <c r="AG126" s="509"/>
      <c r="AH126" s="508"/>
      <c r="AI126" s="673"/>
      <c r="AJ126" s="508"/>
      <c r="AK126" s="509"/>
      <c r="AL126" s="509"/>
      <c r="AM126" s="508"/>
      <c r="AN126" s="673"/>
      <c r="AO126" s="508"/>
      <c r="AP126" s="509"/>
      <c r="AQ126" s="509"/>
      <c r="AR126" s="508"/>
      <c r="AS126" s="673"/>
      <c r="AT126" s="508"/>
      <c r="AU126" s="509"/>
      <c r="AV126" s="509"/>
      <c r="AW126" s="508"/>
      <c r="AX126" s="673"/>
      <c r="AZ126" s="361" t="e">
        <f t="shared" si="35"/>
        <v>#N/A</v>
      </c>
      <c r="BA126" s="673"/>
    </row>
    <row r="127" spans="2:53">
      <c r="B127" s="671"/>
      <c r="C127" s="275">
        <v>16</v>
      </c>
      <c r="D127" s="196"/>
      <c r="E127" s="196"/>
      <c r="F127" s="196"/>
      <c r="G127" s="481"/>
      <c r="H127" s="673"/>
      <c r="I127" s="352" t="str">
        <f t="shared" si="37"/>
        <v>-</v>
      </c>
      <c r="J127" s="352" t="str">
        <f t="shared" si="38"/>
        <v>-</v>
      </c>
      <c r="K127" s="194" t="str">
        <f t="shared" si="39"/>
        <v>-</v>
      </c>
      <c r="L127" s="645"/>
      <c r="M127" s="193" t="e">
        <f>RANK(K127, K$112:$K$141)</f>
        <v>#VALUE!</v>
      </c>
      <c r="N127" s="663"/>
      <c r="O127" s="663"/>
      <c r="P127" s="508"/>
      <c r="Q127" s="509"/>
      <c r="R127" s="509"/>
      <c r="S127" s="508"/>
      <c r="T127" s="673"/>
      <c r="U127" s="508"/>
      <c r="V127" s="509"/>
      <c r="W127" s="509"/>
      <c r="X127" s="508"/>
      <c r="Y127" s="673"/>
      <c r="Z127" s="508"/>
      <c r="AA127" s="509"/>
      <c r="AB127" s="509"/>
      <c r="AC127" s="508"/>
      <c r="AD127" s="673"/>
      <c r="AE127" s="508"/>
      <c r="AF127" s="509"/>
      <c r="AG127" s="509"/>
      <c r="AH127" s="508"/>
      <c r="AI127" s="673"/>
      <c r="AJ127" s="508"/>
      <c r="AK127" s="509"/>
      <c r="AL127" s="509"/>
      <c r="AM127" s="508"/>
      <c r="AN127" s="673"/>
      <c r="AO127" s="508"/>
      <c r="AP127" s="509"/>
      <c r="AQ127" s="509"/>
      <c r="AR127" s="508"/>
      <c r="AS127" s="673"/>
      <c r="AT127" s="508"/>
      <c r="AU127" s="509"/>
      <c r="AV127" s="509"/>
      <c r="AW127" s="508"/>
      <c r="AX127" s="673"/>
      <c r="AZ127" s="361" t="e">
        <f t="shared" si="35"/>
        <v>#N/A</v>
      </c>
      <c r="BA127" s="673"/>
    </row>
    <row r="128" spans="2:53">
      <c r="B128" s="671"/>
      <c r="C128" s="275">
        <v>17</v>
      </c>
      <c r="D128" s="196"/>
      <c r="E128" s="196"/>
      <c r="F128" s="196"/>
      <c r="G128" s="481"/>
      <c r="H128" s="673"/>
      <c r="I128" s="352" t="str">
        <f t="shared" si="37"/>
        <v>-</v>
      </c>
      <c r="J128" s="352" t="str">
        <f t="shared" si="38"/>
        <v>-</v>
      </c>
      <c r="K128" s="194" t="str">
        <f t="shared" si="39"/>
        <v>-</v>
      </c>
      <c r="L128" s="645"/>
      <c r="M128" s="193" t="e">
        <f>RANK(K128, K$112:$K$141)</f>
        <v>#VALUE!</v>
      </c>
      <c r="N128" s="663"/>
      <c r="O128" s="663"/>
      <c r="P128" s="508"/>
      <c r="Q128" s="509"/>
      <c r="R128" s="509"/>
      <c r="S128" s="508"/>
      <c r="T128" s="673"/>
      <c r="U128" s="508"/>
      <c r="V128" s="509"/>
      <c r="W128" s="509"/>
      <c r="X128" s="508"/>
      <c r="Y128" s="673"/>
      <c r="Z128" s="508"/>
      <c r="AA128" s="509"/>
      <c r="AB128" s="509"/>
      <c r="AC128" s="508"/>
      <c r="AD128" s="673"/>
      <c r="AE128" s="508"/>
      <c r="AF128" s="509"/>
      <c r="AG128" s="509"/>
      <c r="AH128" s="508"/>
      <c r="AI128" s="673"/>
      <c r="AJ128" s="508"/>
      <c r="AK128" s="509"/>
      <c r="AL128" s="509"/>
      <c r="AM128" s="508"/>
      <c r="AN128" s="673"/>
      <c r="AO128" s="508"/>
      <c r="AP128" s="509"/>
      <c r="AQ128" s="509"/>
      <c r="AR128" s="508"/>
      <c r="AS128" s="673"/>
      <c r="AT128" s="508"/>
      <c r="AU128" s="509"/>
      <c r="AV128" s="509"/>
      <c r="AW128" s="508"/>
      <c r="AX128" s="673"/>
      <c r="AZ128" s="361" t="e">
        <f t="shared" si="35"/>
        <v>#N/A</v>
      </c>
      <c r="BA128" s="673"/>
    </row>
    <row r="129" spans="2:53">
      <c r="B129" s="671"/>
      <c r="C129" s="275">
        <v>18</v>
      </c>
      <c r="D129" s="482"/>
      <c r="E129" s="196"/>
      <c r="F129" s="196"/>
      <c r="G129" s="481"/>
      <c r="H129" s="673"/>
      <c r="I129" s="352" t="str">
        <f t="shared" si="37"/>
        <v>-</v>
      </c>
      <c r="J129" s="352" t="str">
        <f t="shared" si="38"/>
        <v>-</v>
      </c>
      <c r="K129" s="194" t="str">
        <f t="shared" si="39"/>
        <v>-</v>
      </c>
      <c r="L129" s="645"/>
      <c r="M129" s="193" t="e">
        <f>RANK(K129, K$112:$K$141)</f>
        <v>#VALUE!</v>
      </c>
      <c r="N129" s="663"/>
      <c r="O129" s="663"/>
      <c r="P129" s="508"/>
      <c r="Q129" s="509"/>
      <c r="R129" s="509"/>
      <c r="S129" s="508"/>
      <c r="T129" s="673"/>
      <c r="U129" s="508"/>
      <c r="V129" s="509"/>
      <c r="W129" s="509"/>
      <c r="X129" s="508"/>
      <c r="Y129" s="673"/>
      <c r="Z129" s="508"/>
      <c r="AA129" s="509"/>
      <c r="AB129" s="509"/>
      <c r="AC129" s="508"/>
      <c r="AD129" s="673"/>
      <c r="AE129" s="508"/>
      <c r="AF129" s="509"/>
      <c r="AG129" s="509"/>
      <c r="AH129" s="508"/>
      <c r="AI129" s="673"/>
      <c r="AJ129" s="508"/>
      <c r="AK129" s="509"/>
      <c r="AL129" s="509"/>
      <c r="AM129" s="508"/>
      <c r="AN129" s="673"/>
      <c r="AO129" s="508"/>
      <c r="AP129" s="509"/>
      <c r="AQ129" s="509"/>
      <c r="AR129" s="508"/>
      <c r="AS129" s="673"/>
      <c r="AT129" s="508"/>
      <c r="AU129" s="509"/>
      <c r="AV129" s="509"/>
      <c r="AW129" s="508"/>
      <c r="AX129" s="673"/>
      <c r="AZ129" s="361" t="e">
        <f t="shared" si="35"/>
        <v>#N/A</v>
      </c>
      <c r="BA129" s="673"/>
    </row>
    <row r="130" spans="2:53">
      <c r="B130" s="671"/>
      <c r="C130" s="275">
        <v>19</v>
      </c>
      <c r="D130" s="482"/>
      <c r="E130" s="196"/>
      <c r="F130" s="196"/>
      <c r="G130" s="481"/>
      <c r="H130" s="673"/>
      <c r="I130" s="352" t="str">
        <f t="shared" si="37"/>
        <v>-</v>
      </c>
      <c r="J130" s="352" t="str">
        <f t="shared" si="38"/>
        <v>-</v>
      </c>
      <c r="K130" s="194" t="str">
        <f t="shared" si="39"/>
        <v>-</v>
      </c>
      <c r="L130" s="645"/>
      <c r="M130" s="193" t="e">
        <f>RANK(K130, K$112:$K$141)</f>
        <v>#VALUE!</v>
      </c>
      <c r="N130" s="663"/>
      <c r="O130" s="663"/>
      <c r="P130" s="508"/>
      <c r="Q130" s="509"/>
      <c r="R130" s="509"/>
      <c r="S130" s="508"/>
      <c r="T130" s="673"/>
      <c r="U130" s="508"/>
      <c r="V130" s="509"/>
      <c r="W130" s="509"/>
      <c r="X130" s="508"/>
      <c r="Y130" s="673"/>
      <c r="Z130" s="508"/>
      <c r="AA130" s="509"/>
      <c r="AB130" s="509"/>
      <c r="AC130" s="508"/>
      <c r="AD130" s="673"/>
      <c r="AE130" s="508"/>
      <c r="AF130" s="509"/>
      <c r="AG130" s="509"/>
      <c r="AH130" s="508"/>
      <c r="AI130" s="673"/>
      <c r="AJ130" s="508"/>
      <c r="AK130" s="509"/>
      <c r="AL130" s="509"/>
      <c r="AM130" s="508"/>
      <c r="AN130" s="673"/>
      <c r="AO130" s="508"/>
      <c r="AP130" s="509"/>
      <c r="AQ130" s="509"/>
      <c r="AR130" s="508"/>
      <c r="AS130" s="673"/>
      <c r="AT130" s="508"/>
      <c r="AU130" s="509"/>
      <c r="AV130" s="509"/>
      <c r="AW130" s="508"/>
      <c r="AX130" s="673"/>
      <c r="AZ130" s="361" t="e">
        <f t="shared" si="35"/>
        <v>#N/A</v>
      </c>
      <c r="BA130" s="673"/>
    </row>
    <row r="131" spans="2:53">
      <c r="B131" s="671"/>
      <c r="C131" s="275">
        <v>20</v>
      </c>
      <c r="D131" s="482"/>
      <c r="E131" s="196"/>
      <c r="F131" s="196"/>
      <c r="G131" s="481"/>
      <c r="H131" s="673"/>
      <c r="I131" s="352" t="str">
        <f t="shared" si="37"/>
        <v>-</v>
      </c>
      <c r="J131" s="352" t="str">
        <f t="shared" si="38"/>
        <v>-</v>
      </c>
      <c r="K131" s="194" t="str">
        <f t="shared" si="39"/>
        <v>-</v>
      </c>
      <c r="L131" s="645"/>
      <c r="M131" s="193" t="e">
        <f>RANK(K131, K$112:$K$141)</f>
        <v>#VALUE!</v>
      </c>
      <c r="N131" s="663"/>
      <c r="O131" s="663"/>
      <c r="P131" s="508"/>
      <c r="Q131" s="509"/>
      <c r="R131" s="509"/>
      <c r="S131" s="508"/>
      <c r="T131" s="673"/>
      <c r="U131" s="508"/>
      <c r="V131" s="509"/>
      <c r="W131" s="509"/>
      <c r="X131" s="508"/>
      <c r="Y131" s="673"/>
      <c r="Z131" s="508"/>
      <c r="AA131" s="509"/>
      <c r="AB131" s="509"/>
      <c r="AC131" s="508"/>
      <c r="AD131" s="673"/>
      <c r="AE131" s="508"/>
      <c r="AF131" s="509"/>
      <c r="AG131" s="509"/>
      <c r="AH131" s="508"/>
      <c r="AI131" s="673"/>
      <c r="AJ131" s="508"/>
      <c r="AK131" s="509"/>
      <c r="AL131" s="509"/>
      <c r="AM131" s="508"/>
      <c r="AN131" s="673"/>
      <c r="AO131" s="508"/>
      <c r="AP131" s="509"/>
      <c r="AQ131" s="509"/>
      <c r="AR131" s="508"/>
      <c r="AS131" s="673"/>
      <c r="AT131" s="508"/>
      <c r="AU131" s="509"/>
      <c r="AV131" s="509"/>
      <c r="AW131" s="508"/>
      <c r="AX131" s="673"/>
      <c r="AZ131" s="361" t="e">
        <f t="shared" si="35"/>
        <v>#N/A</v>
      </c>
      <c r="BA131" s="673"/>
    </row>
    <row r="132" spans="2:53">
      <c r="B132" s="671"/>
      <c r="C132" s="275">
        <v>21</v>
      </c>
      <c r="D132" s="482"/>
      <c r="E132" s="196"/>
      <c r="F132" s="196"/>
      <c r="G132" s="481"/>
      <c r="H132" s="673"/>
      <c r="I132" s="352" t="str">
        <f t="shared" si="37"/>
        <v>-</v>
      </c>
      <c r="J132" s="352" t="str">
        <f t="shared" si="38"/>
        <v>-</v>
      </c>
      <c r="K132" s="194" t="str">
        <f t="shared" si="39"/>
        <v>-</v>
      </c>
      <c r="L132" s="645"/>
      <c r="M132" s="193" t="e">
        <f>RANK(K132, K$112:$K$141)</f>
        <v>#VALUE!</v>
      </c>
      <c r="N132" s="663"/>
      <c r="O132" s="663"/>
      <c r="P132" s="508"/>
      <c r="Q132" s="509"/>
      <c r="R132" s="509"/>
      <c r="S132" s="508"/>
      <c r="T132" s="673"/>
      <c r="U132" s="508"/>
      <c r="V132" s="509"/>
      <c r="W132" s="509"/>
      <c r="X132" s="508"/>
      <c r="Y132" s="673"/>
      <c r="Z132" s="508"/>
      <c r="AA132" s="509"/>
      <c r="AB132" s="509"/>
      <c r="AC132" s="508"/>
      <c r="AD132" s="673"/>
      <c r="AE132" s="508"/>
      <c r="AF132" s="509"/>
      <c r="AG132" s="509"/>
      <c r="AH132" s="508"/>
      <c r="AI132" s="673"/>
      <c r="AJ132" s="508"/>
      <c r="AK132" s="509"/>
      <c r="AL132" s="509"/>
      <c r="AM132" s="508"/>
      <c r="AN132" s="673"/>
      <c r="AO132" s="508"/>
      <c r="AP132" s="509"/>
      <c r="AQ132" s="509"/>
      <c r="AR132" s="508"/>
      <c r="AS132" s="673"/>
      <c r="AT132" s="508"/>
      <c r="AU132" s="509"/>
      <c r="AV132" s="509"/>
      <c r="AW132" s="508"/>
      <c r="AX132" s="673"/>
      <c r="AZ132" s="361" t="e">
        <f t="shared" si="35"/>
        <v>#N/A</v>
      </c>
      <c r="BA132" s="673"/>
    </row>
    <row r="133" spans="2:53">
      <c r="B133" s="671"/>
      <c r="C133" s="275">
        <v>22</v>
      </c>
      <c r="D133" s="482"/>
      <c r="E133" s="196"/>
      <c r="F133" s="196"/>
      <c r="G133" s="481"/>
      <c r="H133" s="673"/>
      <c r="I133" s="352" t="str">
        <f t="shared" si="37"/>
        <v>-</v>
      </c>
      <c r="J133" s="352" t="str">
        <f t="shared" si="38"/>
        <v>-</v>
      </c>
      <c r="K133" s="194" t="str">
        <f t="shared" si="39"/>
        <v>-</v>
      </c>
      <c r="L133" s="645"/>
      <c r="M133" s="193" t="e">
        <f>RANK(K133, K$112:$K$141)</f>
        <v>#VALUE!</v>
      </c>
      <c r="N133" s="663"/>
      <c r="O133" s="663"/>
      <c r="P133" s="508"/>
      <c r="Q133" s="509"/>
      <c r="R133" s="509"/>
      <c r="S133" s="508"/>
      <c r="T133" s="673"/>
      <c r="U133" s="508"/>
      <c r="V133" s="509"/>
      <c r="W133" s="509"/>
      <c r="X133" s="508"/>
      <c r="Y133" s="673"/>
      <c r="Z133" s="508"/>
      <c r="AA133" s="509"/>
      <c r="AB133" s="509"/>
      <c r="AC133" s="508"/>
      <c r="AD133" s="673"/>
      <c r="AE133" s="508"/>
      <c r="AF133" s="509"/>
      <c r="AG133" s="509"/>
      <c r="AH133" s="508"/>
      <c r="AI133" s="673"/>
      <c r="AJ133" s="508"/>
      <c r="AK133" s="509"/>
      <c r="AL133" s="509"/>
      <c r="AM133" s="508"/>
      <c r="AN133" s="673"/>
      <c r="AO133" s="508"/>
      <c r="AP133" s="509"/>
      <c r="AQ133" s="509"/>
      <c r="AR133" s="508"/>
      <c r="AS133" s="673"/>
      <c r="AT133" s="508"/>
      <c r="AU133" s="509"/>
      <c r="AV133" s="509"/>
      <c r="AW133" s="508"/>
      <c r="AX133" s="673"/>
      <c r="AZ133" s="361" t="e">
        <f t="shared" si="35"/>
        <v>#N/A</v>
      </c>
      <c r="BA133" s="673"/>
    </row>
    <row r="134" spans="2:53">
      <c r="B134" s="671"/>
      <c r="C134" s="275">
        <v>23</v>
      </c>
      <c r="D134" s="196"/>
      <c r="E134" s="196"/>
      <c r="F134" s="196"/>
      <c r="G134" s="481"/>
      <c r="H134" s="673"/>
      <c r="I134" s="352" t="str">
        <f t="shared" si="37"/>
        <v>-</v>
      </c>
      <c r="J134" s="352" t="str">
        <f t="shared" si="38"/>
        <v>-</v>
      </c>
      <c r="K134" s="194" t="str">
        <f t="shared" si="39"/>
        <v>-</v>
      </c>
      <c r="L134" s="645"/>
      <c r="M134" s="193" t="e">
        <f>RANK(K134, K$112:$K$141)</f>
        <v>#VALUE!</v>
      </c>
      <c r="N134" s="663"/>
      <c r="O134" s="663"/>
      <c r="P134" s="508"/>
      <c r="Q134" s="509"/>
      <c r="R134" s="509"/>
      <c r="S134" s="508"/>
      <c r="T134" s="673"/>
      <c r="U134" s="508"/>
      <c r="V134" s="509"/>
      <c r="W134" s="509"/>
      <c r="X134" s="508"/>
      <c r="Y134" s="673"/>
      <c r="Z134" s="508"/>
      <c r="AA134" s="509"/>
      <c r="AB134" s="509"/>
      <c r="AC134" s="508"/>
      <c r="AD134" s="673"/>
      <c r="AE134" s="508"/>
      <c r="AF134" s="509"/>
      <c r="AG134" s="509"/>
      <c r="AH134" s="508"/>
      <c r="AI134" s="673"/>
      <c r="AJ134" s="508"/>
      <c r="AK134" s="509"/>
      <c r="AL134" s="509"/>
      <c r="AM134" s="508"/>
      <c r="AN134" s="673"/>
      <c r="AO134" s="508"/>
      <c r="AP134" s="509"/>
      <c r="AQ134" s="509"/>
      <c r="AR134" s="508"/>
      <c r="AS134" s="673"/>
      <c r="AT134" s="508"/>
      <c r="AU134" s="509"/>
      <c r="AV134" s="509"/>
      <c r="AW134" s="508"/>
      <c r="AX134" s="673"/>
      <c r="AZ134" s="361" t="e">
        <f t="shared" si="35"/>
        <v>#N/A</v>
      </c>
      <c r="BA134" s="673"/>
    </row>
    <row r="135" spans="2:53">
      <c r="B135" s="671"/>
      <c r="C135" s="275">
        <v>24</v>
      </c>
      <c r="D135" s="482"/>
      <c r="E135" s="196"/>
      <c r="F135" s="196"/>
      <c r="G135" s="481"/>
      <c r="H135" s="673"/>
      <c r="I135" s="352" t="str">
        <f t="shared" si="37"/>
        <v>-</v>
      </c>
      <c r="J135" s="352" t="str">
        <f t="shared" si="38"/>
        <v>-</v>
      </c>
      <c r="K135" s="194" t="str">
        <f t="shared" si="39"/>
        <v>-</v>
      </c>
      <c r="L135" s="645"/>
      <c r="M135" s="193" t="e">
        <f>RANK(K135, K$112:$K$141)</f>
        <v>#VALUE!</v>
      </c>
      <c r="N135" s="663"/>
      <c r="O135" s="663"/>
      <c r="P135" s="508"/>
      <c r="Q135" s="509"/>
      <c r="R135" s="509"/>
      <c r="S135" s="508"/>
      <c r="T135" s="673"/>
      <c r="U135" s="508"/>
      <c r="V135" s="509"/>
      <c r="W135" s="509"/>
      <c r="X135" s="508"/>
      <c r="Y135" s="673"/>
      <c r="Z135" s="508"/>
      <c r="AA135" s="509"/>
      <c r="AB135" s="509"/>
      <c r="AC135" s="508"/>
      <c r="AD135" s="673"/>
      <c r="AE135" s="508"/>
      <c r="AF135" s="509"/>
      <c r="AG135" s="509"/>
      <c r="AH135" s="508"/>
      <c r="AI135" s="673"/>
      <c r="AJ135" s="508"/>
      <c r="AK135" s="509"/>
      <c r="AL135" s="509"/>
      <c r="AM135" s="508"/>
      <c r="AN135" s="673"/>
      <c r="AO135" s="508"/>
      <c r="AP135" s="509"/>
      <c r="AQ135" s="509"/>
      <c r="AR135" s="508"/>
      <c r="AS135" s="673"/>
      <c r="AT135" s="508"/>
      <c r="AU135" s="509"/>
      <c r="AV135" s="509"/>
      <c r="AW135" s="508"/>
      <c r="AX135" s="673"/>
      <c r="AZ135" s="361" t="e">
        <f t="shared" si="35"/>
        <v>#N/A</v>
      </c>
      <c r="BA135" s="673"/>
    </row>
    <row r="136" spans="2:53">
      <c r="B136" s="671"/>
      <c r="C136" s="275">
        <v>25</v>
      </c>
      <c r="D136" s="196"/>
      <c r="E136" s="196"/>
      <c r="F136" s="196"/>
      <c r="G136" s="481"/>
      <c r="H136" s="673"/>
      <c r="I136" s="352" t="str">
        <f t="shared" si="37"/>
        <v>-</v>
      </c>
      <c r="J136" s="352" t="str">
        <f t="shared" si="38"/>
        <v>-</v>
      </c>
      <c r="K136" s="194" t="str">
        <f t="shared" si="39"/>
        <v>-</v>
      </c>
      <c r="L136" s="645"/>
      <c r="M136" s="193" t="e">
        <f>RANK(K136, K$112:$K$141)</f>
        <v>#VALUE!</v>
      </c>
      <c r="N136" s="663"/>
      <c r="O136" s="663"/>
      <c r="P136" s="508"/>
      <c r="Q136" s="509"/>
      <c r="R136" s="509"/>
      <c r="S136" s="508"/>
      <c r="T136" s="673"/>
      <c r="U136" s="508"/>
      <c r="V136" s="509"/>
      <c r="W136" s="509"/>
      <c r="X136" s="508"/>
      <c r="Y136" s="673"/>
      <c r="Z136" s="508"/>
      <c r="AA136" s="509"/>
      <c r="AB136" s="509"/>
      <c r="AC136" s="508"/>
      <c r="AD136" s="673"/>
      <c r="AE136" s="508"/>
      <c r="AF136" s="509"/>
      <c r="AG136" s="509"/>
      <c r="AH136" s="508"/>
      <c r="AI136" s="673"/>
      <c r="AJ136" s="508"/>
      <c r="AK136" s="509"/>
      <c r="AL136" s="509"/>
      <c r="AM136" s="508"/>
      <c r="AN136" s="673"/>
      <c r="AO136" s="508"/>
      <c r="AP136" s="509"/>
      <c r="AQ136" s="509"/>
      <c r="AR136" s="508"/>
      <c r="AS136" s="673"/>
      <c r="AT136" s="508"/>
      <c r="AU136" s="509"/>
      <c r="AV136" s="509"/>
      <c r="AW136" s="508"/>
      <c r="AX136" s="673"/>
      <c r="AZ136" s="361" t="e">
        <f t="shared" si="35"/>
        <v>#N/A</v>
      </c>
      <c r="BA136" s="673"/>
    </row>
    <row r="137" spans="2:53">
      <c r="B137" s="671"/>
      <c r="C137" s="275">
        <v>26</v>
      </c>
      <c r="D137" s="196"/>
      <c r="E137" s="196"/>
      <c r="F137" s="196"/>
      <c r="G137" s="481"/>
      <c r="H137" s="673"/>
      <c r="I137" s="352" t="str">
        <f t="shared" si="37"/>
        <v>-</v>
      </c>
      <c r="J137" s="352" t="str">
        <f t="shared" si="38"/>
        <v>-</v>
      </c>
      <c r="K137" s="194" t="str">
        <f t="shared" si="39"/>
        <v>-</v>
      </c>
      <c r="L137" s="645"/>
      <c r="M137" s="193" t="e">
        <f>RANK(K137, K$112:$K$141)</f>
        <v>#VALUE!</v>
      </c>
      <c r="N137" s="663"/>
      <c r="O137" s="663"/>
      <c r="P137" s="508"/>
      <c r="Q137" s="509"/>
      <c r="R137" s="509"/>
      <c r="S137" s="508"/>
      <c r="T137" s="673"/>
      <c r="U137" s="508"/>
      <c r="V137" s="509"/>
      <c r="W137" s="509"/>
      <c r="X137" s="508"/>
      <c r="Y137" s="673"/>
      <c r="Z137" s="508"/>
      <c r="AA137" s="509"/>
      <c r="AB137" s="509"/>
      <c r="AC137" s="508"/>
      <c r="AD137" s="673"/>
      <c r="AE137" s="508"/>
      <c r="AF137" s="509"/>
      <c r="AG137" s="509"/>
      <c r="AH137" s="508"/>
      <c r="AI137" s="673"/>
      <c r="AJ137" s="508"/>
      <c r="AK137" s="509"/>
      <c r="AL137" s="509"/>
      <c r="AM137" s="508"/>
      <c r="AN137" s="673"/>
      <c r="AO137" s="508"/>
      <c r="AP137" s="509"/>
      <c r="AQ137" s="509"/>
      <c r="AR137" s="508"/>
      <c r="AS137" s="673"/>
      <c r="AT137" s="508"/>
      <c r="AU137" s="509"/>
      <c r="AV137" s="509"/>
      <c r="AW137" s="508"/>
      <c r="AX137" s="673"/>
      <c r="AZ137" s="361" t="e">
        <f t="shared" si="35"/>
        <v>#N/A</v>
      </c>
      <c r="BA137" s="673"/>
    </row>
    <row r="138" spans="2:53">
      <c r="B138" s="671"/>
      <c r="C138" s="275">
        <v>27</v>
      </c>
      <c r="D138" s="196"/>
      <c r="E138" s="196"/>
      <c r="F138" s="196"/>
      <c r="G138" s="481"/>
      <c r="H138" s="673"/>
      <c r="I138" s="352" t="str">
        <f t="shared" si="37"/>
        <v>-</v>
      </c>
      <c r="J138" s="352" t="str">
        <f t="shared" si="38"/>
        <v>-</v>
      </c>
      <c r="K138" s="194" t="str">
        <f t="shared" si="39"/>
        <v>-</v>
      </c>
      <c r="L138" s="645"/>
      <c r="M138" s="193" t="e">
        <f>RANK(K138, K$112:$K$141)</f>
        <v>#VALUE!</v>
      </c>
      <c r="N138" s="663"/>
      <c r="O138" s="663"/>
      <c r="P138" s="508"/>
      <c r="Q138" s="509"/>
      <c r="R138" s="509"/>
      <c r="S138" s="508"/>
      <c r="T138" s="673"/>
      <c r="U138" s="508"/>
      <c r="V138" s="509"/>
      <c r="W138" s="509"/>
      <c r="X138" s="508"/>
      <c r="Y138" s="673"/>
      <c r="Z138" s="508"/>
      <c r="AA138" s="509"/>
      <c r="AB138" s="509"/>
      <c r="AC138" s="508"/>
      <c r="AD138" s="673"/>
      <c r="AE138" s="508"/>
      <c r="AF138" s="509"/>
      <c r="AG138" s="509"/>
      <c r="AH138" s="508"/>
      <c r="AI138" s="673"/>
      <c r="AJ138" s="508"/>
      <c r="AK138" s="509"/>
      <c r="AL138" s="509"/>
      <c r="AM138" s="508"/>
      <c r="AN138" s="673"/>
      <c r="AO138" s="508"/>
      <c r="AP138" s="509"/>
      <c r="AQ138" s="509"/>
      <c r="AR138" s="508"/>
      <c r="AS138" s="673"/>
      <c r="AT138" s="508"/>
      <c r="AU138" s="509"/>
      <c r="AV138" s="509"/>
      <c r="AW138" s="508"/>
      <c r="AX138" s="673"/>
      <c r="AZ138" s="361" t="e">
        <f t="shared" si="35"/>
        <v>#N/A</v>
      </c>
      <c r="BA138" s="673"/>
    </row>
    <row r="139" spans="2:53">
      <c r="B139" s="671"/>
      <c r="C139" s="275">
        <v>28</v>
      </c>
      <c r="D139" s="196"/>
      <c r="E139" s="196"/>
      <c r="F139" s="196"/>
      <c r="G139" s="196"/>
      <c r="H139" s="673"/>
      <c r="I139" s="352" t="str">
        <f t="shared" si="37"/>
        <v>-</v>
      </c>
      <c r="J139" s="352" t="str">
        <f t="shared" si="38"/>
        <v>-</v>
      </c>
      <c r="K139" s="194" t="str">
        <f t="shared" si="39"/>
        <v>-</v>
      </c>
      <c r="L139" s="645"/>
      <c r="M139" s="193" t="e">
        <f>RANK(K139, K$112:$K$141)</f>
        <v>#VALUE!</v>
      </c>
      <c r="N139" s="663"/>
      <c r="O139" s="663"/>
      <c r="P139" s="508"/>
      <c r="Q139" s="509"/>
      <c r="R139" s="509"/>
      <c r="S139" s="508"/>
      <c r="T139" s="673"/>
      <c r="U139" s="508"/>
      <c r="V139" s="509"/>
      <c r="W139" s="509"/>
      <c r="X139" s="508"/>
      <c r="Y139" s="673"/>
      <c r="Z139" s="508"/>
      <c r="AA139" s="509"/>
      <c r="AB139" s="509"/>
      <c r="AC139" s="508"/>
      <c r="AD139" s="673"/>
      <c r="AE139" s="508"/>
      <c r="AF139" s="509"/>
      <c r="AG139" s="509"/>
      <c r="AH139" s="508"/>
      <c r="AI139" s="673"/>
      <c r="AJ139" s="508"/>
      <c r="AK139" s="509"/>
      <c r="AL139" s="509"/>
      <c r="AM139" s="508"/>
      <c r="AN139" s="673"/>
      <c r="AO139" s="508"/>
      <c r="AP139" s="509"/>
      <c r="AQ139" s="509"/>
      <c r="AR139" s="508"/>
      <c r="AS139" s="673"/>
      <c r="AT139" s="508"/>
      <c r="AU139" s="509"/>
      <c r="AV139" s="509"/>
      <c r="AW139" s="508"/>
      <c r="AX139" s="673"/>
      <c r="AZ139" s="361" t="e">
        <f t="shared" si="35"/>
        <v>#N/A</v>
      </c>
      <c r="BA139" s="673"/>
    </row>
    <row r="140" spans="2:53">
      <c r="B140" s="671"/>
      <c r="C140" s="275">
        <v>29</v>
      </c>
      <c r="D140" s="196"/>
      <c r="E140" s="196"/>
      <c r="F140" s="196"/>
      <c r="G140" s="196"/>
      <c r="H140" s="673"/>
      <c r="I140" s="352" t="str">
        <f t="shared" si="37"/>
        <v>-</v>
      </c>
      <c r="J140" s="352" t="str">
        <f t="shared" si="38"/>
        <v>-</v>
      </c>
      <c r="K140" s="194" t="str">
        <f t="shared" si="39"/>
        <v>-</v>
      </c>
      <c r="L140" s="645"/>
      <c r="M140" s="193" t="e">
        <f>RANK(K140, K$112:$K$141)</f>
        <v>#VALUE!</v>
      </c>
      <c r="N140" s="663"/>
      <c r="O140" s="663"/>
      <c r="P140" s="508"/>
      <c r="Q140" s="509"/>
      <c r="R140" s="509"/>
      <c r="S140" s="508"/>
      <c r="T140" s="673"/>
      <c r="U140" s="508"/>
      <c r="V140" s="509"/>
      <c r="W140" s="509"/>
      <c r="X140" s="508"/>
      <c r="Y140" s="673"/>
      <c r="Z140" s="508"/>
      <c r="AA140" s="509"/>
      <c r="AB140" s="509"/>
      <c r="AC140" s="508"/>
      <c r="AD140" s="673"/>
      <c r="AE140" s="508"/>
      <c r="AF140" s="509"/>
      <c r="AG140" s="509"/>
      <c r="AH140" s="508"/>
      <c r="AI140" s="673"/>
      <c r="AJ140" s="508"/>
      <c r="AK140" s="509"/>
      <c r="AL140" s="509"/>
      <c r="AM140" s="508"/>
      <c r="AN140" s="673"/>
      <c r="AO140" s="508"/>
      <c r="AP140" s="509"/>
      <c r="AQ140" s="509"/>
      <c r="AR140" s="508"/>
      <c r="AS140" s="673"/>
      <c r="AT140" s="508"/>
      <c r="AU140" s="509"/>
      <c r="AV140" s="509"/>
      <c r="AW140" s="508"/>
      <c r="AX140" s="673"/>
      <c r="AZ140" s="361" t="e">
        <f t="shared" si="35"/>
        <v>#N/A</v>
      </c>
      <c r="BA140" s="673"/>
    </row>
    <row r="141" spans="2:53">
      <c r="B141" s="671"/>
      <c r="C141" s="275">
        <v>30</v>
      </c>
      <c r="D141" s="196"/>
      <c r="E141" s="196"/>
      <c r="F141" s="196"/>
      <c r="G141" s="196"/>
      <c r="H141" s="674"/>
      <c r="I141" s="352" t="str">
        <f t="shared" si="37"/>
        <v>-</v>
      </c>
      <c r="J141" s="352" t="str">
        <f t="shared" si="38"/>
        <v>-</v>
      </c>
      <c r="K141" s="194" t="str">
        <f t="shared" si="39"/>
        <v>-</v>
      </c>
      <c r="L141" s="646"/>
      <c r="M141" s="193" t="e">
        <f>RANK(K141, K$112:$K$141)</f>
        <v>#VALUE!</v>
      </c>
      <c r="N141" s="663"/>
      <c r="O141" s="663"/>
      <c r="P141" s="508"/>
      <c r="Q141" s="509"/>
      <c r="R141" s="509"/>
      <c r="S141" s="508"/>
      <c r="T141" s="674"/>
      <c r="U141" s="508"/>
      <c r="V141" s="509"/>
      <c r="W141" s="509"/>
      <c r="X141" s="508"/>
      <c r="Y141" s="674"/>
      <c r="Z141" s="508"/>
      <c r="AA141" s="509"/>
      <c r="AB141" s="509"/>
      <c r="AC141" s="508"/>
      <c r="AD141" s="674"/>
      <c r="AE141" s="508"/>
      <c r="AF141" s="509"/>
      <c r="AG141" s="509"/>
      <c r="AH141" s="508"/>
      <c r="AI141" s="674"/>
      <c r="AJ141" s="508"/>
      <c r="AK141" s="509"/>
      <c r="AL141" s="509"/>
      <c r="AM141" s="508"/>
      <c r="AN141" s="674"/>
      <c r="AO141" s="508"/>
      <c r="AP141" s="509"/>
      <c r="AQ141" s="509"/>
      <c r="AR141" s="508"/>
      <c r="AS141" s="674"/>
      <c r="AT141" s="508"/>
      <c r="AU141" s="509"/>
      <c r="AV141" s="509"/>
      <c r="AW141" s="508"/>
      <c r="AX141" s="674"/>
      <c r="AZ141" s="361" t="e">
        <f t="shared" si="35"/>
        <v>#N/A</v>
      </c>
      <c r="BA141" s="674"/>
    </row>
    <row r="142" spans="2:53" ht="15.75">
      <c r="B142" s="675" t="s">
        <v>162</v>
      </c>
      <c r="C142" s="676"/>
      <c r="D142" s="676"/>
      <c r="E142" s="676"/>
      <c r="F142" s="676"/>
      <c r="G142" s="676"/>
      <c r="H142" s="677"/>
      <c r="I142" s="202"/>
      <c r="J142" s="202"/>
      <c r="K142" s="202"/>
      <c r="L142" s="202"/>
      <c r="M142" s="201"/>
      <c r="N142" s="664" t="s">
        <v>156</v>
      </c>
      <c r="O142" s="664" t="s">
        <v>155</v>
      </c>
      <c r="P142" s="670">
        <f>P107+7</f>
        <v>46294</v>
      </c>
      <c r="Q142" s="671"/>
      <c r="R142" s="671"/>
      <c r="S142" s="671"/>
      <c r="T142" s="671"/>
      <c r="U142" s="667">
        <f>P142+1</f>
        <v>46295</v>
      </c>
      <c r="V142" s="668"/>
      <c r="W142" s="668"/>
      <c r="X142" s="668"/>
      <c r="Y142" s="669"/>
      <c r="Z142" s="667">
        <f>U142+1</f>
        <v>46296</v>
      </c>
      <c r="AA142" s="668"/>
      <c r="AB142" s="668"/>
      <c r="AC142" s="668"/>
      <c r="AD142" s="669"/>
      <c r="AE142" s="667">
        <f>Z142+1</f>
        <v>46297</v>
      </c>
      <c r="AF142" s="668"/>
      <c r="AG142" s="668"/>
      <c r="AH142" s="668"/>
      <c r="AI142" s="669"/>
      <c r="AJ142" s="667">
        <f>AE142+1</f>
        <v>46298</v>
      </c>
      <c r="AK142" s="668"/>
      <c r="AL142" s="668"/>
      <c r="AM142" s="668"/>
      <c r="AN142" s="669"/>
      <c r="AO142" s="667">
        <f>AJ142+1</f>
        <v>46299</v>
      </c>
      <c r="AP142" s="668"/>
      <c r="AQ142" s="668"/>
      <c r="AR142" s="668"/>
      <c r="AS142" s="669"/>
      <c r="AT142" s="667">
        <f>AO142+1</f>
        <v>46300</v>
      </c>
      <c r="AU142" s="668"/>
      <c r="AV142" s="668"/>
      <c r="AW142" s="668"/>
      <c r="AX142" s="669"/>
    </row>
    <row r="143" spans="2:53" ht="15.75">
      <c r="B143" s="678"/>
      <c r="C143" s="678"/>
      <c r="D143" s="678"/>
      <c r="E143" s="678"/>
      <c r="F143" s="678"/>
      <c r="G143" s="678"/>
      <c r="H143" s="678"/>
      <c r="I143" s="199"/>
      <c r="J143" s="199"/>
      <c r="K143" s="199"/>
      <c r="L143" s="199"/>
      <c r="M143" s="200"/>
      <c r="N143" s="666"/>
      <c r="O143" s="666"/>
      <c r="P143" s="670" t="s">
        <v>317</v>
      </c>
      <c r="Q143" s="671"/>
      <c r="R143" s="671"/>
      <c r="S143" s="671"/>
      <c r="T143" s="671"/>
      <c r="U143" s="670" t="s">
        <v>318</v>
      </c>
      <c r="V143" s="671"/>
      <c r="W143" s="671"/>
      <c r="X143" s="671"/>
      <c r="Y143" s="671"/>
      <c r="Z143" s="670" t="s">
        <v>319</v>
      </c>
      <c r="AA143" s="671"/>
      <c r="AB143" s="671"/>
      <c r="AC143" s="671"/>
      <c r="AD143" s="671"/>
      <c r="AE143" s="670" t="s">
        <v>320</v>
      </c>
      <c r="AF143" s="671"/>
      <c r="AG143" s="671"/>
      <c r="AH143" s="671"/>
      <c r="AI143" s="671"/>
      <c r="AJ143" s="670" t="s">
        <v>321</v>
      </c>
      <c r="AK143" s="671"/>
      <c r="AL143" s="671"/>
      <c r="AM143" s="671"/>
      <c r="AN143" s="671"/>
      <c r="AO143" s="670" t="s">
        <v>322</v>
      </c>
      <c r="AP143" s="671"/>
      <c r="AQ143" s="671"/>
      <c r="AR143" s="671"/>
      <c r="AS143" s="671"/>
      <c r="AT143" s="670" t="s">
        <v>323</v>
      </c>
      <c r="AU143" s="671"/>
      <c r="AV143" s="671"/>
      <c r="AW143" s="671"/>
      <c r="AX143" s="671"/>
    </row>
    <row r="144" spans="2:53">
      <c r="B144" s="663" t="s">
        <v>382</v>
      </c>
      <c r="C144" s="663" t="s">
        <v>383</v>
      </c>
      <c r="D144" s="663"/>
      <c r="E144" s="663" t="s">
        <v>384</v>
      </c>
      <c r="F144" s="663"/>
      <c r="G144" s="663"/>
      <c r="H144" s="679" t="s">
        <v>385</v>
      </c>
      <c r="I144" s="647" t="s">
        <v>386</v>
      </c>
      <c r="J144" s="647"/>
      <c r="K144" s="647"/>
      <c r="L144" s="648" t="s">
        <v>385</v>
      </c>
      <c r="M144" s="654" t="s">
        <v>387</v>
      </c>
      <c r="N144" s="663"/>
      <c r="O144" s="663" t="s">
        <v>388</v>
      </c>
      <c r="P144" s="660" t="s">
        <v>389</v>
      </c>
      <c r="Q144" s="661"/>
      <c r="R144" s="661"/>
      <c r="S144" s="662"/>
      <c r="T144" s="663" t="s">
        <v>385</v>
      </c>
      <c r="U144" s="660" t="s">
        <v>389</v>
      </c>
      <c r="V144" s="661"/>
      <c r="W144" s="661"/>
      <c r="X144" s="662"/>
      <c r="Y144" s="663" t="s">
        <v>385</v>
      </c>
      <c r="Z144" s="660" t="s">
        <v>389</v>
      </c>
      <c r="AA144" s="661"/>
      <c r="AB144" s="661"/>
      <c r="AC144" s="662"/>
      <c r="AD144" s="663" t="s">
        <v>385</v>
      </c>
      <c r="AE144" s="660" t="s">
        <v>389</v>
      </c>
      <c r="AF144" s="661"/>
      <c r="AG144" s="661"/>
      <c r="AH144" s="662"/>
      <c r="AI144" s="663" t="s">
        <v>385</v>
      </c>
      <c r="AJ144" s="660" t="s">
        <v>389</v>
      </c>
      <c r="AK144" s="661"/>
      <c r="AL144" s="661"/>
      <c r="AM144" s="662"/>
      <c r="AN144" s="663" t="s">
        <v>385</v>
      </c>
      <c r="AO144" s="660" t="s">
        <v>389</v>
      </c>
      <c r="AP144" s="661"/>
      <c r="AQ144" s="661"/>
      <c r="AR144" s="662"/>
      <c r="AS144" s="663" t="s">
        <v>385</v>
      </c>
      <c r="AT144" s="660" t="s">
        <v>389</v>
      </c>
      <c r="AU144" s="661"/>
      <c r="AV144" s="661"/>
      <c r="AW144" s="662"/>
      <c r="AX144" s="663" t="s">
        <v>385</v>
      </c>
      <c r="BA144" s="663" t="s">
        <v>359</v>
      </c>
    </row>
    <row r="145" spans="2:53">
      <c r="B145" s="663"/>
      <c r="C145" s="663"/>
      <c r="D145" s="663"/>
      <c r="E145" s="663" t="s">
        <v>390</v>
      </c>
      <c r="F145" s="663"/>
      <c r="G145" s="663"/>
      <c r="H145" s="680"/>
      <c r="I145" s="647" t="s">
        <v>390</v>
      </c>
      <c r="J145" s="647"/>
      <c r="K145" s="647"/>
      <c r="L145" s="649"/>
      <c r="M145" s="655"/>
      <c r="N145" s="663"/>
      <c r="O145" s="663"/>
      <c r="P145" s="660" t="s">
        <v>391</v>
      </c>
      <c r="Q145" s="661"/>
      <c r="R145" s="661"/>
      <c r="S145" s="662"/>
      <c r="T145" s="663"/>
      <c r="U145" s="660" t="s">
        <v>391</v>
      </c>
      <c r="V145" s="661"/>
      <c r="W145" s="661"/>
      <c r="X145" s="662"/>
      <c r="Y145" s="663"/>
      <c r="Z145" s="660" t="s">
        <v>391</v>
      </c>
      <c r="AA145" s="661"/>
      <c r="AB145" s="661"/>
      <c r="AC145" s="662"/>
      <c r="AD145" s="663"/>
      <c r="AE145" s="660" t="s">
        <v>391</v>
      </c>
      <c r="AF145" s="661"/>
      <c r="AG145" s="661"/>
      <c r="AH145" s="662"/>
      <c r="AI145" s="663"/>
      <c r="AJ145" s="660" t="s">
        <v>391</v>
      </c>
      <c r="AK145" s="661"/>
      <c r="AL145" s="661"/>
      <c r="AM145" s="662"/>
      <c r="AN145" s="663"/>
      <c r="AO145" s="660" t="s">
        <v>391</v>
      </c>
      <c r="AP145" s="661"/>
      <c r="AQ145" s="661"/>
      <c r="AR145" s="662"/>
      <c r="AS145" s="663"/>
      <c r="AT145" s="660" t="s">
        <v>391</v>
      </c>
      <c r="AU145" s="661"/>
      <c r="AV145" s="661"/>
      <c r="AW145" s="662"/>
      <c r="AX145" s="663"/>
      <c r="BA145" s="663"/>
    </row>
    <row r="146" spans="2:53">
      <c r="B146" s="663"/>
      <c r="C146" s="663"/>
      <c r="D146" s="663"/>
      <c r="E146" s="268" t="s">
        <v>392</v>
      </c>
      <c r="F146" s="268" t="s">
        <v>393</v>
      </c>
      <c r="G146" s="268" t="s">
        <v>394</v>
      </c>
      <c r="H146" s="681"/>
      <c r="I146" s="269" t="s">
        <v>392</v>
      </c>
      <c r="J146" s="269" t="s">
        <v>393</v>
      </c>
      <c r="K146" s="269" t="s">
        <v>394</v>
      </c>
      <c r="L146" s="650"/>
      <c r="M146" s="656"/>
      <c r="N146" s="663"/>
      <c r="O146" s="663"/>
      <c r="P146" s="268" t="s">
        <v>392</v>
      </c>
      <c r="Q146" s="268" t="s">
        <v>393</v>
      </c>
      <c r="R146" s="268" t="s">
        <v>394</v>
      </c>
      <c r="S146" s="268" t="s">
        <v>387</v>
      </c>
      <c r="T146" s="663"/>
      <c r="U146" s="268" t="s">
        <v>392</v>
      </c>
      <c r="V146" s="268" t="s">
        <v>393</v>
      </c>
      <c r="W146" s="268" t="s">
        <v>394</v>
      </c>
      <c r="X146" s="268" t="s">
        <v>387</v>
      </c>
      <c r="Y146" s="663"/>
      <c r="Z146" s="268" t="s">
        <v>392</v>
      </c>
      <c r="AA146" s="268" t="s">
        <v>393</v>
      </c>
      <c r="AB146" s="268" t="s">
        <v>394</v>
      </c>
      <c r="AC146" s="268" t="s">
        <v>387</v>
      </c>
      <c r="AD146" s="663"/>
      <c r="AE146" s="268" t="s">
        <v>392</v>
      </c>
      <c r="AF146" s="268" t="s">
        <v>393</v>
      </c>
      <c r="AG146" s="268" t="s">
        <v>394</v>
      </c>
      <c r="AH146" s="268" t="s">
        <v>387</v>
      </c>
      <c r="AI146" s="663"/>
      <c r="AJ146" s="268" t="s">
        <v>392</v>
      </c>
      <c r="AK146" s="268" t="s">
        <v>393</v>
      </c>
      <c r="AL146" s="268" t="s">
        <v>394</v>
      </c>
      <c r="AM146" s="268" t="s">
        <v>387</v>
      </c>
      <c r="AN146" s="663"/>
      <c r="AO146" s="268" t="s">
        <v>392</v>
      </c>
      <c r="AP146" s="268" t="s">
        <v>393</v>
      </c>
      <c r="AQ146" s="268" t="s">
        <v>394</v>
      </c>
      <c r="AR146" s="268" t="s">
        <v>387</v>
      </c>
      <c r="AS146" s="663"/>
      <c r="AT146" s="268" t="s">
        <v>392</v>
      </c>
      <c r="AU146" s="268" t="s">
        <v>393</v>
      </c>
      <c r="AV146" s="268" t="s">
        <v>394</v>
      </c>
      <c r="AW146" s="268" t="s">
        <v>387</v>
      </c>
      <c r="AX146" s="663"/>
      <c r="AZ146" s="362" t="s">
        <v>360</v>
      </c>
      <c r="BA146" s="663"/>
    </row>
    <row r="147" spans="2:53">
      <c r="B147" s="671" t="s">
        <v>150</v>
      </c>
      <c r="C147" s="267">
        <v>1</v>
      </c>
      <c r="D147" s="196"/>
      <c r="E147" s="196"/>
      <c r="F147" s="196"/>
      <c r="G147" s="481"/>
      <c r="H147" s="672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44" t="str">
        <f>IFERROR(AVERAGE(K147:K176),"-")</f>
        <v>-</v>
      </c>
      <c r="M147" s="193" t="e">
        <f>RANK(K147, K$147:$K$176)</f>
        <v>#VALUE!</v>
      </c>
      <c r="N147" s="663"/>
      <c r="O147" s="663"/>
      <c r="P147" s="510"/>
      <c r="Q147" s="511"/>
      <c r="R147" s="511"/>
      <c r="S147" s="510"/>
      <c r="T147" s="672"/>
      <c r="U147" s="510"/>
      <c r="V147" s="511"/>
      <c r="W147" s="511"/>
      <c r="X147" s="510"/>
      <c r="Y147" s="672"/>
      <c r="Z147" s="510"/>
      <c r="AA147" s="511"/>
      <c r="AB147" s="511"/>
      <c r="AC147" s="510"/>
      <c r="AD147" s="672"/>
      <c r="AE147" s="510"/>
      <c r="AF147" s="511"/>
      <c r="AG147" s="511"/>
      <c r="AH147" s="510"/>
      <c r="AI147" s="672"/>
      <c r="AJ147" s="510"/>
      <c r="AK147" s="511"/>
      <c r="AL147" s="511"/>
      <c r="AM147" s="510"/>
      <c r="AN147" s="672"/>
      <c r="AO147" s="510"/>
      <c r="AP147" s="511"/>
      <c r="AQ147" s="511"/>
      <c r="AR147" s="510"/>
      <c r="AS147" s="672"/>
      <c r="AT147" s="510"/>
      <c r="AU147" s="511"/>
      <c r="AV147" s="511"/>
      <c r="AW147" s="510"/>
      <c r="AX147" s="672"/>
      <c r="AZ147" s="361" t="e">
        <f t="shared" ref="AZ147:AZ176" si="40">RANK(AY147, AY$147:AY$176)</f>
        <v>#N/A</v>
      </c>
      <c r="BA147" s="672" t="e">
        <f t="shared" ref="BA147" si="41">AVERAGE(AY147:AY176)</f>
        <v>#DIV/0!</v>
      </c>
    </row>
    <row r="148" spans="2:53">
      <c r="B148" s="671"/>
      <c r="C148" s="267">
        <v>2</v>
      </c>
      <c r="D148" s="482"/>
      <c r="E148" s="196"/>
      <c r="F148" s="196"/>
      <c r="G148" s="481"/>
      <c r="H148" s="673"/>
      <c r="I148" s="352" t="str">
        <f t="shared" ref="I148:I176" si="42">IFERROR(AVERAGE(P148,U148,Z148,AE148,AJ148,AO148,AT148),"-")</f>
        <v>-</v>
      </c>
      <c r="J148" s="352" t="str">
        <f t="shared" ref="J148:J176" si="43">IFERROR(AVERAGE(Q148,V148,AA148,AF148,AK148,AP148,AU148),"-")</f>
        <v>-</v>
      </c>
      <c r="K148" s="194" t="str">
        <f t="shared" ref="K148:K176" si="44">IFERROR(AVERAGE(R148,W148,AB148,AG148,AL148,AQ148,AV148),"-")</f>
        <v>-</v>
      </c>
      <c r="L148" s="645"/>
      <c r="M148" s="193" t="e">
        <f>RANK(K148, K$147:$K$176)</f>
        <v>#VALUE!</v>
      </c>
      <c r="N148" s="663"/>
      <c r="O148" s="663"/>
      <c r="P148" s="510"/>
      <c r="Q148" s="511"/>
      <c r="R148" s="511"/>
      <c r="S148" s="510"/>
      <c r="T148" s="673"/>
      <c r="U148" s="510"/>
      <c r="V148" s="511"/>
      <c r="W148" s="511"/>
      <c r="X148" s="510"/>
      <c r="Y148" s="673"/>
      <c r="Z148" s="510"/>
      <c r="AA148" s="511"/>
      <c r="AB148" s="511"/>
      <c r="AC148" s="510"/>
      <c r="AD148" s="673"/>
      <c r="AE148" s="510"/>
      <c r="AF148" s="511"/>
      <c r="AG148" s="511"/>
      <c r="AH148" s="510"/>
      <c r="AI148" s="673"/>
      <c r="AJ148" s="510"/>
      <c r="AK148" s="511"/>
      <c r="AL148" s="511"/>
      <c r="AM148" s="510"/>
      <c r="AN148" s="673"/>
      <c r="AO148" s="510"/>
      <c r="AP148" s="511"/>
      <c r="AQ148" s="511"/>
      <c r="AR148" s="510"/>
      <c r="AS148" s="673"/>
      <c r="AT148" s="510"/>
      <c r="AU148" s="511"/>
      <c r="AV148" s="511"/>
      <c r="AW148" s="510"/>
      <c r="AX148" s="673"/>
      <c r="AZ148" s="361" t="e">
        <f t="shared" si="40"/>
        <v>#N/A</v>
      </c>
      <c r="BA148" s="673"/>
    </row>
    <row r="149" spans="2:53">
      <c r="B149" s="671"/>
      <c r="C149" s="267">
        <v>3</v>
      </c>
      <c r="D149" s="196"/>
      <c r="E149" s="196"/>
      <c r="F149" s="196"/>
      <c r="G149" s="481"/>
      <c r="H149" s="673"/>
      <c r="I149" s="352" t="str">
        <f t="shared" si="42"/>
        <v>-</v>
      </c>
      <c r="J149" s="352" t="str">
        <f t="shared" si="43"/>
        <v>-</v>
      </c>
      <c r="K149" s="194" t="str">
        <f t="shared" si="44"/>
        <v>-</v>
      </c>
      <c r="L149" s="645"/>
      <c r="M149" s="193" t="e">
        <f>RANK(K149, K$147:$K$176)</f>
        <v>#VALUE!</v>
      </c>
      <c r="N149" s="663"/>
      <c r="O149" s="663"/>
      <c r="P149" s="510"/>
      <c r="Q149" s="511"/>
      <c r="R149" s="511"/>
      <c r="S149" s="510"/>
      <c r="T149" s="673"/>
      <c r="U149" s="510"/>
      <c r="V149" s="511"/>
      <c r="W149" s="511"/>
      <c r="X149" s="510"/>
      <c r="Y149" s="673"/>
      <c r="Z149" s="510"/>
      <c r="AA149" s="511"/>
      <c r="AB149" s="511"/>
      <c r="AC149" s="510"/>
      <c r="AD149" s="673"/>
      <c r="AE149" s="510"/>
      <c r="AF149" s="511"/>
      <c r="AG149" s="511"/>
      <c r="AH149" s="510"/>
      <c r="AI149" s="673"/>
      <c r="AJ149" s="510"/>
      <c r="AK149" s="511"/>
      <c r="AL149" s="511"/>
      <c r="AM149" s="510"/>
      <c r="AN149" s="673"/>
      <c r="AO149" s="510"/>
      <c r="AP149" s="511"/>
      <c r="AQ149" s="511"/>
      <c r="AR149" s="510"/>
      <c r="AS149" s="673"/>
      <c r="AT149" s="510"/>
      <c r="AU149" s="511"/>
      <c r="AV149" s="511"/>
      <c r="AW149" s="510"/>
      <c r="AX149" s="673"/>
      <c r="AZ149" s="361" t="e">
        <f t="shared" si="40"/>
        <v>#N/A</v>
      </c>
      <c r="BA149" s="673"/>
    </row>
    <row r="150" spans="2:53">
      <c r="B150" s="671"/>
      <c r="C150" s="267">
        <v>4</v>
      </c>
      <c r="D150" s="196"/>
      <c r="E150" s="196"/>
      <c r="F150" s="196"/>
      <c r="G150" s="481"/>
      <c r="H150" s="673"/>
      <c r="I150" s="352" t="str">
        <f t="shared" si="42"/>
        <v>-</v>
      </c>
      <c r="J150" s="352" t="str">
        <f t="shared" si="43"/>
        <v>-</v>
      </c>
      <c r="K150" s="194" t="str">
        <f t="shared" si="44"/>
        <v>-</v>
      </c>
      <c r="L150" s="645"/>
      <c r="M150" s="193" t="e">
        <f>RANK(K150, K$147:$K$176)</f>
        <v>#VALUE!</v>
      </c>
      <c r="N150" s="663"/>
      <c r="O150" s="663"/>
      <c r="P150" s="510"/>
      <c r="Q150" s="511"/>
      <c r="R150" s="511"/>
      <c r="S150" s="510"/>
      <c r="T150" s="673"/>
      <c r="U150" s="510"/>
      <c r="V150" s="511"/>
      <c r="W150" s="511"/>
      <c r="X150" s="510"/>
      <c r="Y150" s="673"/>
      <c r="Z150" s="510"/>
      <c r="AA150" s="511"/>
      <c r="AB150" s="511"/>
      <c r="AC150" s="510"/>
      <c r="AD150" s="673"/>
      <c r="AE150" s="510"/>
      <c r="AF150" s="511"/>
      <c r="AG150" s="511"/>
      <c r="AH150" s="510"/>
      <c r="AI150" s="673"/>
      <c r="AJ150" s="510"/>
      <c r="AK150" s="511"/>
      <c r="AL150" s="511"/>
      <c r="AM150" s="510"/>
      <c r="AN150" s="673"/>
      <c r="AO150" s="510"/>
      <c r="AP150" s="511"/>
      <c r="AQ150" s="511"/>
      <c r="AR150" s="510"/>
      <c r="AS150" s="673"/>
      <c r="AT150" s="510"/>
      <c r="AU150" s="511"/>
      <c r="AV150" s="511"/>
      <c r="AW150" s="510"/>
      <c r="AX150" s="673"/>
      <c r="AZ150" s="361" t="e">
        <f t="shared" si="40"/>
        <v>#N/A</v>
      </c>
      <c r="BA150" s="673"/>
    </row>
    <row r="151" spans="2:53">
      <c r="B151" s="671"/>
      <c r="C151" s="267">
        <v>5</v>
      </c>
      <c r="D151" s="196"/>
      <c r="E151" s="196"/>
      <c r="F151" s="196"/>
      <c r="G151" s="481"/>
      <c r="H151" s="673"/>
      <c r="I151" s="352" t="str">
        <f t="shared" si="42"/>
        <v>-</v>
      </c>
      <c r="J151" s="352" t="str">
        <f t="shared" si="43"/>
        <v>-</v>
      </c>
      <c r="K151" s="194" t="str">
        <f t="shared" si="44"/>
        <v>-</v>
      </c>
      <c r="L151" s="645"/>
      <c r="M151" s="193" t="e">
        <f>RANK(K151, K$147:$K$176)</f>
        <v>#VALUE!</v>
      </c>
      <c r="N151" s="663"/>
      <c r="O151" s="663"/>
      <c r="P151" s="510"/>
      <c r="Q151" s="511"/>
      <c r="R151" s="511"/>
      <c r="S151" s="510"/>
      <c r="T151" s="673"/>
      <c r="U151" s="510"/>
      <c r="V151" s="511"/>
      <c r="W151" s="511"/>
      <c r="X151" s="510"/>
      <c r="Y151" s="673"/>
      <c r="Z151" s="510"/>
      <c r="AA151" s="511"/>
      <c r="AB151" s="511"/>
      <c r="AC151" s="510"/>
      <c r="AD151" s="673"/>
      <c r="AE151" s="510"/>
      <c r="AF151" s="511"/>
      <c r="AG151" s="511"/>
      <c r="AH151" s="510"/>
      <c r="AI151" s="673"/>
      <c r="AJ151" s="510"/>
      <c r="AK151" s="511"/>
      <c r="AL151" s="511"/>
      <c r="AM151" s="510"/>
      <c r="AN151" s="673"/>
      <c r="AO151" s="510"/>
      <c r="AP151" s="511"/>
      <c r="AQ151" s="511"/>
      <c r="AR151" s="510"/>
      <c r="AS151" s="673"/>
      <c r="AT151" s="510"/>
      <c r="AU151" s="511"/>
      <c r="AV151" s="511"/>
      <c r="AW151" s="510"/>
      <c r="AX151" s="673"/>
      <c r="AZ151" s="361" t="e">
        <f t="shared" si="40"/>
        <v>#N/A</v>
      </c>
      <c r="BA151" s="673"/>
    </row>
    <row r="152" spans="2:53">
      <c r="B152" s="671"/>
      <c r="C152" s="267">
        <v>6</v>
      </c>
      <c r="D152" s="196"/>
      <c r="E152" s="196"/>
      <c r="F152" s="196"/>
      <c r="G152" s="481"/>
      <c r="H152" s="673"/>
      <c r="I152" s="352" t="str">
        <f t="shared" si="42"/>
        <v>-</v>
      </c>
      <c r="J152" s="352" t="str">
        <f t="shared" si="43"/>
        <v>-</v>
      </c>
      <c r="K152" s="194" t="str">
        <f t="shared" si="44"/>
        <v>-</v>
      </c>
      <c r="L152" s="645"/>
      <c r="M152" s="193" t="e">
        <f>RANK(K152, K$147:$K$176)</f>
        <v>#VALUE!</v>
      </c>
      <c r="N152" s="663"/>
      <c r="O152" s="663"/>
      <c r="P152" s="510"/>
      <c r="Q152" s="511"/>
      <c r="R152" s="511"/>
      <c r="S152" s="510"/>
      <c r="T152" s="673"/>
      <c r="U152" s="510"/>
      <c r="V152" s="511"/>
      <c r="W152" s="511"/>
      <c r="X152" s="510"/>
      <c r="Y152" s="673"/>
      <c r="Z152" s="510"/>
      <c r="AA152" s="511"/>
      <c r="AB152" s="511"/>
      <c r="AC152" s="510"/>
      <c r="AD152" s="673"/>
      <c r="AE152" s="510"/>
      <c r="AF152" s="511"/>
      <c r="AG152" s="511"/>
      <c r="AH152" s="510"/>
      <c r="AI152" s="673"/>
      <c r="AJ152" s="510"/>
      <c r="AK152" s="511"/>
      <c r="AL152" s="511"/>
      <c r="AM152" s="510"/>
      <c r="AN152" s="673"/>
      <c r="AO152" s="510"/>
      <c r="AP152" s="511"/>
      <c r="AQ152" s="511"/>
      <c r="AR152" s="510"/>
      <c r="AS152" s="673"/>
      <c r="AT152" s="510"/>
      <c r="AU152" s="511"/>
      <c r="AV152" s="511"/>
      <c r="AW152" s="510"/>
      <c r="AX152" s="673"/>
      <c r="AZ152" s="361" t="e">
        <f t="shared" si="40"/>
        <v>#N/A</v>
      </c>
      <c r="BA152" s="673"/>
    </row>
    <row r="153" spans="2:53">
      <c r="B153" s="671"/>
      <c r="C153" s="267">
        <v>7</v>
      </c>
      <c r="D153" s="196"/>
      <c r="E153" s="196"/>
      <c r="F153" s="196"/>
      <c r="G153" s="481"/>
      <c r="H153" s="673"/>
      <c r="I153" s="352" t="str">
        <f t="shared" si="42"/>
        <v>-</v>
      </c>
      <c r="J153" s="352" t="str">
        <f t="shared" si="43"/>
        <v>-</v>
      </c>
      <c r="K153" s="194" t="str">
        <f t="shared" si="44"/>
        <v>-</v>
      </c>
      <c r="L153" s="645"/>
      <c r="M153" s="193" t="e">
        <f>RANK(K153, K$147:$K$176)</f>
        <v>#VALUE!</v>
      </c>
      <c r="N153" s="663"/>
      <c r="O153" s="663"/>
      <c r="P153" s="510"/>
      <c r="Q153" s="511"/>
      <c r="R153" s="511"/>
      <c r="S153" s="510"/>
      <c r="T153" s="673"/>
      <c r="U153" s="510"/>
      <c r="V153" s="511"/>
      <c r="W153" s="511"/>
      <c r="X153" s="510"/>
      <c r="Y153" s="673"/>
      <c r="Z153" s="510"/>
      <c r="AA153" s="511"/>
      <c r="AB153" s="511"/>
      <c r="AC153" s="510"/>
      <c r="AD153" s="673"/>
      <c r="AE153" s="510"/>
      <c r="AF153" s="511"/>
      <c r="AG153" s="511"/>
      <c r="AH153" s="510"/>
      <c r="AI153" s="673"/>
      <c r="AJ153" s="510"/>
      <c r="AK153" s="511"/>
      <c r="AL153" s="511"/>
      <c r="AM153" s="510"/>
      <c r="AN153" s="673"/>
      <c r="AO153" s="510"/>
      <c r="AP153" s="511"/>
      <c r="AQ153" s="511"/>
      <c r="AR153" s="510"/>
      <c r="AS153" s="673"/>
      <c r="AT153" s="510"/>
      <c r="AU153" s="511"/>
      <c r="AV153" s="511"/>
      <c r="AW153" s="510"/>
      <c r="AX153" s="673"/>
      <c r="AZ153" s="361" t="e">
        <f t="shared" si="40"/>
        <v>#N/A</v>
      </c>
      <c r="BA153" s="673"/>
    </row>
    <row r="154" spans="2:53">
      <c r="B154" s="671"/>
      <c r="C154" s="267">
        <v>8</v>
      </c>
      <c r="D154" s="196"/>
      <c r="E154" s="196"/>
      <c r="F154" s="196"/>
      <c r="G154" s="481"/>
      <c r="H154" s="673"/>
      <c r="I154" s="352" t="str">
        <f t="shared" si="42"/>
        <v>-</v>
      </c>
      <c r="J154" s="352" t="str">
        <f t="shared" si="43"/>
        <v>-</v>
      </c>
      <c r="K154" s="194" t="str">
        <f t="shared" si="44"/>
        <v>-</v>
      </c>
      <c r="L154" s="645"/>
      <c r="M154" s="193" t="e">
        <f>RANK(K154, K$147:$K$176)</f>
        <v>#VALUE!</v>
      </c>
      <c r="N154" s="663"/>
      <c r="O154" s="663"/>
      <c r="P154" s="510"/>
      <c r="Q154" s="511"/>
      <c r="R154" s="511"/>
      <c r="S154" s="510"/>
      <c r="T154" s="673"/>
      <c r="U154" s="510"/>
      <c r="V154" s="511"/>
      <c r="W154" s="511"/>
      <c r="X154" s="510"/>
      <c r="Y154" s="673"/>
      <c r="Z154" s="510"/>
      <c r="AA154" s="511"/>
      <c r="AB154" s="511"/>
      <c r="AC154" s="510"/>
      <c r="AD154" s="673"/>
      <c r="AE154" s="510"/>
      <c r="AF154" s="511"/>
      <c r="AG154" s="511"/>
      <c r="AH154" s="510"/>
      <c r="AI154" s="673"/>
      <c r="AJ154" s="510"/>
      <c r="AK154" s="511"/>
      <c r="AL154" s="511"/>
      <c r="AM154" s="510"/>
      <c r="AN154" s="673"/>
      <c r="AO154" s="510"/>
      <c r="AP154" s="511"/>
      <c r="AQ154" s="511"/>
      <c r="AR154" s="510"/>
      <c r="AS154" s="673"/>
      <c r="AT154" s="510"/>
      <c r="AU154" s="511"/>
      <c r="AV154" s="511"/>
      <c r="AW154" s="510"/>
      <c r="AX154" s="673"/>
      <c r="AZ154" s="361" t="e">
        <f t="shared" si="40"/>
        <v>#N/A</v>
      </c>
      <c r="BA154" s="673"/>
    </row>
    <row r="155" spans="2:53">
      <c r="B155" s="671"/>
      <c r="C155" s="267">
        <v>9</v>
      </c>
      <c r="D155" s="196"/>
      <c r="E155" s="196"/>
      <c r="F155" s="196"/>
      <c r="G155" s="481"/>
      <c r="H155" s="673"/>
      <c r="I155" s="352" t="str">
        <f t="shared" si="42"/>
        <v>-</v>
      </c>
      <c r="J155" s="352" t="str">
        <f t="shared" si="43"/>
        <v>-</v>
      </c>
      <c r="K155" s="194" t="str">
        <f t="shared" si="44"/>
        <v>-</v>
      </c>
      <c r="L155" s="645"/>
      <c r="M155" s="193" t="e">
        <f>RANK(K155, K$147:$K$176)</f>
        <v>#VALUE!</v>
      </c>
      <c r="N155" s="663"/>
      <c r="O155" s="663"/>
      <c r="P155" s="510"/>
      <c r="Q155" s="511"/>
      <c r="R155" s="511"/>
      <c r="S155" s="510"/>
      <c r="T155" s="673"/>
      <c r="U155" s="510"/>
      <c r="V155" s="511"/>
      <c r="W155" s="511"/>
      <c r="X155" s="510"/>
      <c r="Y155" s="673"/>
      <c r="Z155" s="510"/>
      <c r="AA155" s="511"/>
      <c r="AB155" s="511"/>
      <c r="AC155" s="510"/>
      <c r="AD155" s="673"/>
      <c r="AE155" s="510"/>
      <c r="AF155" s="511"/>
      <c r="AG155" s="511"/>
      <c r="AH155" s="510"/>
      <c r="AI155" s="673"/>
      <c r="AJ155" s="510"/>
      <c r="AK155" s="511"/>
      <c r="AL155" s="511"/>
      <c r="AM155" s="510"/>
      <c r="AN155" s="673"/>
      <c r="AO155" s="510"/>
      <c r="AP155" s="511"/>
      <c r="AQ155" s="511"/>
      <c r="AR155" s="510"/>
      <c r="AS155" s="673"/>
      <c r="AT155" s="510"/>
      <c r="AU155" s="511"/>
      <c r="AV155" s="511"/>
      <c r="AW155" s="510"/>
      <c r="AX155" s="673"/>
      <c r="AZ155" s="361" t="e">
        <f t="shared" si="40"/>
        <v>#N/A</v>
      </c>
      <c r="BA155" s="673"/>
    </row>
    <row r="156" spans="2:53">
      <c r="B156" s="671"/>
      <c r="C156" s="267">
        <v>10</v>
      </c>
      <c r="D156" s="196"/>
      <c r="E156" s="196"/>
      <c r="F156" s="196"/>
      <c r="G156" s="481"/>
      <c r="H156" s="673"/>
      <c r="I156" s="352" t="str">
        <f t="shared" si="42"/>
        <v>-</v>
      </c>
      <c r="J156" s="352" t="str">
        <f t="shared" si="43"/>
        <v>-</v>
      </c>
      <c r="K156" s="194" t="str">
        <f t="shared" si="44"/>
        <v>-</v>
      </c>
      <c r="L156" s="645"/>
      <c r="M156" s="193" t="e">
        <f>RANK(K156, K$147:$K$176)</f>
        <v>#VALUE!</v>
      </c>
      <c r="N156" s="663"/>
      <c r="O156" s="663"/>
      <c r="P156" s="510"/>
      <c r="Q156" s="511"/>
      <c r="R156" s="511"/>
      <c r="S156" s="510"/>
      <c r="T156" s="673"/>
      <c r="U156" s="510"/>
      <c r="V156" s="511"/>
      <c r="W156" s="511"/>
      <c r="X156" s="510"/>
      <c r="Y156" s="673"/>
      <c r="Z156" s="510"/>
      <c r="AA156" s="511"/>
      <c r="AB156" s="511"/>
      <c r="AC156" s="510"/>
      <c r="AD156" s="673"/>
      <c r="AE156" s="510"/>
      <c r="AF156" s="511"/>
      <c r="AG156" s="511"/>
      <c r="AH156" s="510"/>
      <c r="AI156" s="673"/>
      <c r="AJ156" s="510"/>
      <c r="AK156" s="511"/>
      <c r="AL156" s="511"/>
      <c r="AM156" s="510"/>
      <c r="AN156" s="673"/>
      <c r="AO156" s="510"/>
      <c r="AP156" s="511"/>
      <c r="AQ156" s="511"/>
      <c r="AR156" s="510"/>
      <c r="AS156" s="673"/>
      <c r="AT156" s="510"/>
      <c r="AU156" s="511"/>
      <c r="AV156" s="511"/>
      <c r="AW156" s="510"/>
      <c r="AX156" s="673"/>
      <c r="AZ156" s="361" t="e">
        <f t="shared" si="40"/>
        <v>#N/A</v>
      </c>
      <c r="BA156" s="673"/>
    </row>
    <row r="157" spans="2:53">
      <c r="B157" s="671"/>
      <c r="C157" s="267">
        <v>11</v>
      </c>
      <c r="D157" s="196"/>
      <c r="E157" s="196"/>
      <c r="F157" s="196"/>
      <c r="G157" s="481"/>
      <c r="H157" s="673"/>
      <c r="I157" s="352" t="str">
        <f t="shared" si="42"/>
        <v>-</v>
      </c>
      <c r="J157" s="352" t="str">
        <f t="shared" si="43"/>
        <v>-</v>
      </c>
      <c r="K157" s="194" t="str">
        <f t="shared" si="44"/>
        <v>-</v>
      </c>
      <c r="L157" s="645"/>
      <c r="M157" s="193" t="e">
        <f>RANK(K157, K$147:$K$176)</f>
        <v>#VALUE!</v>
      </c>
      <c r="N157" s="663"/>
      <c r="O157" s="663"/>
      <c r="P157" s="510"/>
      <c r="Q157" s="511"/>
      <c r="R157" s="511"/>
      <c r="S157" s="510"/>
      <c r="T157" s="673"/>
      <c r="U157" s="510"/>
      <c r="V157" s="511"/>
      <c r="W157" s="511"/>
      <c r="X157" s="510"/>
      <c r="Y157" s="673"/>
      <c r="Z157" s="510"/>
      <c r="AA157" s="511"/>
      <c r="AB157" s="511"/>
      <c r="AC157" s="510"/>
      <c r="AD157" s="673"/>
      <c r="AE157" s="510"/>
      <c r="AF157" s="511"/>
      <c r="AG157" s="511"/>
      <c r="AH157" s="510"/>
      <c r="AI157" s="673"/>
      <c r="AJ157" s="510"/>
      <c r="AK157" s="511"/>
      <c r="AL157" s="511"/>
      <c r="AM157" s="510"/>
      <c r="AN157" s="673"/>
      <c r="AO157" s="510"/>
      <c r="AP157" s="511"/>
      <c r="AQ157" s="511"/>
      <c r="AR157" s="510"/>
      <c r="AS157" s="673"/>
      <c r="AT157" s="510"/>
      <c r="AU157" s="511"/>
      <c r="AV157" s="511"/>
      <c r="AW157" s="510"/>
      <c r="AX157" s="673"/>
      <c r="AZ157" s="361" t="e">
        <f t="shared" si="40"/>
        <v>#N/A</v>
      </c>
      <c r="BA157" s="673"/>
    </row>
    <row r="158" spans="2:53">
      <c r="B158" s="671"/>
      <c r="C158" s="267">
        <v>12</v>
      </c>
      <c r="D158" s="482"/>
      <c r="E158" s="196"/>
      <c r="F158" s="196"/>
      <c r="G158" s="481"/>
      <c r="H158" s="673"/>
      <c r="I158" s="352" t="str">
        <f t="shared" si="42"/>
        <v>-</v>
      </c>
      <c r="J158" s="352" t="str">
        <f t="shared" si="43"/>
        <v>-</v>
      </c>
      <c r="K158" s="194" t="str">
        <f t="shared" si="44"/>
        <v>-</v>
      </c>
      <c r="L158" s="645"/>
      <c r="M158" s="193" t="e">
        <f>RANK(K158, K$147:$K$176)</f>
        <v>#VALUE!</v>
      </c>
      <c r="N158" s="663"/>
      <c r="O158" s="663"/>
      <c r="P158" s="510"/>
      <c r="Q158" s="511"/>
      <c r="R158" s="511"/>
      <c r="S158" s="510"/>
      <c r="T158" s="673"/>
      <c r="U158" s="510"/>
      <c r="V158" s="511"/>
      <c r="W158" s="511"/>
      <c r="X158" s="510"/>
      <c r="Y158" s="673"/>
      <c r="Z158" s="510"/>
      <c r="AA158" s="511"/>
      <c r="AB158" s="511"/>
      <c r="AC158" s="510"/>
      <c r="AD158" s="673"/>
      <c r="AE158" s="510"/>
      <c r="AF158" s="511"/>
      <c r="AG158" s="511"/>
      <c r="AH158" s="510"/>
      <c r="AI158" s="673"/>
      <c r="AJ158" s="510"/>
      <c r="AK158" s="511"/>
      <c r="AL158" s="511"/>
      <c r="AM158" s="510"/>
      <c r="AN158" s="673"/>
      <c r="AO158" s="510"/>
      <c r="AP158" s="511"/>
      <c r="AQ158" s="511"/>
      <c r="AR158" s="510"/>
      <c r="AS158" s="673"/>
      <c r="AT158" s="510"/>
      <c r="AU158" s="511"/>
      <c r="AV158" s="511"/>
      <c r="AW158" s="510"/>
      <c r="AX158" s="673"/>
      <c r="AZ158" s="361" t="e">
        <f t="shared" si="40"/>
        <v>#N/A</v>
      </c>
      <c r="BA158" s="673"/>
    </row>
    <row r="159" spans="2:53">
      <c r="B159" s="671"/>
      <c r="C159" s="267">
        <v>13</v>
      </c>
      <c r="D159" s="196"/>
      <c r="E159" s="196"/>
      <c r="F159" s="196"/>
      <c r="G159" s="481"/>
      <c r="H159" s="673"/>
      <c r="I159" s="352" t="str">
        <f t="shared" si="42"/>
        <v>-</v>
      </c>
      <c r="J159" s="352" t="str">
        <f t="shared" si="43"/>
        <v>-</v>
      </c>
      <c r="K159" s="194" t="str">
        <f t="shared" si="44"/>
        <v>-</v>
      </c>
      <c r="L159" s="645"/>
      <c r="M159" s="193" t="e">
        <f>RANK(K159, K$147:$K$176)</f>
        <v>#VALUE!</v>
      </c>
      <c r="N159" s="663"/>
      <c r="O159" s="663"/>
      <c r="P159" s="510"/>
      <c r="Q159" s="511"/>
      <c r="R159" s="511"/>
      <c r="S159" s="510"/>
      <c r="T159" s="673"/>
      <c r="U159" s="510"/>
      <c r="V159" s="511"/>
      <c r="W159" s="511"/>
      <c r="X159" s="510"/>
      <c r="Y159" s="673"/>
      <c r="Z159" s="510"/>
      <c r="AA159" s="511"/>
      <c r="AB159" s="511"/>
      <c r="AC159" s="510"/>
      <c r="AD159" s="673"/>
      <c r="AE159" s="510"/>
      <c r="AF159" s="511"/>
      <c r="AG159" s="511"/>
      <c r="AH159" s="510"/>
      <c r="AI159" s="673"/>
      <c r="AJ159" s="510"/>
      <c r="AK159" s="511"/>
      <c r="AL159" s="511"/>
      <c r="AM159" s="510"/>
      <c r="AN159" s="673"/>
      <c r="AO159" s="510"/>
      <c r="AP159" s="511"/>
      <c r="AQ159" s="511"/>
      <c r="AR159" s="510"/>
      <c r="AS159" s="673"/>
      <c r="AT159" s="510"/>
      <c r="AU159" s="511"/>
      <c r="AV159" s="511"/>
      <c r="AW159" s="510"/>
      <c r="AX159" s="673"/>
      <c r="AZ159" s="361" t="e">
        <f t="shared" si="40"/>
        <v>#N/A</v>
      </c>
      <c r="BA159" s="673"/>
    </row>
    <row r="160" spans="2:53">
      <c r="B160" s="671"/>
      <c r="C160" s="267">
        <v>14</v>
      </c>
      <c r="D160" s="196"/>
      <c r="E160" s="196"/>
      <c r="F160" s="196"/>
      <c r="G160" s="481"/>
      <c r="H160" s="673"/>
      <c r="I160" s="352" t="str">
        <f t="shared" si="42"/>
        <v>-</v>
      </c>
      <c r="J160" s="352" t="str">
        <f t="shared" si="43"/>
        <v>-</v>
      </c>
      <c r="K160" s="194" t="str">
        <f t="shared" si="44"/>
        <v>-</v>
      </c>
      <c r="L160" s="645"/>
      <c r="M160" s="193" t="e">
        <f>RANK(K160, K$147:$K$176)</f>
        <v>#VALUE!</v>
      </c>
      <c r="N160" s="663"/>
      <c r="O160" s="663"/>
      <c r="P160" s="510"/>
      <c r="Q160" s="511"/>
      <c r="R160" s="511"/>
      <c r="S160" s="510"/>
      <c r="T160" s="673"/>
      <c r="U160" s="510"/>
      <c r="V160" s="511"/>
      <c r="W160" s="511"/>
      <c r="X160" s="510"/>
      <c r="Y160" s="673"/>
      <c r="Z160" s="510"/>
      <c r="AA160" s="511"/>
      <c r="AB160" s="511"/>
      <c r="AC160" s="510"/>
      <c r="AD160" s="673"/>
      <c r="AE160" s="510"/>
      <c r="AF160" s="511"/>
      <c r="AG160" s="511"/>
      <c r="AH160" s="510"/>
      <c r="AI160" s="673"/>
      <c r="AJ160" s="510"/>
      <c r="AK160" s="511"/>
      <c r="AL160" s="511"/>
      <c r="AM160" s="510"/>
      <c r="AN160" s="673"/>
      <c r="AO160" s="510"/>
      <c r="AP160" s="511"/>
      <c r="AQ160" s="511"/>
      <c r="AR160" s="510"/>
      <c r="AS160" s="673"/>
      <c r="AT160" s="510"/>
      <c r="AU160" s="511"/>
      <c r="AV160" s="511"/>
      <c r="AW160" s="510"/>
      <c r="AX160" s="673"/>
      <c r="AZ160" s="361" t="e">
        <f t="shared" si="40"/>
        <v>#N/A</v>
      </c>
      <c r="BA160" s="673"/>
    </row>
    <row r="161" spans="2:53">
      <c r="B161" s="671"/>
      <c r="C161" s="267">
        <v>15</v>
      </c>
      <c r="D161" s="482"/>
      <c r="E161" s="196"/>
      <c r="F161" s="196"/>
      <c r="G161" s="481"/>
      <c r="H161" s="673"/>
      <c r="I161" s="352" t="str">
        <f t="shared" si="42"/>
        <v>-</v>
      </c>
      <c r="J161" s="352" t="str">
        <f t="shared" si="43"/>
        <v>-</v>
      </c>
      <c r="K161" s="194" t="str">
        <f t="shared" si="44"/>
        <v>-</v>
      </c>
      <c r="L161" s="645"/>
      <c r="M161" s="193" t="e">
        <f>RANK(K161, K$147:$K$176)</f>
        <v>#VALUE!</v>
      </c>
      <c r="N161" s="663"/>
      <c r="O161" s="663"/>
      <c r="P161" s="510"/>
      <c r="Q161" s="511"/>
      <c r="R161" s="511"/>
      <c r="S161" s="510"/>
      <c r="T161" s="673"/>
      <c r="U161" s="510"/>
      <c r="V161" s="511"/>
      <c r="W161" s="511"/>
      <c r="X161" s="510"/>
      <c r="Y161" s="673"/>
      <c r="Z161" s="510"/>
      <c r="AA161" s="511"/>
      <c r="AB161" s="511"/>
      <c r="AC161" s="510"/>
      <c r="AD161" s="673"/>
      <c r="AE161" s="510"/>
      <c r="AF161" s="511"/>
      <c r="AG161" s="511"/>
      <c r="AH161" s="510"/>
      <c r="AI161" s="673"/>
      <c r="AJ161" s="510"/>
      <c r="AK161" s="511"/>
      <c r="AL161" s="511"/>
      <c r="AM161" s="510"/>
      <c r="AN161" s="673"/>
      <c r="AO161" s="510"/>
      <c r="AP161" s="511"/>
      <c r="AQ161" s="511"/>
      <c r="AR161" s="510"/>
      <c r="AS161" s="673"/>
      <c r="AT161" s="510"/>
      <c r="AU161" s="511"/>
      <c r="AV161" s="511"/>
      <c r="AW161" s="510"/>
      <c r="AX161" s="673"/>
      <c r="AZ161" s="361" t="e">
        <f t="shared" si="40"/>
        <v>#N/A</v>
      </c>
      <c r="BA161" s="673"/>
    </row>
    <row r="162" spans="2:53">
      <c r="B162" s="671"/>
      <c r="C162" s="267">
        <v>16</v>
      </c>
      <c r="D162" s="196"/>
      <c r="E162" s="196"/>
      <c r="F162" s="196"/>
      <c r="G162" s="481"/>
      <c r="H162" s="673"/>
      <c r="I162" s="352" t="str">
        <f t="shared" si="42"/>
        <v>-</v>
      </c>
      <c r="J162" s="352" t="str">
        <f t="shared" si="43"/>
        <v>-</v>
      </c>
      <c r="K162" s="194" t="str">
        <f t="shared" si="44"/>
        <v>-</v>
      </c>
      <c r="L162" s="645"/>
      <c r="M162" s="193" t="e">
        <f>RANK(K162, K$147:$K$176)</f>
        <v>#VALUE!</v>
      </c>
      <c r="N162" s="663"/>
      <c r="O162" s="663"/>
      <c r="P162" s="510"/>
      <c r="Q162" s="511"/>
      <c r="R162" s="511"/>
      <c r="S162" s="510"/>
      <c r="T162" s="673"/>
      <c r="U162" s="510"/>
      <c r="V162" s="511"/>
      <c r="W162" s="511"/>
      <c r="X162" s="510"/>
      <c r="Y162" s="673"/>
      <c r="Z162" s="510"/>
      <c r="AA162" s="511"/>
      <c r="AB162" s="511"/>
      <c r="AC162" s="510"/>
      <c r="AD162" s="673"/>
      <c r="AE162" s="510"/>
      <c r="AF162" s="511"/>
      <c r="AG162" s="511"/>
      <c r="AH162" s="510"/>
      <c r="AI162" s="673"/>
      <c r="AJ162" s="510"/>
      <c r="AK162" s="511"/>
      <c r="AL162" s="511"/>
      <c r="AM162" s="510"/>
      <c r="AN162" s="673"/>
      <c r="AO162" s="510"/>
      <c r="AP162" s="511"/>
      <c r="AQ162" s="511"/>
      <c r="AR162" s="510"/>
      <c r="AS162" s="673"/>
      <c r="AT162" s="510"/>
      <c r="AU162" s="511"/>
      <c r="AV162" s="511"/>
      <c r="AW162" s="510"/>
      <c r="AX162" s="673"/>
      <c r="AZ162" s="361" t="e">
        <f t="shared" si="40"/>
        <v>#N/A</v>
      </c>
      <c r="BA162" s="673"/>
    </row>
    <row r="163" spans="2:53">
      <c r="B163" s="671"/>
      <c r="C163" s="267">
        <v>17</v>
      </c>
      <c r="D163" s="196"/>
      <c r="E163" s="196"/>
      <c r="F163" s="196"/>
      <c r="G163" s="481"/>
      <c r="H163" s="673"/>
      <c r="I163" s="352" t="str">
        <f t="shared" si="42"/>
        <v>-</v>
      </c>
      <c r="J163" s="352" t="str">
        <f t="shared" si="43"/>
        <v>-</v>
      </c>
      <c r="K163" s="194" t="str">
        <f t="shared" si="44"/>
        <v>-</v>
      </c>
      <c r="L163" s="645"/>
      <c r="M163" s="193" t="e">
        <f>RANK(K163, K$147:$K$176)</f>
        <v>#VALUE!</v>
      </c>
      <c r="N163" s="663"/>
      <c r="O163" s="663"/>
      <c r="P163" s="510"/>
      <c r="Q163" s="511"/>
      <c r="R163" s="511"/>
      <c r="S163" s="510"/>
      <c r="T163" s="673"/>
      <c r="U163" s="510"/>
      <c r="V163" s="511"/>
      <c r="W163" s="511"/>
      <c r="X163" s="510"/>
      <c r="Y163" s="673"/>
      <c r="Z163" s="510"/>
      <c r="AA163" s="511"/>
      <c r="AB163" s="511"/>
      <c r="AC163" s="510"/>
      <c r="AD163" s="673"/>
      <c r="AE163" s="510"/>
      <c r="AF163" s="511"/>
      <c r="AG163" s="511"/>
      <c r="AH163" s="510"/>
      <c r="AI163" s="673"/>
      <c r="AJ163" s="510"/>
      <c r="AK163" s="511"/>
      <c r="AL163" s="511"/>
      <c r="AM163" s="510"/>
      <c r="AN163" s="673"/>
      <c r="AO163" s="510"/>
      <c r="AP163" s="511"/>
      <c r="AQ163" s="511"/>
      <c r="AR163" s="510"/>
      <c r="AS163" s="673"/>
      <c r="AT163" s="510"/>
      <c r="AU163" s="511"/>
      <c r="AV163" s="511"/>
      <c r="AW163" s="510"/>
      <c r="AX163" s="673"/>
      <c r="AZ163" s="361" t="e">
        <f t="shared" si="40"/>
        <v>#N/A</v>
      </c>
      <c r="BA163" s="673"/>
    </row>
    <row r="164" spans="2:53">
      <c r="B164" s="671"/>
      <c r="C164" s="267">
        <v>18</v>
      </c>
      <c r="D164" s="482"/>
      <c r="E164" s="196"/>
      <c r="F164" s="196"/>
      <c r="G164" s="481"/>
      <c r="H164" s="673"/>
      <c r="I164" s="352" t="str">
        <f t="shared" si="42"/>
        <v>-</v>
      </c>
      <c r="J164" s="352" t="str">
        <f t="shared" si="43"/>
        <v>-</v>
      </c>
      <c r="K164" s="194" t="str">
        <f t="shared" si="44"/>
        <v>-</v>
      </c>
      <c r="L164" s="645"/>
      <c r="M164" s="193" t="e">
        <f>RANK(K164, K$147:$K$176)</f>
        <v>#VALUE!</v>
      </c>
      <c r="N164" s="663"/>
      <c r="O164" s="663"/>
      <c r="P164" s="510"/>
      <c r="Q164" s="511"/>
      <c r="R164" s="511"/>
      <c r="S164" s="510"/>
      <c r="T164" s="673"/>
      <c r="U164" s="510"/>
      <c r="V164" s="511"/>
      <c r="W164" s="511"/>
      <c r="X164" s="510"/>
      <c r="Y164" s="673"/>
      <c r="Z164" s="510"/>
      <c r="AA164" s="511"/>
      <c r="AB164" s="511"/>
      <c r="AC164" s="510"/>
      <c r="AD164" s="673"/>
      <c r="AE164" s="510"/>
      <c r="AF164" s="511"/>
      <c r="AG164" s="511"/>
      <c r="AH164" s="510"/>
      <c r="AI164" s="673"/>
      <c r="AJ164" s="510"/>
      <c r="AK164" s="511"/>
      <c r="AL164" s="511"/>
      <c r="AM164" s="510"/>
      <c r="AN164" s="673"/>
      <c r="AO164" s="510"/>
      <c r="AP164" s="511"/>
      <c r="AQ164" s="511"/>
      <c r="AR164" s="510"/>
      <c r="AS164" s="673"/>
      <c r="AT164" s="510"/>
      <c r="AU164" s="511"/>
      <c r="AV164" s="511"/>
      <c r="AW164" s="510"/>
      <c r="AX164" s="673"/>
      <c r="AZ164" s="361" t="e">
        <f t="shared" si="40"/>
        <v>#N/A</v>
      </c>
      <c r="BA164" s="673"/>
    </row>
    <row r="165" spans="2:53">
      <c r="B165" s="671"/>
      <c r="C165" s="267">
        <v>19</v>
      </c>
      <c r="D165" s="482"/>
      <c r="E165" s="196"/>
      <c r="F165" s="196"/>
      <c r="G165" s="481"/>
      <c r="H165" s="673"/>
      <c r="I165" s="352" t="str">
        <f t="shared" si="42"/>
        <v>-</v>
      </c>
      <c r="J165" s="352" t="str">
        <f t="shared" si="43"/>
        <v>-</v>
      </c>
      <c r="K165" s="194" t="str">
        <f t="shared" si="44"/>
        <v>-</v>
      </c>
      <c r="L165" s="645"/>
      <c r="M165" s="193" t="e">
        <f>RANK(K165, K$147:$K$176)</f>
        <v>#VALUE!</v>
      </c>
      <c r="N165" s="663"/>
      <c r="O165" s="663"/>
      <c r="P165" s="510"/>
      <c r="Q165" s="511"/>
      <c r="R165" s="511"/>
      <c r="S165" s="510"/>
      <c r="T165" s="673"/>
      <c r="U165" s="510"/>
      <c r="V165" s="511"/>
      <c r="W165" s="511"/>
      <c r="X165" s="510"/>
      <c r="Y165" s="673"/>
      <c r="Z165" s="510"/>
      <c r="AA165" s="511"/>
      <c r="AB165" s="511"/>
      <c r="AC165" s="510"/>
      <c r="AD165" s="673"/>
      <c r="AE165" s="510"/>
      <c r="AF165" s="511"/>
      <c r="AG165" s="511"/>
      <c r="AH165" s="510"/>
      <c r="AI165" s="673"/>
      <c r="AJ165" s="510"/>
      <c r="AK165" s="511"/>
      <c r="AL165" s="511"/>
      <c r="AM165" s="510"/>
      <c r="AN165" s="673"/>
      <c r="AO165" s="510"/>
      <c r="AP165" s="511"/>
      <c r="AQ165" s="511"/>
      <c r="AR165" s="510"/>
      <c r="AS165" s="673"/>
      <c r="AT165" s="510"/>
      <c r="AU165" s="511"/>
      <c r="AV165" s="511"/>
      <c r="AW165" s="510"/>
      <c r="AX165" s="673"/>
      <c r="AZ165" s="361" t="e">
        <f t="shared" si="40"/>
        <v>#N/A</v>
      </c>
      <c r="BA165" s="673"/>
    </row>
    <row r="166" spans="2:53">
      <c r="B166" s="671"/>
      <c r="C166" s="267">
        <v>20</v>
      </c>
      <c r="D166" s="482"/>
      <c r="E166" s="196"/>
      <c r="F166" s="196"/>
      <c r="G166" s="481"/>
      <c r="H166" s="673"/>
      <c r="I166" s="352" t="str">
        <f t="shared" si="42"/>
        <v>-</v>
      </c>
      <c r="J166" s="352" t="str">
        <f t="shared" si="43"/>
        <v>-</v>
      </c>
      <c r="K166" s="194" t="str">
        <f t="shared" si="44"/>
        <v>-</v>
      </c>
      <c r="L166" s="645"/>
      <c r="M166" s="193" t="e">
        <f>RANK(K166, K$147:$K$176)</f>
        <v>#VALUE!</v>
      </c>
      <c r="N166" s="663"/>
      <c r="O166" s="663"/>
      <c r="P166" s="510"/>
      <c r="Q166" s="511"/>
      <c r="R166" s="511"/>
      <c r="S166" s="510"/>
      <c r="T166" s="673"/>
      <c r="U166" s="510"/>
      <c r="V166" s="511"/>
      <c r="W166" s="511"/>
      <c r="X166" s="510"/>
      <c r="Y166" s="673"/>
      <c r="Z166" s="510"/>
      <c r="AA166" s="511"/>
      <c r="AB166" s="511"/>
      <c r="AC166" s="510"/>
      <c r="AD166" s="673"/>
      <c r="AE166" s="510"/>
      <c r="AF166" s="511"/>
      <c r="AG166" s="511"/>
      <c r="AH166" s="510"/>
      <c r="AI166" s="673"/>
      <c r="AJ166" s="510"/>
      <c r="AK166" s="511"/>
      <c r="AL166" s="511"/>
      <c r="AM166" s="510"/>
      <c r="AN166" s="673"/>
      <c r="AO166" s="510"/>
      <c r="AP166" s="511"/>
      <c r="AQ166" s="511"/>
      <c r="AR166" s="510"/>
      <c r="AS166" s="673"/>
      <c r="AT166" s="510"/>
      <c r="AU166" s="511"/>
      <c r="AV166" s="511"/>
      <c r="AW166" s="510"/>
      <c r="AX166" s="673"/>
      <c r="AZ166" s="361" t="e">
        <f t="shared" si="40"/>
        <v>#N/A</v>
      </c>
      <c r="BA166" s="673"/>
    </row>
    <row r="167" spans="2:53">
      <c r="B167" s="671"/>
      <c r="C167" s="267">
        <v>21</v>
      </c>
      <c r="D167" s="482"/>
      <c r="E167" s="196"/>
      <c r="F167" s="196"/>
      <c r="G167" s="481"/>
      <c r="H167" s="673"/>
      <c r="I167" s="352" t="str">
        <f t="shared" si="42"/>
        <v>-</v>
      </c>
      <c r="J167" s="352" t="str">
        <f t="shared" si="43"/>
        <v>-</v>
      </c>
      <c r="K167" s="194" t="str">
        <f t="shared" si="44"/>
        <v>-</v>
      </c>
      <c r="L167" s="645"/>
      <c r="M167" s="193" t="e">
        <f>RANK(K167, K$147:$K$176)</f>
        <v>#VALUE!</v>
      </c>
      <c r="N167" s="663"/>
      <c r="O167" s="663"/>
      <c r="P167" s="510"/>
      <c r="Q167" s="511"/>
      <c r="R167" s="511"/>
      <c r="S167" s="510"/>
      <c r="T167" s="673"/>
      <c r="U167" s="510"/>
      <c r="V167" s="511"/>
      <c r="W167" s="511"/>
      <c r="X167" s="510"/>
      <c r="Y167" s="673"/>
      <c r="Z167" s="510"/>
      <c r="AA167" s="511"/>
      <c r="AB167" s="511"/>
      <c r="AC167" s="510"/>
      <c r="AD167" s="673"/>
      <c r="AE167" s="510"/>
      <c r="AF167" s="511"/>
      <c r="AG167" s="511"/>
      <c r="AH167" s="510"/>
      <c r="AI167" s="673"/>
      <c r="AJ167" s="510"/>
      <c r="AK167" s="511"/>
      <c r="AL167" s="511"/>
      <c r="AM167" s="510"/>
      <c r="AN167" s="673"/>
      <c r="AO167" s="510"/>
      <c r="AP167" s="511"/>
      <c r="AQ167" s="511"/>
      <c r="AR167" s="510"/>
      <c r="AS167" s="673"/>
      <c r="AT167" s="510"/>
      <c r="AU167" s="511"/>
      <c r="AV167" s="511"/>
      <c r="AW167" s="510"/>
      <c r="AX167" s="673"/>
      <c r="AZ167" s="361" t="e">
        <f t="shared" si="40"/>
        <v>#N/A</v>
      </c>
      <c r="BA167" s="673"/>
    </row>
    <row r="168" spans="2:53">
      <c r="B168" s="671"/>
      <c r="C168" s="267">
        <v>22</v>
      </c>
      <c r="D168" s="482"/>
      <c r="E168" s="196"/>
      <c r="F168" s="196"/>
      <c r="G168" s="481"/>
      <c r="H168" s="673"/>
      <c r="I168" s="352" t="str">
        <f t="shared" si="42"/>
        <v>-</v>
      </c>
      <c r="J168" s="352" t="str">
        <f t="shared" si="43"/>
        <v>-</v>
      </c>
      <c r="K168" s="194" t="str">
        <f t="shared" si="44"/>
        <v>-</v>
      </c>
      <c r="L168" s="645"/>
      <c r="M168" s="193" t="e">
        <f>RANK(K168, K$147:$K$176)</f>
        <v>#VALUE!</v>
      </c>
      <c r="N168" s="663"/>
      <c r="O168" s="663"/>
      <c r="P168" s="510"/>
      <c r="Q168" s="511"/>
      <c r="R168" s="511"/>
      <c r="S168" s="510"/>
      <c r="T168" s="673"/>
      <c r="U168" s="510"/>
      <c r="V168" s="511"/>
      <c r="W168" s="511"/>
      <c r="X168" s="510"/>
      <c r="Y168" s="673"/>
      <c r="Z168" s="510"/>
      <c r="AA168" s="511"/>
      <c r="AB168" s="511"/>
      <c r="AC168" s="510"/>
      <c r="AD168" s="673"/>
      <c r="AE168" s="510"/>
      <c r="AF168" s="511"/>
      <c r="AG168" s="511"/>
      <c r="AH168" s="510"/>
      <c r="AI168" s="673"/>
      <c r="AJ168" s="510"/>
      <c r="AK168" s="511"/>
      <c r="AL168" s="511"/>
      <c r="AM168" s="510"/>
      <c r="AN168" s="673"/>
      <c r="AO168" s="510"/>
      <c r="AP168" s="511"/>
      <c r="AQ168" s="511"/>
      <c r="AR168" s="510"/>
      <c r="AS168" s="673"/>
      <c r="AT168" s="510"/>
      <c r="AU168" s="511"/>
      <c r="AV168" s="511"/>
      <c r="AW168" s="510"/>
      <c r="AX168" s="673"/>
      <c r="AZ168" s="361" t="e">
        <f t="shared" si="40"/>
        <v>#N/A</v>
      </c>
      <c r="BA168" s="673"/>
    </row>
    <row r="169" spans="2:53">
      <c r="B169" s="671"/>
      <c r="C169" s="267">
        <v>23</v>
      </c>
      <c r="D169" s="196"/>
      <c r="E169" s="196"/>
      <c r="F169" s="196"/>
      <c r="G169" s="481"/>
      <c r="H169" s="673"/>
      <c r="I169" s="352" t="str">
        <f t="shared" si="42"/>
        <v>-</v>
      </c>
      <c r="J169" s="352" t="str">
        <f t="shared" si="43"/>
        <v>-</v>
      </c>
      <c r="K169" s="194" t="str">
        <f t="shared" si="44"/>
        <v>-</v>
      </c>
      <c r="L169" s="645"/>
      <c r="M169" s="193" t="e">
        <f>RANK(K169, K$147:$K$176)</f>
        <v>#VALUE!</v>
      </c>
      <c r="N169" s="663"/>
      <c r="O169" s="663"/>
      <c r="P169" s="510"/>
      <c r="Q169" s="511"/>
      <c r="R169" s="511"/>
      <c r="S169" s="510"/>
      <c r="T169" s="673"/>
      <c r="U169" s="510"/>
      <c r="V169" s="511"/>
      <c r="W169" s="511"/>
      <c r="X169" s="510"/>
      <c r="Y169" s="673"/>
      <c r="Z169" s="510"/>
      <c r="AA169" s="511"/>
      <c r="AB169" s="511"/>
      <c r="AC169" s="510"/>
      <c r="AD169" s="673"/>
      <c r="AE169" s="510"/>
      <c r="AF169" s="511"/>
      <c r="AG169" s="511"/>
      <c r="AH169" s="510"/>
      <c r="AI169" s="673"/>
      <c r="AJ169" s="510"/>
      <c r="AK169" s="511"/>
      <c r="AL169" s="511"/>
      <c r="AM169" s="510"/>
      <c r="AN169" s="673"/>
      <c r="AO169" s="510"/>
      <c r="AP169" s="511"/>
      <c r="AQ169" s="511"/>
      <c r="AR169" s="510"/>
      <c r="AS169" s="673"/>
      <c r="AT169" s="510"/>
      <c r="AU169" s="511"/>
      <c r="AV169" s="511"/>
      <c r="AW169" s="510"/>
      <c r="AX169" s="673"/>
      <c r="AZ169" s="361" t="e">
        <f t="shared" si="40"/>
        <v>#N/A</v>
      </c>
      <c r="BA169" s="673"/>
    </row>
    <row r="170" spans="2:53">
      <c r="B170" s="671"/>
      <c r="C170" s="267">
        <v>24</v>
      </c>
      <c r="D170" s="482"/>
      <c r="E170" s="196"/>
      <c r="F170" s="196"/>
      <c r="G170" s="481"/>
      <c r="H170" s="673"/>
      <c r="I170" s="352" t="str">
        <f t="shared" si="42"/>
        <v>-</v>
      </c>
      <c r="J170" s="352" t="str">
        <f t="shared" si="43"/>
        <v>-</v>
      </c>
      <c r="K170" s="194" t="str">
        <f t="shared" si="44"/>
        <v>-</v>
      </c>
      <c r="L170" s="645"/>
      <c r="M170" s="193" t="e">
        <f>RANK(K170, K$147:$K$176)</f>
        <v>#VALUE!</v>
      </c>
      <c r="N170" s="663"/>
      <c r="O170" s="663"/>
      <c r="P170" s="510"/>
      <c r="Q170" s="511"/>
      <c r="R170" s="511"/>
      <c r="S170" s="510"/>
      <c r="T170" s="673"/>
      <c r="U170" s="510"/>
      <c r="V170" s="511"/>
      <c r="W170" s="511"/>
      <c r="X170" s="510"/>
      <c r="Y170" s="673"/>
      <c r="Z170" s="510"/>
      <c r="AA170" s="511"/>
      <c r="AB170" s="511"/>
      <c r="AC170" s="510"/>
      <c r="AD170" s="673"/>
      <c r="AE170" s="510"/>
      <c r="AF170" s="511"/>
      <c r="AG170" s="511"/>
      <c r="AH170" s="510"/>
      <c r="AI170" s="673"/>
      <c r="AJ170" s="510"/>
      <c r="AK170" s="511"/>
      <c r="AL170" s="511"/>
      <c r="AM170" s="510"/>
      <c r="AN170" s="673"/>
      <c r="AO170" s="510"/>
      <c r="AP170" s="511"/>
      <c r="AQ170" s="511"/>
      <c r="AR170" s="510"/>
      <c r="AS170" s="673"/>
      <c r="AT170" s="510"/>
      <c r="AU170" s="511"/>
      <c r="AV170" s="511"/>
      <c r="AW170" s="510"/>
      <c r="AX170" s="673"/>
      <c r="AZ170" s="361" t="e">
        <f t="shared" si="40"/>
        <v>#N/A</v>
      </c>
      <c r="BA170" s="673"/>
    </row>
    <row r="171" spans="2:53">
      <c r="B171" s="671"/>
      <c r="C171" s="267">
        <v>25</v>
      </c>
      <c r="D171" s="196"/>
      <c r="E171" s="196"/>
      <c r="F171" s="196"/>
      <c r="G171" s="481"/>
      <c r="H171" s="673"/>
      <c r="I171" s="352" t="str">
        <f t="shared" si="42"/>
        <v>-</v>
      </c>
      <c r="J171" s="352" t="str">
        <f t="shared" si="43"/>
        <v>-</v>
      </c>
      <c r="K171" s="194" t="str">
        <f t="shared" si="44"/>
        <v>-</v>
      </c>
      <c r="L171" s="645"/>
      <c r="M171" s="193" t="e">
        <f>RANK(K171, K$147:$K$176)</f>
        <v>#VALUE!</v>
      </c>
      <c r="N171" s="663"/>
      <c r="O171" s="663"/>
      <c r="P171" s="510"/>
      <c r="Q171" s="511"/>
      <c r="R171" s="511"/>
      <c r="S171" s="510"/>
      <c r="T171" s="673"/>
      <c r="U171" s="510"/>
      <c r="V171" s="511"/>
      <c r="W171" s="511"/>
      <c r="X171" s="510"/>
      <c r="Y171" s="673"/>
      <c r="Z171" s="510"/>
      <c r="AA171" s="511"/>
      <c r="AB171" s="511"/>
      <c r="AC171" s="510"/>
      <c r="AD171" s="673"/>
      <c r="AE171" s="510"/>
      <c r="AF171" s="511"/>
      <c r="AG171" s="511"/>
      <c r="AH171" s="510"/>
      <c r="AI171" s="673"/>
      <c r="AJ171" s="510"/>
      <c r="AK171" s="511"/>
      <c r="AL171" s="511"/>
      <c r="AM171" s="510"/>
      <c r="AN171" s="673"/>
      <c r="AO171" s="510"/>
      <c r="AP171" s="511"/>
      <c r="AQ171" s="511"/>
      <c r="AR171" s="510"/>
      <c r="AS171" s="673"/>
      <c r="AT171" s="510"/>
      <c r="AU171" s="511"/>
      <c r="AV171" s="511"/>
      <c r="AW171" s="510"/>
      <c r="AX171" s="673"/>
      <c r="AZ171" s="361" t="e">
        <f t="shared" si="40"/>
        <v>#N/A</v>
      </c>
      <c r="BA171" s="673"/>
    </row>
    <row r="172" spans="2:53">
      <c r="B172" s="671"/>
      <c r="C172" s="267">
        <v>26</v>
      </c>
      <c r="D172" s="196"/>
      <c r="E172" s="196"/>
      <c r="F172" s="196"/>
      <c r="G172" s="481"/>
      <c r="H172" s="673"/>
      <c r="I172" s="352" t="str">
        <f t="shared" si="42"/>
        <v>-</v>
      </c>
      <c r="J172" s="352" t="str">
        <f t="shared" si="43"/>
        <v>-</v>
      </c>
      <c r="K172" s="194" t="str">
        <f t="shared" si="44"/>
        <v>-</v>
      </c>
      <c r="L172" s="645"/>
      <c r="M172" s="193" t="e">
        <f>RANK(K172, K$147:$K$176)</f>
        <v>#VALUE!</v>
      </c>
      <c r="N172" s="663"/>
      <c r="O172" s="663"/>
      <c r="P172" s="510"/>
      <c r="Q172" s="511"/>
      <c r="R172" s="511"/>
      <c r="S172" s="510"/>
      <c r="T172" s="673"/>
      <c r="U172" s="510"/>
      <c r="V172" s="511"/>
      <c r="W172" s="511"/>
      <c r="X172" s="510"/>
      <c r="Y172" s="673"/>
      <c r="Z172" s="510"/>
      <c r="AA172" s="511"/>
      <c r="AB172" s="511"/>
      <c r="AC172" s="510"/>
      <c r="AD172" s="673"/>
      <c r="AE172" s="510"/>
      <c r="AF172" s="511"/>
      <c r="AG172" s="511"/>
      <c r="AH172" s="510"/>
      <c r="AI172" s="673"/>
      <c r="AJ172" s="510"/>
      <c r="AK172" s="511"/>
      <c r="AL172" s="511"/>
      <c r="AM172" s="510"/>
      <c r="AN172" s="673"/>
      <c r="AO172" s="510"/>
      <c r="AP172" s="511"/>
      <c r="AQ172" s="511"/>
      <c r="AR172" s="510"/>
      <c r="AS172" s="673"/>
      <c r="AT172" s="510"/>
      <c r="AU172" s="511"/>
      <c r="AV172" s="511"/>
      <c r="AW172" s="510"/>
      <c r="AX172" s="673"/>
      <c r="AZ172" s="361" t="e">
        <f t="shared" si="40"/>
        <v>#N/A</v>
      </c>
      <c r="BA172" s="673"/>
    </row>
    <row r="173" spans="2:53">
      <c r="B173" s="671"/>
      <c r="C173" s="267">
        <v>27</v>
      </c>
      <c r="D173" s="196"/>
      <c r="E173" s="196"/>
      <c r="F173" s="196"/>
      <c r="G173" s="481"/>
      <c r="H173" s="673"/>
      <c r="I173" s="352" t="str">
        <f t="shared" si="42"/>
        <v>-</v>
      </c>
      <c r="J173" s="352" t="str">
        <f t="shared" si="43"/>
        <v>-</v>
      </c>
      <c r="K173" s="194" t="str">
        <f t="shared" si="44"/>
        <v>-</v>
      </c>
      <c r="L173" s="645"/>
      <c r="M173" s="193" t="e">
        <f>RANK(K173, K$147:$K$176)</f>
        <v>#VALUE!</v>
      </c>
      <c r="N173" s="663"/>
      <c r="O173" s="663"/>
      <c r="P173" s="510"/>
      <c r="Q173" s="511"/>
      <c r="R173" s="511"/>
      <c r="S173" s="510"/>
      <c r="T173" s="673"/>
      <c r="U173" s="510"/>
      <c r="V173" s="511"/>
      <c r="W173" s="511"/>
      <c r="X173" s="510"/>
      <c r="Y173" s="673"/>
      <c r="Z173" s="510"/>
      <c r="AA173" s="511"/>
      <c r="AB173" s="511"/>
      <c r="AC173" s="510"/>
      <c r="AD173" s="673"/>
      <c r="AE173" s="510"/>
      <c r="AF173" s="511"/>
      <c r="AG173" s="511"/>
      <c r="AH173" s="510"/>
      <c r="AI173" s="673"/>
      <c r="AJ173" s="510"/>
      <c r="AK173" s="511"/>
      <c r="AL173" s="511"/>
      <c r="AM173" s="510"/>
      <c r="AN173" s="673"/>
      <c r="AO173" s="510"/>
      <c r="AP173" s="511"/>
      <c r="AQ173" s="511"/>
      <c r="AR173" s="510"/>
      <c r="AS173" s="673"/>
      <c r="AT173" s="510"/>
      <c r="AU173" s="511"/>
      <c r="AV173" s="511"/>
      <c r="AW173" s="510"/>
      <c r="AX173" s="673"/>
      <c r="AZ173" s="361" t="e">
        <f t="shared" si="40"/>
        <v>#N/A</v>
      </c>
      <c r="BA173" s="673"/>
    </row>
    <row r="174" spans="2:53">
      <c r="B174" s="671"/>
      <c r="C174" s="267">
        <v>28</v>
      </c>
      <c r="D174" s="196"/>
      <c r="E174" s="196"/>
      <c r="F174" s="196"/>
      <c r="G174" s="196"/>
      <c r="H174" s="673"/>
      <c r="I174" s="352" t="str">
        <f t="shared" si="42"/>
        <v>-</v>
      </c>
      <c r="J174" s="352" t="str">
        <f t="shared" si="43"/>
        <v>-</v>
      </c>
      <c r="K174" s="194" t="str">
        <f t="shared" si="44"/>
        <v>-</v>
      </c>
      <c r="L174" s="645"/>
      <c r="M174" s="193" t="e">
        <f>RANK(K174, K$147:$K$176)</f>
        <v>#VALUE!</v>
      </c>
      <c r="N174" s="663"/>
      <c r="O174" s="663"/>
      <c r="P174" s="510"/>
      <c r="Q174" s="511"/>
      <c r="R174" s="511"/>
      <c r="S174" s="510"/>
      <c r="T174" s="673"/>
      <c r="U174" s="510"/>
      <c r="V174" s="511"/>
      <c r="W174" s="511"/>
      <c r="X174" s="510"/>
      <c r="Y174" s="673"/>
      <c r="Z174" s="510"/>
      <c r="AA174" s="511"/>
      <c r="AB174" s="511"/>
      <c r="AC174" s="510"/>
      <c r="AD174" s="673"/>
      <c r="AE174" s="510"/>
      <c r="AF174" s="511"/>
      <c r="AG174" s="511"/>
      <c r="AH174" s="510"/>
      <c r="AI174" s="673"/>
      <c r="AJ174" s="510"/>
      <c r="AK174" s="511"/>
      <c r="AL174" s="511"/>
      <c r="AM174" s="510"/>
      <c r="AN174" s="673"/>
      <c r="AO174" s="510"/>
      <c r="AP174" s="511"/>
      <c r="AQ174" s="511"/>
      <c r="AR174" s="510"/>
      <c r="AS174" s="673"/>
      <c r="AT174" s="510"/>
      <c r="AU174" s="511"/>
      <c r="AV174" s="511"/>
      <c r="AW174" s="510"/>
      <c r="AX174" s="673"/>
      <c r="AZ174" s="361" t="e">
        <f t="shared" si="40"/>
        <v>#N/A</v>
      </c>
      <c r="BA174" s="673"/>
    </row>
    <row r="175" spans="2:53">
      <c r="B175" s="671"/>
      <c r="C175" s="267">
        <v>29</v>
      </c>
      <c r="D175" s="196"/>
      <c r="E175" s="196"/>
      <c r="F175" s="196"/>
      <c r="G175" s="196"/>
      <c r="H175" s="673"/>
      <c r="I175" s="352" t="str">
        <f t="shared" si="42"/>
        <v>-</v>
      </c>
      <c r="J175" s="352" t="str">
        <f t="shared" si="43"/>
        <v>-</v>
      </c>
      <c r="K175" s="194" t="str">
        <f t="shared" si="44"/>
        <v>-</v>
      </c>
      <c r="L175" s="645"/>
      <c r="M175" s="193" t="e">
        <f>RANK(K175, K$147:$K$176)</f>
        <v>#VALUE!</v>
      </c>
      <c r="N175" s="663"/>
      <c r="O175" s="663"/>
      <c r="P175" s="510"/>
      <c r="Q175" s="511"/>
      <c r="R175" s="511"/>
      <c r="S175" s="510"/>
      <c r="T175" s="673"/>
      <c r="U175" s="510"/>
      <c r="V175" s="511"/>
      <c r="W175" s="511"/>
      <c r="X175" s="510"/>
      <c r="Y175" s="673"/>
      <c r="Z175" s="510"/>
      <c r="AA175" s="511"/>
      <c r="AB175" s="511"/>
      <c r="AC175" s="510"/>
      <c r="AD175" s="673"/>
      <c r="AE175" s="510"/>
      <c r="AF175" s="511"/>
      <c r="AG175" s="511"/>
      <c r="AH175" s="510"/>
      <c r="AI175" s="673"/>
      <c r="AJ175" s="510"/>
      <c r="AK175" s="511"/>
      <c r="AL175" s="511"/>
      <c r="AM175" s="510"/>
      <c r="AN175" s="673"/>
      <c r="AO175" s="510"/>
      <c r="AP175" s="511"/>
      <c r="AQ175" s="511"/>
      <c r="AR175" s="510"/>
      <c r="AS175" s="673"/>
      <c r="AT175" s="510"/>
      <c r="AU175" s="511"/>
      <c r="AV175" s="511"/>
      <c r="AW175" s="510"/>
      <c r="AX175" s="673"/>
      <c r="AZ175" s="361" t="e">
        <f t="shared" si="40"/>
        <v>#N/A</v>
      </c>
      <c r="BA175" s="673"/>
    </row>
    <row r="176" spans="2:53">
      <c r="B176" s="671"/>
      <c r="C176" s="267">
        <v>30</v>
      </c>
      <c r="D176" s="196"/>
      <c r="E176" s="196"/>
      <c r="F176" s="196"/>
      <c r="G176" s="196"/>
      <c r="H176" s="674"/>
      <c r="I176" s="352" t="str">
        <f t="shared" si="42"/>
        <v>-</v>
      </c>
      <c r="J176" s="352" t="str">
        <f t="shared" si="43"/>
        <v>-</v>
      </c>
      <c r="K176" s="194" t="str">
        <f t="shared" si="44"/>
        <v>-</v>
      </c>
      <c r="L176" s="646"/>
      <c r="M176" s="193" t="e">
        <f>RANK(K176, K$147:$K$176)</f>
        <v>#VALUE!</v>
      </c>
      <c r="N176" s="663"/>
      <c r="O176" s="663"/>
      <c r="P176" s="510"/>
      <c r="Q176" s="511"/>
      <c r="R176" s="511"/>
      <c r="S176" s="510"/>
      <c r="T176" s="674"/>
      <c r="U176" s="510"/>
      <c r="V176" s="511"/>
      <c r="W176" s="511"/>
      <c r="X176" s="510"/>
      <c r="Y176" s="674"/>
      <c r="Z176" s="510"/>
      <c r="AA176" s="511"/>
      <c r="AB176" s="511"/>
      <c r="AC176" s="510"/>
      <c r="AD176" s="674"/>
      <c r="AE176" s="510"/>
      <c r="AF176" s="511"/>
      <c r="AG176" s="511"/>
      <c r="AH176" s="510"/>
      <c r="AI176" s="674"/>
      <c r="AJ176" s="510"/>
      <c r="AK176" s="511"/>
      <c r="AL176" s="511"/>
      <c r="AM176" s="510"/>
      <c r="AN176" s="674"/>
      <c r="AO176" s="510"/>
      <c r="AP176" s="511"/>
      <c r="AQ176" s="511"/>
      <c r="AR176" s="510"/>
      <c r="AS176" s="674"/>
      <c r="AT176" s="510"/>
      <c r="AU176" s="511"/>
      <c r="AV176" s="511"/>
      <c r="AW176" s="510"/>
      <c r="AX176" s="674"/>
      <c r="AZ176" s="361" t="e">
        <f t="shared" si="40"/>
        <v>#N/A</v>
      </c>
      <c r="BA176" s="674"/>
    </row>
    <row r="177" spans="2:53" ht="15.75">
      <c r="B177" s="675" t="s">
        <v>162</v>
      </c>
      <c r="C177" s="676"/>
      <c r="D177" s="676"/>
      <c r="E177" s="676"/>
      <c r="F177" s="676"/>
      <c r="G177" s="676"/>
      <c r="H177" s="677"/>
      <c r="I177" s="202"/>
      <c r="J177" s="202"/>
      <c r="K177" s="202"/>
      <c r="L177" s="202"/>
      <c r="M177" s="201"/>
      <c r="N177" s="664" t="s">
        <v>156</v>
      </c>
      <c r="O177" s="664" t="s">
        <v>105</v>
      </c>
      <c r="P177" s="670">
        <f>P142+7</f>
        <v>46301</v>
      </c>
      <c r="Q177" s="671"/>
      <c r="R177" s="671"/>
      <c r="S177" s="671"/>
      <c r="T177" s="671"/>
      <c r="U177" s="667">
        <f>P177+1</f>
        <v>46302</v>
      </c>
      <c r="V177" s="668"/>
      <c r="W177" s="668"/>
      <c r="X177" s="668"/>
      <c r="Y177" s="669"/>
      <c r="Z177" s="667">
        <f>U177+1</f>
        <v>46303</v>
      </c>
      <c r="AA177" s="668"/>
      <c r="AB177" s="668"/>
      <c r="AC177" s="668"/>
      <c r="AD177" s="669"/>
      <c r="AE177" s="667">
        <f>Z177+1</f>
        <v>46304</v>
      </c>
      <c r="AF177" s="668"/>
      <c r="AG177" s="668"/>
      <c r="AH177" s="668"/>
      <c r="AI177" s="669"/>
      <c r="AJ177" s="667">
        <f>AE177+1</f>
        <v>46305</v>
      </c>
      <c r="AK177" s="668"/>
      <c r="AL177" s="668"/>
      <c r="AM177" s="668"/>
      <c r="AN177" s="669"/>
      <c r="AO177" s="667">
        <f>AJ177+1</f>
        <v>46306</v>
      </c>
      <c r="AP177" s="668"/>
      <c r="AQ177" s="668"/>
      <c r="AR177" s="668"/>
      <c r="AS177" s="669"/>
      <c r="AT177" s="667">
        <f>AO177+1</f>
        <v>46307</v>
      </c>
      <c r="AU177" s="668"/>
      <c r="AV177" s="668"/>
      <c r="AW177" s="668"/>
      <c r="AX177" s="669"/>
    </row>
    <row r="178" spans="2:53" ht="15.75">
      <c r="B178" s="678"/>
      <c r="C178" s="678"/>
      <c r="D178" s="678"/>
      <c r="E178" s="678"/>
      <c r="F178" s="678"/>
      <c r="G178" s="678"/>
      <c r="H178" s="678"/>
      <c r="I178" s="199"/>
      <c r="J178" s="199"/>
      <c r="K178" s="199"/>
      <c r="L178" s="199"/>
      <c r="M178" s="200"/>
      <c r="N178" s="666"/>
      <c r="O178" s="666"/>
      <c r="P178" s="670" t="s">
        <v>158</v>
      </c>
      <c r="Q178" s="671"/>
      <c r="R178" s="671"/>
      <c r="S178" s="671"/>
      <c r="T178" s="671"/>
      <c r="U178" s="670" t="s">
        <v>114</v>
      </c>
      <c r="V178" s="671"/>
      <c r="W178" s="671"/>
      <c r="X178" s="671"/>
      <c r="Y178" s="671"/>
      <c r="Z178" s="670" t="s">
        <v>159</v>
      </c>
      <c r="AA178" s="671"/>
      <c r="AB178" s="671"/>
      <c r="AC178" s="671"/>
      <c r="AD178" s="671"/>
      <c r="AE178" s="670" t="s">
        <v>157</v>
      </c>
      <c r="AF178" s="671"/>
      <c r="AG178" s="671"/>
      <c r="AH178" s="671"/>
      <c r="AI178" s="671"/>
      <c r="AJ178" s="670" t="s">
        <v>160</v>
      </c>
      <c r="AK178" s="671"/>
      <c r="AL178" s="671"/>
      <c r="AM178" s="671"/>
      <c r="AN178" s="671"/>
      <c r="AO178" s="670" t="s">
        <v>115</v>
      </c>
      <c r="AP178" s="671"/>
      <c r="AQ178" s="671"/>
      <c r="AR178" s="671"/>
      <c r="AS178" s="671"/>
      <c r="AT178" s="670" t="s">
        <v>161</v>
      </c>
      <c r="AU178" s="671"/>
      <c r="AV178" s="671"/>
      <c r="AW178" s="671"/>
      <c r="AX178" s="671"/>
    </row>
    <row r="179" spans="2:53">
      <c r="B179" s="663" t="s">
        <v>154</v>
      </c>
      <c r="C179" s="663" t="s">
        <v>372</v>
      </c>
      <c r="D179" s="663"/>
      <c r="E179" s="663" t="s">
        <v>363</v>
      </c>
      <c r="F179" s="663"/>
      <c r="G179" s="663"/>
      <c r="H179" s="679" t="s">
        <v>359</v>
      </c>
      <c r="I179" s="663" t="s">
        <v>364</v>
      </c>
      <c r="J179" s="663"/>
      <c r="K179" s="663"/>
      <c r="L179" s="679" t="s">
        <v>359</v>
      </c>
      <c r="M179" s="664" t="s">
        <v>360</v>
      </c>
      <c r="N179" s="663"/>
      <c r="O179" s="663" t="s">
        <v>365</v>
      </c>
      <c r="P179" s="660" t="s">
        <v>361</v>
      </c>
      <c r="Q179" s="661"/>
      <c r="R179" s="661"/>
      <c r="S179" s="662"/>
      <c r="T179" s="663" t="s">
        <v>359</v>
      </c>
      <c r="U179" s="660" t="s">
        <v>361</v>
      </c>
      <c r="V179" s="661"/>
      <c r="W179" s="661"/>
      <c r="X179" s="662"/>
      <c r="Y179" s="663" t="s">
        <v>359</v>
      </c>
      <c r="Z179" s="660" t="s">
        <v>361</v>
      </c>
      <c r="AA179" s="661"/>
      <c r="AB179" s="661"/>
      <c r="AC179" s="662"/>
      <c r="AD179" s="663" t="s">
        <v>359</v>
      </c>
      <c r="AE179" s="660" t="s">
        <v>361</v>
      </c>
      <c r="AF179" s="661"/>
      <c r="AG179" s="661"/>
      <c r="AH179" s="662"/>
      <c r="AI179" s="663" t="s">
        <v>359</v>
      </c>
      <c r="AJ179" s="660" t="s">
        <v>361</v>
      </c>
      <c r="AK179" s="661"/>
      <c r="AL179" s="661"/>
      <c r="AM179" s="662"/>
      <c r="AN179" s="663" t="s">
        <v>359</v>
      </c>
      <c r="AO179" s="660" t="s">
        <v>361</v>
      </c>
      <c r="AP179" s="661"/>
      <c r="AQ179" s="661"/>
      <c r="AR179" s="662"/>
      <c r="AS179" s="663" t="s">
        <v>359</v>
      </c>
      <c r="AT179" s="693" t="s">
        <v>361</v>
      </c>
      <c r="AU179" s="694"/>
      <c r="AV179" s="694"/>
      <c r="AW179" s="695"/>
      <c r="AX179" s="696" t="s">
        <v>359</v>
      </c>
      <c r="BA179" s="696" t="s">
        <v>359</v>
      </c>
    </row>
    <row r="180" spans="2:53">
      <c r="B180" s="663"/>
      <c r="C180" s="663"/>
      <c r="D180" s="663"/>
      <c r="E180" s="663" t="s">
        <v>366</v>
      </c>
      <c r="F180" s="663"/>
      <c r="G180" s="663"/>
      <c r="H180" s="680"/>
      <c r="I180" s="663" t="s">
        <v>366</v>
      </c>
      <c r="J180" s="663"/>
      <c r="K180" s="663"/>
      <c r="L180" s="680"/>
      <c r="M180" s="665"/>
      <c r="N180" s="663"/>
      <c r="O180" s="663"/>
      <c r="P180" s="660" t="s">
        <v>367</v>
      </c>
      <c r="Q180" s="661"/>
      <c r="R180" s="661"/>
      <c r="S180" s="662"/>
      <c r="T180" s="663"/>
      <c r="U180" s="660" t="s">
        <v>367</v>
      </c>
      <c r="V180" s="661"/>
      <c r="W180" s="661"/>
      <c r="X180" s="662"/>
      <c r="Y180" s="663"/>
      <c r="Z180" s="660" t="s">
        <v>367</v>
      </c>
      <c r="AA180" s="661"/>
      <c r="AB180" s="661"/>
      <c r="AC180" s="662"/>
      <c r="AD180" s="663"/>
      <c r="AE180" s="660" t="s">
        <v>367</v>
      </c>
      <c r="AF180" s="661"/>
      <c r="AG180" s="661"/>
      <c r="AH180" s="662"/>
      <c r="AI180" s="663"/>
      <c r="AJ180" s="660" t="s">
        <v>367</v>
      </c>
      <c r="AK180" s="661"/>
      <c r="AL180" s="661"/>
      <c r="AM180" s="662"/>
      <c r="AN180" s="663"/>
      <c r="AO180" s="660" t="s">
        <v>367</v>
      </c>
      <c r="AP180" s="661"/>
      <c r="AQ180" s="661"/>
      <c r="AR180" s="662"/>
      <c r="AS180" s="663"/>
      <c r="AT180" s="693" t="s">
        <v>367</v>
      </c>
      <c r="AU180" s="694"/>
      <c r="AV180" s="694"/>
      <c r="AW180" s="695"/>
      <c r="AX180" s="696"/>
      <c r="BA180" s="696"/>
    </row>
    <row r="181" spans="2:53">
      <c r="B181" s="663"/>
      <c r="C181" s="663"/>
      <c r="D181" s="663"/>
      <c r="E181" s="334" t="s">
        <v>368</v>
      </c>
      <c r="F181" s="334" t="s">
        <v>369</v>
      </c>
      <c r="G181" s="334" t="s">
        <v>370</v>
      </c>
      <c r="H181" s="681"/>
      <c r="I181" s="334" t="s">
        <v>368</v>
      </c>
      <c r="J181" s="334" t="s">
        <v>369</v>
      </c>
      <c r="K181" s="334" t="s">
        <v>370</v>
      </c>
      <c r="L181" s="681"/>
      <c r="M181" s="666"/>
      <c r="N181" s="663"/>
      <c r="O181" s="663"/>
      <c r="P181" s="334" t="s">
        <v>368</v>
      </c>
      <c r="Q181" s="334" t="s">
        <v>369</v>
      </c>
      <c r="R181" s="334" t="s">
        <v>370</v>
      </c>
      <c r="S181" s="334" t="s">
        <v>360</v>
      </c>
      <c r="T181" s="663"/>
      <c r="U181" s="334" t="s">
        <v>368</v>
      </c>
      <c r="V181" s="334" t="s">
        <v>369</v>
      </c>
      <c r="W181" s="334" t="s">
        <v>370</v>
      </c>
      <c r="X181" s="334" t="s">
        <v>360</v>
      </c>
      <c r="Y181" s="663"/>
      <c r="Z181" s="334" t="s">
        <v>368</v>
      </c>
      <c r="AA181" s="334" t="s">
        <v>369</v>
      </c>
      <c r="AB181" s="334" t="s">
        <v>370</v>
      </c>
      <c r="AC181" s="334" t="s">
        <v>360</v>
      </c>
      <c r="AD181" s="663"/>
      <c r="AE181" s="334" t="s">
        <v>368</v>
      </c>
      <c r="AF181" s="334" t="s">
        <v>369</v>
      </c>
      <c r="AG181" s="334" t="s">
        <v>370</v>
      </c>
      <c r="AH181" s="334" t="s">
        <v>360</v>
      </c>
      <c r="AI181" s="663"/>
      <c r="AJ181" s="334" t="s">
        <v>368</v>
      </c>
      <c r="AK181" s="334" t="s">
        <v>369</v>
      </c>
      <c r="AL181" s="334" t="s">
        <v>370</v>
      </c>
      <c r="AM181" s="334" t="s">
        <v>360</v>
      </c>
      <c r="AN181" s="663"/>
      <c r="AO181" s="334" t="s">
        <v>368</v>
      </c>
      <c r="AP181" s="334" t="s">
        <v>369</v>
      </c>
      <c r="AQ181" s="334" t="s">
        <v>370</v>
      </c>
      <c r="AR181" s="334" t="s">
        <v>360</v>
      </c>
      <c r="AS181" s="663"/>
      <c r="AT181" s="336" t="s">
        <v>368</v>
      </c>
      <c r="AU181" s="336" t="s">
        <v>369</v>
      </c>
      <c r="AV181" s="336" t="s">
        <v>370</v>
      </c>
      <c r="AW181" s="336" t="s">
        <v>360</v>
      </c>
      <c r="AX181" s="696"/>
      <c r="AZ181" s="363" t="s">
        <v>360</v>
      </c>
      <c r="BA181" s="696"/>
    </row>
    <row r="182" spans="2:53">
      <c r="B182" s="691" t="s">
        <v>476</v>
      </c>
      <c r="C182" s="337">
        <v>1</v>
      </c>
      <c r="D182" s="196"/>
      <c r="E182" s="196"/>
      <c r="F182" s="196"/>
      <c r="G182" s="481"/>
      <c r="H182" s="702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44" t="str">
        <f>IFERROR(AVERAGE(K182:K211),"-")</f>
        <v>-</v>
      </c>
      <c r="M182" s="338" t="e">
        <f>RANK(K182, K$182:$K$211)</f>
        <v>#VALUE!</v>
      </c>
      <c r="N182" s="663"/>
      <c r="O182" s="663"/>
      <c r="P182" s="474"/>
      <c r="Q182" s="476"/>
      <c r="R182" s="476"/>
      <c r="S182" s="475"/>
      <c r="T182" s="685"/>
      <c r="U182" s="474"/>
      <c r="V182" s="476"/>
      <c r="W182" s="476"/>
      <c r="X182" s="475"/>
      <c r="Y182" s="685"/>
      <c r="Z182" s="474"/>
      <c r="AA182" s="476"/>
      <c r="AB182" s="476"/>
      <c r="AC182" s="475"/>
      <c r="AD182" s="685"/>
      <c r="AE182" s="474"/>
      <c r="AF182" s="476"/>
      <c r="AG182" s="476"/>
      <c r="AH182" s="475"/>
      <c r="AI182" s="685"/>
      <c r="AJ182" s="474"/>
      <c r="AK182" s="476"/>
      <c r="AL182" s="476"/>
      <c r="AM182" s="475"/>
      <c r="AN182" s="685"/>
      <c r="AO182" s="474"/>
      <c r="AP182" s="476"/>
      <c r="AQ182" s="476"/>
      <c r="AR182" s="475"/>
      <c r="AS182" s="685"/>
      <c r="AT182" s="474"/>
      <c r="AU182" s="476"/>
      <c r="AV182" s="476"/>
      <c r="AW182" s="475"/>
      <c r="AX182" s="685"/>
      <c r="AZ182" s="339" t="e">
        <f>RANK(AY182, AY$112:AY$141)</f>
        <v>#N/A</v>
      </c>
      <c r="BA182" s="705" t="e">
        <f>AVERAGE(AY182:AY211)</f>
        <v>#DIV/0!</v>
      </c>
    </row>
    <row r="183" spans="2:53">
      <c r="B183" s="692"/>
      <c r="C183" s="337">
        <v>2</v>
      </c>
      <c r="D183" s="482"/>
      <c r="E183" s="196"/>
      <c r="F183" s="196"/>
      <c r="G183" s="481"/>
      <c r="H183" s="703"/>
      <c r="I183" s="352" t="str">
        <f t="shared" ref="I183:I211" si="45">IFERROR(AVERAGE(P183,U183,Z183,AE183,AJ183,AO183,AT183),"-")</f>
        <v>-</v>
      </c>
      <c r="J183" s="352" t="str">
        <f t="shared" ref="J183:J211" si="46">IFERROR(AVERAGE(Q183,V183,AA183,AF183,AK183,AP183,AU183),"-")</f>
        <v>-</v>
      </c>
      <c r="K183" s="194" t="str">
        <f t="shared" ref="K183:K211" si="47">IFERROR(AVERAGE(R183,W183,AB183,AG183,AL183,AQ183,AV183),"-")</f>
        <v>-</v>
      </c>
      <c r="L183" s="645"/>
      <c r="M183" s="338" t="e">
        <f>RANK(K183, K$182:$K$211)</f>
        <v>#VALUE!</v>
      </c>
      <c r="N183" s="663"/>
      <c r="O183" s="663"/>
      <c r="P183" s="474"/>
      <c r="Q183" s="476"/>
      <c r="R183" s="476"/>
      <c r="S183" s="475"/>
      <c r="T183" s="685"/>
      <c r="U183" s="474"/>
      <c r="V183" s="476"/>
      <c r="W183" s="476"/>
      <c r="X183" s="475"/>
      <c r="Y183" s="685"/>
      <c r="Z183" s="474"/>
      <c r="AA183" s="476"/>
      <c r="AB183" s="476"/>
      <c r="AC183" s="475"/>
      <c r="AD183" s="685"/>
      <c r="AE183" s="474"/>
      <c r="AF183" s="476"/>
      <c r="AG183" s="476"/>
      <c r="AH183" s="475"/>
      <c r="AI183" s="685"/>
      <c r="AJ183" s="474"/>
      <c r="AK183" s="476"/>
      <c r="AL183" s="476"/>
      <c r="AM183" s="475"/>
      <c r="AN183" s="685"/>
      <c r="AO183" s="474"/>
      <c r="AP183" s="476"/>
      <c r="AQ183" s="476"/>
      <c r="AR183" s="475"/>
      <c r="AS183" s="685"/>
      <c r="AT183" s="474"/>
      <c r="AU183" s="476"/>
      <c r="AV183" s="476"/>
      <c r="AW183" s="475"/>
      <c r="AX183" s="685"/>
      <c r="AZ183" s="339" t="e">
        <f t="shared" ref="AZ183:AZ211" si="48">RANK(AY183, AY$112:AY$141)</f>
        <v>#N/A</v>
      </c>
      <c r="BA183" s="705"/>
    </row>
    <row r="184" spans="2:53">
      <c r="B184" s="692"/>
      <c r="C184" s="337">
        <v>3</v>
      </c>
      <c r="D184" s="196"/>
      <c r="E184" s="196"/>
      <c r="F184" s="196"/>
      <c r="G184" s="481"/>
      <c r="H184" s="703"/>
      <c r="I184" s="352" t="str">
        <f t="shared" si="45"/>
        <v>-</v>
      </c>
      <c r="J184" s="352" t="str">
        <f t="shared" si="46"/>
        <v>-</v>
      </c>
      <c r="K184" s="194" t="str">
        <f t="shared" si="47"/>
        <v>-</v>
      </c>
      <c r="L184" s="645"/>
      <c r="M184" s="338" t="e">
        <f>RANK(K184, K$182:$K$211)</f>
        <v>#VALUE!</v>
      </c>
      <c r="N184" s="663"/>
      <c r="O184" s="663"/>
      <c r="P184" s="474"/>
      <c r="Q184" s="476"/>
      <c r="R184" s="476"/>
      <c r="S184" s="475"/>
      <c r="T184" s="685"/>
      <c r="U184" s="474"/>
      <c r="V184" s="476"/>
      <c r="W184" s="476"/>
      <c r="X184" s="475"/>
      <c r="Y184" s="685"/>
      <c r="Z184" s="474"/>
      <c r="AA184" s="476"/>
      <c r="AB184" s="476"/>
      <c r="AC184" s="475"/>
      <c r="AD184" s="685"/>
      <c r="AE184" s="474"/>
      <c r="AF184" s="476"/>
      <c r="AG184" s="476"/>
      <c r="AH184" s="475"/>
      <c r="AI184" s="685"/>
      <c r="AJ184" s="474"/>
      <c r="AK184" s="476"/>
      <c r="AL184" s="476"/>
      <c r="AM184" s="475"/>
      <c r="AN184" s="685"/>
      <c r="AO184" s="474"/>
      <c r="AP184" s="476"/>
      <c r="AQ184" s="476"/>
      <c r="AR184" s="475"/>
      <c r="AS184" s="685"/>
      <c r="AT184" s="474"/>
      <c r="AU184" s="476"/>
      <c r="AV184" s="476"/>
      <c r="AW184" s="475"/>
      <c r="AX184" s="685"/>
      <c r="AZ184" s="339" t="e">
        <f t="shared" si="48"/>
        <v>#N/A</v>
      </c>
      <c r="BA184" s="705"/>
    </row>
    <row r="185" spans="2:53">
      <c r="B185" s="692"/>
      <c r="C185" s="337">
        <v>4</v>
      </c>
      <c r="D185" s="196"/>
      <c r="E185" s="196"/>
      <c r="F185" s="196"/>
      <c r="G185" s="481"/>
      <c r="H185" s="703"/>
      <c r="I185" s="352" t="str">
        <f t="shared" si="45"/>
        <v>-</v>
      </c>
      <c r="J185" s="352" t="str">
        <f t="shared" si="46"/>
        <v>-</v>
      </c>
      <c r="K185" s="194" t="str">
        <f t="shared" si="47"/>
        <v>-</v>
      </c>
      <c r="L185" s="645"/>
      <c r="M185" s="338" t="e">
        <f>RANK(K185, K$182:$K$211)</f>
        <v>#VALUE!</v>
      </c>
      <c r="N185" s="663"/>
      <c r="O185" s="663"/>
      <c r="P185" s="474"/>
      <c r="Q185" s="476"/>
      <c r="R185" s="476"/>
      <c r="S185" s="475"/>
      <c r="T185" s="685"/>
      <c r="U185" s="474"/>
      <c r="V185" s="476"/>
      <c r="W185" s="476"/>
      <c r="X185" s="475"/>
      <c r="Y185" s="685"/>
      <c r="Z185" s="474"/>
      <c r="AA185" s="476"/>
      <c r="AB185" s="476"/>
      <c r="AC185" s="475"/>
      <c r="AD185" s="685"/>
      <c r="AE185" s="474"/>
      <c r="AF185" s="476"/>
      <c r="AG185" s="476"/>
      <c r="AH185" s="475"/>
      <c r="AI185" s="685"/>
      <c r="AJ185" s="474"/>
      <c r="AK185" s="476"/>
      <c r="AL185" s="476"/>
      <c r="AM185" s="475"/>
      <c r="AN185" s="685"/>
      <c r="AO185" s="474"/>
      <c r="AP185" s="476"/>
      <c r="AQ185" s="476"/>
      <c r="AR185" s="475"/>
      <c r="AS185" s="685"/>
      <c r="AT185" s="474"/>
      <c r="AU185" s="476"/>
      <c r="AV185" s="476"/>
      <c r="AW185" s="475"/>
      <c r="AX185" s="685"/>
      <c r="AZ185" s="339" t="e">
        <f t="shared" si="48"/>
        <v>#N/A</v>
      </c>
      <c r="BA185" s="705"/>
    </row>
    <row r="186" spans="2:53">
      <c r="B186" s="692"/>
      <c r="C186" s="337">
        <v>5</v>
      </c>
      <c r="D186" s="196"/>
      <c r="E186" s="196"/>
      <c r="F186" s="196"/>
      <c r="G186" s="481"/>
      <c r="H186" s="703"/>
      <c r="I186" s="352" t="str">
        <f t="shared" si="45"/>
        <v>-</v>
      </c>
      <c r="J186" s="352" t="str">
        <f t="shared" si="46"/>
        <v>-</v>
      </c>
      <c r="K186" s="194" t="str">
        <f t="shared" si="47"/>
        <v>-</v>
      </c>
      <c r="L186" s="645"/>
      <c r="M186" s="338" t="e">
        <f>RANK(K186, K$182:$K$211)</f>
        <v>#VALUE!</v>
      </c>
      <c r="N186" s="663"/>
      <c r="O186" s="663"/>
      <c r="P186" s="474"/>
      <c r="Q186" s="476"/>
      <c r="R186" s="476"/>
      <c r="S186" s="475"/>
      <c r="T186" s="685"/>
      <c r="U186" s="474"/>
      <c r="V186" s="476"/>
      <c r="W186" s="476"/>
      <c r="X186" s="475"/>
      <c r="Y186" s="685"/>
      <c r="Z186" s="474"/>
      <c r="AA186" s="476"/>
      <c r="AB186" s="476"/>
      <c r="AC186" s="475"/>
      <c r="AD186" s="685"/>
      <c r="AE186" s="474"/>
      <c r="AF186" s="476"/>
      <c r="AG186" s="476"/>
      <c r="AH186" s="475"/>
      <c r="AI186" s="685"/>
      <c r="AJ186" s="474"/>
      <c r="AK186" s="476"/>
      <c r="AL186" s="476"/>
      <c r="AM186" s="475"/>
      <c r="AN186" s="685"/>
      <c r="AO186" s="474"/>
      <c r="AP186" s="476"/>
      <c r="AQ186" s="476"/>
      <c r="AR186" s="475"/>
      <c r="AS186" s="685"/>
      <c r="AT186" s="474"/>
      <c r="AU186" s="476"/>
      <c r="AV186" s="476"/>
      <c r="AW186" s="475"/>
      <c r="AX186" s="685"/>
      <c r="AZ186" s="339" t="e">
        <f t="shared" si="48"/>
        <v>#N/A</v>
      </c>
      <c r="BA186" s="705"/>
    </row>
    <row r="187" spans="2:53">
      <c r="B187" s="692"/>
      <c r="C187" s="337">
        <v>6</v>
      </c>
      <c r="D187" s="196"/>
      <c r="E187" s="196"/>
      <c r="F187" s="196"/>
      <c r="G187" s="481"/>
      <c r="H187" s="703"/>
      <c r="I187" s="352" t="str">
        <f t="shared" si="45"/>
        <v>-</v>
      </c>
      <c r="J187" s="352" t="str">
        <f t="shared" si="46"/>
        <v>-</v>
      </c>
      <c r="K187" s="194" t="str">
        <f t="shared" si="47"/>
        <v>-</v>
      </c>
      <c r="L187" s="645"/>
      <c r="M187" s="338" t="e">
        <f>RANK(K187, K$182:$K$211)</f>
        <v>#VALUE!</v>
      </c>
      <c r="N187" s="663"/>
      <c r="O187" s="663"/>
      <c r="P187" s="474"/>
      <c r="Q187" s="476"/>
      <c r="R187" s="476"/>
      <c r="S187" s="475"/>
      <c r="T187" s="685"/>
      <c r="U187" s="474"/>
      <c r="V187" s="476"/>
      <c r="W187" s="476"/>
      <c r="X187" s="475"/>
      <c r="Y187" s="685"/>
      <c r="Z187" s="474"/>
      <c r="AA187" s="476"/>
      <c r="AB187" s="476"/>
      <c r="AC187" s="475"/>
      <c r="AD187" s="685"/>
      <c r="AE187" s="474"/>
      <c r="AF187" s="476"/>
      <c r="AG187" s="476"/>
      <c r="AH187" s="475"/>
      <c r="AI187" s="685"/>
      <c r="AJ187" s="474"/>
      <c r="AK187" s="476"/>
      <c r="AL187" s="476"/>
      <c r="AM187" s="475"/>
      <c r="AN187" s="685"/>
      <c r="AO187" s="474"/>
      <c r="AP187" s="476"/>
      <c r="AQ187" s="476"/>
      <c r="AR187" s="475"/>
      <c r="AS187" s="685"/>
      <c r="AT187" s="474"/>
      <c r="AU187" s="476"/>
      <c r="AV187" s="476"/>
      <c r="AW187" s="475"/>
      <c r="AX187" s="685"/>
      <c r="AZ187" s="339" t="e">
        <f t="shared" si="48"/>
        <v>#N/A</v>
      </c>
      <c r="BA187" s="705"/>
    </row>
    <row r="188" spans="2:53">
      <c r="B188" s="692"/>
      <c r="C188" s="337">
        <v>7</v>
      </c>
      <c r="D188" s="196"/>
      <c r="E188" s="196"/>
      <c r="F188" s="196"/>
      <c r="G188" s="481"/>
      <c r="H188" s="703"/>
      <c r="I188" s="352" t="str">
        <f t="shared" si="45"/>
        <v>-</v>
      </c>
      <c r="J188" s="352" t="str">
        <f t="shared" si="46"/>
        <v>-</v>
      </c>
      <c r="K188" s="194" t="str">
        <f t="shared" si="47"/>
        <v>-</v>
      </c>
      <c r="L188" s="645"/>
      <c r="M188" s="338" t="e">
        <f>RANK(K188, K$182:$K$211)</f>
        <v>#VALUE!</v>
      </c>
      <c r="N188" s="663"/>
      <c r="O188" s="663"/>
      <c r="P188" s="474"/>
      <c r="Q188" s="476"/>
      <c r="R188" s="476"/>
      <c r="S188" s="475"/>
      <c r="T188" s="685"/>
      <c r="U188" s="474"/>
      <c r="V188" s="476"/>
      <c r="W188" s="476"/>
      <c r="X188" s="475"/>
      <c r="Y188" s="685"/>
      <c r="Z188" s="474"/>
      <c r="AA188" s="476"/>
      <c r="AB188" s="476"/>
      <c r="AC188" s="475"/>
      <c r="AD188" s="685"/>
      <c r="AE188" s="474"/>
      <c r="AF188" s="476"/>
      <c r="AG188" s="476"/>
      <c r="AH188" s="475"/>
      <c r="AI188" s="685"/>
      <c r="AJ188" s="474"/>
      <c r="AK188" s="476"/>
      <c r="AL188" s="476"/>
      <c r="AM188" s="475"/>
      <c r="AN188" s="685"/>
      <c r="AO188" s="474"/>
      <c r="AP188" s="476"/>
      <c r="AQ188" s="476"/>
      <c r="AR188" s="475"/>
      <c r="AS188" s="685"/>
      <c r="AT188" s="474"/>
      <c r="AU188" s="476"/>
      <c r="AV188" s="476"/>
      <c r="AW188" s="475"/>
      <c r="AX188" s="685"/>
      <c r="AZ188" s="339" t="e">
        <f t="shared" si="48"/>
        <v>#N/A</v>
      </c>
      <c r="BA188" s="705"/>
    </row>
    <row r="189" spans="2:53">
      <c r="B189" s="692"/>
      <c r="C189" s="337">
        <v>8</v>
      </c>
      <c r="D189" s="196"/>
      <c r="E189" s="196"/>
      <c r="F189" s="196"/>
      <c r="G189" s="481"/>
      <c r="H189" s="703"/>
      <c r="I189" s="352" t="str">
        <f t="shared" si="45"/>
        <v>-</v>
      </c>
      <c r="J189" s="352" t="str">
        <f t="shared" si="46"/>
        <v>-</v>
      </c>
      <c r="K189" s="194" t="str">
        <f t="shared" si="47"/>
        <v>-</v>
      </c>
      <c r="L189" s="645"/>
      <c r="M189" s="338" t="e">
        <f>RANK(K189, K$182:$K$211)</f>
        <v>#VALUE!</v>
      </c>
      <c r="N189" s="663"/>
      <c r="O189" s="663"/>
      <c r="P189" s="474"/>
      <c r="Q189" s="476"/>
      <c r="R189" s="476"/>
      <c r="S189" s="475"/>
      <c r="T189" s="685"/>
      <c r="U189" s="474"/>
      <c r="V189" s="476"/>
      <c r="W189" s="476"/>
      <c r="X189" s="475"/>
      <c r="Y189" s="685"/>
      <c r="Z189" s="474"/>
      <c r="AA189" s="476"/>
      <c r="AB189" s="476"/>
      <c r="AC189" s="475"/>
      <c r="AD189" s="685"/>
      <c r="AE189" s="474"/>
      <c r="AF189" s="476"/>
      <c r="AG189" s="476"/>
      <c r="AH189" s="475"/>
      <c r="AI189" s="685"/>
      <c r="AJ189" s="474"/>
      <c r="AK189" s="476"/>
      <c r="AL189" s="476"/>
      <c r="AM189" s="475"/>
      <c r="AN189" s="685"/>
      <c r="AO189" s="474"/>
      <c r="AP189" s="476"/>
      <c r="AQ189" s="476"/>
      <c r="AR189" s="475"/>
      <c r="AS189" s="685"/>
      <c r="AT189" s="474"/>
      <c r="AU189" s="476"/>
      <c r="AV189" s="476"/>
      <c r="AW189" s="475"/>
      <c r="AX189" s="685"/>
      <c r="AZ189" s="339" t="e">
        <f t="shared" si="48"/>
        <v>#N/A</v>
      </c>
      <c r="BA189" s="705"/>
    </row>
    <row r="190" spans="2:53">
      <c r="B190" s="692"/>
      <c r="C190" s="337">
        <v>9</v>
      </c>
      <c r="D190" s="196"/>
      <c r="E190" s="196"/>
      <c r="F190" s="196"/>
      <c r="G190" s="481"/>
      <c r="H190" s="703"/>
      <c r="I190" s="352" t="str">
        <f t="shared" si="45"/>
        <v>-</v>
      </c>
      <c r="J190" s="352" t="str">
        <f t="shared" si="46"/>
        <v>-</v>
      </c>
      <c r="K190" s="194" t="str">
        <f t="shared" si="47"/>
        <v>-</v>
      </c>
      <c r="L190" s="645"/>
      <c r="M190" s="338" t="e">
        <f>RANK(K190, K$182:$K$211)</f>
        <v>#VALUE!</v>
      </c>
      <c r="N190" s="663"/>
      <c r="O190" s="663"/>
      <c r="P190" s="474"/>
      <c r="Q190" s="476"/>
      <c r="R190" s="476"/>
      <c r="S190" s="475"/>
      <c r="T190" s="685"/>
      <c r="U190" s="474"/>
      <c r="V190" s="476"/>
      <c r="W190" s="476"/>
      <c r="X190" s="475"/>
      <c r="Y190" s="685"/>
      <c r="Z190" s="474"/>
      <c r="AA190" s="476"/>
      <c r="AB190" s="476"/>
      <c r="AC190" s="475"/>
      <c r="AD190" s="685"/>
      <c r="AE190" s="474"/>
      <c r="AF190" s="476"/>
      <c r="AG190" s="476"/>
      <c r="AH190" s="475"/>
      <c r="AI190" s="685"/>
      <c r="AJ190" s="474"/>
      <c r="AK190" s="476"/>
      <c r="AL190" s="476"/>
      <c r="AM190" s="475"/>
      <c r="AN190" s="685"/>
      <c r="AO190" s="474"/>
      <c r="AP190" s="476"/>
      <c r="AQ190" s="476"/>
      <c r="AR190" s="475"/>
      <c r="AS190" s="685"/>
      <c r="AT190" s="474"/>
      <c r="AU190" s="476"/>
      <c r="AV190" s="476"/>
      <c r="AW190" s="475"/>
      <c r="AX190" s="685"/>
      <c r="AZ190" s="339" t="e">
        <f t="shared" si="48"/>
        <v>#N/A</v>
      </c>
      <c r="BA190" s="705"/>
    </row>
    <row r="191" spans="2:53">
      <c r="B191" s="692"/>
      <c r="C191" s="337">
        <v>10</v>
      </c>
      <c r="D191" s="196"/>
      <c r="E191" s="196"/>
      <c r="F191" s="196"/>
      <c r="G191" s="481"/>
      <c r="H191" s="703"/>
      <c r="I191" s="352" t="str">
        <f t="shared" si="45"/>
        <v>-</v>
      </c>
      <c r="J191" s="352" t="str">
        <f t="shared" si="46"/>
        <v>-</v>
      </c>
      <c r="K191" s="194" t="str">
        <f t="shared" si="47"/>
        <v>-</v>
      </c>
      <c r="L191" s="645"/>
      <c r="M191" s="338" t="e">
        <f>RANK(K191, K$182:$K$211)</f>
        <v>#VALUE!</v>
      </c>
      <c r="N191" s="663"/>
      <c r="O191" s="663"/>
      <c r="P191" s="474"/>
      <c r="Q191" s="476"/>
      <c r="R191" s="476"/>
      <c r="S191" s="475"/>
      <c r="T191" s="685"/>
      <c r="U191" s="474"/>
      <c r="V191" s="476"/>
      <c r="W191" s="476"/>
      <c r="X191" s="475"/>
      <c r="Y191" s="685"/>
      <c r="Z191" s="474"/>
      <c r="AA191" s="476"/>
      <c r="AB191" s="476"/>
      <c r="AC191" s="475"/>
      <c r="AD191" s="685"/>
      <c r="AE191" s="474"/>
      <c r="AF191" s="476"/>
      <c r="AG191" s="476"/>
      <c r="AH191" s="475"/>
      <c r="AI191" s="685"/>
      <c r="AJ191" s="474"/>
      <c r="AK191" s="476"/>
      <c r="AL191" s="476"/>
      <c r="AM191" s="475"/>
      <c r="AN191" s="685"/>
      <c r="AO191" s="474"/>
      <c r="AP191" s="476"/>
      <c r="AQ191" s="476"/>
      <c r="AR191" s="475"/>
      <c r="AS191" s="685"/>
      <c r="AT191" s="474"/>
      <c r="AU191" s="476"/>
      <c r="AV191" s="476"/>
      <c r="AW191" s="475"/>
      <c r="AX191" s="685"/>
      <c r="AZ191" s="339" t="e">
        <f t="shared" si="48"/>
        <v>#N/A</v>
      </c>
      <c r="BA191" s="705"/>
    </row>
    <row r="192" spans="2:53">
      <c r="B192" s="692"/>
      <c r="C192" s="337">
        <v>11</v>
      </c>
      <c r="D192" s="196"/>
      <c r="E192" s="196"/>
      <c r="F192" s="196"/>
      <c r="G192" s="481"/>
      <c r="H192" s="703"/>
      <c r="I192" s="352" t="str">
        <f t="shared" si="45"/>
        <v>-</v>
      </c>
      <c r="J192" s="352" t="str">
        <f t="shared" si="46"/>
        <v>-</v>
      </c>
      <c r="K192" s="194" t="str">
        <f t="shared" si="47"/>
        <v>-</v>
      </c>
      <c r="L192" s="645"/>
      <c r="M192" s="338" t="e">
        <f>RANK(K192, K$182:$K$211)</f>
        <v>#VALUE!</v>
      </c>
      <c r="N192" s="663"/>
      <c r="O192" s="663"/>
      <c r="P192" s="474"/>
      <c r="Q192" s="476"/>
      <c r="R192" s="476"/>
      <c r="S192" s="475"/>
      <c r="T192" s="685"/>
      <c r="U192" s="474"/>
      <c r="V192" s="476"/>
      <c r="W192" s="476"/>
      <c r="X192" s="475"/>
      <c r="Y192" s="685"/>
      <c r="Z192" s="474"/>
      <c r="AA192" s="476"/>
      <c r="AB192" s="476"/>
      <c r="AC192" s="475"/>
      <c r="AD192" s="685"/>
      <c r="AE192" s="474"/>
      <c r="AF192" s="476"/>
      <c r="AG192" s="476"/>
      <c r="AH192" s="475"/>
      <c r="AI192" s="685"/>
      <c r="AJ192" s="474"/>
      <c r="AK192" s="476"/>
      <c r="AL192" s="476"/>
      <c r="AM192" s="475"/>
      <c r="AN192" s="685"/>
      <c r="AO192" s="474"/>
      <c r="AP192" s="476"/>
      <c r="AQ192" s="476"/>
      <c r="AR192" s="475"/>
      <c r="AS192" s="685"/>
      <c r="AT192" s="474"/>
      <c r="AU192" s="476"/>
      <c r="AV192" s="476"/>
      <c r="AW192" s="475"/>
      <c r="AX192" s="685"/>
      <c r="AZ192" s="339" t="e">
        <f t="shared" si="48"/>
        <v>#N/A</v>
      </c>
      <c r="BA192" s="705"/>
    </row>
    <row r="193" spans="2:53">
      <c r="B193" s="692"/>
      <c r="C193" s="337">
        <v>12</v>
      </c>
      <c r="D193" s="482"/>
      <c r="E193" s="196"/>
      <c r="F193" s="196"/>
      <c r="G193" s="481"/>
      <c r="H193" s="703"/>
      <c r="I193" s="352" t="str">
        <f t="shared" si="45"/>
        <v>-</v>
      </c>
      <c r="J193" s="352" t="str">
        <f t="shared" si="46"/>
        <v>-</v>
      </c>
      <c r="K193" s="194" t="str">
        <f t="shared" si="47"/>
        <v>-</v>
      </c>
      <c r="L193" s="645"/>
      <c r="M193" s="338" t="e">
        <f>RANK(K193, K$182:$K$211)</f>
        <v>#VALUE!</v>
      </c>
      <c r="N193" s="663"/>
      <c r="O193" s="663"/>
      <c r="P193" s="474"/>
      <c r="Q193" s="476"/>
      <c r="R193" s="476"/>
      <c r="S193" s="475"/>
      <c r="T193" s="685"/>
      <c r="U193" s="474"/>
      <c r="V193" s="476"/>
      <c r="W193" s="476"/>
      <c r="X193" s="475"/>
      <c r="Y193" s="685"/>
      <c r="Z193" s="474"/>
      <c r="AA193" s="476"/>
      <c r="AB193" s="476"/>
      <c r="AC193" s="475"/>
      <c r="AD193" s="685"/>
      <c r="AE193" s="474"/>
      <c r="AF193" s="476"/>
      <c r="AG193" s="476"/>
      <c r="AH193" s="475"/>
      <c r="AI193" s="685"/>
      <c r="AJ193" s="474"/>
      <c r="AK193" s="476"/>
      <c r="AL193" s="476"/>
      <c r="AM193" s="475"/>
      <c r="AN193" s="685"/>
      <c r="AO193" s="474"/>
      <c r="AP193" s="476"/>
      <c r="AQ193" s="476"/>
      <c r="AR193" s="475"/>
      <c r="AS193" s="685"/>
      <c r="AT193" s="474"/>
      <c r="AU193" s="476"/>
      <c r="AV193" s="476"/>
      <c r="AW193" s="475"/>
      <c r="AX193" s="685"/>
      <c r="AZ193" s="339" t="e">
        <f t="shared" si="48"/>
        <v>#N/A</v>
      </c>
      <c r="BA193" s="705"/>
    </row>
    <row r="194" spans="2:53">
      <c r="B194" s="692"/>
      <c r="C194" s="337">
        <v>13</v>
      </c>
      <c r="D194" s="196"/>
      <c r="E194" s="196"/>
      <c r="F194" s="196"/>
      <c r="G194" s="481"/>
      <c r="H194" s="703"/>
      <c r="I194" s="352" t="str">
        <f t="shared" si="45"/>
        <v>-</v>
      </c>
      <c r="J194" s="352" t="str">
        <f t="shared" si="46"/>
        <v>-</v>
      </c>
      <c r="K194" s="194" t="str">
        <f t="shared" si="47"/>
        <v>-</v>
      </c>
      <c r="L194" s="645"/>
      <c r="M194" s="338" t="e">
        <f>RANK(K194, K$182:$K$211)</f>
        <v>#VALUE!</v>
      </c>
      <c r="N194" s="663"/>
      <c r="O194" s="663"/>
      <c r="P194" s="474"/>
      <c r="Q194" s="476"/>
      <c r="R194" s="476"/>
      <c r="S194" s="475"/>
      <c r="T194" s="685"/>
      <c r="U194" s="474"/>
      <c r="V194" s="476"/>
      <c r="W194" s="476"/>
      <c r="X194" s="475"/>
      <c r="Y194" s="685"/>
      <c r="Z194" s="474"/>
      <c r="AA194" s="476"/>
      <c r="AB194" s="476"/>
      <c r="AC194" s="475"/>
      <c r="AD194" s="685"/>
      <c r="AE194" s="474"/>
      <c r="AF194" s="476"/>
      <c r="AG194" s="476"/>
      <c r="AH194" s="475"/>
      <c r="AI194" s="685"/>
      <c r="AJ194" s="474"/>
      <c r="AK194" s="476"/>
      <c r="AL194" s="476"/>
      <c r="AM194" s="475"/>
      <c r="AN194" s="685"/>
      <c r="AO194" s="474"/>
      <c r="AP194" s="476"/>
      <c r="AQ194" s="476"/>
      <c r="AR194" s="475"/>
      <c r="AS194" s="685"/>
      <c r="AT194" s="474"/>
      <c r="AU194" s="476"/>
      <c r="AV194" s="476"/>
      <c r="AW194" s="475"/>
      <c r="AX194" s="685"/>
      <c r="AZ194" s="339" t="e">
        <f t="shared" si="48"/>
        <v>#N/A</v>
      </c>
      <c r="BA194" s="705"/>
    </row>
    <row r="195" spans="2:53">
      <c r="B195" s="692"/>
      <c r="C195" s="337">
        <v>14</v>
      </c>
      <c r="D195" s="196"/>
      <c r="E195" s="196"/>
      <c r="F195" s="196"/>
      <c r="G195" s="481"/>
      <c r="H195" s="703"/>
      <c r="I195" s="352" t="str">
        <f t="shared" si="45"/>
        <v>-</v>
      </c>
      <c r="J195" s="352" t="str">
        <f t="shared" si="46"/>
        <v>-</v>
      </c>
      <c r="K195" s="194" t="str">
        <f t="shared" si="47"/>
        <v>-</v>
      </c>
      <c r="L195" s="645"/>
      <c r="M195" s="338" t="e">
        <f>RANK(K195, K$182:$K$211)</f>
        <v>#VALUE!</v>
      </c>
      <c r="N195" s="663"/>
      <c r="O195" s="663"/>
      <c r="P195" s="474"/>
      <c r="Q195" s="476"/>
      <c r="R195" s="476"/>
      <c r="S195" s="475"/>
      <c r="T195" s="685"/>
      <c r="U195" s="474"/>
      <c r="V195" s="476"/>
      <c r="W195" s="476"/>
      <c r="X195" s="475"/>
      <c r="Y195" s="685"/>
      <c r="Z195" s="474"/>
      <c r="AA195" s="476"/>
      <c r="AB195" s="476"/>
      <c r="AC195" s="475"/>
      <c r="AD195" s="685"/>
      <c r="AE195" s="474"/>
      <c r="AF195" s="476"/>
      <c r="AG195" s="476"/>
      <c r="AH195" s="475"/>
      <c r="AI195" s="685"/>
      <c r="AJ195" s="474"/>
      <c r="AK195" s="476"/>
      <c r="AL195" s="476"/>
      <c r="AM195" s="475"/>
      <c r="AN195" s="685"/>
      <c r="AO195" s="474"/>
      <c r="AP195" s="476"/>
      <c r="AQ195" s="476"/>
      <c r="AR195" s="475"/>
      <c r="AS195" s="685"/>
      <c r="AT195" s="474"/>
      <c r="AU195" s="476"/>
      <c r="AV195" s="476"/>
      <c r="AW195" s="475"/>
      <c r="AX195" s="685"/>
      <c r="AZ195" s="339" t="e">
        <f t="shared" si="48"/>
        <v>#N/A</v>
      </c>
      <c r="BA195" s="705"/>
    </row>
    <row r="196" spans="2:53">
      <c r="B196" s="692"/>
      <c r="C196" s="337">
        <v>15</v>
      </c>
      <c r="D196" s="482"/>
      <c r="E196" s="196"/>
      <c r="F196" s="196"/>
      <c r="G196" s="481"/>
      <c r="H196" s="703"/>
      <c r="I196" s="352" t="str">
        <f t="shared" si="45"/>
        <v>-</v>
      </c>
      <c r="J196" s="352" t="str">
        <f t="shared" si="46"/>
        <v>-</v>
      </c>
      <c r="K196" s="194" t="str">
        <f t="shared" si="47"/>
        <v>-</v>
      </c>
      <c r="L196" s="645"/>
      <c r="M196" s="338" t="e">
        <f>RANK(K196, K$182:$K$211)</f>
        <v>#VALUE!</v>
      </c>
      <c r="N196" s="663"/>
      <c r="O196" s="663"/>
      <c r="P196" s="474"/>
      <c r="Q196" s="476"/>
      <c r="R196" s="476"/>
      <c r="S196" s="475"/>
      <c r="T196" s="685"/>
      <c r="U196" s="474"/>
      <c r="V196" s="476"/>
      <c r="W196" s="476"/>
      <c r="X196" s="475"/>
      <c r="Y196" s="685"/>
      <c r="Z196" s="474"/>
      <c r="AA196" s="476"/>
      <c r="AB196" s="476"/>
      <c r="AC196" s="475"/>
      <c r="AD196" s="685"/>
      <c r="AE196" s="474"/>
      <c r="AF196" s="476"/>
      <c r="AG196" s="476"/>
      <c r="AH196" s="475"/>
      <c r="AI196" s="685"/>
      <c r="AJ196" s="474"/>
      <c r="AK196" s="476"/>
      <c r="AL196" s="476"/>
      <c r="AM196" s="475"/>
      <c r="AN196" s="685"/>
      <c r="AO196" s="474"/>
      <c r="AP196" s="476"/>
      <c r="AQ196" s="476"/>
      <c r="AR196" s="475"/>
      <c r="AS196" s="685"/>
      <c r="AT196" s="474"/>
      <c r="AU196" s="476"/>
      <c r="AV196" s="476"/>
      <c r="AW196" s="475"/>
      <c r="AX196" s="685"/>
      <c r="AZ196" s="339" t="e">
        <f t="shared" si="48"/>
        <v>#N/A</v>
      </c>
      <c r="BA196" s="705"/>
    </row>
    <row r="197" spans="2:53">
      <c r="B197" s="692"/>
      <c r="C197" s="337">
        <v>16</v>
      </c>
      <c r="D197" s="196"/>
      <c r="E197" s="196"/>
      <c r="F197" s="196"/>
      <c r="G197" s="481"/>
      <c r="H197" s="703"/>
      <c r="I197" s="352" t="str">
        <f t="shared" si="45"/>
        <v>-</v>
      </c>
      <c r="J197" s="352" t="str">
        <f t="shared" si="46"/>
        <v>-</v>
      </c>
      <c r="K197" s="194" t="str">
        <f t="shared" si="47"/>
        <v>-</v>
      </c>
      <c r="L197" s="645"/>
      <c r="M197" s="338" t="e">
        <f>RANK(K197, K$182:$K$211)</f>
        <v>#VALUE!</v>
      </c>
      <c r="N197" s="663"/>
      <c r="O197" s="663"/>
      <c r="P197" s="474"/>
      <c r="Q197" s="476"/>
      <c r="R197" s="476"/>
      <c r="S197" s="475"/>
      <c r="T197" s="685"/>
      <c r="U197" s="474"/>
      <c r="V197" s="476"/>
      <c r="W197" s="476"/>
      <c r="X197" s="475"/>
      <c r="Y197" s="685"/>
      <c r="Z197" s="474"/>
      <c r="AA197" s="476"/>
      <c r="AB197" s="476"/>
      <c r="AC197" s="475"/>
      <c r="AD197" s="685"/>
      <c r="AE197" s="474"/>
      <c r="AF197" s="476"/>
      <c r="AG197" s="476"/>
      <c r="AH197" s="475"/>
      <c r="AI197" s="685"/>
      <c r="AJ197" s="474"/>
      <c r="AK197" s="476"/>
      <c r="AL197" s="476"/>
      <c r="AM197" s="475"/>
      <c r="AN197" s="685"/>
      <c r="AO197" s="474"/>
      <c r="AP197" s="476"/>
      <c r="AQ197" s="476"/>
      <c r="AR197" s="475"/>
      <c r="AS197" s="685"/>
      <c r="AT197" s="474"/>
      <c r="AU197" s="476"/>
      <c r="AV197" s="476"/>
      <c r="AW197" s="475"/>
      <c r="AX197" s="685"/>
      <c r="AZ197" s="339" t="e">
        <f t="shared" si="48"/>
        <v>#N/A</v>
      </c>
      <c r="BA197" s="705"/>
    </row>
    <row r="198" spans="2:53">
      <c r="B198" s="692"/>
      <c r="C198" s="337">
        <v>17</v>
      </c>
      <c r="D198" s="196"/>
      <c r="E198" s="196"/>
      <c r="F198" s="196"/>
      <c r="G198" s="481"/>
      <c r="H198" s="703"/>
      <c r="I198" s="352" t="str">
        <f t="shared" si="45"/>
        <v>-</v>
      </c>
      <c r="J198" s="352" t="str">
        <f t="shared" si="46"/>
        <v>-</v>
      </c>
      <c r="K198" s="194" t="str">
        <f t="shared" si="47"/>
        <v>-</v>
      </c>
      <c r="L198" s="645"/>
      <c r="M198" s="338" t="e">
        <f>RANK(K198, K$182:$K$211)</f>
        <v>#VALUE!</v>
      </c>
      <c r="N198" s="663"/>
      <c r="O198" s="663"/>
      <c r="P198" s="474"/>
      <c r="Q198" s="476"/>
      <c r="R198" s="476"/>
      <c r="S198" s="475"/>
      <c r="T198" s="685"/>
      <c r="U198" s="474"/>
      <c r="V198" s="476"/>
      <c r="W198" s="476"/>
      <c r="X198" s="475"/>
      <c r="Y198" s="685"/>
      <c r="Z198" s="474"/>
      <c r="AA198" s="476"/>
      <c r="AB198" s="476"/>
      <c r="AC198" s="475"/>
      <c r="AD198" s="685"/>
      <c r="AE198" s="474"/>
      <c r="AF198" s="476"/>
      <c r="AG198" s="476"/>
      <c r="AH198" s="475"/>
      <c r="AI198" s="685"/>
      <c r="AJ198" s="474"/>
      <c r="AK198" s="476"/>
      <c r="AL198" s="476"/>
      <c r="AM198" s="475"/>
      <c r="AN198" s="685"/>
      <c r="AO198" s="474"/>
      <c r="AP198" s="476"/>
      <c r="AQ198" s="476"/>
      <c r="AR198" s="475"/>
      <c r="AS198" s="685"/>
      <c r="AT198" s="474"/>
      <c r="AU198" s="476"/>
      <c r="AV198" s="476"/>
      <c r="AW198" s="475"/>
      <c r="AX198" s="685"/>
      <c r="AZ198" s="339" t="e">
        <f t="shared" si="48"/>
        <v>#N/A</v>
      </c>
      <c r="BA198" s="705"/>
    </row>
    <row r="199" spans="2:53">
      <c r="B199" s="692"/>
      <c r="C199" s="337">
        <v>18</v>
      </c>
      <c r="D199" s="482"/>
      <c r="E199" s="196"/>
      <c r="F199" s="196"/>
      <c r="G199" s="481"/>
      <c r="H199" s="703"/>
      <c r="I199" s="352" t="str">
        <f t="shared" si="45"/>
        <v>-</v>
      </c>
      <c r="J199" s="352" t="str">
        <f t="shared" si="46"/>
        <v>-</v>
      </c>
      <c r="K199" s="194" t="str">
        <f t="shared" si="47"/>
        <v>-</v>
      </c>
      <c r="L199" s="645"/>
      <c r="M199" s="338" t="e">
        <f>RANK(K199, K$182:$K$211)</f>
        <v>#VALUE!</v>
      </c>
      <c r="N199" s="663"/>
      <c r="O199" s="663"/>
      <c r="P199" s="474"/>
      <c r="Q199" s="476"/>
      <c r="R199" s="476"/>
      <c r="S199" s="475"/>
      <c r="T199" s="685"/>
      <c r="U199" s="474"/>
      <c r="V199" s="476"/>
      <c r="W199" s="476"/>
      <c r="X199" s="475"/>
      <c r="Y199" s="685"/>
      <c r="Z199" s="474"/>
      <c r="AA199" s="476"/>
      <c r="AB199" s="476"/>
      <c r="AC199" s="475"/>
      <c r="AD199" s="685"/>
      <c r="AE199" s="474"/>
      <c r="AF199" s="476"/>
      <c r="AG199" s="476"/>
      <c r="AH199" s="475"/>
      <c r="AI199" s="685"/>
      <c r="AJ199" s="474"/>
      <c r="AK199" s="476"/>
      <c r="AL199" s="476"/>
      <c r="AM199" s="475"/>
      <c r="AN199" s="685"/>
      <c r="AO199" s="474"/>
      <c r="AP199" s="476"/>
      <c r="AQ199" s="476"/>
      <c r="AR199" s="475"/>
      <c r="AS199" s="685"/>
      <c r="AT199" s="474"/>
      <c r="AU199" s="476"/>
      <c r="AV199" s="476"/>
      <c r="AW199" s="475"/>
      <c r="AX199" s="685"/>
      <c r="AZ199" s="339" t="e">
        <f t="shared" si="48"/>
        <v>#N/A</v>
      </c>
      <c r="BA199" s="705"/>
    </row>
    <row r="200" spans="2:53">
      <c r="B200" s="692"/>
      <c r="C200" s="337">
        <v>19</v>
      </c>
      <c r="D200" s="482"/>
      <c r="E200" s="196"/>
      <c r="F200" s="196"/>
      <c r="G200" s="481"/>
      <c r="H200" s="703"/>
      <c r="I200" s="352" t="str">
        <f t="shared" si="45"/>
        <v>-</v>
      </c>
      <c r="J200" s="352" t="str">
        <f t="shared" si="46"/>
        <v>-</v>
      </c>
      <c r="K200" s="194" t="str">
        <f t="shared" si="47"/>
        <v>-</v>
      </c>
      <c r="L200" s="645"/>
      <c r="M200" s="338" t="e">
        <f>RANK(K200, K$182:$K$211)</f>
        <v>#VALUE!</v>
      </c>
      <c r="N200" s="663"/>
      <c r="O200" s="663"/>
      <c r="P200" s="474"/>
      <c r="Q200" s="476"/>
      <c r="R200" s="476"/>
      <c r="S200" s="475"/>
      <c r="T200" s="685"/>
      <c r="U200" s="474"/>
      <c r="V200" s="476"/>
      <c r="W200" s="476"/>
      <c r="X200" s="475"/>
      <c r="Y200" s="685"/>
      <c r="Z200" s="474"/>
      <c r="AA200" s="476"/>
      <c r="AB200" s="476"/>
      <c r="AC200" s="475"/>
      <c r="AD200" s="685"/>
      <c r="AE200" s="474"/>
      <c r="AF200" s="476"/>
      <c r="AG200" s="476"/>
      <c r="AH200" s="475"/>
      <c r="AI200" s="685"/>
      <c r="AJ200" s="474"/>
      <c r="AK200" s="476"/>
      <c r="AL200" s="476"/>
      <c r="AM200" s="475"/>
      <c r="AN200" s="685"/>
      <c r="AO200" s="474"/>
      <c r="AP200" s="476"/>
      <c r="AQ200" s="476"/>
      <c r="AR200" s="475"/>
      <c r="AS200" s="685"/>
      <c r="AT200" s="474"/>
      <c r="AU200" s="476"/>
      <c r="AV200" s="476"/>
      <c r="AW200" s="475"/>
      <c r="AX200" s="685"/>
      <c r="AZ200" s="339" t="e">
        <f t="shared" si="48"/>
        <v>#N/A</v>
      </c>
      <c r="BA200" s="705"/>
    </row>
    <row r="201" spans="2:53">
      <c r="B201" s="692"/>
      <c r="C201" s="337">
        <v>20</v>
      </c>
      <c r="D201" s="482"/>
      <c r="E201" s="196"/>
      <c r="F201" s="196"/>
      <c r="G201" s="481"/>
      <c r="H201" s="703"/>
      <c r="I201" s="352" t="str">
        <f t="shared" si="45"/>
        <v>-</v>
      </c>
      <c r="J201" s="352" t="str">
        <f t="shared" si="46"/>
        <v>-</v>
      </c>
      <c r="K201" s="194" t="str">
        <f t="shared" si="47"/>
        <v>-</v>
      </c>
      <c r="L201" s="645"/>
      <c r="M201" s="338" t="e">
        <f>RANK(K201, K$182:$K$211)</f>
        <v>#VALUE!</v>
      </c>
      <c r="N201" s="663"/>
      <c r="O201" s="663"/>
      <c r="P201" s="474"/>
      <c r="Q201" s="476"/>
      <c r="R201" s="476"/>
      <c r="S201" s="475"/>
      <c r="T201" s="685"/>
      <c r="U201" s="474"/>
      <c r="V201" s="476"/>
      <c r="W201" s="476"/>
      <c r="X201" s="475"/>
      <c r="Y201" s="685"/>
      <c r="Z201" s="474"/>
      <c r="AA201" s="476"/>
      <c r="AB201" s="476"/>
      <c r="AC201" s="475"/>
      <c r="AD201" s="685"/>
      <c r="AE201" s="474"/>
      <c r="AF201" s="476"/>
      <c r="AG201" s="476"/>
      <c r="AH201" s="475"/>
      <c r="AI201" s="685"/>
      <c r="AJ201" s="474"/>
      <c r="AK201" s="476"/>
      <c r="AL201" s="476"/>
      <c r="AM201" s="475"/>
      <c r="AN201" s="685"/>
      <c r="AO201" s="474"/>
      <c r="AP201" s="476"/>
      <c r="AQ201" s="476"/>
      <c r="AR201" s="475"/>
      <c r="AS201" s="685"/>
      <c r="AT201" s="474"/>
      <c r="AU201" s="476"/>
      <c r="AV201" s="476"/>
      <c r="AW201" s="475"/>
      <c r="AX201" s="685"/>
      <c r="AZ201" s="339" t="e">
        <f t="shared" si="48"/>
        <v>#N/A</v>
      </c>
      <c r="BA201" s="705"/>
    </row>
    <row r="202" spans="2:53">
      <c r="B202" s="692"/>
      <c r="C202" s="337">
        <v>21</v>
      </c>
      <c r="D202" s="482"/>
      <c r="E202" s="196"/>
      <c r="F202" s="196"/>
      <c r="G202" s="481"/>
      <c r="H202" s="703"/>
      <c r="I202" s="352" t="str">
        <f t="shared" si="45"/>
        <v>-</v>
      </c>
      <c r="J202" s="352" t="str">
        <f t="shared" si="46"/>
        <v>-</v>
      </c>
      <c r="K202" s="194" t="str">
        <f t="shared" si="47"/>
        <v>-</v>
      </c>
      <c r="L202" s="645"/>
      <c r="M202" s="338" t="e">
        <f>RANK(K202, K$182:$K$211)</f>
        <v>#VALUE!</v>
      </c>
      <c r="N202" s="663"/>
      <c r="O202" s="663"/>
      <c r="P202" s="474"/>
      <c r="Q202" s="476"/>
      <c r="R202" s="476"/>
      <c r="S202" s="475"/>
      <c r="T202" s="685"/>
      <c r="U202" s="474"/>
      <c r="V202" s="476"/>
      <c r="W202" s="476"/>
      <c r="X202" s="475"/>
      <c r="Y202" s="685"/>
      <c r="Z202" s="474"/>
      <c r="AA202" s="476"/>
      <c r="AB202" s="476"/>
      <c r="AC202" s="475"/>
      <c r="AD202" s="685"/>
      <c r="AE202" s="474"/>
      <c r="AF202" s="476"/>
      <c r="AG202" s="476"/>
      <c r="AH202" s="475"/>
      <c r="AI202" s="685"/>
      <c r="AJ202" s="474"/>
      <c r="AK202" s="476"/>
      <c r="AL202" s="476"/>
      <c r="AM202" s="475"/>
      <c r="AN202" s="685"/>
      <c r="AO202" s="474"/>
      <c r="AP202" s="476"/>
      <c r="AQ202" s="476"/>
      <c r="AR202" s="475"/>
      <c r="AS202" s="685"/>
      <c r="AT202" s="474"/>
      <c r="AU202" s="476"/>
      <c r="AV202" s="476"/>
      <c r="AW202" s="475"/>
      <c r="AX202" s="685"/>
      <c r="AZ202" s="339" t="e">
        <f t="shared" si="48"/>
        <v>#N/A</v>
      </c>
      <c r="BA202" s="705"/>
    </row>
    <row r="203" spans="2:53">
      <c r="B203" s="692"/>
      <c r="C203" s="337">
        <v>22</v>
      </c>
      <c r="D203" s="482"/>
      <c r="E203" s="196"/>
      <c r="F203" s="196"/>
      <c r="G203" s="481"/>
      <c r="H203" s="703"/>
      <c r="I203" s="352" t="str">
        <f t="shared" si="45"/>
        <v>-</v>
      </c>
      <c r="J203" s="352" t="str">
        <f t="shared" si="46"/>
        <v>-</v>
      </c>
      <c r="K203" s="194" t="str">
        <f t="shared" si="47"/>
        <v>-</v>
      </c>
      <c r="L203" s="645"/>
      <c r="M203" s="338" t="e">
        <f>RANK(K203, K$182:$K$211)</f>
        <v>#VALUE!</v>
      </c>
      <c r="N203" s="663"/>
      <c r="O203" s="663"/>
      <c r="P203" s="474"/>
      <c r="Q203" s="476"/>
      <c r="R203" s="476"/>
      <c r="S203" s="475"/>
      <c r="T203" s="685"/>
      <c r="U203" s="474"/>
      <c r="V203" s="476"/>
      <c r="W203" s="476"/>
      <c r="X203" s="475"/>
      <c r="Y203" s="685"/>
      <c r="Z203" s="474"/>
      <c r="AA203" s="476"/>
      <c r="AB203" s="476"/>
      <c r="AC203" s="475"/>
      <c r="AD203" s="685"/>
      <c r="AE203" s="474"/>
      <c r="AF203" s="476"/>
      <c r="AG203" s="476"/>
      <c r="AH203" s="475"/>
      <c r="AI203" s="685"/>
      <c r="AJ203" s="474"/>
      <c r="AK203" s="476"/>
      <c r="AL203" s="476"/>
      <c r="AM203" s="475"/>
      <c r="AN203" s="685"/>
      <c r="AO203" s="474"/>
      <c r="AP203" s="476"/>
      <c r="AQ203" s="476"/>
      <c r="AR203" s="475"/>
      <c r="AS203" s="685"/>
      <c r="AT203" s="474"/>
      <c r="AU203" s="476"/>
      <c r="AV203" s="476"/>
      <c r="AW203" s="475"/>
      <c r="AX203" s="685"/>
      <c r="AZ203" s="339" t="e">
        <f t="shared" si="48"/>
        <v>#N/A</v>
      </c>
      <c r="BA203" s="705"/>
    </row>
    <row r="204" spans="2:53">
      <c r="B204" s="692"/>
      <c r="C204" s="337">
        <v>23</v>
      </c>
      <c r="D204" s="196"/>
      <c r="E204" s="196"/>
      <c r="F204" s="196"/>
      <c r="G204" s="481"/>
      <c r="H204" s="703"/>
      <c r="I204" s="352" t="str">
        <f t="shared" si="45"/>
        <v>-</v>
      </c>
      <c r="J204" s="352" t="str">
        <f t="shared" si="46"/>
        <v>-</v>
      </c>
      <c r="K204" s="194" t="str">
        <f t="shared" si="47"/>
        <v>-</v>
      </c>
      <c r="L204" s="645"/>
      <c r="M204" s="338" t="e">
        <f>RANK(K204, K$182:$K$211)</f>
        <v>#VALUE!</v>
      </c>
      <c r="N204" s="663"/>
      <c r="O204" s="663"/>
      <c r="P204" s="474"/>
      <c r="Q204" s="476"/>
      <c r="R204" s="476"/>
      <c r="S204" s="475"/>
      <c r="T204" s="685"/>
      <c r="U204" s="474"/>
      <c r="V204" s="476"/>
      <c r="W204" s="476"/>
      <c r="X204" s="475"/>
      <c r="Y204" s="685"/>
      <c r="Z204" s="474"/>
      <c r="AA204" s="476"/>
      <c r="AB204" s="476"/>
      <c r="AC204" s="475"/>
      <c r="AD204" s="685"/>
      <c r="AE204" s="474"/>
      <c r="AF204" s="476"/>
      <c r="AG204" s="476"/>
      <c r="AH204" s="475"/>
      <c r="AI204" s="685"/>
      <c r="AJ204" s="474"/>
      <c r="AK204" s="476"/>
      <c r="AL204" s="476"/>
      <c r="AM204" s="475"/>
      <c r="AN204" s="685"/>
      <c r="AO204" s="474"/>
      <c r="AP204" s="476"/>
      <c r="AQ204" s="476"/>
      <c r="AR204" s="475"/>
      <c r="AS204" s="685"/>
      <c r="AT204" s="474"/>
      <c r="AU204" s="476"/>
      <c r="AV204" s="476"/>
      <c r="AW204" s="475"/>
      <c r="AX204" s="685"/>
      <c r="AZ204" s="339" t="e">
        <f t="shared" si="48"/>
        <v>#N/A</v>
      </c>
      <c r="BA204" s="705"/>
    </row>
    <row r="205" spans="2:53">
      <c r="B205" s="692"/>
      <c r="C205" s="337">
        <v>24</v>
      </c>
      <c r="D205" s="482"/>
      <c r="E205" s="196"/>
      <c r="F205" s="196"/>
      <c r="G205" s="481"/>
      <c r="H205" s="703"/>
      <c r="I205" s="352" t="str">
        <f t="shared" si="45"/>
        <v>-</v>
      </c>
      <c r="J205" s="352" t="str">
        <f t="shared" si="46"/>
        <v>-</v>
      </c>
      <c r="K205" s="194" t="str">
        <f t="shared" si="47"/>
        <v>-</v>
      </c>
      <c r="L205" s="645"/>
      <c r="M205" s="338" t="e">
        <f>RANK(K205, K$182:$K$211)</f>
        <v>#VALUE!</v>
      </c>
      <c r="N205" s="663"/>
      <c r="O205" s="663"/>
      <c r="P205" s="474"/>
      <c r="Q205" s="476"/>
      <c r="R205" s="476"/>
      <c r="S205" s="475"/>
      <c r="T205" s="685"/>
      <c r="U205" s="474"/>
      <c r="V205" s="476"/>
      <c r="W205" s="476"/>
      <c r="X205" s="475"/>
      <c r="Y205" s="685"/>
      <c r="Z205" s="474"/>
      <c r="AA205" s="476"/>
      <c r="AB205" s="476"/>
      <c r="AC205" s="475"/>
      <c r="AD205" s="685"/>
      <c r="AE205" s="474"/>
      <c r="AF205" s="476"/>
      <c r="AG205" s="476"/>
      <c r="AH205" s="475"/>
      <c r="AI205" s="685"/>
      <c r="AJ205" s="474"/>
      <c r="AK205" s="476"/>
      <c r="AL205" s="476"/>
      <c r="AM205" s="475"/>
      <c r="AN205" s="685"/>
      <c r="AO205" s="474"/>
      <c r="AP205" s="476"/>
      <c r="AQ205" s="476"/>
      <c r="AR205" s="475"/>
      <c r="AS205" s="685"/>
      <c r="AT205" s="474"/>
      <c r="AU205" s="476"/>
      <c r="AV205" s="476"/>
      <c r="AW205" s="475"/>
      <c r="AX205" s="685"/>
      <c r="AZ205" s="339" t="e">
        <f t="shared" si="48"/>
        <v>#N/A</v>
      </c>
      <c r="BA205" s="705"/>
    </row>
    <row r="206" spans="2:53">
      <c r="B206" s="692"/>
      <c r="C206" s="337">
        <v>25</v>
      </c>
      <c r="D206" s="196"/>
      <c r="E206" s="196"/>
      <c r="F206" s="196"/>
      <c r="G206" s="481"/>
      <c r="H206" s="703"/>
      <c r="I206" s="352" t="str">
        <f t="shared" si="45"/>
        <v>-</v>
      </c>
      <c r="J206" s="352" t="str">
        <f t="shared" si="46"/>
        <v>-</v>
      </c>
      <c r="K206" s="194" t="str">
        <f t="shared" si="47"/>
        <v>-</v>
      </c>
      <c r="L206" s="645"/>
      <c r="M206" s="338" t="e">
        <f>RANK(K206, K$182:$K$211)</f>
        <v>#VALUE!</v>
      </c>
      <c r="N206" s="663"/>
      <c r="O206" s="663"/>
      <c r="P206" s="474"/>
      <c r="Q206" s="476"/>
      <c r="R206" s="476"/>
      <c r="S206" s="475"/>
      <c r="T206" s="685"/>
      <c r="U206" s="474"/>
      <c r="V206" s="476"/>
      <c r="W206" s="476"/>
      <c r="X206" s="475"/>
      <c r="Y206" s="685"/>
      <c r="Z206" s="474"/>
      <c r="AA206" s="476"/>
      <c r="AB206" s="476"/>
      <c r="AC206" s="475"/>
      <c r="AD206" s="685"/>
      <c r="AE206" s="474"/>
      <c r="AF206" s="476"/>
      <c r="AG206" s="476"/>
      <c r="AH206" s="475"/>
      <c r="AI206" s="685"/>
      <c r="AJ206" s="474"/>
      <c r="AK206" s="476"/>
      <c r="AL206" s="476"/>
      <c r="AM206" s="475"/>
      <c r="AN206" s="685"/>
      <c r="AO206" s="474"/>
      <c r="AP206" s="476"/>
      <c r="AQ206" s="476"/>
      <c r="AR206" s="475"/>
      <c r="AS206" s="685"/>
      <c r="AT206" s="474"/>
      <c r="AU206" s="476"/>
      <c r="AV206" s="476"/>
      <c r="AW206" s="475"/>
      <c r="AX206" s="685"/>
      <c r="AZ206" s="339" t="e">
        <f t="shared" si="48"/>
        <v>#N/A</v>
      </c>
      <c r="BA206" s="705"/>
    </row>
    <row r="207" spans="2:53">
      <c r="B207" s="692"/>
      <c r="C207" s="337">
        <v>26</v>
      </c>
      <c r="D207" s="196"/>
      <c r="E207" s="196"/>
      <c r="F207" s="196"/>
      <c r="G207" s="481"/>
      <c r="H207" s="703"/>
      <c r="I207" s="352" t="str">
        <f t="shared" si="45"/>
        <v>-</v>
      </c>
      <c r="J207" s="352" t="str">
        <f t="shared" si="46"/>
        <v>-</v>
      </c>
      <c r="K207" s="194" t="str">
        <f t="shared" si="47"/>
        <v>-</v>
      </c>
      <c r="L207" s="645"/>
      <c r="M207" s="338" t="e">
        <f>RANK(K207, K$182:$K$211)</f>
        <v>#VALUE!</v>
      </c>
      <c r="N207" s="663"/>
      <c r="O207" s="663"/>
      <c r="P207" s="474"/>
      <c r="Q207" s="476"/>
      <c r="R207" s="476"/>
      <c r="S207" s="475"/>
      <c r="T207" s="685"/>
      <c r="U207" s="474"/>
      <c r="V207" s="476"/>
      <c r="W207" s="476"/>
      <c r="X207" s="475"/>
      <c r="Y207" s="685"/>
      <c r="Z207" s="474"/>
      <c r="AA207" s="476"/>
      <c r="AB207" s="476"/>
      <c r="AC207" s="475"/>
      <c r="AD207" s="685"/>
      <c r="AE207" s="474"/>
      <c r="AF207" s="476"/>
      <c r="AG207" s="476"/>
      <c r="AH207" s="475"/>
      <c r="AI207" s="685"/>
      <c r="AJ207" s="474"/>
      <c r="AK207" s="476"/>
      <c r="AL207" s="476"/>
      <c r="AM207" s="475"/>
      <c r="AN207" s="685"/>
      <c r="AO207" s="474"/>
      <c r="AP207" s="476"/>
      <c r="AQ207" s="476"/>
      <c r="AR207" s="475"/>
      <c r="AS207" s="685"/>
      <c r="AT207" s="474"/>
      <c r="AU207" s="476"/>
      <c r="AV207" s="476"/>
      <c r="AW207" s="475"/>
      <c r="AX207" s="685"/>
      <c r="AZ207" s="339" t="e">
        <f t="shared" si="48"/>
        <v>#N/A</v>
      </c>
      <c r="BA207" s="705"/>
    </row>
    <row r="208" spans="2:53">
      <c r="B208" s="692"/>
      <c r="C208" s="337">
        <v>27</v>
      </c>
      <c r="D208" s="196"/>
      <c r="E208" s="196"/>
      <c r="F208" s="196"/>
      <c r="G208" s="481"/>
      <c r="H208" s="703"/>
      <c r="I208" s="352" t="str">
        <f t="shared" si="45"/>
        <v>-</v>
      </c>
      <c r="J208" s="352" t="str">
        <f t="shared" si="46"/>
        <v>-</v>
      </c>
      <c r="K208" s="194" t="str">
        <f t="shared" si="47"/>
        <v>-</v>
      </c>
      <c r="L208" s="645"/>
      <c r="M208" s="338" t="e">
        <f>RANK(K208, K$182:$K$211)</f>
        <v>#VALUE!</v>
      </c>
      <c r="N208" s="663"/>
      <c r="O208" s="663"/>
      <c r="P208" s="474"/>
      <c r="Q208" s="476"/>
      <c r="R208" s="476"/>
      <c r="S208" s="475"/>
      <c r="T208" s="685"/>
      <c r="U208" s="474"/>
      <c r="V208" s="476"/>
      <c r="W208" s="476"/>
      <c r="X208" s="475"/>
      <c r="Y208" s="685"/>
      <c r="Z208" s="474"/>
      <c r="AA208" s="476"/>
      <c r="AB208" s="476"/>
      <c r="AC208" s="475"/>
      <c r="AD208" s="685"/>
      <c r="AE208" s="474"/>
      <c r="AF208" s="476"/>
      <c r="AG208" s="476"/>
      <c r="AH208" s="475"/>
      <c r="AI208" s="685"/>
      <c r="AJ208" s="474"/>
      <c r="AK208" s="476"/>
      <c r="AL208" s="476"/>
      <c r="AM208" s="475"/>
      <c r="AN208" s="685"/>
      <c r="AO208" s="474"/>
      <c r="AP208" s="476"/>
      <c r="AQ208" s="476"/>
      <c r="AR208" s="475"/>
      <c r="AS208" s="685"/>
      <c r="AT208" s="474"/>
      <c r="AU208" s="476"/>
      <c r="AV208" s="476"/>
      <c r="AW208" s="475"/>
      <c r="AX208" s="685"/>
      <c r="AZ208" s="339" t="e">
        <f t="shared" si="48"/>
        <v>#N/A</v>
      </c>
      <c r="BA208" s="705"/>
    </row>
    <row r="209" spans="2:53">
      <c r="B209" s="692"/>
      <c r="C209" s="337">
        <v>28</v>
      </c>
      <c r="D209" s="196"/>
      <c r="E209" s="196"/>
      <c r="F209" s="196"/>
      <c r="G209" s="196"/>
      <c r="H209" s="703"/>
      <c r="I209" s="352" t="str">
        <f t="shared" si="45"/>
        <v>-</v>
      </c>
      <c r="J209" s="352" t="str">
        <f t="shared" si="46"/>
        <v>-</v>
      </c>
      <c r="K209" s="194" t="str">
        <f t="shared" si="47"/>
        <v>-</v>
      </c>
      <c r="L209" s="645"/>
      <c r="M209" s="338" t="e">
        <f>RANK(K209, K$182:$K$211)</f>
        <v>#VALUE!</v>
      </c>
      <c r="N209" s="663"/>
      <c r="O209" s="663"/>
      <c r="P209" s="474"/>
      <c r="Q209" s="476"/>
      <c r="R209" s="476"/>
      <c r="S209" s="475"/>
      <c r="T209" s="685"/>
      <c r="U209" s="474"/>
      <c r="V209" s="476"/>
      <c r="W209" s="476"/>
      <c r="X209" s="475"/>
      <c r="Y209" s="685"/>
      <c r="Z209" s="474"/>
      <c r="AA209" s="476"/>
      <c r="AB209" s="476"/>
      <c r="AC209" s="475"/>
      <c r="AD209" s="685"/>
      <c r="AE209" s="474"/>
      <c r="AF209" s="476"/>
      <c r="AG209" s="476"/>
      <c r="AH209" s="475"/>
      <c r="AI209" s="685"/>
      <c r="AJ209" s="474"/>
      <c r="AK209" s="476"/>
      <c r="AL209" s="476"/>
      <c r="AM209" s="475"/>
      <c r="AN209" s="685"/>
      <c r="AO209" s="474"/>
      <c r="AP209" s="476"/>
      <c r="AQ209" s="476"/>
      <c r="AR209" s="475"/>
      <c r="AS209" s="685"/>
      <c r="AT209" s="474"/>
      <c r="AU209" s="476"/>
      <c r="AV209" s="476"/>
      <c r="AW209" s="475"/>
      <c r="AX209" s="685"/>
      <c r="AZ209" s="339" t="e">
        <f t="shared" si="48"/>
        <v>#N/A</v>
      </c>
      <c r="BA209" s="705"/>
    </row>
    <row r="210" spans="2:53">
      <c r="B210" s="692"/>
      <c r="C210" s="337">
        <v>29</v>
      </c>
      <c r="D210" s="196"/>
      <c r="E210" s="196"/>
      <c r="F210" s="196"/>
      <c r="G210" s="196"/>
      <c r="H210" s="703"/>
      <c r="I210" s="352" t="str">
        <f t="shared" si="45"/>
        <v>-</v>
      </c>
      <c r="J210" s="352" t="str">
        <f t="shared" si="46"/>
        <v>-</v>
      </c>
      <c r="K210" s="194" t="str">
        <f t="shared" si="47"/>
        <v>-</v>
      </c>
      <c r="L210" s="645"/>
      <c r="M210" s="338" t="e">
        <f>RANK(K210, K$182:$K$211)</f>
        <v>#VALUE!</v>
      </c>
      <c r="N210" s="663"/>
      <c r="O210" s="663"/>
      <c r="P210" s="474"/>
      <c r="Q210" s="476"/>
      <c r="R210" s="476"/>
      <c r="S210" s="475"/>
      <c r="T210" s="685"/>
      <c r="U210" s="474"/>
      <c r="V210" s="476"/>
      <c r="W210" s="476"/>
      <c r="X210" s="475"/>
      <c r="Y210" s="685"/>
      <c r="Z210" s="474"/>
      <c r="AA210" s="476"/>
      <c r="AB210" s="476"/>
      <c r="AC210" s="475"/>
      <c r="AD210" s="685"/>
      <c r="AE210" s="474"/>
      <c r="AF210" s="476"/>
      <c r="AG210" s="476"/>
      <c r="AH210" s="475"/>
      <c r="AI210" s="685"/>
      <c r="AJ210" s="474"/>
      <c r="AK210" s="476"/>
      <c r="AL210" s="476"/>
      <c r="AM210" s="475"/>
      <c r="AN210" s="685"/>
      <c r="AO210" s="474"/>
      <c r="AP210" s="476"/>
      <c r="AQ210" s="476"/>
      <c r="AR210" s="475"/>
      <c r="AS210" s="685"/>
      <c r="AT210" s="474"/>
      <c r="AU210" s="476"/>
      <c r="AV210" s="476"/>
      <c r="AW210" s="475"/>
      <c r="AX210" s="685"/>
      <c r="AZ210" s="339" t="e">
        <f t="shared" si="48"/>
        <v>#N/A</v>
      </c>
      <c r="BA210" s="705"/>
    </row>
    <row r="211" spans="2:53">
      <c r="B211" s="692"/>
      <c r="C211" s="337">
        <v>30</v>
      </c>
      <c r="D211" s="196"/>
      <c r="E211" s="196"/>
      <c r="F211" s="196"/>
      <c r="G211" s="196"/>
      <c r="H211" s="703"/>
      <c r="I211" s="352" t="str">
        <f t="shared" si="45"/>
        <v>-</v>
      </c>
      <c r="J211" s="352" t="str">
        <f t="shared" si="46"/>
        <v>-</v>
      </c>
      <c r="K211" s="194" t="str">
        <f t="shared" si="47"/>
        <v>-</v>
      </c>
      <c r="L211" s="646"/>
      <c r="M211" s="338" t="e">
        <f>RANK(K211, K$182:$K$211)</f>
        <v>#VALUE!</v>
      </c>
      <c r="N211" s="663"/>
      <c r="O211" s="663"/>
      <c r="P211" s="474"/>
      <c r="Q211" s="476"/>
      <c r="R211" s="476"/>
      <c r="S211" s="475"/>
      <c r="T211" s="685"/>
      <c r="U211" s="474"/>
      <c r="V211" s="476"/>
      <c r="W211" s="476"/>
      <c r="X211" s="475"/>
      <c r="Y211" s="685"/>
      <c r="Z211" s="474"/>
      <c r="AA211" s="476"/>
      <c r="AB211" s="476"/>
      <c r="AC211" s="475"/>
      <c r="AD211" s="685"/>
      <c r="AE211" s="474"/>
      <c r="AF211" s="476"/>
      <c r="AG211" s="476"/>
      <c r="AH211" s="475"/>
      <c r="AI211" s="685"/>
      <c r="AJ211" s="474"/>
      <c r="AK211" s="476"/>
      <c r="AL211" s="476"/>
      <c r="AM211" s="475"/>
      <c r="AN211" s="685"/>
      <c r="AO211" s="474"/>
      <c r="AP211" s="476"/>
      <c r="AQ211" s="476"/>
      <c r="AR211" s="475"/>
      <c r="AS211" s="685"/>
      <c r="AT211" s="474"/>
      <c r="AU211" s="476"/>
      <c r="AV211" s="476"/>
      <c r="AW211" s="475"/>
      <c r="AX211" s="685"/>
      <c r="AZ211" s="339" t="e">
        <f t="shared" si="48"/>
        <v>#N/A</v>
      </c>
      <c r="BA211" s="705"/>
    </row>
    <row r="213" spans="2:53" ht="15.75">
      <c r="B213" s="697" t="s">
        <v>465</v>
      </c>
      <c r="C213" s="698"/>
      <c r="D213" s="698"/>
      <c r="E213" s="698"/>
      <c r="F213" s="698"/>
      <c r="G213" s="698"/>
      <c r="H213" s="699"/>
      <c r="I213" s="299"/>
      <c r="J213" s="299"/>
      <c r="K213" s="299"/>
      <c r="L213" s="299"/>
      <c r="M213" s="300"/>
    </row>
    <row r="214" spans="2:53" ht="15.75">
      <c r="B214" s="700"/>
      <c r="C214" s="700"/>
      <c r="D214" s="700"/>
      <c r="E214" s="700"/>
      <c r="F214" s="700"/>
      <c r="G214" s="700"/>
      <c r="H214" s="700"/>
      <c r="I214" s="301"/>
      <c r="J214" s="301"/>
      <c r="K214" s="301"/>
      <c r="L214" s="301"/>
      <c r="M214" s="302"/>
    </row>
    <row r="215" spans="2:53">
      <c r="B215" s="663" t="s">
        <v>466</v>
      </c>
      <c r="C215" s="663" t="s">
        <v>467</v>
      </c>
      <c r="D215" s="663"/>
      <c r="E215" s="663" t="s">
        <v>468</v>
      </c>
      <c r="F215" s="663"/>
      <c r="G215" s="663"/>
      <c r="H215" s="663" t="s">
        <v>469</v>
      </c>
      <c r="I215" s="701" t="s">
        <v>470</v>
      </c>
      <c r="J215" s="701"/>
      <c r="K215" s="701"/>
      <c r="L215" s="701" t="s">
        <v>469</v>
      </c>
      <c r="M215" s="701" t="s">
        <v>471</v>
      </c>
    </row>
    <row r="216" spans="2:53">
      <c r="B216" s="663"/>
      <c r="C216" s="663"/>
      <c r="D216" s="663"/>
      <c r="E216" s="663" t="s">
        <v>472</v>
      </c>
      <c r="F216" s="663"/>
      <c r="G216" s="663"/>
      <c r="H216" s="663"/>
      <c r="I216" s="701" t="s">
        <v>472</v>
      </c>
      <c r="J216" s="701"/>
      <c r="K216" s="701"/>
      <c r="L216" s="701"/>
      <c r="M216" s="701"/>
    </row>
    <row r="217" spans="2:53">
      <c r="B217" s="663"/>
      <c r="C217" s="663"/>
      <c r="D217" s="663"/>
      <c r="E217" s="296" t="s">
        <v>473</v>
      </c>
      <c r="F217" s="296" t="s">
        <v>474</v>
      </c>
      <c r="G217" s="296" t="s">
        <v>475</v>
      </c>
      <c r="H217" s="663"/>
      <c r="I217" s="303" t="s">
        <v>473</v>
      </c>
      <c r="J217" s="303" t="s">
        <v>474</v>
      </c>
      <c r="K217" s="303" t="s">
        <v>475</v>
      </c>
      <c r="L217" s="701"/>
      <c r="M217" s="701"/>
    </row>
    <row r="218" spans="2:53">
      <c r="B218" s="691" t="s">
        <v>476</v>
      </c>
      <c r="C218" s="295">
        <v>1</v>
      </c>
      <c r="D218" s="295"/>
      <c r="E218" s="295"/>
      <c r="F218" s="295"/>
      <c r="G218" s="295"/>
      <c r="H218" s="685" t="e">
        <f>AVERAGE(G218:G247)</f>
        <v>#DIV/0!</v>
      </c>
      <c r="I218" s="193" t="e">
        <f t="shared" ref="I218:K240" si="49">AVERAGEIF($D$7:$D$211,$D218,I$7:I$211)</f>
        <v>#DIV/0!</v>
      </c>
      <c r="J218" s="193" t="e">
        <f t="shared" si="49"/>
        <v>#DIV/0!</v>
      </c>
      <c r="K218" s="193" t="e">
        <f>AVERAGEIF($D$7:$D$211,$D218,K$7:K$211)</f>
        <v>#DIV/0!</v>
      </c>
      <c r="L218" s="704" t="e">
        <f>AVERAGE(K218:K247)</f>
        <v>#DIV/0!</v>
      </c>
      <c r="M218" s="193" t="e">
        <f>RANK(K218, K$218:$K$247)</f>
        <v>#DIV/0!</v>
      </c>
    </row>
    <row r="219" spans="2:53">
      <c r="B219" s="671"/>
      <c r="C219" s="295">
        <v>2</v>
      </c>
      <c r="D219" s="295"/>
      <c r="E219" s="295"/>
      <c r="F219" s="295"/>
      <c r="G219" s="349"/>
      <c r="H219" s="685"/>
      <c r="I219" s="193" t="e">
        <f t="shared" si="49"/>
        <v>#DIV/0!</v>
      </c>
      <c r="J219" s="193" t="e">
        <f t="shared" si="49"/>
        <v>#DIV/0!</v>
      </c>
      <c r="K219" s="193" t="e">
        <f t="shared" si="49"/>
        <v>#DIV/0!</v>
      </c>
      <c r="L219" s="704"/>
      <c r="M219" s="193" t="e">
        <f>RANK(K219, K$218:$K$247)</f>
        <v>#DIV/0!</v>
      </c>
    </row>
    <row r="220" spans="2:53">
      <c r="B220" s="671"/>
      <c r="C220" s="295">
        <v>3</v>
      </c>
      <c r="D220" s="295"/>
      <c r="E220" s="295"/>
      <c r="F220" s="349"/>
      <c r="G220" s="295"/>
      <c r="H220" s="685"/>
      <c r="I220" s="193" t="e">
        <f t="shared" si="49"/>
        <v>#DIV/0!</v>
      </c>
      <c r="J220" s="193" t="e">
        <f t="shared" si="49"/>
        <v>#DIV/0!</v>
      </c>
      <c r="K220" s="193" t="e">
        <f t="shared" si="49"/>
        <v>#DIV/0!</v>
      </c>
      <c r="L220" s="704"/>
      <c r="M220" s="193" t="e">
        <f>RANK(K220, K$218:$K$247)</f>
        <v>#DIV/0!</v>
      </c>
    </row>
    <row r="221" spans="2:53">
      <c r="B221" s="671"/>
      <c r="C221" s="295">
        <v>4</v>
      </c>
      <c r="D221" s="295"/>
      <c r="E221" s="295"/>
      <c r="F221" s="349"/>
      <c r="G221" s="349"/>
      <c r="H221" s="685"/>
      <c r="I221" s="193" t="e">
        <f t="shared" si="49"/>
        <v>#DIV/0!</v>
      </c>
      <c r="J221" s="193" t="e">
        <f t="shared" si="49"/>
        <v>#DIV/0!</v>
      </c>
      <c r="K221" s="193" t="e">
        <f t="shared" si="49"/>
        <v>#DIV/0!</v>
      </c>
      <c r="L221" s="704"/>
      <c r="M221" s="193" t="e">
        <f>RANK(K221, K$218:$K$247)</f>
        <v>#DIV/0!</v>
      </c>
    </row>
    <row r="222" spans="2:53">
      <c r="B222" s="671"/>
      <c r="C222" s="295">
        <v>5</v>
      </c>
      <c r="D222" s="295"/>
      <c r="E222" s="295"/>
      <c r="F222" s="349"/>
      <c r="G222" s="349"/>
      <c r="H222" s="685"/>
      <c r="I222" s="193" t="e">
        <f t="shared" si="49"/>
        <v>#DIV/0!</v>
      </c>
      <c r="J222" s="193" t="e">
        <f t="shared" si="49"/>
        <v>#DIV/0!</v>
      </c>
      <c r="K222" s="193" t="e">
        <f t="shared" si="49"/>
        <v>#DIV/0!</v>
      </c>
      <c r="L222" s="704"/>
      <c r="M222" s="193" t="e">
        <f>RANK(K222, K$218:$K$247)</f>
        <v>#DIV/0!</v>
      </c>
    </row>
    <row r="223" spans="2:53">
      <c r="B223" s="671"/>
      <c r="C223" s="295">
        <v>6</v>
      </c>
      <c r="D223" s="295"/>
      <c r="E223" s="295"/>
      <c r="F223" s="349"/>
      <c r="G223" s="349"/>
      <c r="H223" s="685"/>
      <c r="I223" s="193" t="e">
        <f t="shared" si="49"/>
        <v>#DIV/0!</v>
      </c>
      <c r="J223" s="193" t="e">
        <f t="shared" si="49"/>
        <v>#DIV/0!</v>
      </c>
      <c r="K223" s="193" t="e">
        <f t="shared" si="49"/>
        <v>#DIV/0!</v>
      </c>
      <c r="L223" s="704"/>
      <c r="M223" s="193" t="e">
        <f>RANK(K223, K$218:$K$247)</f>
        <v>#DIV/0!</v>
      </c>
    </row>
    <row r="224" spans="2:53">
      <c r="B224" s="671"/>
      <c r="C224" s="295">
        <v>7</v>
      </c>
      <c r="D224" s="348"/>
      <c r="E224" s="295"/>
      <c r="F224" s="349"/>
      <c r="G224" s="349"/>
      <c r="H224" s="685"/>
      <c r="I224" s="193" t="e">
        <f t="shared" si="49"/>
        <v>#DIV/0!</v>
      </c>
      <c r="J224" s="193" t="e">
        <f t="shared" si="49"/>
        <v>#DIV/0!</v>
      </c>
      <c r="K224" s="193" t="e">
        <f t="shared" si="49"/>
        <v>#DIV/0!</v>
      </c>
      <c r="L224" s="704"/>
      <c r="M224" s="193" t="e">
        <f>RANK(K224, K$218:$K$247)</f>
        <v>#DIV/0!</v>
      </c>
    </row>
    <row r="225" spans="2:39">
      <c r="B225" s="671"/>
      <c r="C225" s="295">
        <v>8</v>
      </c>
      <c r="D225" s="348"/>
      <c r="E225" s="295"/>
      <c r="F225" s="349"/>
      <c r="G225" s="349"/>
      <c r="H225" s="685"/>
      <c r="I225" s="193" t="e">
        <f t="shared" si="49"/>
        <v>#DIV/0!</v>
      </c>
      <c r="J225" s="193" t="e">
        <f t="shared" si="49"/>
        <v>#DIV/0!</v>
      </c>
      <c r="K225" s="193" t="e">
        <f t="shared" si="49"/>
        <v>#DIV/0!</v>
      </c>
      <c r="L225" s="70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71"/>
      <c r="C226" s="295">
        <v>9</v>
      </c>
      <c r="D226" s="295"/>
      <c r="E226" s="295"/>
      <c r="F226" s="295"/>
      <c r="G226" s="295"/>
      <c r="H226" s="685"/>
      <c r="I226" s="193" t="e">
        <f t="shared" si="49"/>
        <v>#DIV/0!</v>
      </c>
      <c r="J226" s="193" t="e">
        <f t="shared" si="49"/>
        <v>#DIV/0!</v>
      </c>
      <c r="K226" s="193" t="e">
        <f t="shared" si="49"/>
        <v>#DIV/0!</v>
      </c>
      <c r="L226" s="70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71"/>
      <c r="C227" s="295">
        <v>10</v>
      </c>
      <c r="D227" s="295"/>
      <c r="E227" s="295"/>
      <c r="F227" s="295"/>
      <c r="G227" s="295"/>
      <c r="H227" s="685"/>
      <c r="I227" s="193" t="e">
        <f t="shared" si="49"/>
        <v>#DIV/0!</v>
      </c>
      <c r="J227" s="193" t="e">
        <f t="shared" si="49"/>
        <v>#DIV/0!</v>
      </c>
      <c r="K227" s="193" t="e">
        <f t="shared" si="49"/>
        <v>#DIV/0!</v>
      </c>
      <c r="L227" s="70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71"/>
      <c r="C228" s="295">
        <v>11</v>
      </c>
      <c r="D228" s="295"/>
      <c r="E228" s="295"/>
      <c r="F228" s="295"/>
      <c r="G228" s="295"/>
      <c r="H228" s="685"/>
      <c r="I228" s="193" t="e">
        <f t="shared" si="49"/>
        <v>#DIV/0!</v>
      </c>
      <c r="J228" s="193" t="e">
        <f t="shared" si="49"/>
        <v>#DIV/0!</v>
      </c>
      <c r="K228" s="193" t="e">
        <f t="shared" si="49"/>
        <v>#DIV/0!</v>
      </c>
      <c r="L228" s="70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71"/>
      <c r="C229" s="295">
        <v>12</v>
      </c>
      <c r="D229" s="295"/>
      <c r="E229" s="295"/>
      <c r="F229" s="295"/>
      <c r="G229" s="295"/>
      <c r="H229" s="685"/>
      <c r="I229" s="193" t="e">
        <f t="shared" si="49"/>
        <v>#DIV/0!</v>
      </c>
      <c r="J229" s="193" t="e">
        <f t="shared" si="49"/>
        <v>#DIV/0!</v>
      </c>
      <c r="K229" s="193" t="e">
        <f t="shared" si="49"/>
        <v>#DIV/0!</v>
      </c>
      <c r="L229" s="70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71"/>
      <c r="C230" s="295">
        <v>13</v>
      </c>
      <c r="D230" s="295"/>
      <c r="E230" s="295"/>
      <c r="F230" s="295"/>
      <c r="G230" s="295"/>
      <c r="H230" s="685"/>
      <c r="I230" s="193" t="e">
        <f t="shared" si="49"/>
        <v>#DIV/0!</v>
      </c>
      <c r="J230" s="193" t="e">
        <f t="shared" si="49"/>
        <v>#DIV/0!</v>
      </c>
      <c r="K230" s="193" t="e">
        <f t="shared" si="49"/>
        <v>#DIV/0!</v>
      </c>
      <c r="L230" s="70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71"/>
      <c r="C231" s="295">
        <v>14</v>
      </c>
      <c r="D231" s="295"/>
      <c r="E231" s="295"/>
      <c r="F231" s="295"/>
      <c r="G231" s="295"/>
      <c r="H231" s="685"/>
      <c r="I231" s="193" t="e">
        <f t="shared" si="49"/>
        <v>#DIV/0!</v>
      </c>
      <c r="J231" s="193" t="e">
        <f t="shared" si="49"/>
        <v>#DIV/0!</v>
      </c>
      <c r="K231" s="193" t="e">
        <f t="shared" si="49"/>
        <v>#DIV/0!</v>
      </c>
      <c r="L231" s="70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71"/>
      <c r="C232" s="295">
        <v>15</v>
      </c>
      <c r="D232" s="295"/>
      <c r="E232" s="295"/>
      <c r="F232" s="295"/>
      <c r="G232" s="295"/>
      <c r="H232" s="685"/>
      <c r="I232" s="193" t="e">
        <f t="shared" si="49"/>
        <v>#DIV/0!</v>
      </c>
      <c r="J232" s="193" t="e">
        <f t="shared" si="49"/>
        <v>#DIV/0!</v>
      </c>
      <c r="K232" s="193" t="e">
        <f t="shared" si="49"/>
        <v>#DIV/0!</v>
      </c>
      <c r="L232" s="70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71"/>
      <c r="C233" s="295">
        <v>16</v>
      </c>
      <c r="D233" s="295"/>
      <c r="E233" s="295"/>
      <c r="F233" s="295"/>
      <c r="G233" s="295"/>
      <c r="H233" s="685"/>
      <c r="I233" s="193" t="e">
        <f t="shared" si="49"/>
        <v>#DIV/0!</v>
      </c>
      <c r="J233" s="193" t="e">
        <f t="shared" si="49"/>
        <v>#DIV/0!</v>
      </c>
      <c r="K233" s="193" t="e">
        <f t="shared" si="49"/>
        <v>#DIV/0!</v>
      </c>
      <c r="L233" s="70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71"/>
      <c r="C234" s="295">
        <v>17</v>
      </c>
      <c r="D234" s="295"/>
      <c r="E234" s="295"/>
      <c r="F234" s="295"/>
      <c r="G234" s="295"/>
      <c r="H234" s="685"/>
      <c r="I234" s="193" t="e">
        <f t="shared" si="49"/>
        <v>#DIV/0!</v>
      </c>
      <c r="J234" s="193" t="e">
        <f t="shared" si="49"/>
        <v>#DIV/0!</v>
      </c>
      <c r="K234" s="193" t="e">
        <f t="shared" si="49"/>
        <v>#DIV/0!</v>
      </c>
      <c r="L234" s="70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71"/>
      <c r="C235" s="295">
        <v>18</v>
      </c>
      <c r="D235" s="295"/>
      <c r="E235" s="295"/>
      <c r="F235" s="295"/>
      <c r="G235" s="295"/>
      <c r="H235" s="685"/>
      <c r="I235" s="193" t="e">
        <f t="shared" si="49"/>
        <v>#DIV/0!</v>
      </c>
      <c r="J235" s="193" t="e">
        <f t="shared" si="49"/>
        <v>#DIV/0!</v>
      </c>
      <c r="K235" s="193" t="e">
        <f t="shared" si="49"/>
        <v>#DIV/0!</v>
      </c>
      <c r="L235" s="70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71"/>
      <c r="C236" s="295">
        <v>19</v>
      </c>
      <c r="D236" s="295"/>
      <c r="E236" s="295"/>
      <c r="F236" s="295"/>
      <c r="G236" s="295"/>
      <c r="H236" s="685"/>
      <c r="I236" s="193" t="e">
        <f t="shared" si="49"/>
        <v>#DIV/0!</v>
      </c>
      <c r="J236" s="193" t="e">
        <f t="shared" si="49"/>
        <v>#DIV/0!</v>
      </c>
      <c r="K236" s="193" t="e">
        <f t="shared" si="49"/>
        <v>#DIV/0!</v>
      </c>
      <c r="L236" s="70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71"/>
      <c r="C237" s="295">
        <v>20</v>
      </c>
      <c r="D237" s="295"/>
      <c r="E237" s="295"/>
      <c r="F237" s="295"/>
      <c r="G237" s="295"/>
      <c r="H237" s="685"/>
      <c r="I237" s="193" t="e">
        <f t="shared" si="49"/>
        <v>#DIV/0!</v>
      </c>
      <c r="J237" s="193" t="e">
        <f t="shared" si="49"/>
        <v>#DIV/0!</v>
      </c>
      <c r="K237" s="193" t="e">
        <f t="shared" si="49"/>
        <v>#DIV/0!</v>
      </c>
      <c r="L237" s="70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71"/>
      <c r="C238" s="295">
        <v>21</v>
      </c>
      <c r="D238" s="295"/>
      <c r="E238" s="295"/>
      <c r="F238" s="295"/>
      <c r="G238" s="295"/>
      <c r="H238" s="685"/>
      <c r="I238" s="193" t="e">
        <f t="shared" si="49"/>
        <v>#DIV/0!</v>
      </c>
      <c r="J238" s="193" t="e">
        <f t="shared" si="49"/>
        <v>#DIV/0!</v>
      </c>
      <c r="K238" s="193" t="e">
        <f t="shared" si="49"/>
        <v>#DIV/0!</v>
      </c>
      <c r="L238" s="70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71"/>
      <c r="C239" s="295">
        <v>22</v>
      </c>
      <c r="D239" s="295"/>
      <c r="E239" s="295"/>
      <c r="F239" s="295"/>
      <c r="G239" s="295"/>
      <c r="H239" s="685"/>
      <c r="I239" s="193" t="e">
        <f t="shared" si="49"/>
        <v>#DIV/0!</v>
      </c>
      <c r="J239" s="193" t="e">
        <f t="shared" si="49"/>
        <v>#DIV/0!</v>
      </c>
      <c r="K239" s="193" t="e">
        <f t="shared" si="49"/>
        <v>#DIV/0!</v>
      </c>
      <c r="L239" s="70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71"/>
      <c r="C240" s="295">
        <v>23</v>
      </c>
      <c r="D240" s="295"/>
      <c r="E240" s="295"/>
      <c r="F240" s="295"/>
      <c r="G240" s="295"/>
      <c r="H240" s="685"/>
      <c r="I240" s="193" t="e">
        <f t="shared" si="49"/>
        <v>#DIV/0!</v>
      </c>
      <c r="J240" s="193" t="e">
        <f t="shared" si="49"/>
        <v>#DIV/0!</v>
      </c>
      <c r="K240" s="193" t="e">
        <f t="shared" si="49"/>
        <v>#DIV/0!</v>
      </c>
      <c r="L240" s="70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71"/>
      <c r="C241" s="295">
        <v>24</v>
      </c>
      <c r="D241" s="295"/>
      <c r="E241" s="295"/>
      <c r="F241" s="295"/>
      <c r="G241" s="295"/>
      <c r="H241" s="685"/>
      <c r="I241" s="193"/>
      <c r="J241" s="193"/>
      <c r="K241" s="193"/>
      <c r="L241" s="70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71"/>
      <c r="C242" s="295">
        <v>25</v>
      </c>
      <c r="D242" s="295"/>
      <c r="E242" s="295"/>
      <c r="F242" s="295"/>
      <c r="G242" s="295"/>
      <c r="H242" s="685"/>
      <c r="I242" s="193"/>
      <c r="J242" s="193"/>
      <c r="K242" s="193"/>
      <c r="L242" s="70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71"/>
      <c r="C243" s="295">
        <v>26</v>
      </c>
      <c r="D243" s="295"/>
      <c r="E243" s="295"/>
      <c r="F243" s="295"/>
      <c r="G243" s="295"/>
      <c r="H243" s="685"/>
      <c r="I243" s="193"/>
      <c r="J243" s="193"/>
      <c r="K243" s="193"/>
      <c r="L243" s="70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71"/>
      <c r="C244" s="295">
        <v>27</v>
      </c>
      <c r="D244" s="295"/>
      <c r="E244" s="295"/>
      <c r="F244" s="295"/>
      <c r="G244" s="295"/>
      <c r="H244" s="685"/>
      <c r="I244" s="193"/>
      <c r="J244" s="193"/>
      <c r="K244" s="193"/>
      <c r="L244" s="70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71"/>
      <c r="C245" s="295">
        <v>28</v>
      </c>
      <c r="D245" s="295"/>
      <c r="E245" s="295"/>
      <c r="F245" s="295"/>
      <c r="G245" s="295"/>
      <c r="H245" s="685"/>
      <c r="I245" s="193"/>
      <c r="J245" s="193"/>
      <c r="K245" s="193"/>
      <c r="L245" s="70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71"/>
      <c r="C246" s="295">
        <v>29</v>
      </c>
      <c r="D246" s="295"/>
      <c r="E246" s="295"/>
      <c r="F246" s="295"/>
      <c r="G246" s="295"/>
      <c r="H246" s="685"/>
      <c r="I246" s="193"/>
      <c r="J246" s="193"/>
      <c r="K246" s="193"/>
      <c r="L246" s="70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71"/>
      <c r="C247" s="295">
        <v>30</v>
      </c>
      <c r="D247" s="295"/>
      <c r="E247" s="295"/>
      <c r="F247" s="295"/>
      <c r="G247" s="295"/>
      <c r="H247" s="685"/>
      <c r="I247" s="193"/>
      <c r="J247" s="193"/>
      <c r="K247" s="193"/>
      <c r="L247" s="70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49" t="s">
        <v>335</v>
      </c>
      <c r="E250" s="349">
        <v>4</v>
      </c>
      <c r="F250" s="349">
        <v>2700</v>
      </c>
      <c r="G250" s="349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49" t="s">
        <v>336</v>
      </c>
      <c r="E251" s="349">
        <v>3</v>
      </c>
      <c r="F251" s="349">
        <v>2700</v>
      </c>
      <c r="G251" s="349">
        <f t="shared" ref="G251:G255" si="50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49" t="s">
        <v>337</v>
      </c>
      <c r="E252" s="349">
        <v>4</v>
      </c>
      <c r="F252" s="349">
        <v>2700</v>
      </c>
      <c r="G252" s="349">
        <f t="shared" si="50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49" t="s">
        <v>500</v>
      </c>
      <c r="E253" s="349">
        <v>4</v>
      </c>
      <c r="F253" s="349">
        <v>2700</v>
      </c>
      <c r="G253" s="349">
        <f t="shared" si="50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48" t="s">
        <v>541</v>
      </c>
      <c r="E254" s="349">
        <v>4</v>
      </c>
      <c r="F254" s="349">
        <v>2600</v>
      </c>
      <c r="G254" s="349">
        <f t="shared" si="50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48" t="s">
        <v>542</v>
      </c>
      <c r="E255" s="349">
        <v>4</v>
      </c>
      <c r="F255" s="349">
        <v>2600</v>
      </c>
      <c r="G255" s="349">
        <f t="shared" si="50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49" t="s">
        <v>335</v>
      </c>
      <c r="E257" s="349">
        <v>4</v>
      </c>
      <c r="F257" s="349">
        <v>3300</v>
      </c>
      <c r="G257" s="349">
        <f>F257/E257</f>
        <v>825</v>
      </c>
      <c r="H257" s="106">
        <v>845.8</v>
      </c>
    </row>
    <row r="258" spans="4:8" s="107" customFormat="1">
      <c r="D258" s="349" t="s">
        <v>336</v>
      </c>
      <c r="E258" s="349">
        <v>3</v>
      </c>
      <c r="F258" s="349">
        <v>3300</v>
      </c>
      <c r="G258" s="349">
        <f t="shared" ref="G258:G262" si="51">F258/E258</f>
        <v>1100</v>
      </c>
      <c r="H258" s="106"/>
    </row>
    <row r="259" spans="4:8" s="107" customFormat="1">
      <c r="D259" s="349" t="s">
        <v>337</v>
      </c>
      <c r="E259" s="349">
        <v>4</v>
      </c>
      <c r="F259" s="349">
        <v>3300</v>
      </c>
      <c r="G259" s="349">
        <f t="shared" si="51"/>
        <v>825</v>
      </c>
      <c r="H259" s="106"/>
    </row>
    <row r="260" spans="4:8" s="107" customFormat="1">
      <c r="D260" s="349" t="s">
        <v>500</v>
      </c>
      <c r="E260" s="349">
        <v>4</v>
      </c>
      <c r="F260" s="349">
        <v>3100</v>
      </c>
      <c r="G260" s="349">
        <f t="shared" si="51"/>
        <v>775</v>
      </c>
      <c r="H260" s="106"/>
    </row>
    <row r="261" spans="4:8" s="107" customFormat="1">
      <c r="D261" s="348" t="s">
        <v>541</v>
      </c>
      <c r="E261" s="349">
        <v>4</v>
      </c>
      <c r="F261" s="349">
        <v>3100</v>
      </c>
      <c r="G261" s="349">
        <f t="shared" si="51"/>
        <v>775</v>
      </c>
      <c r="H261" s="106"/>
    </row>
    <row r="262" spans="4:8" s="107" customFormat="1">
      <c r="D262" s="348" t="s">
        <v>542</v>
      </c>
      <c r="E262" s="349">
        <v>4</v>
      </c>
      <c r="F262" s="349">
        <v>3100</v>
      </c>
      <c r="G262" s="349">
        <f t="shared" si="51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55" zoomScaleNormal="55" workbookViewId="0">
      <pane xSplit="15" topLeftCell="AI1" activePane="topRight" state="frozen"/>
      <selection activeCell="T7" activeCellId="4" sqref="AM7:AN36 AH7:AI36 AC7:AD36 X7:Y36 S7:T36"/>
      <selection pane="topRight" activeCell="AS27" sqref="AS27:AS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AVERAGE(L7,L27,L47,L87,L87,L107)</f>
        <v>139.48505839602774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535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63" t="s">
        <v>364</v>
      </c>
      <c r="J4" s="663"/>
      <c r="K4" s="663"/>
      <c r="L4" s="679" t="s">
        <v>359</v>
      </c>
      <c r="M4" s="66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4" t="s">
        <v>359</v>
      </c>
      <c r="U4" s="660" t="s">
        <v>361</v>
      </c>
      <c r="V4" s="661"/>
      <c r="W4" s="661"/>
      <c r="X4" s="662"/>
      <c r="Y4" s="664" t="s">
        <v>359</v>
      </c>
      <c r="Z4" s="660" t="s">
        <v>361</v>
      </c>
      <c r="AA4" s="661"/>
      <c r="AB4" s="661"/>
      <c r="AC4" s="662"/>
      <c r="AD4" s="664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63" t="s">
        <v>366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5"/>
      <c r="U5" s="660" t="s">
        <v>367</v>
      </c>
      <c r="V5" s="661"/>
      <c r="W5" s="661"/>
      <c r="X5" s="662"/>
      <c r="Y5" s="665"/>
      <c r="Z5" s="660" t="s">
        <v>367</v>
      </c>
      <c r="AA5" s="661"/>
      <c r="AB5" s="661"/>
      <c r="AC5" s="662"/>
      <c r="AD5" s="665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2" t="s">
        <v>368</v>
      </c>
      <c r="J6" s="492" t="s">
        <v>369</v>
      </c>
      <c r="K6" s="492" t="s">
        <v>370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6"/>
      <c r="U6" s="492" t="s">
        <v>368</v>
      </c>
      <c r="V6" s="492" t="s">
        <v>369</v>
      </c>
      <c r="W6" s="492" t="s">
        <v>370</v>
      </c>
      <c r="X6" s="492" t="s">
        <v>360</v>
      </c>
      <c r="Y6" s="666"/>
      <c r="Z6" s="492" t="s">
        <v>368</v>
      </c>
      <c r="AA6" s="492" t="s">
        <v>369</v>
      </c>
      <c r="AB6" s="492" t="s">
        <v>370</v>
      </c>
      <c r="AC6" s="492" t="s">
        <v>360</v>
      </c>
      <c r="AD6" s="666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62" t="s">
        <v>360</v>
      </c>
      <c r="BA6" s="663"/>
    </row>
    <row r="7" spans="1:53" ht="14.25">
      <c r="A7" s="81"/>
      <c r="B7" s="706" t="s">
        <v>536</v>
      </c>
      <c r="C7" s="495">
        <v>1</v>
      </c>
      <c r="D7" s="515" t="s">
        <v>554</v>
      </c>
      <c r="E7" s="516">
        <v>10</v>
      </c>
      <c r="F7" s="516">
        <v>1500</v>
      </c>
      <c r="G7" s="518">
        <v>150</v>
      </c>
      <c r="H7" s="702">
        <f>AVERAGE(G7:G21)</f>
        <v>127.5</v>
      </c>
      <c r="I7" s="496">
        <f t="shared" ref="I7:I21" si="0">IFERROR(AVERAGE(P7,U7,Z7,AE7,AJ7,AO7,AT7),"-")</f>
        <v>10</v>
      </c>
      <c r="J7" s="496">
        <f t="shared" ref="J7:J21" si="1">IFERROR(AVERAGE(Q7,V7,AA7,AF7,AK7,AP7,AU7),"-")</f>
        <v>1410.2337662337652</v>
      </c>
      <c r="K7" s="194">
        <f t="shared" ref="K7:K21" si="2">IFERROR(AVERAGE(R7,W7,AB7,AG7,AL7,AQ7,AV7),"-")</f>
        <v>141.02337662337655</v>
      </c>
      <c r="L7" s="644">
        <f>IFERROR(AVERAGE(K7:K21),"-")</f>
        <v>136.67199863974548</v>
      </c>
      <c r="M7" s="477">
        <f>RANK(K7, K$7:$K$21)</f>
        <v>1</v>
      </c>
      <c r="N7" s="663"/>
      <c r="O7" s="663"/>
      <c r="P7" s="523">
        <v>10</v>
      </c>
      <c r="Q7" s="525">
        <v>1423.6363636363626</v>
      </c>
      <c r="R7" s="525">
        <v>142.36363636363626</v>
      </c>
      <c r="S7" s="523">
        <f t="shared" ref="S7:S21" si="3">RANK(R7, R$7:R$21)</f>
        <v>2</v>
      </c>
      <c r="T7" s="708">
        <f t="shared" ref="T7" si="4">AVERAGE(R7:R21)</f>
        <v>139.36468531468543</v>
      </c>
      <c r="U7" s="523">
        <v>10</v>
      </c>
      <c r="V7" s="525">
        <v>1519.2000000000005</v>
      </c>
      <c r="W7" s="525">
        <v>151.92000000000004</v>
      </c>
      <c r="X7" s="523">
        <f t="shared" ref="X7:X21" si="5">RANK(W7, W$7:W$21)</f>
        <v>1</v>
      </c>
      <c r="Y7" s="708">
        <f t="shared" ref="Y7" si="6">AVERAGE(W7:W21)</f>
        <v>141.70182554287831</v>
      </c>
      <c r="Z7" s="523">
        <v>10</v>
      </c>
      <c r="AA7" s="525">
        <v>1468.7999999999981</v>
      </c>
      <c r="AB7" s="525">
        <v>146.87999999999982</v>
      </c>
      <c r="AC7" s="523">
        <f t="shared" ref="AC7:AC21" si="7">RANK(AB7, AB$7:AB$21)</f>
        <v>1</v>
      </c>
      <c r="AD7" s="708">
        <f t="shared" ref="AD7" si="8">AVERAGE(AB7:AB21)</f>
        <v>133.00962701183997</v>
      </c>
      <c r="AE7" s="523">
        <v>10</v>
      </c>
      <c r="AF7" s="525">
        <v>1372</v>
      </c>
      <c r="AG7" s="525">
        <v>137.19999999999999</v>
      </c>
      <c r="AH7" s="523">
        <f t="shared" ref="AH7:AH21" si="9">RANK(AG7, AG$7:AG$21)</f>
        <v>1</v>
      </c>
      <c r="AI7" s="708">
        <f t="shared" ref="AI7" si="10">AVERAGE(AG7:AG21)</f>
        <v>129.63272058823532</v>
      </c>
      <c r="AJ7" s="523">
        <v>10</v>
      </c>
      <c r="AK7" s="525">
        <v>1484.9999999999964</v>
      </c>
      <c r="AL7" s="525">
        <v>148.49999999999963</v>
      </c>
      <c r="AM7" s="523">
        <f t="shared" ref="AM7:AM21" si="11">RANK(AL7, AL$7:AL$21)</f>
        <v>1</v>
      </c>
      <c r="AN7" s="708">
        <f t="shared" ref="AN7" si="12">AVERAGE(AL7:AL21)</f>
        <v>134.36708144796356</v>
      </c>
      <c r="AO7" s="523">
        <v>10</v>
      </c>
      <c r="AP7" s="525">
        <v>1319.9999999999993</v>
      </c>
      <c r="AQ7" s="525">
        <v>131.99999999999994</v>
      </c>
      <c r="AR7" s="523">
        <f t="shared" ref="AR7:AR21" si="13">RANK(AQ7, AQ$7:AQ$21)</f>
        <v>3</v>
      </c>
      <c r="AS7" s="708">
        <f t="shared" ref="AS7" si="14">AVERAGE(AQ7:AQ21)</f>
        <v>133.94698996655507</v>
      </c>
      <c r="AT7" s="523">
        <v>10</v>
      </c>
      <c r="AU7" s="525">
        <v>1282.9999999999993</v>
      </c>
      <c r="AV7" s="525">
        <v>128.29999999999993</v>
      </c>
      <c r="AW7" s="523">
        <f t="shared" ref="AW7:AW21" si="15">RANK(AV7, AV$7:AV$21)</f>
        <v>4</v>
      </c>
      <c r="AX7" s="708">
        <f t="shared" ref="AX7" si="16">AVERAGE(AV7:AV21)</f>
        <v>144.6810606060607</v>
      </c>
      <c r="AZ7" s="361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516" t="s">
        <v>569</v>
      </c>
      <c r="E8" s="516">
        <v>15</v>
      </c>
      <c r="F8" s="516">
        <v>1800</v>
      </c>
      <c r="G8" s="518">
        <v>120</v>
      </c>
      <c r="H8" s="703"/>
      <c r="I8" s="496">
        <f t="shared" si="0"/>
        <v>13.285714285714286</v>
      </c>
      <c r="J8" s="496">
        <f t="shared" si="1"/>
        <v>1798.2627457395718</v>
      </c>
      <c r="K8" s="194">
        <f t="shared" si="2"/>
        <v>135.49600095150677</v>
      </c>
      <c r="L8" s="645"/>
      <c r="M8" s="477">
        <f>RANK(K8, K$7:$K$21)</f>
        <v>2</v>
      </c>
      <c r="N8" s="663"/>
      <c r="O8" s="663"/>
      <c r="P8" s="523">
        <v>13</v>
      </c>
      <c r="Q8" s="525">
        <v>1783.6363636363633</v>
      </c>
      <c r="R8" s="525">
        <v>137.20279720279717</v>
      </c>
      <c r="S8" s="523">
        <f t="shared" si="3"/>
        <v>3</v>
      </c>
      <c r="T8" s="708"/>
      <c r="U8" s="523">
        <v>13</v>
      </c>
      <c r="V8" s="525">
        <v>1782.5454545454543</v>
      </c>
      <c r="W8" s="525">
        <v>137.11888111888109</v>
      </c>
      <c r="X8" s="523">
        <f t="shared" si="5"/>
        <v>3</v>
      </c>
      <c r="Y8" s="708"/>
      <c r="Z8" s="523">
        <v>14</v>
      </c>
      <c r="AA8" s="525">
        <v>1788.7850467289718</v>
      </c>
      <c r="AB8" s="525">
        <v>127.77036048064085</v>
      </c>
      <c r="AC8" s="523">
        <f t="shared" si="7"/>
        <v>4</v>
      </c>
      <c r="AD8" s="708"/>
      <c r="AE8" s="523">
        <v>14</v>
      </c>
      <c r="AF8" s="525">
        <v>1819.0588235294097</v>
      </c>
      <c r="AG8" s="525">
        <v>129.93277310924356</v>
      </c>
      <c r="AH8" s="523">
        <f t="shared" si="9"/>
        <v>2</v>
      </c>
      <c r="AI8" s="708"/>
      <c r="AJ8" s="523">
        <v>13</v>
      </c>
      <c r="AK8" s="525">
        <v>1774.5882352941155</v>
      </c>
      <c r="AL8" s="525">
        <v>136.50678733031657</v>
      </c>
      <c r="AM8" s="523">
        <f t="shared" si="11"/>
        <v>3</v>
      </c>
      <c r="AN8" s="708"/>
      <c r="AO8" s="523">
        <v>13</v>
      </c>
      <c r="AP8" s="525">
        <v>1789.0434782608697</v>
      </c>
      <c r="AQ8" s="525">
        <v>137.61872909698997</v>
      </c>
      <c r="AR8" s="523">
        <f t="shared" si="13"/>
        <v>2</v>
      </c>
      <c r="AS8" s="708"/>
      <c r="AT8" s="523">
        <v>13</v>
      </c>
      <c r="AU8" s="525">
        <v>1850.1818181818167</v>
      </c>
      <c r="AV8" s="525">
        <v>142.32167832167821</v>
      </c>
      <c r="AW8" s="523">
        <f t="shared" si="15"/>
        <v>3</v>
      </c>
      <c r="AX8" s="708"/>
      <c r="AZ8" s="361" t="e">
        <f t="shared" si="17"/>
        <v>#N/A</v>
      </c>
      <c r="BA8" s="708"/>
    </row>
    <row r="9" spans="1:53" ht="14.25">
      <c r="A9" s="81"/>
      <c r="B9" s="692"/>
      <c r="C9" s="495">
        <v>3</v>
      </c>
      <c r="D9" s="516" t="s">
        <v>570</v>
      </c>
      <c r="E9" s="516">
        <v>15</v>
      </c>
      <c r="F9" s="516">
        <v>1800</v>
      </c>
      <c r="G9" s="518">
        <v>120</v>
      </c>
      <c r="H9" s="703"/>
      <c r="I9" s="496">
        <f t="shared" si="0"/>
        <v>13.285714285714286</v>
      </c>
      <c r="J9" s="496">
        <f t="shared" si="1"/>
        <v>1792.3152675645154</v>
      </c>
      <c r="K9" s="194">
        <f t="shared" si="2"/>
        <v>135.08650875619185</v>
      </c>
      <c r="L9" s="645"/>
      <c r="M9" s="477">
        <f>RANK(K9, K$7:$K$21)</f>
        <v>3</v>
      </c>
      <c r="N9" s="663"/>
      <c r="O9" s="663"/>
      <c r="P9" s="523">
        <v>13</v>
      </c>
      <c r="Q9" s="525">
        <v>1699.8000000000006</v>
      </c>
      <c r="R9" s="525">
        <v>130.75384615384621</v>
      </c>
      <c r="S9" s="523">
        <f t="shared" si="3"/>
        <v>4</v>
      </c>
      <c r="T9" s="708"/>
      <c r="U9" s="523">
        <v>13</v>
      </c>
      <c r="V9" s="525">
        <v>1779.7894736842109</v>
      </c>
      <c r="W9" s="525">
        <v>136.90688259109314</v>
      </c>
      <c r="X9" s="523">
        <f t="shared" si="5"/>
        <v>4</v>
      </c>
      <c r="Y9" s="708"/>
      <c r="Z9" s="523">
        <v>14</v>
      </c>
      <c r="AA9" s="525">
        <v>1805.934065934063</v>
      </c>
      <c r="AB9" s="525">
        <v>128.99529042386163</v>
      </c>
      <c r="AC9" s="523">
        <f t="shared" si="7"/>
        <v>2</v>
      </c>
      <c r="AD9" s="708"/>
      <c r="AE9" s="523">
        <v>14</v>
      </c>
      <c r="AF9" s="525">
        <v>1740.7499999999977</v>
      </c>
      <c r="AG9" s="525">
        <v>124.33928571428555</v>
      </c>
      <c r="AH9" s="523">
        <f t="shared" si="9"/>
        <v>4</v>
      </c>
      <c r="AI9" s="708"/>
      <c r="AJ9" s="523">
        <v>13</v>
      </c>
      <c r="AK9" s="525">
        <v>1800.0000000000007</v>
      </c>
      <c r="AL9" s="525">
        <v>138.46153846153851</v>
      </c>
      <c r="AM9" s="523">
        <f t="shared" si="11"/>
        <v>2</v>
      </c>
      <c r="AN9" s="708"/>
      <c r="AO9" s="523">
        <v>13</v>
      </c>
      <c r="AP9" s="525">
        <v>1794.6000000000004</v>
      </c>
      <c r="AQ9" s="525">
        <v>138.04615384615389</v>
      </c>
      <c r="AR9" s="523">
        <f t="shared" si="13"/>
        <v>1</v>
      </c>
      <c r="AS9" s="708"/>
      <c r="AT9" s="523">
        <v>13</v>
      </c>
      <c r="AU9" s="525">
        <v>1925.3333333333333</v>
      </c>
      <c r="AV9" s="525">
        <v>148.10256410256409</v>
      </c>
      <c r="AW9" s="523">
        <f t="shared" si="15"/>
        <v>2</v>
      </c>
      <c r="AX9" s="708"/>
      <c r="AZ9" s="361" t="e">
        <f t="shared" si="17"/>
        <v>#N/A</v>
      </c>
      <c r="BA9" s="708"/>
    </row>
    <row r="10" spans="1:53" ht="14.25">
      <c r="A10" s="81"/>
      <c r="B10" s="692"/>
      <c r="C10" s="495">
        <v>4</v>
      </c>
      <c r="D10" s="516" t="s">
        <v>653</v>
      </c>
      <c r="E10" s="516">
        <v>18</v>
      </c>
      <c r="F10" s="516">
        <v>1800</v>
      </c>
      <c r="G10" s="518">
        <v>120</v>
      </c>
      <c r="H10" s="703"/>
      <c r="I10" s="496">
        <f t="shared" si="0"/>
        <v>13.285714285714286</v>
      </c>
      <c r="J10" s="496">
        <f t="shared" si="1"/>
        <v>1792.5605042016837</v>
      </c>
      <c r="K10" s="194">
        <f t="shared" si="2"/>
        <v>135.08210822790676</v>
      </c>
      <c r="L10" s="645"/>
      <c r="M10" s="477">
        <f>RANK(K10, K$7:$K$21)</f>
        <v>4</v>
      </c>
      <c r="N10" s="663"/>
      <c r="O10" s="663"/>
      <c r="P10" s="523">
        <v>13</v>
      </c>
      <c r="Q10" s="525">
        <v>1912.8000000000068</v>
      </c>
      <c r="R10" s="525">
        <v>147.13846153846205</v>
      </c>
      <c r="S10" s="523">
        <f t="shared" si="3"/>
        <v>1</v>
      </c>
      <c r="T10" s="708"/>
      <c r="U10" s="523">
        <v>13</v>
      </c>
      <c r="V10" s="525">
        <v>1831.2000000000066</v>
      </c>
      <c r="W10" s="525">
        <v>140.86153846153897</v>
      </c>
      <c r="X10" s="523">
        <f t="shared" si="5"/>
        <v>2</v>
      </c>
      <c r="Y10" s="708"/>
      <c r="Z10" s="523">
        <v>14</v>
      </c>
      <c r="AA10" s="525">
        <v>1797.5000000000064</v>
      </c>
      <c r="AB10" s="525">
        <v>128.39285714285759</v>
      </c>
      <c r="AC10" s="523">
        <f t="shared" si="7"/>
        <v>3</v>
      </c>
      <c r="AD10" s="708"/>
      <c r="AE10" s="523">
        <v>14</v>
      </c>
      <c r="AF10" s="525">
        <v>1778.823529411771</v>
      </c>
      <c r="AG10" s="525">
        <v>127.05882352941221</v>
      </c>
      <c r="AH10" s="523">
        <f t="shared" si="9"/>
        <v>3</v>
      </c>
      <c r="AI10" s="708"/>
      <c r="AJ10" s="523">
        <v>13</v>
      </c>
      <c r="AK10" s="525">
        <v>1481.9999999999934</v>
      </c>
      <c r="AL10" s="525">
        <v>113.99999999999949</v>
      </c>
      <c r="AM10" s="523">
        <f t="shared" si="11"/>
        <v>4</v>
      </c>
      <c r="AN10" s="708"/>
      <c r="AO10" s="523">
        <v>13</v>
      </c>
      <c r="AP10" s="525">
        <v>1665.5999999999951</v>
      </c>
      <c r="AQ10" s="525">
        <v>128.12307692307655</v>
      </c>
      <c r="AR10" s="523">
        <f t="shared" si="13"/>
        <v>4</v>
      </c>
      <c r="AS10" s="708"/>
      <c r="AT10" s="523">
        <v>13</v>
      </c>
      <c r="AU10" s="525">
        <v>2080.0000000000077</v>
      </c>
      <c r="AV10" s="525">
        <v>160.0000000000006</v>
      </c>
      <c r="AW10" s="523">
        <f t="shared" si="15"/>
        <v>1</v>
      </c>
      <c r="AX10" s="708"/>
      <c r="AZ10" s="361" t="e">
        <f t="shared" si="17"/>
        <v>#N/A</v>
      </c>
      <c r="BA10" s="708"/>
    </row>
    <row r="11" spans="1:53" ht="14.25">
      <c r="A11" s="81"/>
      <c r="B11" s="692"/>
      <c r="C11" s="495">
        <v>5</v>
      </c>
      <c r="D11" s="516"/>
      <c r="E11" s="516"/>
      <c r="F11" s="516"/>
      <c r="G11" s="518"/>
      <c r="H11" s="703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45"/>
      <c r="M11" s="477" t="e">
        <f>RANK(K11, K$7:$K$21)</f>
        <v>#VALUE!</v>
      </c>
      <c r="N11" s="663"/>
      <c r="O11" s="663"/>
      <c r="P11" s="523" t="s">
        <v>564</v>
      </c>
      <c r="Q11" s="525" t="s">
        <v>564</v>
      </c>
      <c r="R11" s="525" t="s">
        <v>564</v>
      </c>
      <c r="S11" s="523" t="e">
        <f t="shared" si="3"/>
        <v>#VALUE!</v>
      </c>
      <c r="T11" s="708"/>
      <c r="U11" s="523" t="s">
        <v>564</v>
      </c>
      <c r="V11" s="525" t="s">
        <v>564</v>
      </c>
      <c r="W11" s="525" t="s">
        <v>564</v>
      </c>
      <c r="X11" s="523" t="e">
        <f t="shared" si="5"/>
        <v>#VALUE!</v>
      </c>
      <c r="Y11" s="708"/>
      <c r="Z11" s="523" t="s">
        <v>564</v>
      </c>
      <c r="AA11" s="525" t="s">
        <v>564</v>
      </c>
      <c r="AB11" s="525" t="s">
        <v>564</v>
      </c>
      <c r="AC11" s="523" t="e">
        <f t="shared" si="7"/>
        <v>#VALUE!</v>
      </c>
      <c r="AD11" s="708"/>
      <c r="AE11" s="523" t="s">
        <v>564</v>
      </c>
      <c r="AF11" s="525" t="s">
        <v>564</v>
      </c>
      <c r="AG11" s="525" t="s">
        <v>564</v>
      </c>
      <c r="AH11" s="523" t="e">
        <f t="shared" si="9"/>
        <v>#VALUE!</v>
      </c>
      <c r="AI11" s="708"/>
      <c r="AJ11" s="523" t="s">
        <v>564</v>
      </c>
      <c r="AK11" s="525" t="s">
        <v>564</v>
      </c>
      <c r="AL11" s="525" t="s">
        <v>564</v>
      </c>
      <c r="AM11" s="523" t="e">
        <f t="shared" si="11"/>
        <v>#VALUE!</v>
      </c>
      <c r="AN11" s="708"/>
      <c r="AO11" s="523" t="s">
        <v>564</v>
      </c>
      <c r="AP11" s="525" t="s">
        <v>564</v>
      </c>
      <c r="AQ11" s="525" t="s">
        <v>564</v>
      </c>
      <c r="AR11" s="523" t="e">
        <f t="shared" si="13"/>
        <v>#VALUE!</v>
      </c>
      <c r="AS11" s="708"/>
      <c r="AT11" s="523" t="s">
        <v>564</v>
      </c>
      <c r="AU11" s="525" t="s">
        <v>564</v>
      </c>
      <c r="AV11" s="525" t="s">
        <v>564</v>
      </c>
      <c r="AW11" s="523" t="e">
        <f t="shared" si="15"/>
        <v>#VALUE!</v>
      </c>
      <c r="AX11" s="708"/>
      <c r="AZ11" s="361" t="e">
        <f t="shared" si="17"/>
        <v>#N/A</v>
      </c>
      <c r="BA11" s="708"/>
    </row>
    <row r="12" spans="1:53" ht="14.25">
      <c r="A12" s="81"/>
      <c r="B12" s="692"/>
      <c r="C12" s="495">
        <v>6</v>
      </c>
      <c r="D12" s="516"/>
      <c r="E12" s="516"/>
      <c r="F12" s="516"/>
      <c r="G12" s="518"/>
      <c r="H12" s="703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45"/>
      <c r="M12" s="477" t="e">
        <f>RANK(K12, K$7:$K$21)</f>
        <v>#VALUE!</v>
      </c>
      <c r="N12" s="663"/>
      <c r="O12" s="663"/>
      <c r="P12" s="523" t="s">
        <v>564</v>
      </c>
      <c r="Q12" s="525" t="s">
        <v>564</v>
      </c>
      <c r="R12" s="525" t="s">
        <v>564</v>
      </c>
      <c r="S12" s="523" t="e">
        <f t="shared" si="3"/>
        <v>#VALUE!</v>
      </c>
      <c r="T12" s="708"/>
      <c r="U12" s="523" t="s">
        <v>564</v>
      </c>
      <c r="V12" s="525" t="s">
        <v>564</v>
      </c>
      <c r="W12" s="525" t="s">
        <v>564</v>
      </c>
      <c r="X12" s="523" t="e">
        <f t="shared" si="5"/>
        <v>#VALUE!</v>
      </c>
      <c r="Y12" s="708"/>
      <c r="Z12" s="523" t="s">
        <v>564</v>
      </c>
      <c r="AA12" s="525" t="s">
        <v>564</v>
      </c>
      <c r="AB12" s="525" t="s">
        <v>564</v>
      </c>
      <c r="AC12" s="523" t="e">
        <f t="shared" si="7"/>
        <v>#VALUE!</v>
      </c>
      <c r="AD12" s="708"/>
      <c r="AE12" s="523" t="s">
        <v>564</v>
      </c>
      <c r="AF12" s="525" t="s">
        <v>564</v>
      </c>
      <c r="AG12" s="525" t="s">
        <v>564</v>
      </c>
      <c r="AH12" s="523" t="e">
        <f t="shared" si="9"/>
        <v>#VALUE!</v>
      </c>
      <c r="AI12" s="708"/>
      <c r="AJ12" s="523" t="s">
        <v>564</v>
      </c>
      <c r="AK12" s="525" t="s">
        <v>564</v>
      </c>
      <c r="AL12" s="525" t="s">
        <v>564</v>
      </c>
      <c r="AM12" s="523" t="e">
        <f t="shared" si="11"/>
        <v>#VALUE!</v>
      </c>
      <c r="AN12" s="708"/>
      <c r="AO12" s="523" t="s">
        <v>564</v>
      </c>
      <c r="AP12" s="525" t="s">
        <v>564</v>
      </c>
      <c r="AQ12" s="525" t="s">
        <v>564</v>
      </c>
      <c r="AR12" s="523" t="e">
        <f t="shared" si="13"/>
        <v>#VALUE!</v>
      </c>
      <c r="AS12" s="708"/>
      <c r="AT12" s="523" t="s">
        <v>564</v>
      </c>
      <c r="AU12" s="525" t="s">
        <v>564</v>
      </c>
      <c r="AV12" s="525" t="s">
        <v>564</v>
      </c>
      <c r="AW12" s="523" t="e">
        <f t="shared" si="15"/>
        <v>#VALUE!</v>
      </c>
      <c r="AX12" s="708"/>
      <c r="AZ12" s="361" t="e">
        <f t="shared" si="17"/>
        <v>#N/A</v>
      </c>
      <c r="BA12" s="708"/>
    </row>
    <row r="13" spans="1:53" ht="14.25">
      <c r="A13" s="81"/>
      <c r="B13" s="692"/>
      <c r="C13" s="495">
        <v>7</v>
      </c>
      <c r="D13" s="516"/>
      <c r="E13" s="516"/>
      <c r="F13" s="516"/>
      <c r="G13" s="518"/>
      <c r="H13" s="703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45"/>
      <c r="M13" s="477" t="e">
        <f>RANK(K13, K$7:$K$21)</f>
        <v>#VALUE!</v>
      </c>
      <c r="N13" s="663"/>
      <c r="O13" s="663"/>
      <c r="P13" s="523" t="s">
        <v>564</v>
      </c>
      <c r="Q13" s="525" t="s">
        <v>564</v>
      </c>
      <c r="R13" s="525" t="s">
        <v>564</v>
      </c>
      <c r="S13" s="523" t="e">
        <f t="shared" si="3"/>
        <v>#VALUE!</v>
      </c>
      <c r="T13" s="708"/>
      <c r="U13" s="523" t="s">
        <v>564</v>
      </c>
      <c r="V13" s="525" t="s">
        <v>564</v>
      </c>
      <c r="W13" s="525" t="s">
        <v>564</v>
      </c>
      <c r="X13" s="523" t="e">
        <f t="shared" si="5"/>
        <v>#VALUE!</v>
      </c>
      <c r="Y13" s="708"/>
      <c r="Z13" s="523" t="s">
        <v>564</v>
      </c>
      <c r="AA13" s="525" t="s">
        <v>564</v>
      </c>
      <c r="AB13" s="525" t="s">
        <v>564</v>
      </c>
      <c r="AC13" s="523" t="e">
        <f t="shared" si="7"/>
        <v>#VALUE!</v>
      </c>
      <c r="AD13" s="708"/>
      <c r="AE13" s="523" t="s">
        <v>564</v>
      </c>
      <c r="AF13" s="525" t="s">
        <v>564</v>
      </c>
      <c r="AG13" s="525" t="s">
        <v>564</v>
      </c>
      <c r="AH13" s="523" t="e">
        <f t="shared" si="9"/>
        <v>#VALUE!</v>
      </c>
      <c r="AI13" s="708"/>
      <c r="AJ13" s="523" t="s">
        <v>564</v>
      </c>
      <c r="AK13" s="525" t="s">
        <v>564</v>
      </c>
      <c r="AL13" s="525" t="s">
        <v>564</v>
      </c>
      <c r="AM13" s="523" t="e">
        <f t="shared" si="11"/>
        <v>#VALUE!</v>
      </c>
      <c r="AN13" s="708"/>
      <c r="AO13" s="523" t="s">
        <v>564</v>
      </c>
      <c r="AP13" s="525" t="s">
        <v>564</v>
      </c>
      <c r="AQ13" s="525" t="s">
        <v>564</v>
      </c>
      <c r="AR13" s="523" t="e">
        <f t="shared" si="13"/>
        <v>#VALUE!</v>
      </c>
      <c r="AS13" s="708"/>
      <c r="AT13" s="523" t="s">
        <v>564</v>
      </c>
      <c r="AU13" s="525" t="s">
        <v>564</v>
      </c>
      <c r="AV13" s="525" t="s">
        <v>564</v>
      </c>
      <c r="AW13" s="523" t="e">
        <f t="shared" si="15"/>
        <v>#VALUE!</v>
      </c>
      <c r="AX13" s="708"/>
      <c r="AZ13" s="361" t="e">
        <f t="shared" si="17"/>
        <v>#N/A</v>
      </c>
      <c r="BA13" s="708"/>
    </row>
    <row r="14" spans="1:53" ht="14.25">
      <c r="A14" s="81"/>
      <c r="B14" s="692"/>
      <c r="C14" s="495">
        <v>8</v>
      </c>
      <c r="D14" s="516"/>
      <c r="E14" s="516"/>
      <c r="F14" s="516"/>
      <c r="G14" s="518"/>
      <c r="H14" s="703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477" t="e">
        <f>RANK(K14, K$7:$K$21)</f>
        <v>#VALUE!</v>
      </c>
      <c r="N14" s="663"/>
      <c r="O14" s="663"/>
      <c r="P14" s="523" t="s">
        <v>564</v>
      </c>
      <c r="Q14" s="525" t="s">
        <v>564</v>
      </c>
      <c r="R14" s="525" t="s">
        <v>564</v>
      </c>
      <c r="S14" s="523" t="e">
        <f t="shared" si="3"/>
        <v>#VALUE!</v>
      </c>
      <c r="T14" s="708"/>
      <c r="U14" s="523" t="s">
        <v>564</v>
      </c>
      <c r="V14" s="525" t="s">
        <v>564</v>
      </c>
      <c r="W14" s="525" t="s">
        <v>564</v>
      </c>
      <c r="X14" s="523" t="e">
        <f t="shared" si="5"/>
        <v>#VALUE!</v>
      </c>
      <c r="Y14" s="708"/>
      <c r="Z14" s="523" t="s">
        <v>564</v>
      </c>
      <c r="AA14" s="525" t="s">
        <v>564</v>
      </c>
      <c r="AB14" s="525" t="s">
        <v>564</v>
      </c>
      <c r="AC14" s="523" t="e">
        <f t="shared" si="7"/>
        <v>#VALUE!</v>
      </c>
      <c r="AD14" s="708"/>
      <c r="AE14" s="523" t="s">
        <v>564</v>
      </c>
      <c r="AF14" s="525" t="s">
        <v>564</v>
      </c>
      <c r="AG14" s="525" t="s">
        <v>564</v>
      </c>
      <c r="AH14" s="523" t="e">
        <f t="shared" si="9"/>
        <v>#VALUE!</v>
      </c>
      <c r="AI14" s="708"/>
      <c r="AJ14" s="523" t="s">
        <v>564</v>
      </c>
      <c r="AK14" s="525" t="s">
        <v>564</v>
      </c>
      <c r="AL14" s="525" t="s">
        <v>564</v>
      </c>
      <c r="AM14" s="523" t="e">
        <f t="shared" si="11"/>
        <v>#VALUE!</v>
      </c>
      <c r="AN14" s="708"/>
      <c r="AO14" s="523" t="s">
        <v>564</v>
      </c>
      <c r="AP14" s="525" t="s">
        <v>564</v>
      </c>
      <c r="AQ14" s="525" t="s">
        <v>564</v>
      </c>
      <c r="AR14" s="523" t="e">
        <f t="shared" si="13"/>
        <v>#VALUE!</v>
      </c>
      <c r="AS14" s="708"/>
      <c r="AT14" s="523" t="s">
        <v>564</v>
      </c>
      <c r="AU14" s="525" t="s">
        <v>564</v>
      </c>
      <c r="AV14" s="525" t="s">
        <v>564</v>
      </c>
      <c r="AW14" s="523" t="e">
        <f t="shared" si="15"/>
        <v>#VALUE!</v>
      </c>
      <c r="AX14" s="708"/>
      <c r="AZ14" s="361" t="e">
        <f t="shared" si="17"/>
        <v>#N/A</v>
      </c>
      <c r="BA14" s="708"/>
    </row>
    <row r="15" spans="1:53" ht="14.25">
      <c r="A15" s="81"/>
      <c r="B15" s="692"/>
      <c r="C15" s="495">
        <v>9</v>
      </c>
      <c r="D15" s="516"/>
      <c r="E15" s="516"/>
      <c r="F15" s="516"/>
      <c r="G15" s="518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23" t="s">
        <v>564</v>
      </c>
      <c r="Q15" s="525" t="s">
        <v>564</v>
      </c>
      <c r="R15" s="525" t="s">
        <v>564</v>
      </c>
      <c r="S15" s="523" t="e">
        <f t="shared" si="3"/>
        <v>#VALUE!</v>
      </c>
      <c r="T15" s="708"/>
      <c r="U15" s="523" t="s">
        <v>564</v>
      </c>
      <c r="V15" s="525" t="s">
        <v>564</v>
      </c>
      <c r="W15" s="525" t="s">
        <v>564</v>
      </c>
      <c r="X15" s="523" t="e">
        <f t="shared" si="5"/>
        <v>#VALUE!</v>
      </c>
      <c r="Y15" s="708"/>
      <c r="Z15" s="523" t="s">
        <v>564</v>
      </c>
      <c r="AA15" s="525" t="s">
        <v>564</v>
      </c>
      <c r="AB15" s="525" t="s">
        <v>564</v>
      </c>
      <c r="AC15" s="523" t="e">
        <f t="shared" si="7"/>
        <v>#VALUE!</v>
      </c>
      <c r="AD15" s="708"/>
      <c r="AE15" s="523" t="s">
        <v>564</v>
      </c>
      <c r="AF15" s="525" t="s">
        <v>564</v>
      </c>
      <c r="AG15" s="525" t="s">
        <v>564</v>
      </c>
      <c r="AH15" s="523" t="e">
        <f t="shared" si="9"/>
        <v>#VALUE!</v>
      </c>
      <c r="AI15" s="708"/>
      <c r="AJ15" s="523" t="s">
        <v>564</v>
      </c>
      <c r="AK15" s="525" t="s">
        <v>564</v>
      </c>
      <c r="AL15" s="525" t="s">
        <v>564</v>
      </c>
      <c r="AM15" s="523" t="e">
        <f t="shared" si="11"/>
        <v>#VALUE!</v>
      </c>
      <c r="AN15" s="708"/>
      <c r="AO15" s="523" t="s">
        <v>564</v>
      </c>
      <c r="AP15" s="525" t="s">
        <v>564</v>
      </c>
      <c r="AQ15" s="525" t="s">
        <v>564</v>
      </c>
      <c r="AR15" s="523" t="e">
        <f t="shared" si="13"/>
        <v>#VALUE!</v>
      </c>
      <c r="AS15" s="708"/>
      <c r="AT15" s="523" t="s">
        <v>564</v>
      </c>
      <c r="AU15" s="525" t="s">
        <v>564</v>
      </c>
      <c r="AV15" s="525" t="s">
        <v>564</v>
      </c>
      <c r="AW15" s="523" t="e">
        <f t="shared" si="15"/>
        <v>#VALUE!</v>
      </c>
      <c r="AX15" s="708"/>
      <c r="AZ15" s="361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516"/>
      <c r="E16" s="516"/>
      <c r="F16" s="516"/>
      <c r="G16" s="518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23" t="s">
        <v>564</v>
      </c>
      <c r="Q16" s="525" t="s">
        <v>564</v>
      </c>
      <c r="R16" s="525" t="s">
        <v>564</v>
      </c>
      <c r="S16" s="523" t="e">
        <f t="shared" si="3"/>
        <v>#VALUE!</v>
      </c>
      <c r="T16" s="708"/>
      <c r="U16" s="523" t="s">
        <v>564</v>
      </c>
      <c r="V16" s="525" t="s">
        <v>564</v>
      </c>
      <c r="W16" s="525" t="s">
        <v>564</v>
      </c>
      <c r="X16" s="523" t="e">
        <f t="shared" si="5"/>
        <v>#VALUE!</v>
      </c>
      <c r="Y16" s="708"/>
      <c r="Z16" s="523" t="s">
        <v>564</v>
      </c>
      <c r="AA16" s="525" t="s">
        <v>564</v>
      </c>
      <c r="AB16" s="525" t="s">
        <v>564</v>
      </c>
      <c r="AC16" s="523" t="e">
        <f t="shared" si="7"/>
        <v>#VALUE!</v>
      </c>
      <c r="AD16" s="708"/>
      <c r="AE16" s="523" t="s">
        <v>564</v>
      </c>
      <c r="AF16" s="525" t="s">
        <v>564</v>
      </c>
      <c r="AG16" s="525" t="s">
        <v>564</v>
      </c>
      <c r="AH16" s="523" t="e">
        <f t="shared" si="9"/>
        <v>#VALUE!</v>
      </c>
      <c r="AI16" s="708"/>
      <c r="AJ16" s="523" t="s">
        <v>564</v>
      </c>
      <c r="AK16" s="525" t="s">
        <v>564</v>
      </c>
      <c r="AL16" s="525" t="s">
        <v>564</v>
      </c>
      <c r="AM16" s="523" t="e">
        <f t="shared" si="11"/>
        <v>#VALUE!</v>
      </c>
      <c r="AN16" s="708"/>
      <c r="AO16" s="523" t="s">
        <v>564</v>
      </c>
      <c r="AP16" s="525" t="s">
        <v>564</v>
      </c>
      <c r="AQ16" s="525" t="s">
        <v>564</v>
      </c>
      <c r="AR16" s="523" t="e">
        <f t="shared" si="13"/>
        <v>#VALUE!</v>
      </c>
      <c r="AS16" s="708"/>
      <c r="AT16" s="523" t="s">
        <v>564</v>
      </c>
      <c r="AU16" s="525" t="s">
        <v>564</v>
      </c>
      <c r="AV16" s="525" t="s">
        <v>564</v>
      </c>
      <c r="AW16" s="523" t="e">
        <f t="shared" si="15"/>
        <v>#VALUE!</v>
      </c>
      <c r="AX16" s="708"/>
      <c r="AZ16" s="361" t="e">
        <f t="shared" si="17"/>
        <v>#N/A</v>
      </c>
      <c r="BA16" s="708"/>
    </row>
    <row r="17" spans="2:53">
      <c r="B17" s="692"/>
      <c r="C17" s="495">
        <v>11</v>
      </c>
      <c r="D17" s="516"/>
      <c r="E17" s="516"/>
      <c r="F17" s="516"/>
      <c r="G17" s="518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23" t="s">
        <v>564</v>
      </c>
      <c r="Q17" s="525" t="s">
        <v>564</v>
      </c>
      <c r="R17" s="525" t="s">
        <v>564</v>
      </c>
      <c r="S17" s="523" t="e">
        <f t="shared" si="3"/>
        <v>#VALUE!</v>
      </c>
      <c r="T17" s="708"/>
      <c r="U17" s="523" t="s">
        <v>564</v>
      </c>
      <c r="V17" s="525" t="s">
        <v>564</v>
      </c>
      <c r="W17" s="525" t="s">
        <v>564</v>
      </c>
      <c r="X17" s="523" t="e">
        <f t="shared" si="5"/>
        <v>#VALUE!</v>
      </c>
      <c r="Y17" s="708"/>
      <c r="Z17" s="523" t="s">
        <v>564</v>
      </c>
      <c r="AA17" s="525" t="s">
        <v>564</v>
      </c>
      <c r="AB17" s="525" t="s">
        <v>564</v>
      </c>
      <c r="AC17" s="523" t="e">
        <f t="shared" si="7"/>
        <v>#VALUE!</v>
      </c>
      <c r="AD17" s="708"/>
      <c r="AE17" s="523" t="s">
        <v>564</v>
      </c>
      <c r="AF17" s="525" t="s">
        <v>564</v>
      </c>
      <c r="AG17" s="525" t="s">
        <v>564</v>
      </c>
      <c r="AH17" s="523" t="e">
        <f t="shared" si="9"/>
        <v>#VALUE!</v>
      </c>
      <c r="AI17" s="708"/>
      <c r="AJ17" s="523" t="s">
        <v>564</v>
      </c>
      <c r="AK17" s="525" t="s">
        <v>564</v>
      </c>
      <c r="AL17" s="525" t="s">
        <v>564</v>
      </c>
      <c r="AM17" s="523" t="e">
        <f t="shared" si="11"/>
        <v>#VALUE!</v>
      </c>
      <c r="AN17" s="708"/>
      <c r="AO17" s="523" t="s">
        <v>564</v>
      </c>
      <c r="AP17" s="525" t="s">
        <v>564</v>
      </c>
      <c r="AQ17" s="525" t="s">
        <v>564</v>
      </c>
      <c r="AR17" s="523" t="e">
        <f t="shared" si="13"/>
        <v>#VALUE!</v>
      </c>
      <c r="AS17" s="708"/>
      <c r="AT17" s="523" t="s">
        <v>564</v>
      </c>
      <c r="AU17" s="525" t="s">
        <v>564</v>
      </c>
      <c r="AV17" s="525" t="s">
        <v>564</v>
      </c>
      <c r="AW17" s="523" t="e">
        <f t="shared" si="15"/>
        <v>#VALUE!</v>
      </c>
      <c r="AX17" s="708"/>
      <c r="AZ17" s="361" t="e">
        <f t="shared" si="17"/>
        <v>#N/A</v>
      </c>
      <c r="BA17" s="708"/>
    </row>
    <row r="18" spans="2:53">
      <c r="B18" s="692"/>
      <c r="C18" s="495">
        <v>12</v>
      </c>
      <c r="D18" s="516"/>
      <c r="E18" s="516"/>
      <c r="F18" s="516"/>
      <c r="G18" s="518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23" t="s">
        <v>564</v>
      </c>
      <c r="Q18" s="525" t="s">
        <v>564</v>
      </c>
      <c r="R18" s="525" t="s">
        <v>564</v>
      </c>
      <c r="S18" s="523" t="e">
        <f t="shared" si="3"/>
        <v>#VALUE!</v>
      </c>
      <c r="T18" s="708"/>
      <c r="U18" s="523" t="s">
        <v>564</v>
      </c>
      <c r="V18" s="525" t="s">
        <v>564</v>
      </c>
      <c r="W18" s="525" t="s">
        <v>564</v>
      </c>
      <c r="X18" s="523" t="e">
        <f t="shared" si="5"/>
        <v>#VALUE!</v>
      </c>
      <c r="Y18" s="708"/>
      <c r="Z18" s="523" t="s">
        <v>564</v>
      </c>
      <c r="AA18" s="525" t="s">
        <v>564</v>
      </c>
      <c r="AB18" s="525" t="s">
        <v>564</v>
      </c>
      <c r="AC18" s="523" t="e">
        <f t="shared" si="7"/>
        <v>#VALUE!</v>
      </c>
      <c r="AD18" s="708"/>
      <c r="AE18" s="523" t="s">
        <v>564</v>
      </c>
      <c r="AF18" s="525" t="s">
        <v>564</v>
      </c>
      <c r="AG18" s="525" t="s">
        <v>564</v>
      </c>
      <c r="AH18" s="523" t="e">
        <f t="shared" si="9"/>
        <v>#VALUE!</v>
      </c>
      <c r="AI18" s="708"/>
      <c r="AJ18" s="523" t="s">
        <v>564</v>
      </c>
      <c r="AK18" s="525" t="s">
        <v>564</v>
      </c>
      <c r="AL18" s="525" t="s">
        <v>564</v>
      </c>
      <c r="AM18" s="523" t="e">
        <f t="shared" si="11"/>
        <v>#VALUE!</v>
      </c>
      <c r="AN18" s="708"/>
      <c r="AO18" s="523" t="s">
        <v>564</v>
      </c>
      <c r="AP18" s="525" t="s">
        <v>564</v>
      </c>
      <c r="AQ18" s="525" t="s">
        <v>564</v>
      </c>
      <c r="AR18" s="523" t="e">
        <f t="shared" si="13"/>
        <v>#VALUE!</v>
      </c>
      <c r="AS18" s="708"/>
      <c r="AT18" s="523" t="s">
        <v>564</v>
      </c>
      <c r="AU18" s="525" t="s">
        <v>564</v>
      </c>
      <c r="AV18" s="525" t="s">
        <v>564</v>
      </c>
      <c r="AW18" s="523" t="e">
        <f t="shared" si="15"/>
        <v>#VALUE!</v>
      </c>
      <c r="AX18" s="708"/>
      <c r="AZ18" s="361" t="e">
        <f t="shared" si="17"/>
        <v>#N/A</v>
      </c>
      <c r="BA18" s="708"/>
    </row>
    <row r="19" spans="2:53">
      <c r="B19" s="692"/>
      <c r="C19" s="495">
        <v>13</v>
      </c>
      <c r="D19" s="516"/>
      <c r="E19" s="516"/>
      <c r="F19" s="516"/>
      <c r="G19" s="518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23" t="s">
        <v>564</v>
      </c>
      <c r="Q19" s="525" t="s">
        <v>564</v>
      </c>
      <c r="R19" s="525" t="s">
        <v>564</v>
      </c>
      <c r="S19" s="523" t="e">
        <f t="shared" si="3"/>
        <v>#VALUE!</v>
      </c>
      <c r="T19" s="708"/>
      <c r="U19" s="523" t="s">
        <v>564</v>
      </c>
      <c r="V19" s="525" t="s">
        <v>564</v>
      </c>
      <c r="W19" s="525" t="s">
        <v>564</v>
      </c>
      <c r="X19" s="523" t="e">
        <f t="shared" si="5"/>
        <v>#VALUE!</v>
      </c>
      <c r="Y19" s="708"/>
      <c r="Z19" s="523" t="s">
        <v>564</v>
      </c>
      <c r="AA19" s="525" t="s">
        <v>564</v>
      </c>
      <c r="AB19" s="525" t="s">
        <v>564</v>
      </c>
      <c r="AC19" s="523" t="e">
        <f t="shared" si="7"/>
        <v>#VALUE!</v>
      </c>
      <c r="AD19" s="708"/>
      <c r="AE19" s="523" t="s">
        <v>564</v>
      </c>
      <c r="AF19" s="525" t="s">
        <v>564</v>
      </c>
      <c r="AG19" s="525" t="s">
        <v>564</v>
      </c>
      <c r="AH19" s="523" t="e">
        <f t="shared" si="9"/>
        <v>#VALUE!</v>
      </c>
      <c r="AI19" s="708"/>
      <c r="AJ19" s="523" t="s">
        <v>564</v>
      </c>
      <c r="AK19" s="525" t="s">
        <v>564</v>
      </c>
      <c r="AL19" s="525" t="s">
        <v>564</v>
      </c>
      <c r="AM19" s="523" t="e">
        <f t="shared" si="11"/>
        <v>#VALUE!</v>
      </c>
      <c r="AN19" s="708"/>
      <c r="AO19" s="523" t="s">
        <v>564</v>
      </c>
      <c r="AP19" s="525" t="s">
        <v>564</v>
      </c>
      <c r="AQ19" s="525" t="s">
        <v>564</v>
      </c>
      <c r="AR19" s="523" t="e">
        <f t="shared" si="13"/>
        <v>#VALUE!</v>
      </c>
      <c r="AS19" s="708"/>
      <c r="AT19" s="523" t="s">
        <v>564</v>
      </c>
      <c r="AU19" s="525" t="s">
        <v>564</v>
      </c>
      <c r="AV19" s="525" t="s">
        <v>564</v>
      </c>
      <c r="AW19" s="523" t="e">
        <f t="shared" si="15"/>
        <v>#VALUE!</v>
      </c>
      <c r="AX19" s="708"/>
      <c r="AZ19" s="361" t="e">
        <f t="shared" si="17"/>
        <v>#N/A</v>
      </c>
      <c r="BA19" s="708"/>
    </row>
    <row r="20" spans="2:53">
      <c r="B20" s="692"/>
      <c r="C20" s="495">
        <v>14</v>
      </c>
      <c r="D20" s="516"/>
      <c r="E20" s="516"/>
      <c r="F20" s="516"/>
      <c r="G20" s="518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23" t="s">
        <v>564</v>
      </c>
      <c r="Q20" s="525" t="s">
        <v>564</v>
      </c>
      <c r="R20" s="525" t="s">
        <v>564</v>
      </c>
      <c r="S20" s="523" t="e">
        <f t="shared" si="3"/>
        <v>#VALUE!</v>
      </c>
      <c r="T20" s="708"/>
      <c r="U20" s="523" t="s">
        <v>564</v>
      </c>
      <c r="V20" s="525" t="s">
        <v>564</v>
      </c>
      <c r="W20" s="525" t="s">
        <v>564</v>
      </c>
      <c r="X20" s="523" t="e">
        <f t="shared" si="5"/>
        <v>#VALUE!</v>
      </c>
      <c r="Y20" s="708"/>
      <c r="Z20" s="523" t="s">
        <v>564</v>
      </c>
      <c r="AA20" s="525" t="s">
        <v>564</v>
      </c>
      <c r="AB20" s="525" t="s">
        <v>564</v>
      </c>
      <c r="AC20" s="523" t="e">
        <f t="shared" si="7"/>
        <v>#VALUE!</v>
      </c>
      <c r="AD20" s="708"/>
      <c r="AE20" s="523" t="s">
        <v>564</v>
      </c>
      <c r="AF20" s="525" t="s">
        <v>564</v>
      </c>
      <c r="AG20" s="525" t="s">
        <v>564</v>
      </c>
      <c r="AH20" s="523" t="e">
        <f t="shared" si="9"/>
        <v>#VALUE!</v>
      </c>
      <c r="AI20" s="708"/>
      <c r="AJ20" s="523" t="s">
        <v>564</v>
      </c>
      <c r="AK20" s="525" t="s">
        <v>564</v>
      </c>
      <c r="AL20" s="525" t="s">
        <v>564</v>
      </c>
      <c r="AM20" s="523" t="e">
        <f t="shared" si="11"/>
        <v>#VALUE!</v>
      </c>
      <c r="AN20" s="708"/>
      <c r="AO20" s="523" t="s">
        <v>564</v>
      </c>
      <c r="AP20" s="525" t="s">
        <v>564</v>
      </c>
      <c r="AQ20" s="525" t="s">
        <v>564</v>
      </c>
      <c r="AR20" s="523" t="e">
        <f t="shared" si="13"/>
        <v>#VALUE!</v>
      </c>
      <c r="AS20" s="708"/>
      <c r="AT20" s="523" t="s">
        <v>564</v>
      </c>
      <c r="AU20" s="525" t="s">
        <v>564</v>
      </c>
      <c r="AV20" s="525" t="s">
        <v>564</v>
      </c>
      <c r="AW20" s="523" t="e">
        <f t="shared" si="15"/>
        <v>#VALUE!</v>
      </c>
      <c r="AX20" s="708"/>
      <c r="AZ20" s="361" t="e">
        <f t="shared" si="17"/>
        <v>#N/A</v>
      </c>
      <c r="BA20" s="708"/>
    </row>
    <row r="21" spans="2:53">
      <c r="B21" s="692"/>
      <c r="C21" s="495">
        <v>15</v>
      </c>
      <c r="D21" s="516"/>
      <c r="E21" s="516"/>
      <c r="F21" s="516"/>
      <c r="G21" s="516"/>
      <c r="H21" s="707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46"/>
      <c r="M21" s="477" t="e">
        <f>RANK(K21, K$7:$K$21)</f>
        <v>#VALUE!</v>
      </c>
      <c r="N21" s="663"/>
      <c r="O21" s="663"/>
      <c r="P21" s="524" t="s">
        <v>564</v>
      </c>
      <c r="Q21" s="477" t="s">
        <v>564</v>
      </c>
      <c r="R21" s="477" t="s">
        <v>564</v>
      </c>
      <c r="S21" s="523" t="e">
        <f t="shared" si="3"/>
        <v>#VALUE!</v>
      </c>
      <c r="T21" s="708"/>
      <c r="U21" s="524" t="s">
        <v>564</v>
      </c>
      <c r="V21" s="477" t="s">
        <v>564</v>
      </c>
      <c r="W21" s="477" t="s">
        <v>564</v>
      </c>
      <c r="X21" s="523" t="e">
        <f t="shared" si="5"/>
        <v>#VALUE!</v>
      </c>
      <c r="Y21" s="708"/>
      <c r="Z21" s="524" t="s">
        <v>564</v>
      </c>
      <c r="AA21" s="477" t="s">
        <v>564</v>
      </c>
      <c r="AB21" s="477" t="s">
        <v>564</v>
      </c>
      <c r="AC21" s="523" t="e">
        <f t="shared" si="7"/>
        <v>#VALUE!</v>
      </c>
      <c r="AD21" s="708"/>
      <c r="AE21" s="524" t="s">
        <v>564</v>
      </c>
      <c r="AF21" s="477" t="s">
        <v>564</v>
      </c>
      <c r="AG21" s="477" t="s">
        <v>564</v>
      </c>
      <c r="AH21" s="523" t="e">
        <f t="shared" si="9"/>
        <v>#VALUE!</v>
      </c>
      <c r="AI21" s="708"/>
      <c r="AJ21" s="524" t="s">
        <v>564</v>
      </c>
      <c r="AK21" s="477" t="s">
        <v>564</v>
      </c>
      <c r="AL21" s="477" t="s">
        <v>564</v>
      </c>
      <c r="AM21" s="523" t="e">
        <f t="shared" si="11"/>
        <v>#VALUE!</v>
      </c>
      <c r="AN21" s="708"/>
      <c r="AO21" s="524" t="s">
        <v>564</v>
      </c>
      <c r="AP21" s="477" t="s">
        <v>564</v>
      </c>
      <c r="AQ21" s="477" t="s">
        <v>564</v>
      </c>
      <c r="AR21" s="523" t="e">
        <f t="shared" si="13"/>
        <v>#VALUE!</v>
      </c>
      <c r="AS21" s="708"/>
      <c r="AT21" s="524" t="s">
        <v>564</v>
      </c>
      <c r="AU21" s="477" t="s">
        <v>564</v>
      </c>
      <c r="AV21" s="477" t="s">
        <v>564</v>
      </c>
      <c r="AW21" s="523" t="e">
        <f t="shared" si="15"/>
        <v>#VALUE!</v>
      </c>
      <c r="AX21" s="708"/>
      <c r="AZ21" s="361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537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63" t="s">
        <v>364</v>
      </c>
      <c r="J24" s="663"/>
      <c r="K24" s="663"/>
      <c r="L24" s="679" t="s">
        <v>359</v>
      </c>
      <c r="M24" s="66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63" t="s">
        <v>366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7" t="s">
        <v>368</v>
      </c>
      <c r="J26" s="367" t="s">
        <v>369</v>
      </c>
      <c r="K26" s="367" t="s">
        <v>370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62" t="s">
        <v>360</v>
      </c>
      <c r="BA26" s="663"/>
    </row>
    <row r="27" spans="2:53">
      <c r="B27" s="706" t="s">
        <v>539</v>
      </c>
      <c r="C27" s="369">
        <v>1</v>
      </c>
      <c r="D27" s="515" t="s">
        <v>554</v>
      </c>
      <c r="E27" s="516">
        <v>10</v>
      </c>
      <c r="F27" s="516">
        <v>1500</v>
      </c>
      <c r="G27" s="518">
        <v>150</v>
      </c>
      <c r="H27" s="702">
        <f>AVERAGE(G27:G41)</f>
        <v>127.5</v>
      </c>
      <c r="I27" s="370">
        <f t="shared" ref="I27:I41" si="19">IFERROR(AVERAGE(P27,U27,Z27,AE27,AJ27,AO27,AT27),"-")</f>
        <v>10</v>
      </c>
      <c r="J27" s="370">
        <f t="shared" ref="J27:J41" si="20">IFERROR(AVERAGE(Q27,V27,AA27,AF27,AK27,AP27,AU27),"-")</f>
        <v>1461.8181818181831</v>
      </c>
      <c r="K27" s="194">
        <f t="shared" ref="K27:K41" si="21">IFERROR(AVERAGE(R27,W27,AB27,AG27,AL27,AQ27,AV27),"-")</f>
        <v>146.18181818181827</v>
      </c>
      <c r="L27" s="644">
        <f>IFERROR(AVERAGE(K27:K41),"-")</f>
        <v>142.29811815231</v>
      </c>
      <c r="M27" s="373">
        <f>RANK(K27, K$27:$K$41)</f>
        <v>1</v>
      </c>
      <c r="N27" s="663"/>
      <c r="O27" s="663"/>
      <c r="P27" s="541">
        <v>10</v>
      </c>
      <c r="Q27" s="542">
        <v>1373.4545454545464</v>
      </c>
      <c r="R27" s="542">
        <v>137.34545454545463</v>
      </c>
      <c r="S27" s="541">
        <f t="shared" ref="S27:S41" si="22">RANK(R27, R$27:R$41)</f>
        <v>3</v>
      </c>
      <c r="T27" s="672">
        <f t="shared" ref="T27" si="23">AVERAGE(R27:R41)</f>
        <v>137.10186480186496</v>
      </c>
      <c r="U27" s="541">
        <v>10</v>
      </c>
      <c r="V27" s="542">
        <v>1491.6000000000029</v>
      </c>
      <c r="W27" s="542">
        <v>149.16000000000028</v>
      </c>
      <c r="X27" s="541">
        <f t="shared" ref="X27:X41" si="24">RANK(W27, W$27:W$41)</f>
        <v>1</v>
      </c>
      <c r="Y27" s="672">
        <f t="shared" ref="Y27" si="25">AVERAGE(W27:W41)</f>
        <v>141.1344976076557</v>
      </c>
      <c r="Z27" s="541">
        <v>10</v>
      </c>
      <c r="AA27" s="542">
        <v>1436.4000000000005</v>
      </c>
      <c r="AB27" s="542">
        <v>143.64000000000004</v>
      </c>
      <c r="AC27" s="541">
        <f t="shared" ref="AC27:AC41" si="26">RANK(AB27, AB$27:AB$41)</f>
        <v>3</v>
      </c>
      <c r="AD27" s="672">
        <f t="shared" ref="AD27" si="27">AVERAGE(AB27:AB41)</f>
        <v>144.95648292883601</v>
      </c>
      <c r="AE27" s="541">
        <v>10</v>
      </c>
      <c r="AF27" s="542">
        <v>1520.9999999999995</v>
      </c>
      <c r="AG27" s="542">
        <v>152.09999999999997</v>
      </c>
      <c r="AH27" s="541">
        <f t="shared" ref="AH27:AH41" si="28">RANK(AG27, AG$27:AG$41)</f>
        <v>1</v>
      </c>
      <c r="AI27" s="672">
        <f t="shared" ref="AI27" si="29">AVERAGE(AG27:AG41)</f>
        <v>146.22812500000015</v>
      </c>
      <c r="AJ27" s="541">
        <v>10</v>
      </c>
      <c r="AK27" s="542">
        <v>1418.9999999999995</v>
      </c>
      <c r="AL27" s="542">
        <v>141.89999999999995</v>
      </c>
      <c r="AM27" s="541">
        <f t="shared" ref="AM27:AM41" si="30">RANK(AL27, AL$27:AL$41)</f>
        <v>3</v>
      </c>
      <c r="AN27" s="672">
        <f t="shared" ref="AN27" si="31">AVERAGE(AL27:AL41)</f>
        <v>142.61944444444421</v>
      </c>
      <c r="AO27" s="541">
        <v>10</v>
      </c>
      <c r="AP27" s="542">
        <v>1455.2727272727284</v>
      </c>
      <c r="AQ27" s="542">
        <v>145.52727272727284</v>
      </c>
      <c r="AR27" s="541">
        <f t="shared" ref="AR27:AR41" si="32">RANK(AQ27, AQ$27:AQ$41)</f>
        <v>1</v>
      </c>
      <c r="AS27" s="672">
        <f t="shared" ref="AS27" si="33">AVERAGE(AQ27:AQ41)</f>
        <v>140.61530860443921</v>
      </c>
      <c r="AT27" s="541">
        <v>10</v>
      </c>
      <c r="AU27" s="542">
        <v>1536.0000000000032</v>
      </c>
      <c r="AV27" s="542">
        <v>153.60000000000031</v>
      </c>
      <c r="AW27" s="541">
        <f t="shared" ref="AW27:AW41" si="34">RANK(AV27, AV$27:AV$41)</f>
        <v>1</v>
      </c>
      <c r="AX27" s="672">
        <f t="shared" ref="AX27" si="35">AVERAGE(AV27:AV41)</f>
        <v>143.43110367892973</v>
      </c>
      <c r="AZ27" s="361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516" t="s">
        <v>569</v>
      </c>
      <c r="E28" s="516">
        <v>15</v>
      </c>
      <c r="F28" s="516">
        <v>1800</v>
      </c>
      <c r="G28" s="518">
        <v>120</v>
      </c>
      <c r="H28" s="703"/>
      <c r="I28" s="370">
        <f t="shared" si="19"/>
        <v>12.714285714285714</v>
      </c>
      <c r="J28" s="370">
        <f t="shared" si="20"/>
        <v>1795.909279126671</v>
      </c>
      <c r="K28" s="194">
        <f t="shared" si="21"/>
        <v>141.40816188642276</v>
      </c>
      <c r="L28" s="645"/>
      <c r="M28" s="376">
        <f>RANK(K28, K$27:$K$41)</f>
        <v>3</v>
      </c>
      <c r="N28" s="663"/>
      <c r="O28" s="663"/>
      <c r="P28" s="541">
        <v>13</v>
      </c>
      <c r="Q28" s="542">
        <v>1797.2727272727284</v>
      </c>
      <c r="R28" s="542">
        <v>138.25174825174832</v>
      </c>
      <c r="S28" s="541">
        <f t="shared" si="22"/>
        <v>2</v>
      </c>
      <c r="T28" s="673"/>
      <c r="U28" s="541">
        <v>13</v>
      </c>
      <c r="V28" s="542">
        <v>1809.272727272727</v>
      </c>
      <c r="W28" s="542">
        <v>139.17482517482514</v>
      </c>
      <c r="X28" s="541">
        <f t="shared" si="24"/>
        <v>3</v>
      </c>
      <c r="Y28" s="673"/>
      <c r="Z28" s="541">
        <v>13</v>
      </c>
      <c r="AA28" s="542">
        <v>1796.181818181818</v>
      </c>
      <c r="AB28" s="542">
        <v>138.16783216783216</v>
      </c>
      <c r="AC28" s="541">
        <f t="shared" si="26"/>
        <v>4</v>
      </c>
      <c r="AD28" s="673"/>
      <c r="AE28" s="541">
        <v>12</v>
      </c>
      <c r="AF28" s="542">
        <v>1804</v>
      </c>
      <c r="AG28" s="542">
        <v>150.33333333333334</v>
      </c>
      <c r="AH28" s="541">
        <f t="shared" si="28"/>
        <v>2</v>
      </c>
      <c r="AI28" s="673"/>
      <c r="AJ28" s="541">
        <v>12</v>
      </c>
      <c r="AK28" s="542">
        <v>1757.3333333333333</v>
      </c>
      <c r="AL28" s="542">
        <v>146.44444444444443</v>
      </c>
      <c r="AM28" s="541">
        <f t="shared" si="30"/>
        <v>2</v>
      </c>
      <c r="AN28" s="673"/>
      <c r="AO28" s="541">
        <v>13</v>
      </c>
      <c r="AP28" s="542">
        <v>1826.0869565217395</v>
      </c>
      <c r="AQ28" s="542">
        <v>140.46822742474919</v>
      </c>
      <c r="AR28" s="541">
        <f t="shared" si="32"/>
        <v>2</v>
      </c>
      <c r="AS28" s="673"/>
      <c r="AT28" s="541">
        <v>13</v>
      </c>
      <c r="AU28" s="542">
        <v>1781.2173913043491</v>
      </c>
      <c r="AV28" s="542">
        <v>137.01672240802685</v>
      </c>
      <c r="AW28" s="541">
        <f t="shared" si="34"/>
        <v>4</v>
      </c>
      <c r="AX28" s="673"/>
      <c r="AZ28" s="361" t="e">
        <f t="shared" si="36"/>
        <v>#N/A</v>
      </c>
      <c r="BA28" s="673"/>
    </row>
    <row r="29" spans="2:53">
      <c r="B29" s="671"/>
      <c r="C29" s="369">
        <v>3</v>
      </c>
      <c r="D29" s="516" t="s">
        <v>570</v>
      </c>
      <c r="E29" s="516">
        <v>15</v>
      </c>
      <c r="F29" s="516">
        <v>1800</v>
      </c>
      <c r="G29" s="518">
        <v>120</v>
      </c>
      <c r="H29" s="703"/>
      <c r="I29" s="370">
        <f t="shared" si="19"/>
        <v>12.714285714285714</v>
      </c>
      <c r="J29" s="370">
        <f t="shared" si="20"/>
        <v>1853.1838640719454</v>
      </c>
      <c r="K29" s="194">
        <f t="shared" si="21"/>
        <v>145.86336500187124</v>
      </c>
      <c r="L29" s="645"/>
      <c r="M29" s="376">
        <f>RANK(K29, K$27:$K$41)</f>
        <v>2</v>
      </c>
      <c r="N29" s="663"/>
      <c r="O29" s="663"/>
      <c r="P29" s="541">
        <v>13</v>
      </c>
      <c r="Q29" s="542">
        <v>1919.3333333333333</v>
      </c>
      <c r="R29" s="542">
        <v>147.64102564102564</v>
      </c>
      <c r="S29" s="541">
        <f t="shared" si="22"/>
        <v>1</v>
      </c>
      <c r="T29" s="673"/>
      <c r="U29" s="541">
        <v>13</v>
      </c>
      <c r="V29" s="542">
        <v>1823.3684210526319</v>
      </c>
      <c r="W29" s="542">
        <v>140.25910931174093</v>
      </c>
      <c r="X29" s="541">
        <f t="shared" si="24"/>
        <v>2</v>
      </c>
      <c r="Y29" s="673"/>
      <c r="Z29" s="541">
        <v>13</v>
      </c>
      <c r="AA29" s="542">
        <v>1996.2352941176468</v>
      </c>
      <c r="AB29" s="542">
        <v>153.55656108597285</v>
      </c>
      <c r="AC29" s="541">
        <f t="shared" si="26"/>
        <v>1</v>
      </c>
      <c r="AD29" s="673"/>
      <c r="AE29" s="541">
        <v>12</v>
      </c>
      <c r="AF29" s="542">
        <v>1785.750000000003</v>
      </c>
      <c r="AG29" s="542">
        <v>148.81250000000026</v>
      </c>
      <c r="AH29" s="541">
        <f t="shared" si="28"/>
        <v>3</v>
      </c>
      <c r="AI29" s="673"/>
      <c r="AJ29" s="541">
        <v>12</v>
      </c>
      <c r="AK29" s="542">
        <v>1829.6000000000008</v>
      </c>
      <c r="AL29" s="542">
        <v>152.46666666666673</v>
      </c>
      <c r="AM29" s="541">
        <f t="shared" si="30"/>
        <v>1</v>
      </c>
      <c r="AN29" s="673"/>
      <c r="AO29" s="541">
        <v>13</v>
      </c>
      <c r="AP29" s="542">
        <v>1818.6000000000006</v>
      </c>
      <c r="AQ29" s="542">
        <v>139.89230769230772</v>
      </c>
      <c r="AR29" s="541">
        <f t="shared" si="32"/>
        <v>3</v>
      </c>
      <c r="AS29" s="673"/>
      <c r="AT29" s="541">
        <v>13</v>
      </c>
      <c r="AU29" s="542">
        <v>1799.4000000000005</v>
      </c>
      <c r="AV29" s="542">
        <v>138.41538461538465</v>
      </c>
      <c r="AW29" s="541">
        <f t="shared" si="34"/>
        <v>3</v>
      </c>
      <c r="AX29" s="673"/>
      <c r="AZ29" s="361" t="e">
        <f t="shared" si="36"/>
        <v>#N/A</v>
      </c>
      <c r="BA29" s="673"/>
    </row>
    <row r="30" spans="2:53">
      <c r="B30" s="671"/>
      <c r="C30" s="369">
        <v>4</v>
      </c>
      <c r="D30" s="516" t="s">
        <v>653</v>
      </c>
      <c r="E30" s="516">
        <v>18</v>
      </c>
      <c r="F30" s="516">
        <v>1800</v>
      </c>
      <c r="G30" s="518">
        <v>120</v>
      </c>
      <c r="H30" s="703"/>
      <c r="I30" s="370">
        <f t="shared" si="19"/>
        <v>12.714285714285714</v>
      </c>
      <c r="J30" s="370">
        <f t="shared" si="20"/>
        <v>1726.9896103896117</v>
      </c>
      <c r="K30" s="194">
        <f t="shared" si="21"/>
        <v>135.73912753912765</v>
      </c>
      <c r="L30" s="645"/>
      <c r="M30" s="376">
        <f>RANK(K30, K$27:$K$41)</f>
        <v>4</v>
      </c>
      <c r="N30" s="663"/>
      <c r="O30" s="663"/>
      <c r="P30" s="541">
        <v>13</v>
      </c>
      <c r="Q30" s="542">
        <v>1627.2000000000057</v>
      </c>
      <c r="R30" s="542">
        <v>125.16923076923121</v>
      </c>
      <c r="S30" s="541">
        <f t="shared" si="22"/>
        <v>4</v>
      </c>
      <c r="T30" s="673"/>
      <c r="U30" s="541">
        <v>13</v>
      </c>
      <c r="V30" s="542">
        <v>1767.2727272727336</v>
      </c>
      <c r="W30" s="542">
        <v>135.94405594405643</v>
      </c>
      <c r="X30" s="541">
        <f t="shared" si="24"/>
        <v>4</v>
      </c>
      <c r="Y30" s="673"/>
      <c r="Z30" s="541">
        <v>13</v>
      </c>
      <c r="AA30" s="542">
        <v>1878.0000000000066</v>
      </c>
      <c r="AB30" s="542">
        <v>144.46153846153896</v>
      </c>
      <c r="AC30" s="541">
        <f t="shared" si="26"/>
        <v>2</v>
      </c>
      <c r="AD30" s="673"/>
      <c r="AE30" s="541">
        <v>12</v>
      </c>
      <c r="AF30" s="542">
        <v>1604.0000000000057</v>
      </c>
      <c r="AG30" s="542">
        <v>133.66666666666714</v>
      </c>
      <c r="AH30" s="541">
        <f t="shared" si="28"/>
        <v>4</v>
      </c>
      <c r="AI30" s="673"/>
      <c r="AJ30" s="541">
        <v>12</v>
      </c>
      <c r="AK30" s="542">
        <v>1555.9999999999889</v>
      </c>
      <c r="AL30" s="542">
        <v>129.66666666666575</v>
      </c>
      <c r="AM30" s="541">
        <f t="shared" si="30"/>
        <v>4</v>
      </c>
      <c r="AN30" s="673"/>
      <c r="AO30" s="541">
        <v>13</v>
      </c>
      <c r="AP30" s="542">
        <v>1775.4545454545519</v>
      </c>
      <c r="AQ30" s="542">
        <v>136.57342657342707</v>
      </c>
      <c r="AR30" s="541">
        <f t="shared" si="32"/>
        <v>4</v>
      </c>
      <c r="AS30" s="673"/>
      <c r="AT30" s="541">
        <v>13</v>
      </c>
      <c r="AU30" s="542">
        <v>1880.9999999999916</v>
      </c>
      <c r="AV30" s="542">
        <v>144.69230769230705</v>
      </c>
      <c r="AW30" s="541">
        <f t="shared" si="34"/>
        <v>2</v>
      </c>
      <c r="AX30" s="673"/>
      <c r="AZ30" s="361" t="e">
        <f t="shared" si="36"/>
        <v>#N/A</v>
      </c>
      <c r="BA30" s="673"/>
    </row>
    <row r="31" spans="2:53">
      <c r="B31" s="671"/>
      <c r="C31" s="369">
        <v>5</v>
      </c>
      <c r="D31" s="516"/>
      <c r="E31" s="516"/>
      <c r="F31" s="516"/>
      <c r="G31" s="518"/>
      <c r="H31" s="703"/>
      <c r="I31" s="370" t="str">
        <f t="shared" si="19"/>
        <v>-</v>
      </c>
      <c r="J31" s="370" t="str">
        <f t="shared" si="20"/>
        <v>-</v>
      </c>
      <c r="K31" s="194" t="str">
        <f t="shared" si="21"/>
        <v>-</v>
      </c>
      <c r="L31" s="645"/>
      <c r="M31" s="376" t="e">
        <f>RANK(K31, K$27:$K$41)</f>
        <v>#VALUE!</v>
      </c>
      <c r="N31" s="663"/>
      <c r="O31" s="663"/>
      <c r="P31" s="541" t="s">
        <v>564</v>
      </c>
      <c r="Q31" s="542" t="s">
        <v>564</v>
      </c>
      <c r="R31" s="542" t="s">
        <v>564</v>
      </c>
      <c r="S31" s="541" t="e">
        <f t="shared" si="22"/>
        <v>#VALUE!</v>
      </c>
      <c r="T31" s="673"/>
      <c r="U31" s="541" t="s">
        <v>564</v>
      </c>
      <c r="V31" s="542" t="s">
        <v>564</v>
      </c>
      <c r="W31" s="542" t="s">
        <v>564</v>
      </c>
      <c r="X31" s="541" t="e">
        <f t="shared" si="24"/>
        <v>#VALUE!</v>
      </c>
      <c r="Y31" s="673"/>
      <c r="Z31" s="541" t="s">
        <v>564</v>
      </c>
      <c r="AA31" s="542" t="s">
        <v>564</v>
      </c>
      <c r="AB31" s="542" t="s">
        <v>564</v>
      </c>
      <c r="AC31" s="541" t="e">
        <f t="shared" si="26"/>
        <v>#VALUE!</v>
      </c>
      <c r="AD31" s="673"/>
      <c r="AE31" s="541" t="s">
        <v>564</v>
      </c>
      <c r="AF31" s="542" t="s">
        <v>564</v>
      </c>
      <c r="AG31" s="542" t="s">
        <v>564</v>
      </c>
      <c r="AH31" s="541" t="e">
        <f t="shared" si="28"/>
        <v>#VALUE!</v>
      </c>
      <c r="AI31" s="673"/>
      <c r="AJ31" s="541" t="s">
        <v>564</v>
      </c>
      <c r="AK31" s="542" t="s">
        <v>564</v>
      </c>
      <c r="AL31" s="542" t="s">
        <v>564</v>
      </c>
      <c r="AM31" s="541" t="e">
        <f t="shared" si="30"/>
        <v>#VALUE!</v>
      </c>
      <c r="AN31" s="673"/>
      <c r="AO31" s="541" t="s">
        <v>564</v>
      </c>
      <c r="AP31" s="542" t="s">
        <v>564</v>
      </c>
      <c r="AQ31" s="542" t="s">
        <v>564</v>
      </c>
      <c r="AR31" s="541" t="e">
        <f t="shared" si="32"/>
        <v>#VALUE!</v>
      </c>
      <c r="AS31" s="673"/>
      <c r="AT31" s="541" t="s">
        <v>564</v>
      </c>
      <c r="AU31" s="542" t="s">
        <v>564</v>
      </c>
      <c r="AV31" s="542" t="s">
        <v>564</v>
      </c>
      <c r="AW31" s="541" t="e">
        <f t="shared" si="34"/>
        <v>#VALUE!</v>
      </c>
      <c r="AX31" s="673"/>
      <c r="AZ31" s="361" t="e">
        <f t="shared" si="36"/>
        <v>#N/A</v>
      </c>
      <c r="BA31" s="673"/>
    </row>
    <row r="32" spans="2:53">
      <c r="B32" s="671"/>
      <c r="C32" s="369">
        <v>6</v>
      </c>
      <c r="D32" s="516"/>
      <c r="E32" s="516"/>
      <c r="F32" s="516"/>
      <c r="G32" s="518"/>
      <c r="H32" s="703"/>
      <c r="I32" s="370" t="str">
        <f t="shared" si="19"/>
        <v>-</v>
      </c>
      <c r="J32" s="370" t="str">
        <f t="shared" si="20"/>
        <v>-</v>
      </c>
      <c r="K32" s="194" t="str">
        <f t="shared" si="21"/>
        <v>-</v>
      </c>
      <c r="L32" s="645"/>
      <c r="M32" s="376" t="e">
        <f>RANK(K32, K$27:$K$41)</f>
        <v>#VALUE!</v>
      </c>
      <c r="N32" s="663"/>
      <c r="O32" s="663"/>
      <c r="P32" s="541" t="s">
        <v>564</v>
      </c>
      <c r="Q32" s="542" t="s">
        <v>564</v>
      </c>
      <c r="R32" s="542" t="s">
        <v>564</v>
      </c>
      <c r="S32" s="541" t="e">
        <f t="shared" si="22"/>
        <v>#VALUE!</v>
      </c>
      <c r="T32" s="673"/>
      <c r="U32" s="541" t="s">
        <v>564</v>
      </c>
      <c r="V32" s="542" t="s">
        <v>564</v>
      </c>
      <c r="W32" s="542" t="s">
        <v>564</v>
      </c>
      <c r="X32" s="541" t="e">
        <f t="shared" si="24"/>
        <v>#VALUE!</v>
      </c>
      <c r="Y32" s="673"/>
      <c r="Z32" s="541" t="s">
        <v>564</v>
      </c>
      <c r="AA32" s="542" t="s">
        <v>564</v>
      </c>
      <c r="AB32" s="542" t="s">
        <v>564</v>
      </c>
      <c r="AC32" s="541" t="e">
        <f t="shared" si="26"/>
        <v>#VALUE!</v>
      </c>
      <c r="AD32" s="673"/>
      <c r="AE32" s="541" t="s">
        <v>564</v>
      </c>
      <c r="AF32" s="542" t="s">
        <v>564</v>
      </c>
      <c r="AG32" s="542" t="s">
        <v>564</v>
      </c>
      <c r="AH32" s="541" t="e">
        <f t="shared" si="28"/>
        <v>#VALUE!</v>
      </c>
      <c r="AI32" s="673"/>
      <c r="AJ32" s="541" t="s">
        <v>564</v>
      </c>
      <c r="AK32" s="542" t="s">
        <v>564</v>
      </c>
      <c r="AL32" s="542" t="s">
        <v>564</v>
      </c>
      <c r="AM32" s="541" t="e">
        <f t="shared" si="30"/>
        <v>#VALUE!</v>
      </c>
      <c r="AN32" s="673"/>
      <c r="AO32" s="541" t="s">
        <v>564</v>
      </c>
      <c r="AP32" s="542" t="s">
        <v>564</v>
      </c>
      <c r="AQ32" s="542" t="s">
        <v>564</v>
      </c>
      <c r="AR32" s="541" t="e">
        <f t="shared" si="32"/>
        <v>#VALUE!</v>
      </c>
      <c r="AS32" s="673"/>
      <c r="AT32" s="541" t="s">
        <v>564</v>
      </c>
      <c r="AU32" s="542" t="s">
        <v>564</v>
      </c>
      <c r="AV32" s="542" t="s">
        <v>564</v>
      </c>
      <c r="AW32" s="541" t="e">
        <f t="shared" si="34"/>
        <v>#VALUE!</v>
      </c>
      <c r="AX32" s="673"/>
      <c r="AZ32" s="361" t="e">
        <f t="shared" si="36"/>
        <v>#N/A</v>
      </c>
      <c r="BA32" s="673"/>
    </row>
    <row r="33" spans="2:53">
      <c r="B33" s="671"/>
      <c r="C33" s="369">
        <v>7</v>
      </c>
      <c r="D33" s="516"/>
      <c r="E33" s="516"/>
      <c r="F33" s="516"/>
      <c r="G33" s="518"/>
      <c r="H33" s="703"/>
      <c r="I33" s="370" t="str">
        <f t="shared" si="19"/>
        <v>-</v>
      </c>
      <c r="J33" s="370" t="str">
        <f t="shared" si="20"/>
        <v>-</v>
      </c>
      <c r="K33" s="194" t="str">
        <f t="shared" si="21"/>
        <v>-</v>
      </c>
      <c r="L33" s="645"/>
      <c r="M33" s="376" t="e">
        <f>RANK(K33, K$27:$K$41)</f>
        <v>#VALUE!</v>
      </c>
      <c r="N33" s="663"/>
      <c r="O33" s="663"/>
      <c r="P33" s="541" t="s">
        <v>564</v>
      </c>
      <c r="Q33" s="542" t="s">
        <v>564</v>
      </c>
      <c r="R33" s="542" t="s">
        <v>564</v>
      </c>
      <c r="S33" s="541" t="e">
        <f t="shared" si="22"/>
        <v>#VALUE!</v>
      </c>
      <c r="T33" s="673"/>
      <c r="U33" s="541" t="s">
        <v>564</v>
      </c>
      <c r="V33" s="542" t="s">
        <v>564</v>
      </c>
      <c r="W33" s="542" t="s">
        <v>564</v>
      </c>
      <c r="X33" s="541" t="e">
        <f t="shared" si="24"/>
        <v>#VALUE!</v>
      </c>
      <c r="Y33" s="673"/>
      <c r="Z33" s="541" t="s">
        <v>564</v>
      </c>
      <c r="AA33" s="542" t="s">
        <v>564</v>
      </c>
      <c r="AB33" s="542" t="s">
        <v>564</v>
      </c>
      <c r="AC33" s="541" t="e">
        <f t="shared" si="26"/>
        <v>#VALUE!</v>
      </c>
      <c r="AD33" s="673"/>
      <c r="AE33" s="541" t="s">
        <v>564</v>
      </c>
      <c r="AF33" s="542" t="s">
        <v>564</v>
      </c>
      <c r="AG33" s="542" t="s">
        <v>564</v>
      </c>
      <c r="AH33" s="541" t="e">
        <f t="shared" si="28"/>
        <v>#VALUE!</v>
      </c>
      <c r="AI33" s="673"/>
      <c r="AJ33" s="541" t="s">
        <v>564</v>
      </c>
      <c r="AK33" s="542" t="s">
        <v>564</v>
      </c>
      <c r="AL33" s="542" t="s">
        <v>564</v>
      </c>
      <c r="AM33" s="541" t="e">
        <f t="shared" si="30"/>
        <v>#VALUE!</v>
      </c>
      <c r="AN33" s="673"/>
      <c r="AO33" s="541" t="s">
        <v>564</v>
      </c>
      <c r="AP33" s="542" t="s">
        <v>564</v>
      </c>
      <c r="AQ33" s="542" t="s">
        <v>564</v>
      </c>
      <c r="AR33" s="541" t="e">
        <f t="shared" si="32"/>
        <v>#VALUE!</v>
      </c>
      <c r="AS33" s="673"/>
      <c r="AT33" s="541" t="s">
        <v>564</v>
      </c>
      <c r="AU33" s="542" t="s">
        <v>564</v>
      </c>
      <c r="AV33" s="542" t="s">
        <v>564</v>
      </c>
      <c r="AW33" s="541" t="e">
        <f t="shared" si="34"/>
        <v>#VALUE!</v>
      </c>
      <c r="AX33" s="673"/>
      <c r="AZ33" s="361" t="e">
        <f t="shared" si="36"/>
        <v>#N/A</v>
      </c>
      <c r="BA33" s="673"/>
    </row>
    <row r="34" spans="2:53">
      <c r="B34" s="671"/>
      <c r="C34" s="369">
        <v>8</v>
      </c>
      <c r="D34" s="516"/>
      <c r="E34" s="516"/>
      <c r="F34" s="516"/>
      <c r="G34" s="518"/>
      <c r="H34" s="703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45"/>
      <c r="M34" s="376" t="e">
        <f>RANK(K34, K$27:$K$41)</f>
        <v>#VALUE!</v>
      </c>
      <c r="N34" s="663"/>
      <c r="O34" s="663"/>
      <c r="P34" s="541" t="s">
        <v>564</v>
      </c>
      <c r="Q34" s="542" t="s">
        <v>564</v>
      </c>
      <c r="R34" s="542" t="s">
        <v>564</v>
      </c>
      <c r="S34" s="541" t="e">
        <f t="shared" si="22"/>
        <v>#VALUE!</v>
      </c>
      <c r="T34" s="673"/>
      <c r="U34" s="541" t="s">
        <v>564</v>
      </c>
      <c r="V34" s="542" t="s">
        <v>564</v>
      </c>
      <c r="W34" s="542" t="s">
        <v>564</v>
      </c>
      <c r="X34" s="541" t="e">
        <f t="shared" si="24"/>
        <v>#VALUE!</v>
      </c>
      <c r="Y34" s="673"/>
      <c r="Z34" s="541" t="s">
        <v>564</v>
      </c>
      <c r="AA34" s="542" t="s">
        <v>564</v>
      </c>
      <c r="AB34" s="542" t="s">
        <v>564</v>
      </c>
      <c r="AC34" s="541" t="e">
        <f t="shared" si="26"/>
        <v>#VALUE!</v>
      </c>
      <c r="AD34" s="673"/>
      <c r="AE34" s="541" t="s">
        <v>564</v>
      </c>
      <c r="AF34" s="542" t="s">
        <v>564</v>
      </c>
      <c r="AG34" s="542" t="s">
        <v>564</v>
      </c>
      <c r="AH34" s="541" t="e">
        <f t="shared" si="28"/>
        <v>#VALUE!</v>
      </c>
      <c r="AI34" s="673"/>
      <c r="AJ34" s="541" t="s">
        <v>564</v>
      </c>
      <c r="AK34" s="542" t="s">
        <v>564</v>
      </c>
      <c r="AL34" s="542" t="s">
        <v>564</v>
      </c>
      <c r="AM34" s="541" t="e">
        <f t="shared" si="30"/>
        <v>#VALUE!</v>
      </c>
      <c r="AN34" s="673"/>
      <c r="AO34" s="541" t="s">
        <v>564</v>
      </c>
      <c r="AP34" s="542" t="s">
        <v>564</v>
      </c>
      <c r="AQ34" s="542" t="s">
        <v>564</v>
      </c>
      <c r="AR34" s="541" t="e">
        <f t="shared" si="32"/>
        <v>#VALUE!</v>
      </c>
      <c r="AS34" s="673"/>
      <c r="AT34" s="541" t="s">
        <v>564</v>
      </c>
      <c r="AU34" s="542" t="s">
        <v>564</v>
      </c>
      <c r="AV34" s="542" t="s">
        <v>564</v>
      </c>
      <c r="AW34" s="541" t="e">
        <f t="shared" si="34"/>
        <v>#VALUE!</v>
      </c>
      <c r="AX34" s="673"/>
      <c r="AZ34" s="361" t="e">
        <f t="shared" si="36"/>
        <v>#N/A</v>
      </c>
      <c r="BA34" s="673"/>
    </row>
    <row r="35" spans="2:53">
      <c r="B35" s="671"/>
      <c r="C35" s="369">
        <v>9</v>
      </c>
      <c r="D35" s="516"/>
      <c r="E35" s="516"/>
      <c r="F35" s="516"/>
      <c r="G35" s="518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K$27:$K$41)</f>
        <v>#VALUE!</v>
      </c>
      <c r="N35" s="663"/>
      <c r="O35" s="663"/>
      <c r="P35" s="541" t="s">
        <v>564</v>
      </c>
      <c r="Q35" s="542" t="s">
        <v>564</v>
      </c>
      <c r="R35" s="542" t="s">
        <v>564</v>
      </c>
      <c r="S35" s="541" t="e">
        <f t="shared" si="22"/>
        <v>#VALUE!</v>
      </c>
      <c r="T35" s="673"/>
      <c r="U35" s="541" t="s">
        <v>564</v>
      </c>
      <c r="V35" s="542" t="s">
        <v>564</v>
      </c>
      <c r="W35" s="542" t="s">
        <v>564</v>
      </c>
      <c r="X35" s="541" t="e">
        <f t="shared" si="24"/>
        <v>#VALUE!</v>
      </c>
      <c r="Y35" s="673"/>
      <c r="Z35" s="541" t="s">
        <v>564</v>
      </c>
      <c r="AA35" s="542" t="s">
        <v>564</v>
      </c>
      <c r="AB35" s="542" t="s">
        <v>564</v>
      </c>
      <c r="AC35" s="541" t="e">
        <f t="shared" si="26"/>
        <v>#VALUE!</v>
      </c>
      <c r="AD35" s="673"/>
      <c r="AE35" s="541" t="s">
        <v>564</v>
      </c>
      <c r="AF35" s="542" t="s">
        <v>564</v>
      </c>
      <c r="AG35" s="542" t="s">
        <v>564</v>
      </c>
      <c r="AH35" s="541" t="e">
        <f t="shared" si="28"/>
        <v>#VALUE!</v>
      </c>
      <c r="AI35" s="673"/>
      <c r="AJ35" s="541" t="s">
        <v>564</v>
      </c>
      <c r="AK35" s="542" t="s">
        <v>564</v>
      </c>
      <c r="AL35" s="542" t="s">
        <v>564</v>
      </c>
      <c r="AM35" s="541" t="e">
        <f t="shared" si="30"/>
        <v>#VALUE!</v>
      </c>
      <c r="AN35" s="673"/>
      <c r="AO35" s="541" t="s">
        <v>564</v>
      </c>
      <c r="AP35" s="542" t="s">
        <v>564</v>
      </c>
      <c r="AQ35" s="542" t="s">
        <v>564</v>
      </c>
      <c r="AR35" s="541" t="e">
        <f t="shared" si="32"/>
        <v>#VALUE!</v>
      </c>
      <c r="AS35" s="673"/>
      <c r="AT35" s="541" t="s">
        <v>564</v>
      </c>
      <c r="AU35" s="542" t="s">
        <v>564</v>
      </c>
      <c r="AV35" s="542" t="s">
        <v>564</v>
      </c>
      <c r="AW35" s="541" t="e">
        <f t="shared" si="34"/>
        <v>#VALUE!</v>
      </c>
      <c r="AX35" s="673"/>
      <c r="AZ35" s="361" t="e">
        <f t="shared" si="36"/>
        <v>#N/A</v>
      </c>
      <c r="BA35" s="673"/>
    </row>
    <row r="36" spans="2:53">
      <c r="B36" s="671"/>
      <c r="C36" s="369">
        <v>10</v>
      </c>
      <c r="D36" s="516"/>
      <c r="E36" s="516"/>
      <c r="F36" s="516"/>
      <c r="G36" s="518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K$27:$K$41)</f>
        <v>#VALUE!</v>
      </c>
      <c r="N36" s="663"/>
      <c r="O36" s="663"/>
      <c r="P36" s="541" t="s">
        <v>564</v>
      </c>
      <c r="Q36" s="542" t="s">
        <v>564</v>
      </c>
      <c r="R36" s="542" t="s">
        <v>564</v>
      </c>
      <c r="S36" s="541" t="e">
        <f t="shared" si="22"/>
        <v>#VALUE!</v>
      </c>
      <c r="T36" s="673"/>
      <c r="U36" s="541" t="s">
        <v>564</v>
      </c>
      <c r="V36" s="542" t="s">
        <v>564</v>
      </c>
      <c r="W36" s="542" t="s">
        <v>564</v>
      </c>
      <c r="X36" s="541" t="e">
        <f t="shared" si="24"/>
        <v>#VALUE!</v>
      </c>
      <c r="Y36" s="673"/>
      <c r="Z36" s="541" t="s">
        <v>564</v>
      </c>
      <c r="AA36" s="542" t="s">
        <v>564</v>
      </c>
      <c r="AB36" s="542" t="s">
        <v>564</v>
      </c>
      <c r="AC36" s="541" t="e">
        <f t="shared" si="26"/>
        <v>#VALUE!</v>
      </c>
      <c r="AD36" s="673"/>
      <c r="AE36" s="541" t="s">
        <v>564</v>
      </c>
      <c r="AF36" s="542" t="s">
        <v>564</v>
      </c>
      <c r="AG36" s="542" t="s">
        <v>564</v>
      </c>
      <c r="AH36" s="541" t="e">
        <f t="shared" si="28"/>
        <v>#VALUE!</v>
      </c>
      <c r="AI36" s="673"/>
      <c r="AJ36" s="541" t="s">
        <v>564</v>
      </c>
      <c r="AK36" s="542" t="s">
        <v>564</v>
      </c>
      <c r="AL36" s="542" t="s">
        <v>564</v>
      </c>
      <c r="AM36" s="541" t="e">
        <f t="shared" si="30"/>
        <v>#VALUE!</v>
      </c>
      <c r="AN36" s="673"/>
      <c r="AO36" s="541" t="s">
        <v>564</v>
      </c>
      <c r="AP36" s="542" t="s">
        <v>564</v>
      </c>
      <c r="AQ36" s="542" t="s">
        <v>564</v>
      </c>
      <c r="AR36" s="541" t="e">
        <f t="shared" si="32"/>
        <v>#VALUE!</v>
      </c>
      <c r="AS36" s="673"/>
      <c r="AT36" s="541" t="s">
        <v>564</v>
      </c>
      <c r="AU36" s="542" t="s">
        <v>564</v>
      </c>
      <c r="AV36" s="542" t="s">
        <v>564</v>
      </c>
      <c r="AW36" s="541" t="e">
        <f t="shared" si="34"/>
        <v>#VALUE!</v>
      </c>
      <c r="AX36" s="673"/>
      <c r="AZ36" s="361" t="e">
        <f t="shared" si="36"/>
        <v>#N/A</v>
      </c>
      <c r="BA36" s="673"/>
    </row>
    <row r="37" spans="2:53">
      <c r="B37" s="671"/>
      <c r="C37" s="369">
        <v>11</v>
      </c>
      <c r="D37" s="516"/>
      <c r="E37" s="516"/>
      <c r="F37" s="516"/>
      <c r="G37" s="518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K$27:$K$41)</f>
        <v>#VALUE!</v>
      </c>
      <c r="N37" s="663"/>
      <c r="O37" s="663"/>
      <c r="P37" s="541" t="s">
        <v>564</v>
      </c>
      <c r="Q37" s="542" t="s">
        <v>564</v>
      </c>
      <c r="R37" s="542" t="s">
        <v>564</v>
      </c>
      <c r="S37" s="541" t="e">
        <f t="shared" si="22"/>
        <v>#VALUE!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4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6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8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30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2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4"/>
        <v>#VALUE!</v>
      </c>
      <c r="AX37" s="673"/>
      <c r="AZ37" s="361" t="e">
        <f t="shared" si="36"/>
        <v>#N/A</v>
      </c>
      <c r="BA37" s="673"/>
    </row>
    <row r="38" spans="2:53">
      <c r="B38" s="671"/>
      <c r="C38" s="369">
        <v>12</v>
      </c>
      <c r="D38" s="516"/>
      <c r="E38" s="516"/>
      <c r="F38" s="516"/>
      <c r="G38" s="518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K$27:$K$41)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2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4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6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8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30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2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4"/>
        <v>#VALUE!</v>
      </c>
      <c r="AX38" s="673"/>
      <c r="AZ38" s="361" t="e">
        <f t="shared" si="36"/>
        <v>#N/A</v>
      </c>
      <c r="BA38" s="673"/>
    </row>
    <row r="39" spans="2:53">
      <c r="B39" s="671"/>
      <c r="C39" s="369">
        <v>13</v>
      </c>
      <c r="D39" s="516"/>
      <c r="E39" s="516"/>
      <c r="F39" s="516"/>
      <c r="G39" s="518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K$27:$K$41)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2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4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6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8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30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2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4"/>
        <v>#VALUE!</v>
      </c>
      <c r="AX39" s="673"/>
      <c r="AZ39" s="361" t="e">
        <f t="shared" si="36"/>
        <v>#N/A</v>
      </c>
      <c r="BA39" s="673"/>
    </row>
    <row r="40" spans="2:53">
      <c r="B40" s="671"/>
      <c r="C40" s="369">
        <v>14</v>
      </c>
      <c r="D40" s="516"/>
      <c r="E40" s="516"/>
      <c r="F40" s="516"/>
      <c r="G40" s="518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K$27:$K$41)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2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4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6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8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30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2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4"/>
        <v>#VALUE!</v>
      </c>
      <c r="AX40" s="673"/>
      <c r="AZ40" s="361" t="e">
        <f t="shared" si="36"/>
        <v>#N/A</v>
      </c>
      <c r="BA40" s="673"/>
    </row>
    <row r="41" spans="2:53">
      <c r="B41" s="671"/>
      <c r="C41" s="369">
        <v>15</v>
      </c>
      <c r="D41" s="516"/>
      <c r="E41" s="516"/>
      <c r="F41" s="516"/>
      <c r="G41" s="516"/>
      <c r="H41" s="707"/>
      <c r="I41" s="370" t="str">
        <f t="shared" si="19"/>
        <v>-</v>
      </c>
      <c r="J41" s="370" t="str">
        <f t="shared" si="20"/>
        <v>-</v>
      </c>
      <c r="K41" s="194" t="str">
        <f t="shared" si="21"/>
        <v>-</v>
      </c>
      <c r="L41" s="646"/>
      <c r="M41" s="376" t="e">
        <f>RANK(K41, K$27:$K$41)</f>
        <v>#VALUE!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2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4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6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8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30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2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4"/>
        <v>#VALUE!</v>
      </c>
      <c r="AX41" s="674"/>
      <c r="AZ41" s="361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463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63" t="s">
        <v>364</v>
      </c>
      <c r="J44" s="663"/>
      <c r="K44" s="663"/>
      <c r="L44" s="679" t="s">
        <v>359</v>
      </c>
      <c r="M44" s="66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63" t="s">
        <v>366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7" t="s">
        <v>368</v>
      </c>
      <c r="J46" s="367" t="s">
        <v>369</v>
      </c>
      <c r="K46" s="367" t="s">
        <v>370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62" t="s">
        <v>360</v>
      </c>
      <c r="BA46" s="663"/>
    </row>
    <row r="47" spans="2:53">
      <c r="B47" s="706" t="s">
        <v>464</v>
      </c>
      <c r="C47" s="369">
        <v>1</v>
      </c>
      <c r="D47" s="515"/>
      <c r="E47" s="516"/>
      <c r="F47" s="516"/>
      <c r="G47" s="518"/>
      <c r="H47" s="702" t="e">
        <f>AVERAGE(G47:G61)</f>
        <v>#DIV/0!</v>
      </c>
      <c r="I47" s="370" t="str">
        <f t="shared" ref="I47:I61" si="38">IFERROR(AVERAGE(P47,U47,Z47,AE47,AJ47,AO47,AT47),"-")</f>
        <v>-</v>
      </c>
      <c r="J47" s="370" t="str">
        <f t="shared" ref="J47:J61" si="39">IFERROR(AVERAGE(Q47,V47,AA47,AF47,AK47,AP47,AU47),"-")</f>
        <v>-</v>
      </c>
      <c r="K47" s="194" t="str">
        <f t="shared" ref="K47:K61" si="40">IFERROR(AVERAGE(R47,W47,AB47,AG47,AL47,AQ47,AV47),"-")</f>
        <v>-</v>
      </c>
      <c r="L47" s="644" t="str">
        <f>IFERROR(AVERAGE(K47:K61),"-")</f>
        <v>-</v>
      </c>
      <c r="M47" s="391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64" t="e">
        <f t="shared" ref="AZ47:AZ61" si="41">RANK(AY47, AY$47:AY$61)</f>
        <v>#N/A</v>
      </c>
      <c r="BA47" s="672" t="e">
        <f t="shared" ref="BA47" si="42">AVERAGE(AY47:AY61)</f>
        <v>#DIV/0!</v>
      </c>
    </row>
    <row r="48" spans="2:53">
      <c r="B48" s="671"/>
      <c r="C48" s="369">
        <v>2</v>
      </c>
      <c r="D48" s="516"/>
      <c r="E48" s="516"/>
      <c r="F48" s="516"/>
      <c r="G48" s="518"/>
      <c r="H48" s="703"/>
      <c r="I48" s="370" t="str">
        <f t="shared" si="38"/>
        <v>-</v>
      </c>
      <c r="J48" s="370" t="str">
        <f t="shared" si="39"/>
        <v>-</v>
      </c>
      <c r="K48" s="194" t="str">
        <f t="shared" si="40"/>
        <v>-</v>
      </c>
      <c r="L48" s="645"/>
      <c r="M48" s="391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505" t="e">
        <f t="shared" si="41"/>
        <v>#N/A</v>
      </c>
      <c r="BA48" s="673"/>
    </row>
    <row r="49" spans="2:53">
      <c r="B49" s="671"/>
      <c r="C49" s="369">
        <v>3</v>
      </c>
      <c r="D49" s="516"/>
      <c r="E49" s="516"/>
      <c r="F49" s="516"/>
      <c r="G49" s="518"/>
      <c r="H49" s="703"/>
      <c r="I49" s="370" t="str">
        <f t="shared" si="38"/>
        <v>-</v>
      </c>
      <c r="J49" s="370" t="str">
        <f t="shared" si="39"/>
        <v>-</v>
      </c>
      <c r="K49" s="194" t="str">
        <f t="shared" si="40"/>
        <v>-</v>
      </c>
      <c r="L49" s="645"/>
      <c r="M49" s="391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505" t="e">
        <f t="shared" si="41"/>
        <v>#N/A</v>
      </c>
      <c r="BA49" s="673"/>
    </row>
    <row r="50" spans="2:53">
      <c r="B50" s="671"/>
      <c r="C50" s="369">
        <v>4</v>
      </c>
      <c r="D50" s="516"/>
      <c r="E50" s="516"/>
      <c r="F50" s="516"/>
      <c r="G50" s="518"/>
      <c r="H50" s="703"/>
      <c r="I50" s="370" t="str">
        <f t="shared" si="38"/>
        <v>-</v>
      </c>
      <c r="J50" s="370" t="str">
        <f t="shared" si="39"/>
        <v>-</v>
      </c>
      <c r="K50" s="194" t="str">
        <f t="shared" si="40"/>
        <v>-</v>
      </c>
      <c r="L50" s="645"/>
      <c r="M50" s="391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505" t="e">
        <f t="shared" si="41"/>
        <v>#N/A</v>
      </c>
      <c r="BA50" s="673"/>
    </row>
    <row r="51" spans="2:53">
      <c r="B51" s="671"/>
      <c r="C51" s="369">
        <v>5</v>
      </c>
      <c r="D51" s="516"/>
      <c r="E51" s="516"/>
      <c r="F51" s="516"/>
      <c r="G51" s="518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505" t="e">
        <f t="shared" si="41"/>
        <v>#N/A</v>
      </c>
      <c r="BA51" s="673"/>
    </row>
    <row r="52" spans="2:53">
      <c r="B52" s="671"/>
      <c r="C52" s="369">
        <v>6</v>
      </c>
      <c r="D52" s="516"/>
      <c r="E52" s="516"/>
      <c r="F52" s="516"/>
      <c r="G52" s="518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505" t="e">
        <f t="shared" si="41"/>
        <v>#N/A</v>
      </c>
      <c r="BA52" s="673"/>
    </row>
    <row r="53" spans="2:53">
      <c r="B53" s="671"/>
      <c r="C53" s="369">
        <v>7</v>
      </c>
      <c r="D53" s="516"/>
      <c r="E53" s="516"/>
      <c r="F53" s="516"/>
      <c r="G53" s="518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505" t="e">
        <f t="shared" si="41"/>
        <v>#N/A</v>
      </c>
      <c r="BA53" s="673"/>
    </row>
    <row r="54" spans="2:53">
      <c r="B54" s="671"/>
      <c r="C54" s="369">
        <v>8</v>
      </c>
      <c r="D54" s="516"/>
      <c r="E54" s="516"/>
      <c r="F54" s="516"/>
      <c r="G54" s="518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505" t="e">
        <f t="shared" si="41"/>
        <v>#N/A</v>
      </c>
      <c r="BA54" s="673"/>
    </row>
    <row r="55" spans="2:53">
      <c r="B55" s="671"/>
      <c r="C55" s="369">
        <v>9</v>
      </c>
      <c r="D55" s="516"/>
      <c r="E55" s="516"/>
      <c r="F55" s="516"/>
      <c r="G55" s="518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505" t="e">
        <f t="shared" si="41"/>
        <v>#N/A</v>
      </c>
      <c r="BA55" s="673"/>
    </row>
    <row r="56" spans="2:53">
      <c r="B56" s="671"/>
      <c r="C56" s="369">
        <v>10</v>
      </c>
      <c r="D56" s="516"/>
      <c r="E56" s="516"/>
      <c r="F56" s="516"/>
      <c r="G56" s="518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505" t="e">
        <f t="shared" si="41"/>
        <v>#N/A</v>
      </c>
      <c r="BA56" s="673"/>
    </row>
    <row r="57" spans="2:53">
      <c r="B57" s="671"/>
      <c r="C57" s="369">
        <v>11</v>
      </c>
      <c r="D57" s="516"/>
      <c r="E57" s="516"/>
      <c r="F57" s="516"/>
      <c r="G57" s="518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505" t="e">
        <f t="shared" si="41"/>
        <v>#N/A</v>
      </c>
      <c r="BA57" s="673"/>
    </row>
    <row r="58" spans="2:53">
      <c r="B58" s="671"/>
      <c r="C58" s="369">
        <v>12</v>
      </c>
      <c r="D58" s="516"/>
      <c r="E58" s="516"/>
      <c r="F58" s="516"/>
      <c r="G58" s="518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505" t="e">
        <f t="shared" si="41"/>
        <v>#N/A</v>
      </c>
      <c r="BA58" s="673"/>
    </row>
    <row r="59" spans="2:53">
      <c r="B59" s="671"/>
      <c r="C59" s="369">
        <v>13</v>
      </c>
      <c r="D59" s="516"/>
      <c r="E59" s="516"/>
      <c r="F59" s="516"/>
      <c r="G59" s="518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505" t="e">
        <f t="shared" si="41"/>
        <v>#N/A</v>
      </c>
      <c r="BA59" s="673"/>
    </row>
    <row r="60" spans="2:53">
      <c r="B60" s="671"/>
      <c r="C60" s="369">
        <v>14</v>
      </c>
      <c r="D60" s="516"/>
      <c r="E60" s="516"/>
      <c r="F60" s="516"/>
      <c r="G60" s="518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505" t="e">
        <f t="shared" si="41"/>
        <v>#N/A</v>
      </c>
      <c r="BA60" s="673"/>
    </row>
    <row r="61" spans="2:53">
      <c r="B61" s="671"/>
      <c r="C61" s="369">
        <v>15</v>
      </c>
      <c r="D61" s="516"/>
      <c r="E61" s="516"/>
      <c r="F61" s="516"/>
      <c r="G61" s="516"/>
      <c r="H61" s="707"/>
      <c r="I61" s="370" t="str">
        <f t="shared" si="38"/>
        <v>-</v>
      </c>
      <c r="J61" s="370" t="str">
        <f t="shared" si="39"/>
        <v>-</v>
      </c>
      <c r="K61" s="194" t="str">
        <f t="shared" si="40"/>
        <v>-</v>
      </c>
      <c r="L61" s="646"/>
      <c r="M61" s="391" t="e">
        <f>RANK(K61, K$47:$K$61)</f>
        <v>#VALUE!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505" t="e">
        <f t="shared" si="41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63" t="s">
        <v>364</v>
      </c>
      <c r="J64" s="663"/>
      <c r="K64" s="663"/>
      <c r="L64" s="679" t="s">
        <v>359</v>
      </c>
      <c r="M64" s="66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63" t="s">
        <v>366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7" t="s">
        <v>368</v>
      </c>
      <c r="J66" s="367" t="s">
        <v>369</v>
      </c>
      <c r="K66" s="367" t="s">
        <v>370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62" t="s">
        <v>360</v>
      </c>
      <c r="BA66" s="663"/>
    </row>
    <row r="67" spans="2:53">
      <c r="B67" s="706" t="s">
        <v>379</v>
      </c>
      <c r="C67" s="369">
        <v>1</v>
      </c>
      <c r="D67" s="515"/>
      <c r="E67" s="516"/>
      <c r="F67" s="516"/>
      <c r="G67" s="518"/>
      <c r="H67" s="702" t="e">
        <f>AVERAGE(G67:G81)</f>
        <v>#DIV/0!</v>
      </c>
      <c r="I67" s="370" t="str">
        <f t="shared" ref="I67:I81" si="43">IFERROR(AVERAGE(P67,U67,Z67,AE67,AJ67,AO67,AT67),"-")</f>
        <v>-</v>
      </c>
      <c r="J67" s="370" t="str">
        <f t="shared" ref="J67:J81" si="44">IFERROR(AVERAGE(Q67,V67,AA67,AF67,AK67,AP67,AU67),"-")</f>
        <v>-</v>
      </c>
      <c r="K67" s="194" t="str">
        <f t="shared" ref="K67:K81" si="45">IFERROR(AVERAGE(R67,W67,AB67,AG67,AL67,AQ67,AV67),"-")</f>
        <v>-</v>
      </c>
      <c r="L67" s="644" t="str">
        <f>IFERROR(AVERAGE(K67:K81),"-")</f>
        <v>-</v>
      </c>
      <c r="M67" s="373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64" t="e">
        <f t="shared" ref="AZ67:AZ81" si="46">RANK(AY67, AY$67:AY$81)</f>
        <v>#N/A</v>
      </c>
      <c r="BA67" s="672" t="e">
        <f t="shared" ref="BA67" si="47">AVERAGE(AY67:AY81)</f>
        <v>#DIV/0!</v>
      </c>
    </row>
    <row r="68" spans="2:53">
      <c r="B68" s="671"/>
      <c r="C68" s="369">
        <v>2</v>
      </c>
      <c r="D68" s="516"/>
      <c r="E68" s="516"/>
      <c r="F68" s="516"/>
      <c r="G68" s="518"/>
      <c r="H68" s="703"/>
      <c r="I68" s="370" t="str">
        <f t="shared" si="43"/>
        <v>-</v>
      </c>
      <c r="J68" s="370" t="str">
        <f t="shared" si="44"/>
        <v>-</v>
      </c>
      <c r="K68" s="194" t="str">
        <f t="shared" si="45"/>
        <v>-</v>
      </c>
      <c r="L68" s="645"/>
      <c r="M68" s="394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64" t="e">
        <f t="shared" si="46"/>
        <v>#N/A</v>
      </c>
      <c r="BA68" s="673"/>
    </row>
    <row r="69" spans="2:53">
      <c r="B69" s="671"/>
      <c r="C69" s="369">
        <v>3</v>
      </c>
      <c r="D69" s="516"/>
      <c r="E69" s="516"/>
      <c r="F69" s="516"/>
      <c r="G69" s="518"/>
      <c r="H69" s="703"/>
      <c r="I69" s="370" t="str">
        <f t="shared" si="43"/>
        <v>-</v>
      </c>
      <c r="J69" s="370" t="str">
        <f t="shared" si="44"/>
        <v>-</v>
      </c>
      <c r="K69" s="194" t="str">
        <f t="shared" si="45"/>
        <v>-</v>
      </c>
      <c r="L69" s="645"/>
      <c r="M69" s="394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64" t="e">
        <f t="shared" si="46"/>
        <v>#N/A</v>
      </c>
      <c r="BA69" s="673"/>
    </row>
    <row r="70" spans="2:53">
      <c r="B70" s="671"/>
      <c r="C70" s="369">
        <v>4</v>
      </c>
      <c r="D70" s="516"/>
      <c r="E70" s="516"/>
      <c r="F70" s="516"/>
      <c r="G70" s="518"/>
      <c r="H70" s="703"/>
      <c r="I70" s="370" t="str">
        <f t="shared" si="43"/>
        <v>-</v>
      </c>
      <c r="J70" s="370" t="str">
        <f t="shared" si="44"/>
        <v>-</v>
      </c>
      <c r="K70" s="194" t="str">
        <f t="shared" si="45"/>
        <v>-</v>
      </c>
      <c r="L70" s="645"/>
      <c r="M70" s="394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64" t="e">
        <f t="shared" si="46"/>
        <v>#N/A</v>
      </c>
      <c r="BA70" s="673"/>
    </row>
    <row r="71" spans="2:53">
      <c r="B71" s="671"/>
      <c r="C71" s="369">
        <v>5</v>
      </c>
      <c r="D71" s="516"/>
      <c r="E71" s="516"/>
      <c r="F71" s="516"/>
      <c r="G71" s="518"/>
      <c r="H71" s="703"/>
      <c r="I71" s="370" t="str">
        <f t="shared" si="43"/>
        <v>-</v>
      </c>
      <c r="J71" s="370" t="str">
        <f t="shared" si="44"/>
        <v>-</v>
      </c>
      <c r="K71" s="194" t="str">
        <f t="shared" si="45"/>
        <v>-</v>
      </c>
      <c r="L71" s="645"/>
      <c r="M71" s="394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64" t="e">
        <f t="shared" si="46"/>
        <v>#N/A</v>
      </c>
      <c r="BA71" s="673"/>
    </row>
    <row r="72" spans="2:53">
      <c r="B72" s="671"/>
      <c r="C72" s="369">
        <v>6</v>
      </c>
      <c r="D72" s="516"/>
      <c r="E72" s="516"/>
      <c r="F72" s="516"/>
      <c r="G72" s="518"/>
      <c r="H72" s="703"/>
      <c r="I72" s="370" t="str">
        <f t="shared" si="43"/>
        <v>-</v>
      </c>
      <c r="J72" s="370" t="str">
        <f t="shared" si="44"/>
        <v>-</v>
      </c>
      <c r="K72" s="194" t="str">
        <f t="shared" si="45"/>
        <v>-</v>
      </c>
      <c r="L72" s="645"/>
      <c r="M72" s="394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64" t="e">
        <f t="shared" si="46"/>
        <v>#N/A</v>
      </c>
      <c r="BA72" s="673"/>
    </row>
    <row r="73" spans="2:53">
      <c r="B73" s="671"/>
      <c r="C73" s="369">
        <v>7</v>
      </c>
      <c r="D73" s="516"/>
      <c r="E73" s="516"/>
      <c r="F73" s="516"/>
      <c r="G73" s="518"/>
      <c r="H73" s="703"/>
      <c r="I73" s="370" t="str">
        <f t="shared" si="43"/>
        <v>-</v>
      </c>
      <c r="J73" s="370" t="str">
        <f t="shared" si="44"/>
        <v>-</v>
      </c>
      <c r="K73" s="194" t="str">
        <f t="shared" si="45"/>
        <v>-</v>
      </c>
      <c r="L73" s="645"/>
      <c r="M73" s="394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64" t="e">
        <f t="shared" si="46"/>
        <v>#N/A</v>
      </c>
      <c r="BA73" s="673"/>
    </row>
    <row r="74" spans="2:53">
      <c r="B74" s="671"/>
      <c r="C74" s="369">
        <v>8</v>
      </c>
      <c r="D74" s="516"/>
      <c r="E74" s="516"/>
      <c r="F74" s="516"/>
      <c r="G74" s="518"/>
      <c r="H74" s="703"/>
      <c r="I74" s="370" t="str">
        <f t="shared" si="43"/>
        <v>-</v>
      </c>
      <c r="J74" s="370" t="str">
        <f t="shared" si="44"/>
        <v>-</v>
      </c>
      <c r="K74" s="194" t="str">
        <f t="shared" si="45"/>
        <v>-</v>
      </c>
      <c r="L74" s="645"/>
      <c r="M74" s="394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64" t="e">
        <f t="shared" si="46"/>
        <v>#N/A</v>
      </c>
      <c r="BA74" s="673"/>
    </row>
    <row r="75" spans="2:53">
      <c r="B75" s="671"/>
      <c r="C75" s="369">
        <v>9</v>
      </c>
      <c r="D75" s="516"/>
      <c r="E75" s="516"/>
      <c r="F75" s="516"/>
      <c r="G75" s="518"/>
      <c r="H75" s="703"/>
      <c r="I75" s="370" t="str">
        <f t="shared" si="43"/>
        <v>-</v>
      </c>
      <c r="J75" s="370" t="str">
        <f t="shared" si="44"/>
        <v>-</v>
      </c>
      <c r="K75" s="194" t="str">
        <f t="shared" si="45"/>
        <v>-</v>
      </c>
      <c r="L75" s="645"/>
      <c r="M75" s="394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64" t="e">
        <f t="shared" si="46"/>
        <v>#N/A</v>
      </c>
      <c r="BA75" s="673"/>
    </row>
    <row r="76" spans="2:53">
      <c r="B76" s="671"/>
      <c r="C76" s="369">
        <v>10</v>
      </c>
      <c r="D76" s="516"/>
      <c r="E76" s="516"/>
      <c r="F76" s="516"/>
      <c r="G76" s="518"/>
      <c r="H76" s="703"/>
      <c r="I76" s="370" t="str">
        <f t="shared" si="43"/>
        <v>-</v>
      </c>
      <c r="J76" s="370" t="str">
        <f t="shared" si="44"/>
        <v>-</v>
      </c>
      <c r="K76" s="194" t="str">
        <f t="shared" si="45"/>
        <v>-</v>
      </c>
      <c r="L76" s="645"/>
      <c r="M76" s="394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64" t="e">
        <f t="shared" si="46"/>
        <v>#N/A</v>
      </c>
      <c r="BA76" s="673"/>
    </row>
    <row r="77" spans="2:53">
      <c r="B77" s="671"/>
      <c r="C77" s="369">
        <v>11</v>
      </c>
      <c r="D77" s="516"/>
      <c r="E77" s="516"/>
      <c r="F77" s="516"/>
      <c r="G77" s="518"/>
      <c r="H77" s="703"/>
      <c r="I77" s="370" t="str">
        <f t="shared" si="43"/>
        <v>-</v>
      </c>
      <c r="J77" s="370" t="str">
        <f t="shared" si="44"/>
        <v>-</v>
      </c>
      <c r="K77" s="194" t="str">
        <f t="shared" si="45"/>
        <v>-</v>
      </c>
      <c r="L77" s="645"/>
      <c r="M77" s="394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64" t="e">
        <f t="shared" si="46"/>
        <v>#N/A</v>
      </c>
      <c r="BA77" s="673"/>
    </row>
    <row r="78" spans="2:53">
      <c r="B78" s="671"/>
      <c r="C78" s="369">
        <v>12</v>
      </c>
      <c r="D78" s="516"/>
      <c r="E78" s="516"/>
      <c r="F78" s="516"/>
      <c r="G78" s="518"/>
      <c r="H78" s="703"/>
      <c r="I78" s="370" t="str">
        <f t="shared" si="43"/>
        <v>-</v>
      </c>
      <c r="J78" s="370" t="str">
        <f t="shared" si="44"/>
        <v>-</v>
      </c>
      <c r="K78" s="194" t="str">
        <f t="shared" si="45"/>
        <v>-</v>
      </c>
      <c r="L78" s="645"/>
      <c r="M78" s="394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64" t="e">
        <f t="shared" si="46"/>
        <v>#N/A</v>
      </c>
      <c r="BA78" s="673"/>
    </row>
    <row r="79" spans="2:53">
      <c r="B79" s="671"/>
      <c r="C79" s="369">
        <v>13</v>
      </c>
      <c r="D79" s="516"/>
      <c r="E79" s="516"/>
      <c r="F79" s="516"/>
      <c r="G79" s="518"/>
      <c r="H79" s="703"/>
      <c r="I79" s="370" t="str">
        <f t="shared" si="43"/>
        <v>-</v>
      </c>
      <c r="J79" s="370" t="str">
        <f t="shared" si="44"/>
        <v>-</v>
      </c>
      <c r="K79" s="194" t="str">
        <f t="shared" si="45"/>
        <v>-</v>
      </c>
      <c r="L79" s="645"/>
      <c r="M79" s="394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64" t="e">
        <f t="shared" si="46"/>
        <v>#N/A</v>
      </c>
      <c r="BA79" s="673"/>
    </row>
    <row r="80" spans="2:53">
      <c r="B80" s="671"/>
      <c r="C80" s="369">
        <v>14</v>
      </c>
      <c r="D80" s="516"/>
      <c r="E80" s="516"/>
      <c r="F80" s="516"/>
      <c r="G80" s="518"/>
      <c r="H80" s="703"/>
      <c r="I80" s="370" t="str">
        <f t="shared" si="43"/>
        <v>-</v>
      </c>
      <c r="J80" s="370" t="str">
        <f t="shared" si="44"/>
        <v>-</v>
      </c>
      <c r="K80" s="194" t="str">
        <f t="shared" si="45"/>
        <v>-</v>
      </c>
      <c r="L80" s="645"/>
      <c r="M80" s="394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64" t="e">
        <f t="shared" si="46"/>
        <v>#N/A</v>
      </c>
      <c r="BA80" s="673"/>
    </row>
    <row r="81" spans="2:53">
      <c r="B81" s="671"/>
      <c r="C81" s="369">
        <v>15</v>
      </c>
      <c r="D81" s="516"/>
      <c r="E81" s="516"/>
      <c r="F81" s="516"/>
      <c r="G81" s="516"/>
      <c r="H81" s="707"/>
      <c r="I81" s="370" t="str">
        <f t="shared" si="43"/>
        <v>-</v>
      </c>
      <c r="J81" s="370" t="str">
        <f t="shared" si="44"/>
        <v>-</v>
      </c>
      <c r="K81" s="194" t="str">
        <f t="shared" si="45"/>
        <v>-</v>
      </c>
      <c r="L81" s="646"/>
      <c r="M81" s="394" t="e">
        <f>RANK(K81, K$67:$K$81)</f>
        <v>#VALUE!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64" t="e">
        <f t="shared" si="46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67">
        <f>P62+7</f>
        <v>46294</v>
      </c>
      <c r="Q82" s="668"/>
      <c r="R82" s="668"/>
      <c r="S82" s="668"/>
      <c r="T82" s="669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67" t="s">
        <v>317</v>
      </c>
      <c r="Q83" s="668"/>
      <c r="R83" s="668"/>
      <c r="S83" s="668"/>
      <c r="T83" s="669"/>
      <c r="U83" s="667" t="s">
        <v>318</v>
      </c>
      <c r="V83" s="668"/>
      <c r="W83" s="668"/>
      <c r="X83" s="668"/>
      <c r="Y83" s="669"/>
      <c r="Z83" s="667" t="s">
        <v>319</v>
      </c>
      <c r="AA83" s="668"/>
      <c r="AB83" s="668"/>
      <c r="AC83" s="668"/>
      <c r="AD83" s="669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63" t="s">
        <v>364</v>
      </c>
      <c r="J84" s="663"/>
      <c r="K84" s="663"/>
      <c r="L84" s="679" t="s">
        <v>359</v>
      </c>
      <c r="M84" s="66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4" t="s">
        <v>359</v>
      </c>
      <c r="U84" s="660" t="s">
        <v>361</v>
      </c>
      <c r="V84" s="661"/>
      <c r="W84" s="661"/>
      <c r="X84" s="662"/>
      <c r="Y84" s="664" t="s">
        <v>359</v>
      </c>
      <c r="Z84" s="660" t="s">
        <v>361</v>
      </c>
      <c r="AA84" s="661"/>
      <c r="AB84" s="661"/>
      <c r="AC84" s="662"/>
      <c r="AD84" s="664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63" t="s">
        <v>366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5"/>
      <c r="U85" s="660" t="s">
        <v>367</v>
      </c>
      <c r="V85" s="661"/>
      <c r="W85" s="661"/>
      <c r="X85" s="662"/>
      <c r="Y85" s="665"/>
      <c r="Z85" s="660" t="s">
        <v>367</v>
      </c>
      <c r="AA85" s="661"/>
      <c r="AB85" s="661"/>
      <c r="AC85" s="662"/>
      <c r="AD85" s="665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7" t="s">
        <v>368</v>
      </c>
      <c r="J86" s="367" t="s">
        <v>369</v>
      </c>
      <c r="K86" s="367" t="s">
        <v>370</v>
      </c>
      <c r="L86" s="681"/>
      <c r="M86" s="666"/>
      <c r="N86" s="663"/>
      <c r="O86" s="663"/>
      <c r="P86" s="484" t="s">
        <v>368</v>
      </c>
      <c r="Q86" s="484" t="s">
        <v>369</v>
      </c>
      <c r="R86" s="484" t="s">
        <v>370</v>
      </c>
      <c r="S86" s="484" t="s">
        <v>360</v>
      </c>
      <c r="T86" s="666"/>
      <c r="U86" s="484" t="s">
        <v>368</v>
      </c>
      <c r="V86" s="484" t="s">
        <v>369</v>
      </c>
      <c r="W86" s="484" t="s">
        <v>370</v>
      </c>
      <c r="X86" s="484" t="s">
        <v>360</v>
      </c>
      <c r="Y86" s="666"/>
      <c r="Z86" s="484" t="s">
        <v>368</v>
      </c>
      <c r="AA86" s="484" t="s">
        <v>369</v>
      </c>
      <c r="AB86" s="484" t="s">
        <v>370</v>
      </c>
      <c r="AC86" s="484" t="s">
        <v>360</v>
      </c>
      <c r="AD86" s="666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62" t="s">
        <v>360</v>
      </c>
      <c r="BA86" s="663"/>
    </row>
    <row r="87" spans="2:53">
      <c r="B87" s="706" t="s">
        <v>395</v>
      </c>
      <c r="C87" s="369">
        <v>1</v>
      </c>
      <c r="D87" s="478"/>
      <c r="E87" s="480"/>
      <c r="F87" s="480"/>
      <c r="G87" s="483"/>
      <c r="H87" s="702" t="e">
        <f>AVERAGE(G87:G101)</f>
        <v>#DIV/0!</v>
      </c>
      <c r="I87" s="370" t="str">
        <f t="shared" ref="I87:I101" si="48">IFERROR(AVERAGE(P87,U87,Z87,AE87,AJ87,AO87,AT87),"-")</f>
        <v>-</v>
      </c>
      <c r="J87" s="370" t="str">
        <f t="shared" ref="J87:J101" si="49">IFERROR(AVERAGE(Q87,V87,AA87,AF87,AK87,AP87,AU87),"-")</f>
        <v>-</v>
      </c>
      <c r="K87" s="194" t="str">
        <f t="shared" ref="K87:K101" si="50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61" t="e">
        <f t="shared" ref="AZ87:AZ101" si="51">RANK(AY87, AY$87:AY$101)</f>
        <v>#N/A</v>
      </c>
      <c r="BA87" s="685" t="e">
        <f t="shared" ref="BA87" si="52">AVERAGE(AY87:AY101)</f>
        <v>#DIV/0!</v>
      </c>
    </row>
    <row r="88" spans="2:53">
      <c r="B88" s="671"/>
      <c r="C88" s="369">
        <v>2</v>
      </c>
      <c r="D88" s="480"/>
      <c r="E88" s="480"/>
      <c r="F88" s="480"/>
      <c r="G88" s="483"/>
      <c r="H88" s="703"/>
      <c r="I88" s="370" t="str">
        <f t="shared" si="48"/>
        <v>-</v>
      </c>
      <c r="J88" s="370" t="str">
        <f t="shared" si="49"/>
        <v>-</v>
      </c>
      <c r="K88" s="194" t="str">
        <f t="shared" si="50"/>
        <v>-</v>
      </c>
      <c r="L88" s="645"/>
      <c r="M88" s="440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61" t="e">
        <f t="shared" si="51"/>
        <v>#N/A</v>
      </c>
      <c r="BA88" s="685"/>
    </row>
    <row r="89" spans="2:53">
      <c r="B89" s="671"/>
      <c r="C89" s="369">
        <v>3</v>
      </c>
      <c r="D89" s="480"/>
      <c r="E89" s="480"/>
      <c r="F89" s="480"/>
      <c r="G89" s="483"/>
      <c r="H89" s="703"/>
      <c r="I89" s="370" t="str">
        <f t="shared" si="48"/>
        <v>-</v>
      </c>
      <c r="J89" s="370" t="str">
        <f t="shared" si="49"/>
        <v>-</v>
      </c>
      <c r="K89" s="194" t="str">
        <f t="shared" si="50"/>
        <v>-</v>
      </c>
      <c r="L89" s="645"/>
      <c r="M89" s="440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61" t="e">
        <f t="shared" si="51"/>
        <v>#N/A</v>
      </c>
      <c r="BA89" s="685"/>
    </row>
    <row r="90" spans="2:53">
      <c r="B90" s="671"/>
      <c r="C90" s="369">
        <v>4</v>
      </c>
      <c r="D90" s="480"/>
      <c r="E90" s="480"/>
      <c r="F90" s="480"/>
      <c r="G90" s="483"/>
      <c r="H90" s="703"/>
      <c r="I90" s="370" t="str">
        <f t="shared" si="48"/>
        <v>-</v>
      </c>
      <c r="J90" s="370" t="str">
        <f t="shared" si="49"/>
        <v>-</v>
      </c>
      <c r="K90" s="194" t="str">
        <f t="shared" si="50"/>
        <v>-</v>
      </c>
      <c r="L90" s="645"/>
      <c r="M90" s="440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61" t="e">
        <f t="shared" si="51"/>
        <v>#N/A</v>
      </c>
      <c r="BA90" s="685"/>
    </row>
    <row r="91" spans="2:53">
      <c r="B91" s="671"/>
      <c r="C91" s="369">
        <v>5</v>
      </c>
      <c r="D91" s="480"/>
      <c r="E91" s="480"/>
      <c r="F91" s="480"/>
      <c r="G91" s="483"/>
      <c r="H91" s="703"/>
      <c r="I91" s="370" t="str">
        <f t="shared" si="48"/>
        <v>-</v>
      </c>
      <c r="J91" s="370" t="str">
        <f t="shared" si="49"/>
        <v>-</v>
      </c>
      <c r="K91" s="194" t="str">
        <f t="shared" si="50"/>
        <v>-</v>
      </c>
      <c r="L91" s="645"/>
      <c r="M91" s="440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61" t="e">
        <f t="shared" si="51"/>
        <v>#N/A</v>
      </c>
      <c r="BA91" s="685"/>
    </row>
    <row r="92" spans="2:53">
      <c r="B92" s="671"/>
      <c r="C92" s="369">
        <v>6</v>
      </c>
      <c r="D92" s="480"/>
      <c r="E92" s="480"/>
      <c r="F92" s="480"/>
      <c r="G92" s="483"/>
      <c r="H92" s="703"/>
      <c r="I92" s="370" t="str">
        <f t="shared" si="48"/>
        <v>-</v>
      </c>
      <c r="J92" s="370" t="str">
        <f t="shared" si="49"/>
        <v>-</v>
      </c>
      <c r="K92" s="194" t="str">
        <f t="shared" si="50"/>
        <v>-</v>
      </c>
      <c r="L92" s="645"/>
      <c r="M92" s="440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61" t="e">
        <f t="shared" si="51"/>
        <v>#N/A</v>
      </c>
      <c r="BA92" s="685"/>
    </row>
    <row r="93" spans="2:53">
      <c r="B93" s="671"/>
      <c r="C93" s="369">
        <v>7</v>
      </c>
      <c r="D93" s="480"/>
      <c r="E93" s="480"/>
      <c r="F93" s="480"/>
      <c r="G93" s="483"/>
      <c r="H93" s="703"/>
      <c r="I93" s="370" t="str">
        <f t="shared" si="48"/>
        <v>-</v>
      </c>
      <c r="J93" s="370" t="str">
        <f t="shared" si="49"/>
        <v>-</v>
      </c>
      <c r="K93" s="194" t="str">
        <f t="shared" si="50"/>
        <v>-</v>
      </c>
      <c r="L93" s="645"/>
      <c r="M93" s="440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61" t="e">
        <f t="shared" si="51"/>
        <v>#N/A</v>
      </c>
      <c r="BA93" s="685"/>
    </row>
    <row r="94" spans="2:53">
      <c r="B94" s="671"/>
      <c r="C94" s="369">
        <v>8</v>
      </c>
      <c r="D94" s="480"/>
      <c r="E94" s="480"/>
      <c r="F94" s="480"/>
      <c r="G94" s="483"/>
      <c r="H94" s="703"/>
      <c r="I94" s="370" t="str">
        <f t="shared" si="48"/>
        <v>-</v>
      </c>
      <c r="J94" s="370" t="str">
        <f t="shared" si="49"/>
        <v>-</v>
      </c>
      <c r="K94" s="194" t="str">
        <f t="shared" si="50"/>
        <v>-</v>
      </c>
      <c r="L94" s="645"/>
      <c r="M94" s="440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61" t="e">
        <f t="shared" si="51"/>
        <v>#N/A</v>
      </c>
      <c r="BA94" s="685"/>
    </row>
    <row r="95" spans="2:53">
      <c r="B95" s="671"/>
      <c r="C95" s="369">
        <v>9</v>
      </c>
      <c r="D95" s="480"/>
      <c r="E95" s="480"/>
      <c r="F95" s="480"/>
      <c r="G95" s="483"/>
      <c r="H95" s="703"/>
      <c r="I95" s="370" t="str">
        <f t="shared" si="48"/>
        <v>-</v>
      </c>
      <c r="J95" s="370" t="str">
        <f t="shared" si="49"/>
        <v>-</v>
      </c>
      <c r="K95" s="194" t="str">
        <f t="shared" si="50"/>
        <v>-</v>
      </c>
      <c r="L95" s="645"/>
      <c r="M95" s="440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61" t="e">
        <f t="shared" si="51"/>
        <v>#N/A</v>
      </c>
      <c r="BA95" s="685"/>
    </row>
    <row r="96" spans="2:53">
      <c r="B96" s="671"/>
      <c r="C96" s="369">
        <v>10</v>
      </c>
      <c r="D96" s="480"/>
      <c r="E96" s="480"/>
      <c r="F96" s="480"/>
      <c r="G96" s="483"/>
      <c r="H96" s="703"/>
      <c r="I96" s="370" t="str">
        <f t="shared" si="48"/>
        <v>-</v>
      </c>
      <c r="J96" s="370" t="str">
        <f t="shared" si="49"/>
        <v>-</v>
      </c>
      <c r="K96" s="194" t="str">
        <f t="shared" si="50"/>
        <v>-</v>
      </c>
      <c r="L96" s="645"/>
      <c r="M96" s="440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61" t="e">
        <f t="shared" si="51"/>
        <v>#N/A</v>
      </c>
      <c r="BA96" s="685"/>
    </row>
    <row r="97" spans="2:53">
      <c r="B97" s="671"/>
      <c r="C97" s="369">
        <v>11</v>
      </c>
      <c r="D97" s="480"/>
      <c r="E97" s="480"/>
      <c r="F97" s="480"/>
      <c r="G97" s="483"/>
      <c r="H97" s="703"/>
      <c r="I97" s="370" t="str">
        <f t="shared" si="48"/>
        <v>-</v>
      </c>
      <c r="J97" s="370" t="str">
        <f t="shared" si="49"/>
        <v>-</v>
      </c>
      <c r="K97" s="194" t="str">
        <f t="shared" si="50"/>
        <v>-</v>
      </c>
      <c r="L97" s="645"/>
      <c r="M97" s="440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61" t="e">
        <f t="shared" si="51"/>
        <v>#N/A</v>
      </c>
      <c r="BA97" s="685"/>
    </row>
    <row r="98" spans="2:53">
      <c r="B98" s="671"/>
      <c r="C98" s="369">
        <v>12</v>
      </c>
      <c r="D98" s="480"/>
      <c r="E98" s="480"/>
      <c r="F98" s="480"/>
      <c r="G98" s="483"/>
      <c r="H98" s="703"/>
      <c r="I98" s="370" t="str">
        <f t="shared" si="48"/>
        <v>-</v>
      </c>
      <c r="J98" s="370" t="str">
        <f t="shared" si="49"/>
        <v>-</v>
      </c>
      <c r="K98" s="194" t="str">
        <f t="shared" si="50"/>
        <v>-</v>
      </c>
      <c r="L98" s="645"/>
      <c r="M98" s="440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61" t="e">
        <f t="shared" si="51"/>
        <v>#N/A</v>
      </c>
      <c r="BA98" s="685"/>
    </row>
    <row r="99" spans="2:53">
      <c r="B99" s="671"/>
      <c r="C99" s="369">
        <v>13</v>
      </c>
      <c r="D99" s="480"/>
      <c r="E99" s="480"/>
      <c r="F99" s="480"/>
      <c r="G99" s="483"/>
      <c r="H99" s="703"/>
      <c r="I99" s="370" t="str">
        <f t="shared" si="48"/>
        <v>-</v>
      </c>
      <c r="J99" s="370" t="str">
        <f t="shared" si="49"/>
        <v>-</v>
      </c>
      <c r="K99" s="194" t="str">
        <f t="shared" si="50"/>
        <v>-</v>
      </c>
      <c r="L99" s="645"/>
      <c r="M99" s="440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61" t="e">
        <f t="shared" si="51"/>
        <v>#N/A</v>
      </c>
      <c r="BA99" s="685"/>
    </row>
    <row r="100" spans="2:53">
      <c r="B100" s="671"/>
      <c r="C100" s="369">
        <v>14</v>
      </c>
      <c r="D100" s="480"/>
      <c r="E100" s="480"/>
      <c r="F100" s="480"/>
      <c r="G100" s="483"/>
      <c r="H100" s="703"/>
      <c r="I100" s="370" t="str">
        <f t="shared" si="48"/>
        <v>-</v>
      </c>
      <c r="J100" s="370" t="str">
        <f t="shared" si="49"/>
        <v>-</v>
      </c>
      <c r="K100" s="194" t="str">
        <f t="shared" si="50"/>
        <v>-</v>
      </c>
      <c r="L100" s="645"/>
      <c r="M100" s="440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61" t="e">
        <f t="shared" si="51"/>
        <v>#N/A</v>
      </c>
      <c r="BA100" s="685"/>
    </row>
    <row r="101" spans="2:53">
      <c r="B101" s="671"/>
      <c r="C101" s="369">
        <v>15</v>
      </c>
      <c r="D101" s="480"/>
      <c r="E101" s="480"/>
      <c r="F101" s="480"/>
      <c r="G101" s="480"/>
      <c r="H101" s="707"/>
      <c r="I101" s="370" t="str">
        <f t="shared" si="48"/>
        <v>-</v>
      </c>
      <c r="J101" s="370" t="str">
        <f t="shared" si="49"/>
        <v>-</v>
      </c>
      <c r="K101" s="194" t="str">
        <f t="shared" si="50"/>
        <v>-</v>
      </c>
      <c r="L101" s="646"/>
      <c r="M101" s="440" t="e">
        <f>RANK(K101, K$87:$K$101)</f>
        <v>#VALUE!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61" t="e">
        <f t="shared" si="51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507</v>
      </c>
      <c r="C104" s="663" t="s">
        <v>508</v>
      </c>
      <c r="D104" s="663"/>
      <c r="E104" s="663" t="s">
        <v>509</v>
      </c>
      <c r="F104" s="663"/>
      <c r="G104" s="663"/>
      <c r="H104" s="679" t="s">
        <v>510</v>
      </c>
      <c r="I104" s="663" t="s">
        <v>511</v>
      </c>
      <c r="J104" s="663"/>
      <c r="K104" s="663"/>
      <c r="L104" s="679" t="s">
        <v>510</v>
      </c>
      <c r="M104" s="664" t="s">
        <v>512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515</v>
      </c>
      <c r="F105" s="663"/>
      <c r="G105" s="663"/>
      <c r="H105" s="680"/>
      <c r="I105" s="663" t="s">
        <v>515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517</v>
      </c>
      <c r="F106" s="334" t="s">
        <v>518</v>
      </c>
      <c r="G106" s="334" t="s">
        <v>519</v>
      </c>
      <c r="H106" s="681"/>
      <c r="I106" s="334" t="s">
        <v>517</v>
      </c>
      <c r="J106" s="334" t="s">
        <v>518</v>
      </c>
      <c r="K106" s="334" t="s">
        <v>519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62" t="s">
        <v>360</v>
      </c>
      <c r="BA106" s="663"/>
    </row>
    <row r="107" spans="2:53">
      <c r="B107" s="706" t="s">
        <v>520</v>
      </c>
      <c r="C107" s="337">
        <v>1</v>
      </c>
      <c r="D107" s="473"/>
      <c r="E107" s="474"/>
      <c r="F107" s="474"/>
      <c r="G107" s="476"/>
      <c r="H107" s="702" t="e">
        <f>AVERAGE(G107:G121)</f>
        <v>#DIV/0!</v>
      </c>
      <c r="I107" s="352" t="str">
        <f t="shared" ref="I107:I121" si="53">IFERROR(AVERAGE(P107,U107,Z107,AE107,AJ107,AO107,AT107),"-")</f>
        <v>-</v>
      </c>
      <c r="J107" s="352" t="str">
        <f t="shared" ref="J107:J121" si="54">IFERROR(AVERAGE(Q107,V107,AA107,AF107,AK107,AP107,AU107),"-")</f>
        <v>-</v>
      </c>
      <c r="K107" s="194" t="str">
        <f t="shared" ref="K107:K121" si="55">IFERROR(AVERAGE(R107,W107,AB107,AG107,AL107,AQ107,AV107),"-")</f>
        <v>-</v>
      </c>
      <c r="L107" s="644" t="str">
        <f>IFERROR(AVERAGE(K107:K121),"-")</f>
        <v>-</v>
      </c>
      <c r="M107" s="338" t="e">
        <f>RANK(K107, K$107:$K$121)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64" t="e">
        <f t="shared" ref="AZ107:AZ121" si="56">RANK(AY107, AY$81:AY$87)</f>
        <v>#N/A</v>
      </c>
      <c r="BA107" s="708" t="e">
        <f t="shared" ref="BA107" si="57">AVERAGE(AY107:AY121)</f>
        <v>#DIV/0!</v>
      </c>
    </row>
    <row r="108" spans="2:53">
      <c r="B108" s="692"/>
      <c r="C108" s="337">
        <v>2</v>
      </c>
      <c r="D108" s="474"/>
      <c r="E108" s="474"/>
      <c r="F108" s="474"/>
      <c r="G108" s="476"/>
      <c r="H108" s="703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45"/>
      <c r="M108" s="338" t="e">
        <f>RANK(K108, K$107:$K$121)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64" t="e">
        <f t="shared" si="56"/>
        <v>#N/A</v>
      </c>
      <c r="BA108" s="708"/>
    </row>
    <row r="109" spans="2:53">
      <c r="B109" s="692"/>
      <c r="C109" s="337">
        <v>3</v>
      </c>
      <c r="D109" s="474"/>
      <c r="E109" s="474"/>
      <c r="F109" s="474"/>
      <c r="G109" s="476"/>
      <c r="H109" s="703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45"/>
      <c r="M109" s="338" t="e">
        <f>RANK(K109, K$107:$K$121)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64" t="e">
        <f t="shared" si="56"/>
        <v>#N/A</v>
      </c>
      <c r="BA109" s="708"/>
    </row>
    <row r="110" spans="2:53">
      <c r="B110" s="692"/>
      <c r="C110" s="337">
        <v>4</v>
      </c>
      <c r="D110" s="341"/>
      <c r="E110" s="341"/>
      <c r="F110" s="341"/>
      <c r="G110" s="176"/>
      <c r="H110" s="703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45"/>
      <c r="M110" s="338" t="e">
        <f>RANK(K110, K$107:$K$121)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64" t="e">
        <f t="shared" si="56"/>
        <v>#N/A</v>
      </c>
      <c r="BA110" s="708"/>
    </row>
    <row r="111" spans="2:53">
      <c r="B111" s="692"/>
      <c r="C111" s="337">
        <v>5</v>
      </c>
      <c r="D111" s="341"/>
      <c r="E111" s="341"/>
      <c r="F111" s="341"/>
      <c r="G111" s="176"/>
      <c r="H111" s="703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45"/>
      <c r="M111" s="338" t="e">
        <f>RANK(K111, K$107:$K$121)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64" t="e">
        <f t="shared" si="56"/>
        <v>#N/A</v>
      </c>
      <c r="BA111" s="708"/>
    </row>
    <row r="112" spans="2:53">
      <c r="B112" s="692"/>
      <c r="C112" s="337">
        <v>6</v>
      </c>
      <c r="D112" s="341"/>
      <c r="E112" s="341"/>
      <c r="F112" s="341"/>
      <c r="G112" s="176"/>
      <c r="H112" s="703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45"/>
      <c r="M112" s="338" t="e">
        <f>RANK(K112, K$107:$K$121)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64" t="e">
        <f t="shared" si="56"/>
        <v>#N/A</v>
      </c>
      <c r="BA112" s="708"/>
    </row>
    <row r="113" spans="2:53">
      <c r="B113" s="692"/>
      <c r="C113" s="337">
        <v>7</v>
      </c>
      <c r="D113" s="341"/>
      <c r="E113" s="341"/>
      <c r="F113" s="341"/>
      <c r="G113" s="176"/>
      <c r="H113" s="703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45"/>
      <c r="M113" s="338" t="e">
        <f>RANK(K113, K$107:$K$121)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64" t="e">
        <f t="shared" si="56"/>
        <v>#N/A</v>
      </c>
      <c r="BA113" s="708"/>
    </row>
    <row r="114" spans="2:53">
      <c r="B114" s="692"/>
      <c r="C114" s="337">
        <v>8</v>
      </c>
      <c r="D114" s="341"/>
      <c r="E114" s="341"/>
      <c r="F114" s="341"/>
      <c r="G114" s="176"/>
      <c r="H114" s="703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45"/>
      <c r="M114" s="338" t="e">
        <f>RANK(K114, K$107:$K$121)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64" t="e">
        <f t="shared" si="56"/>
        <v>#N/A</v>
      </c>
      <c r="BA114" s="708"/>
    </row>
    <row r="115" spans="2:53">
      <c r="B115" s="692"/>
      <c r="C115" s="337">
        <v>9</v>
      </c>
      <c r="D115" s="341"/>
      <c r="E115" s="341"/>
      <c r="F115" s="341"/>
      <c r="G115" s="176"/>
      <c r="H115" s="703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45"/>
      <c r="M115" s="338" t="e">
        <f>RANK(K115, K$107:$K$121)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64" t="e">
        <f t="shared" si="56"/>
        <v>#N/A</v>
      </c>
      <c r="BA115" s="708"/>
    </row>
    <row r="116" spans="2:53">
      <c r="B116" s="692"/>
      <c r="C116" s="337">
        <v>10</v>
      </c>
      <c r="D116" s="341"/>
      <c r="E116" s="341"/>
      <c r="F116" s="341"/>
      <c r="G116" s="176"/>
      <c r="H116" s="703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45"/>
      <c r="M116" s="338" t="e">
        <f>RANK(K116, K$107:$K$121)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64" t="e">
        <f t="shared" si="56"/>
        <v>#N/A</v>
      </c>
      <c r="BA116" s="708"/>
    </row>
    <row r="117" spans="2:53">
      <c r="B117" s="692"/>
      <c r="C117" s="337">
        <v>11</v>
      </c>
      <c r="D117" s="341"/>
      <c r="E117" s="341"/>
      <c r="F117" s="341"/>
      <c r="G117" s="176"/>
      <c r="H117" s="703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45"/>
      <c r="M117" s="338" t="e">
        <f>RANK(K117, K$107:$K$121)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64" t="e">
        <f t="shared" si="56"/>
        <v>#N/A</v>
      </c>
      <c r="BA117" s="708"/>
    </row>
    <row r="118" spans="2:53">
      <c r="B118" s="692"/>
      <c r="C118" s="337">
        <v>12</v>
      </c>
      <c r="D118" s="341"/>
      <c r="E118" s="341"/>
      <c r="F118" s="341"/>
      <c r="G118" s="176"/>
      <c r="H118" s="703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45"/>
      <c r="M118" s="338" t="e">
        <f>RANK(K118, K$107:$K$121)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64" t="e">
        <f t="shared" si="56"/>
        <v>#N/A</v>
      </c>
      <c r="BA118" s="708"/>
    </row>
    <row r="119" spans="2:53">
      <c r="B119" s="692"/>
      <c r="C119" s="337">
        <v>13</v>
      </c>
      <c r="D119" s="341"/>
      <c r="E119" s="341"/>
      <c r="F119" s="341"/>
      <c r="G119" s="176"/>
      <c r="H119" s="703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45"/>
      <c r="M119" s="338" t="e">
        <f>RANK(K119, K$107:$K$121)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64" t="e">
        <f t="shared" si="56"/>
        <v>#N/A</v>
      </c>
      <c r="BA119" s="708"/>
    </row>
    <row r="120" spans="2:53">
      <c r="B120" s="692"/>
      <c r="C120" s="337">
        <v>14</v>
      </c>
      <c r="D120" s="341"/>
      <c r="E120" s="341"/>
      <c r="F120" s="341"/>
      <c r="G120" s="176"/>
      <c r="H120" s="703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45"/>
      <c r="M120" s="338" t="e">
        <f>RANK(K120, K$107:$K$121)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64" t="e">
        <f t="shared" si="56"/>
        <v>#N/A</v>
      </c>
      <c r="BA120" s="708"/>
    </row>
    <row r="121" spans="2:53">
      <c r="B121" s="692"/>
      <c r="C121" s="337">
        <v>15</v>
      </c>
      <c r="D121" s="341"/>
      <c r="E121" s="341"/>
      <c r="F121" s="341"/>
      <c r="G121" s="341"/>
      <c r="H121" s="707"/>
      <c r="I121" s="352" t="str">
        <f t="shared" si="53"/>
        <v>-</v>
      </c>
      <c r="J121" s="352" t="str">
        <f t="shared" si="54"/>
        <v>-</v>
      </c>
      <c r="K121" s="194" t="str">
        <f t="shared" si="55"/>
        <v>-</v>
      </c>
      <c r="L121" s="646"/>
      <c r="M121" s="338" t="e">
        <f>RANK(K121, K$107:$K$121)</f>
        <v>#VALUE!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64" t="e">
        <f t="shared" si="56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706" t="s">
        <v>477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K134" si="58">AVERAGEIF($D$7:$D$121,$D128,I$7:I$121)</f>
        <v>#DIV/0!</v>
      </c>
      <c r="J128" s="193" t="e">
        <f t="shared" si="58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58"/>
        <v>#DIV/0!</v>
      </c>
      <c r="J129" s="193" t="e">
        <f t="shared" si="58"/>
        <v>#DIV/0!</v>
      </c>
      <c r="K129" s="193" t="e">
        <f t="shared" si="58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58"/>
        <v>#DIV/0!</v>
      </c>
      <c r="J130" s="193" t="e">
        <f t="shared" si="58"/>
        <v>#DIV/0!</v>
      </c>
      <c r="K130" s="193" t="e">
        <f t="shared" si="58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58"/>
        <v>#DIV/0!</v>
      </c>
      <c r="J131" s="193" t="e">
        <f t="shared" si="58"/>
        <v>#DIV/0!</v>
      </c>
      <c r="K131" s="193" t="e">
        <f t="shared" si="58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58"/>
        <v>#DIV/0!</v>
      </c>
      <c r="J132" s="193" t="e">
        <f t="shared" si="58"/>
        <v>#DIV/0!</v>
      </c>
      <c r="K132" s="193" t="e">
        <f t="shared" si="58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58"/>
        <v>#DIV/0!</v>
      </c>
      <c r="J133" s="193" t="e">
        <f t="shared" si="58"/>
        <v>#DIV/0!</v>
      </c>
      <c r="K133" s="193" t="e">
        <f t="shared" si="58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58"/>
        <v>#DIV/0!</v>
      </c>
      <c r="J134" s="193" t="e">
        <f t="shared" si="58"/>
        <v>#DIV/0!</v>
      </c>
      <c r="K134" s="193" t="e">
        <f t="shared" si="58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70" zoomScaleNormal="70" workbookViewId="0">
      <pane xSplit="15" topLeftCell="P1" activePane="topRight" state="frozen"/>
      <selection activeCell="P6" sqref="P6"/>
      <selection pane="topRight" activeCell="C64" sqref="C64:D6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222.71105771092982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63" t="s">
        <v>364</v>
      </c>
      <c r="J4" s="663"/>
      <c r="K4" s="663"/>
      <c r="L4" s="679" t="s">
        <v>359</v>
      </c>
      <c r="M4" s="66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63" t="s">
        <v>366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2" t="s">
        <v>368</v>
      </c>
      <c r="J6" s="492" t="s">
        <v>369</v>
      </c>
      <c r="K6" s="492" t="s">
        <v>370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706" t="s">
        <v>521</v>
      </c>
      <c r="C7" s="495">
        <v>1</v>
      </c>
      <c r="D7" s="340" t="s">
        <v>352</v>
      </c>
      <c r="E7" s="477">
        <v>4</v>
      </c>
      <c r="F7" s="477">
        <v>2000</v>
      </c>
      <c r="G7" s="477">
        <v>500</v>
      </c>
      <c r="H7" s="702">
        <f>AVERAGE(G7:G21)</f>
        <v>262.35151515151517</v>
      </c>
      <c r="I7" s="496">
        <f t="shared" ref="I7:I20" si="0">IFERROR(AVERAGE(P7,U7,Z7,AE7,AJ7,AO7,AT7),"-")</f>
        <v>5</v>
      </c>
      <c r="J7" s="496">
        <f t="shared" ref="J7:J20" si="1">IFERROR(AVERAGE(Q7,V7,AA7,AF7,AK7,AP7,AU7),"-")</f>
        <v>2091.9879159492157</v>
      </c>
      <c r="K7" s="194">
        <f t="shared" ref="K7:K20" si="2">IFERROR(AVERAGE(R7,W7,AB7,AG7,AL7,AQ7,AV7),"-")</f>
        <v>418.39758318984315</v>
      </c>
      <c r="L7" s="644">
        <f>IFERROR(AVERAGE(K7:K21),"-")</f>
        <v>231.6472467889065</v>
      </c>
      <c r="M7" s="477">
        <f>RANK(K7, K$7:$K$21)</f>
        <v>1</v>
      </c>
      <c r="N7" s="663"/>
      <c r="O7" s="663"/>
      <c r="P7" s="523">
        <v>5</v>
      </c>
      <c r="Q7" s="525">
        <v>2112.4528301886789</v>
      </c>
      <c r="R7" s="525">
        <v>422.49056603773579</v>
      </c>
      <c r="S7" s="524">
        <f t="shared" ref="S7:S21" si="3">RANK(R7, R$7:R$21)</f>
        <v>1</v>
      </c>
      <c r="T7" s="708">
        <f t="shared" ref="T7" si="4">AVERAGE(R7:R21)</f>
        <v>231.86325964203141</v>
      </c>
      <c r="U7" s="523">
        <v>5</v>
      </c>
      <c r="V7" s="525">
        <v>2122.666666666667</v>
      </c>
      <c r="W7" s="525">
        <v>424.53333333333342</v>
      </c>
      <c r="X7" s="524">
        <f t="shared" ref="X7:X21" si="5">RANK(W7, W$7:W$21)</f>
        <v>1</v>
      </c>
      <c r="Y7" s="708">
        <f t="shared" ref="Y7" si="6">AVERAGE(W7:W21)</f>
        <v>231.7375761811229</v>
      </c>
      <c r="Z7" s="523">
        <v>5</v>
      </c>
      <c r="AA7" s="525">
        <v>2090.4545454545455</v>
      </c>
      <c r="AB7" s="525">
        <v>418.09090909090912</v>
      </c>
      <c r="AC7" s="524">
        <f t="shared" ref="AC7:AC21" si="7">RANK(AB7, AB$7:AB$21)</f>
        <v>1</v>
      </c>
      <c r="AD7" s="708">
        <f t="shared" ref="AD7" si="8">AVERAGE(AB7:AB21)</f>
        <v>230.48761989500292</v>
      </c>
      <c r="AE7" s="523">
        <v>5</v>
      </c>
      <c r="AF7" s="525">
        <v>2085.8823529411766</v>
      </c>
      <c r="AG7" s="525">
        <v>417.1764705882353</v>
      </c>
      <c r="AH7" s="524">
        <f t="shared" ref="AH7:AH21" si="9">RANK(AG7, AG$7:AG$21)</f>
        <v>2</v>
      </c>
      <c r="AI7" s="708">
        <f t="shared" ref="AI7" si="10">AVERAGE(AG7:AG21)</f>
        <v>231.01156974903898</v>
      </c>
      <c r="AJ7" s="523">
        <v>5</v>
      </c>
      <c r="AK7" s="525">
        <v>2081.052631578948</v>
      </c>
      <c r="AL7" s="525">
        <v>416.21052631578959</v>
      </c>
      <c r="AM7" s="524">
        <f t="shared" ref="AM7:AM21" si="11">RANK(AL7, AL$7:AL$21)</f>
        <v>2</v>
      </c>
      <c r="AN7" s="708">
        <f t="shared" ref="AN7" si="12">AVERAGE(AL7:AL21)</f>
        <v>233.27863274703839</v>
      </c>
      <c r="AO7" s="523">
        <v>5</v>
      </c>
      <c r="AP7" s="525">
        <v>2078.9473684210525</v>
      </c>
      <c r="AQ7" s="525">
        <v>415.78947368421052</v>
      </c>
      <c r="AR7" s="524">
        <f t="shared" ref="AR7:AR21" si="13">RANK(AQ7, AQ$7:AQ$21)</f>
        <v>1</v>
      </c>
      <c r="AS7" s="708">
        <f t="shared" ref="AS7" si="14">AVERAGE(AQ7:AQ21)</f>
        <v>231.17962628482073</v>
      </c>
      <c r="AT7" s="523">
        <v>5</v>
      </c>
      <c r="AU7" s="525">
        <v>2072.4590163934417</v>
      </c>
      <c r="AV7" s="525">
        <v>414.49180327868834</v>
      </c>
      <c r="AW7" s="524">
        <f t="shared" ref="AW7:AW21" si="15">RANK(AV7, AV$7:AV$21)</f>
        <v>2</v>
      </c>
      <c r="AX7" s="708">
        <f t="shared" ref="AX7" si="16">AVERAGE(AV7:AV21)</f>
        <v>231.97244302329028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340" t="s">
        <v>421</v>
      </c>
      <c r="E8" s="477">
        <v>4</v>
      </c>
      <c r="F8" s="477">
        <v>2000</v>
      </c>
      <c r="G8" s="477">
        <v>500</v>
      </c>
      <c r="H8" s="703"/>
      <c r="I8" s="496">
        <f t="shared" si="0"/>
        <v>5</v>
      </c>
      <c r="J8" s="496">
        <f t="shared" si="1"/>
        <v>2084.879547776728</v>
      </c>
      <c r="K8" s="194">
        <f t="shared" si="2"/>
        <v>416.97590955534554</v>
      </c>
      <c r="L8" s="645"/>
      <c r="M8" s="477">
        <f>RANK(K8, K$7:$K$21)</f>
        <v>2</v>
      </c>
      <c r="N8" s="663"/>
      <c r="O8" s="663"/>
      <c r="P8" s="523">
        <v>5</v>
      </c>
      <c r="Q8" s="525">
        <v>2052.2448979591845</v>
      </c>
      <c r="R8" s="525">
        <v>410.44897959183692</v>
      </c>
      <c r="S8" s="524">
        <f t="shared" si="3"/>
        <v>2</v>
      </c>
      <c r="T8" s="708"/>
      <c r="U8" s="523">
        <v>5</v>
      </c>
      <c r="V8" s="525">
        <v>2070</v>
      </c>
      <c r="W8" s="525">
        <v>414</v>
      </c>
      <c r="X8" s="524">
        <f t="shared" si="5"/>
        <v>2</v>
      </c>
      <c r="Y8" s="708"/>
      <c r="Z8" s="523">
        <v>5</v>
      </c>
      <c r="AA8" s="525">
        <v>2053.953488372093</v>
      </c>
      <c r="AB8" s="525">
        <v>410.7906976744186</v>
      </c>
      <c r="AC8" s="524">
        <f t="shared" si="7"/>
        <v>2</v>
      </c>
      <c r="AD8" s="708"/>
      <c r="AE8" s="523">
        <v>5</v>
      </c>
      <c r="AF8" s="525">
        <v>2117.6470588235297</v>
      </c>
      <c r="AG8" s="525">
        <v>423.52941176470597</v>
      </c>
      <c r="AH8" s="524">
        <f t="shared" si="9"/>
        <v>1</v>
      </c>
      <c r="AI8" s="708"/>
      <c r="AJ8" s="523">
        <v>5</v>
      </c>
      <c r="AK8" s="525">
        <v>2141.1428571428573</v>
      </c>
      <c r="AL8" s="525">
        <v>428.22857142857146</v>
      </c>
      <c r="AM8" s="524">
        <f t="shared" si="11"/>
        <v>1</v>
      </c>
      <c r="AN8" s="708"/>
      <c r="AO8" s="523">
        <v>5</v>
      </c>
      <c r="AP8" s="525">
        <v>2078.4905660377353</v>
      </c>
      <c r="AQ8" s="525">
        <v>415.69811320754707</v>
      </c>
      <c r="AR8" s="524">
        <f t="shared" si="13"/>
        <v>2</v>
      </c>
      <c r="AS8" s="708"/>
      <c r="AT8" s="523">
        <v>5</v>
      </c>
      <c r="AU8" s="525">
        <v>2080.6779661016953</v>
      </c>
      <c r="AV8" s="525">
        <v>416.13559322033905</v>
      </c>
      <c r="AW8" s="524">
        <f t="shared" si="15"/>
        <v>1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340" t="s">
        <v>555</v>
      </c>
      <c r="E9" s="477">
        <v>13</v>
      </c>
      <c r="F9" s="477">
        <v>2250</v>
      </c>
      <c r="G9" s="477">
        <v>173.1</v>
      </c>
      <c r="H9" s="703"/>
      <c r="I9" s="496">
        <f t="shared" si="0"/>
        <v>13</v>
      </c>
      <c r="J9" s="496">
        <f t="shared" si="1"/>
        <v>2091.3854681449097</v>
      </c>
      <c r="K9" s="194">
        <f t="shared" si="2"/>
        <v>160.87580524191617</v>
      </c>
      <c r="L9" s="645"/>
      <c r="M9" s="477">
        <f>RANK(K9, K$7:$K$21)</f>
        <v>7</v>
      </c>
      <c r="N9" s="663"/>
      <c r="O9" s="663"/>
      <c r="P9" s="523">
        <v>13</v>
      </c>
      <c r="Q9" s="525">
        <v>2094.8076923076924</v>
      </c>
      <c r="R9" s="525">
        <v>161.13905325443787</v>
      </c>
      <c r="S9" s="524">
        <f t="shared" si="3"/>
        <v>7</v>
      </c>
      <c r="T9" s="708"/>
      <c r="U9" s="523">
        <v>13</v>
      </c>
      <c r="V9" s="525">
        <v>2080.4210526315783</v>
      </c>
      <c r="W9" s="525">
        <v>160.03238866396757</v>
      </c>
      <c r="X9" s="524">
        <f t="shared" si="5"/>
        <v>7</v>
      </c>
      <c r="Y9" s="708"/>
      <c r="Z9" s="523">
        <v>13</v>
      </c>
      <c r="AA9" s="525">
        <v>2105.7391304347825</v>
      </c>
      <c r="AB9" s="525">
        <v>161.97993311036788</v>
      </c>
      <c r="AC9" s="524">
        <f t="shared" si="7"/>
        <v>7</v>
      </c>
      <c r="AD9" s="708"/>
      <c r="AE9" s="523">
        <v>13</v>
      </c>
      <c r="AF9" s="525">
        <v>2071.1111111111118</v>
      </c>
      <c r="AG9" s="525">
        <v>159.31623931623938</v>
      </c>
      <c r="AH9" s="524">
        <f t="shared" si="9"/>
        <v>7</v>
      </c>
      <c r="AI9" s="708"/>
      <c r="AJ9" s="523">
        <v>13</v>
      </c>
      <c r="AK9" s="525">
        <v>2073.2530120481929</v>
      </c>
      <c r="AL9" s="525">
        <v>159.48100092678408</v>
      </c>
      <c r="AM9" s="524">
        <f t="shared" si="11"/>
        <v>7</v>
      </c>
      <c r="AN9" s="708"/>
      <c r="AO9" s="523">
        <v>13</v>
      </c>
      <c r="AP9" s="525">
        <v>2120.7839999999997</v>
      </c>
      <c r="AQ9" s="525">
        <v>163.13723076923074</v>
      </c>
      <c r="AR9" s="524">
        <f t="shared" si="13"/>
        <v>7</v>
      </c>
      <c r="AS9" s="708"/>
      <c r="AT9" s="523">
        <v>13</v>
      </c>
      <c r="AU9" s="525">
        <v>2093.5822784810125</v>
      </c>
      <c r="AV9" s="525">
        <v>161.04479065238559</v>
      </c>
      <c r="AW9" s="524">
        <f t="shared" si="15"/>
        <v>7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340" t="s">
        <v>353</v>
      </c>
      <c r="E10" s="477">
        <v>13</v>
      </c>
      <c r="F10" s="477">
        <v>2250</v>
      </c>
      <c r="G10" s="477">
        <v>173.1</v>
      </c>
      <c r="H10" s="703"/>
      <c r="I10" s="496">
        <f t="shared" si="0"/>
        <v>13</v>
      </c>
      <c r="J10" s="496">
        <f t="shared" si="1"/>
        <v>2148.6794316606743</v>
      </c>
      <c r="K10" s="194">
        <f t="shared" si="2"/>
        <v>165.28303320466719</v>
      </c>
      <c r="L10" s="645"/>
      <c r="M10" s="477">
        <f>RANK(K10, K$7:$K$21)</f>
        <v>6</v>
      </c>
      <c r="N10" s="663"/>
      <c r="O10" s="663"/>
      <c r="P10" s="523">
        <v>13</v>
      </c>
      <c r="Q10" s="525">
        <v>2166.5346534653459</v>
      </c>
      <c r="R10" s="525">
        <v>166.65651180502661</v>
      </c>
      <c r="S10" s="524">
        <f t="shared" si="3"/>
        <v>6</v>
      </c>
      <c r="T10" s="708"/>
      <c r="U10" s="523">
        <v>13</v>
      </c>
      <c r="V10" s="525">
        <v>2121.7582417582421</v>
      </c>
      <c r="W10" s="525">
        <v>163.21217244294169</v>
      </c>
      <c r="X10" s="524">
        <f t="shared" si="5"/>
        <v>6</v>
      </c>
      <c r="Y10" s="708"/>
      <c r="Z10" s="523">
        <v>13</v>
      </c>
      <c r="AA10" s="525">
        <v>2145.3658536585358</v>
      </c>
      <c r="AB10" s="525">
        <v>165.02814258911815</v>
      </c>
      <c r="AC10" s="524">
        <f t="shared" si="7"/>
        <v>6</v>
      </c>
      <c r="AD10" s="708"/>
      <c r="AE10" s="523">
        <v>13</v>
      </c>
      <c r="AF10" s="525">
        <v>2127.5675675675684</v>
      </c>
      <c r="AG10" s="525">
        <v>163.65904365904373</v>
      </c>
      <c r="AH10" s="524">
        <f t="shared" si="9"/>
        <v>6</v>
      </c>
      <c r="AI10" s="708"/>
      <c r="AJ10" s="523">
        <v>13</v>
      </c>
      <c r="AK10" s="525">
        <v>2160.0000000000014</v>
      </c>
      <c r="AL10" s="525">
        <v>166.15384615384625</v>
      </c>
      <c r="AM10" s="524">
        <f t="shared" si="11"/>
        <v>6</v>
      </c>
      <c r="AN10" s="708"/>
      <c r="AO10" s="523">
        <v>13</v>
      </c>
      <c r="AP10" s="525">
        <v>2131.4563106796109</v>
      </c>
      <c r="AQ10" s="525">
        <v>163.95817774458544</v>
      </c>
      <c r="AR10" s="524">
        <f t="shared" si="13"/>
        <v>6</v>
      </c>
      <c r="AS10" s="708"/>
      <c r="AT10" s="523">
        <v>13</v>
      </c>
      <c r="AU10" s="525">
        <v>2188.0733944954127</v>
      </c>
      <c r="AV10" s="525">
        <v>168.31333803810867</v>
      </c>
      <c r="AW10" s="524">
        <f t="shared" si="15"/>
        <v>6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340" t="s">
        <v>354</v>
      </c>
      <c r="E11" s="477">
        <v>10</v>
      </c>
      <c r="F11" s="477">
        <v>2769</v>
      </c>
      <c r="G11" s="477">
        <v>276.89999999999998</v>
      </c>
      <c r="H11" s="703"/>
      <c r="I11" s="496">
        <f t="shared" si="0"/>
        <v>10</v>
      </c>
      <c r="J11" s="496">
        <f t="shared" si="1"/>
        <v>2442.9957943719483</v>
      </c>
      <c r="K11" s="194">
        <f t="shared" si="2"/>
        <v>244.29957943719481</v>
      </c>
      <c r="L11" s="645"/>
      <c r="M11" s="477">
        <f>RANK(K11, K$7:$K$21)</f>
        <v>3</v>
      </c>
      <c r="N11" s="663"/>
      <c r="O11" s="663"/>
      <c r="P11" s="523">
        <v>10</v>
      </c>
      <c r="Q11" s="525">
        <v>2488.2558139534881</v>
      </c>
      <c r="R11" s="525">
        <v>248.82558139534882</v>
      </c>
      <c r="S11" s="524">
        <f t="shared" si="3"/>
        <v>3</v>
      </c>
      <c r="T11" s="708"/>
      <c r="U11" s="523">
        <v>10</v>
      </c>
      <c r="V11" s="525">
        <v>2452.6090909090908</v>
      </c>
      <c r="W11" s="525">
        <v>245.26090909090908</v>
      </c>
      <c r="X11" s="524">
        <f t="shared" si="5"/>
        <v>3</v>
      </c>
      <c r="Y11" s="708"/>
      <c r="Z11" s="523">
        <v>10</v>
      </c>
      <c r="AA11" s="525">
        <v>2451.0447761194027</v>
      </c>
      <c r="AB11" s="525">
        <v>245.10447761194027</v>
      </c>
      <c r="AC11" s="524">
        <f t="shared" si="7"/>
        <v>3</v>
      </c>
      <c r="AD11" s="708"/>
      <c r="AE11" s="523">
        <v>10</v>
      </c>
      <c r="AF11" s="525">
        <v>2401.9834710743789</v>
      </c>
      <c r="AG11" s="525">
        <v>240.19834710743788</v>
      </c>
      <c r="AH11" s="524">
        <f t="shared" si="9"/>
        <v>3</v>
      </c>
      <c r="AI11" s="708"/>
      <c r="AJ11" s="523">
        <v>10</v>
      </c>
      <c r="AK11" s="525">
        <v>2445.78947368421</v>
      </c>
      <c r="AL11" s="525">
        <v>244.57894736842098</v>
      </c>
      <c r="AM11" s="524">
        <f t="shared" si="11"/>
        <v>3</v>
      </c>
      <c r="AN11" s="708"/>
      <c r="AO11" s="523">
        <v>10</v>
      </c>
      <c r="AP11" s="525">
        <v>2417.1428571428578</v>
      </c>
      <c r="AQ11" s="525">
        <v>241.71428571428578</v>
      </c>
      <c r="AR11" s="524">
        <f t="shared" si="13"/>
        <v>3</v>
      </c>
      <c r="AS11" s="708"/>
      <c r="AT11" s="523">
        <v>10</v>
      </c>
      <c r="AU11" s="525">
        <v>2444.1450777202081</v>
      </c>
      <c r="AV11" s="525">
        <v>244.41450777202081</v>
      </c>
      <c r="AW11" s="524">
        <f t="shared" si="15"/>
        <v>3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340" t="s">
        <v>640</v>
      </c>
      <c r="E12" s="477">
        <v>11</v>
      </c>
      <c r="F12" s="477">
        <v>2250</v>
      </c>
      <c r="G12" s="477">
        <v>204.5</v>
      </c>
      <c r="H12" s="703"/>
      <c r="I12" s="496">
        <f t="shared" si="0"/>
        <v>11</v>
      </c>
      <c r="J12" s="496">
        <f t="shared" si="1"/>
        <v>2082.6413015084154</v>
      </c>
      <c r="K12" s="194">
        <f t="shared" si="2"/>
        <v>189.33102740985598</v>
      </c>
      <c r="L12" s="645"/>
      <c r="M12" s="477">
        <f>RANK(K12, K$7:$K$21)</f>
        <v>5</v>
      </c>
      <c r="N12" s="663"/>
      <c r="O12" s="663"/>
      <c r="P12" s="523">
        <v>11</v>
      </c>
      <c r="Q12" s="525">
        <v>2056.2551020408173</v>
      </c>
      <c r="R12" s="525">
        <v>186.93228200371067</v>
      </c>
      <c r="S12" s="524">
        <f t="shared" si="3"/>
        <v>5</v>
      </c>
      <c r="T12" s="708"/>
      <c r="U12" s="523">
        <v>11</v>
      </c>
      <c r="V12" s="525">
        <v>2081.0581395348845</v>
      </c>
      <c r="W12" s="525">
        <v>189.18710359408041</v>
      </c>
      <c r="X12" s="524">
        <f t="shared" si="5"/>
        <v>5</v>
      </c>
      <c r="Y12" s="708"/>
      <c r="Z12" s="523">
        <v>11</v>
      </c>
      <c r="AA12" s="525">
        <v>2081.1428571428569</v>
      </c>
      <c r="AB12" s="525">
        <v>189.19480519480518</v>
      </c>
      <c r="AC12" s="524">
        <f t="shared" si="7"/>
        <v>5</v>
      </c>
      <c r="AD12" s="708"/>
      <c r="AE12" s="523">
        <v>11</v>
      </c>
      <c r="AF12" s="525">
        <v>2066.9724770642206</v>
      </c>
      <c r="AG12" s="525">
        <v>187.90658882402005</v>
      </c>
      <c r="AH12" s="524">
        <f t="shared" si="9"/>
        <v>5</v>
      </c>
      <c r="AI12" s="708"/>
      <c r="AJ12" s="523">
        <v>11</v>
      </c>
      <c r="AK12" s="525">
        <v>2103.2307692307695</v>
      </c>
      <c r="AL12" s="525">
        <v>191.20279720279723</v>
      </c>
      <c r="AM12" s="524">
        <f t="shared" si="11"/>
        <v>5</v>
      </c>
      <c r="AN12" s="708"/>
      <c r="AO12" s="523">
        <v>11</v>
      </c>
      <c r="AP12" s="525">
        <v>2082.3853211009173</v>
      </c>
      <c r="AQ12" s="525">
        <v>189.30775646371976</v>
      </c>
      <c r="AR12" s="524">
        <f t="shared" si="13"/>
        <v>5</v>
      </c>
      <c r="AS12" s="708"/>
      <c r="AT12" s="523">
        <v>11</v>
      </c>
      <c r="AU12" s="525">
        <v>2107.4444444444443</v>
      </c>
      <c r="AV12" s="525">
        <v>191.58585858585857</v>
      </c>
      <c r="AW12" s="524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340" t="s">
        <v>351</v>
      </c>
      <c r="E13" s="477">
        <v>18</v>
      </c>
      <c r="F13" s="477">
        <v>1200</v>
      </c>
      <c r="G13" s="477">
        <v>66.666666666666671</v>
      </c>
      <c r="H13" s="703"/>
      <c r="I13" s="496">
        <f t="shared" si="0"/>
        <v>18</v>
      </c>
      <c r="J13" s="496">
        <f t="shared" si="1"/>
        <v>1103.4120092956998</v>
      </c>
      <c r="K13" s="194">
        <f t="shared" si="2"/>
        <v>61.300667183094433</v>
      </c>
      <c r="L13" s="645"/>
      <c r="M13" s="477">
        <f>RANK(K13, K$7:$K$21)</f>
        <v>8</v>
      </c>
      <c r="N13" s="663"/>
      <c r="O13" s="663"/>
      <c r="P13" s="523">
        <v>18</v>
      </c>
      <c r="Q13" s="525">
        <v>1117.731958762887</v>
      </c>
      <c r="R13" s="525">
        <v>62.096219931271499</v>
      </c>
      <c r="S13" s="524">
        <f t="shared" si="3"/>
        <v>8</v>
      </c>
      <c r="T13" s="708"/>
      <c r="U13" s="523">
        <v>18</v>
      </c>
      <c r="V13" s="525">
        <v>1114.8837209302324</v>
      </c>
      <c r="W13" s="525">
        <v>61.937984496124017</v>
      </c>
      <c r="X13" s="524">
        <f t="shared" si="5"/>
        <v>8</v>
      </c>
      <c r="Y13" s="708"/>
      <c r="Z13" s="523">
        <v>18</v>
      </c>
      <c r="AA13" s="525">
        <v>1087.7142857142844</v>
      </c>
      <c r="AB13" s="525">
        <v>60.42857142857136</v>
      </c>
      <c r="AC13" s="524">
        <f t="shared" si="7"/>
        <v>8</v>
      </c>
      <c r="AD13" s="708"/>
      <c r="AE13" s="523">
        <v>18</v>
      </c>
      <c r="AF13" s="525">
        <v>1105.2173913043466</v>
      </c>
      <c r="AG13" s="525">
        <v>61.400966183574809</v>
      </c>
      <c r="AH13" s="524">
        <f t="shared" si="9"/>
        <v>8</v>
      </c>
      <c r="AI13" s="708"/>
      <c r="AJ13" s="523">
        <v>18</v>
      </c>
      <c r="AK13" s="525">
        <v>1102.1917808219171</v>
      </c>
      <c r="AL13" s="525">
        <v>61.232876712328725</v>
      </c>
      <c r="AM13" s="524">
        <f t="shared" si="11"/>
        <v>8</v>
      </c>
      <c r="AN13" s="708"/>
      <c r="AO13" s="523">
        <v>18</v>
      </c>
      <c r="AP13" s="525">
        <v>1092.6666666666667</v>
      </c>
      <c r="AQ13" s="525">
        <v>60.703703703703709</v>
      </c>
      <c r="AR13" s="524">
        <f t="shared" si="13"/>
        <v>8</v>
      </c>
      <c r="AS13" s="708"/>
      <c r="AT13" s="523">
        <v>18</v>
      </c>
      <c r="AU13" s="525">
        <v>1103.4782608695652</v>
      </c>
      <c r="AV13" s="525">
        <v>61.304347826086961</v>
      </c>
      <c r="AW13" s="524">
        <f t="shared" si="15"/>
        <v>8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340" t="s">
        <v>683</v>
      </c>
      <c r="E14" s="477">
        <v>11</v>
      </c>
      <c r="F14" s="477">
        <v>2250</v>
      </c>
      <c r="G14" s="477">
        <v>204.54545454545453</v>
      </c>
      <c r="H14" s="703"/>
      <c r="I14" s="496">
        <f t="shared" si="0"/>
        <v>11</v>
      </c>
      <c r="J14" s="496">
        <f t="shared" si="1"/>
        <v>2163.8580599826828</v>
      </c>
      <c r="K14" s="194">
        <f t="shared" si="2"/>
        <v>196.71436908933475</v>
      </c>
      <c r="L14" s="645"/>
      <c r="M14" s="477">
        <f>RANK(K14, K$7:$K$21)</f>
        <v>4</v>
      </c>
      <c r="N14" s="663"/>
      <c r="O14" s="663"/>
      <c r="P14" s="523">
        <v>11</v>
      </c>
      <c r="Q14" s="525">
        <v>2159.4857142857145</v>
      </c>
      <c r="R14" s="525">
        <v>196.31688311688313</v>
      </c>
      <c r="S14" s="524">
        <f t="shared" si="3"/>
        <v>4</v>
      </c>
      <c r="T14" s="708"/>
      <c r="U14" s="523">
        <v>11</v>
      </c>
      <c r="V14" s="525">
        <v>2153.1038961038967</v>
      </c>
      <c r="W14" s="525">
        <v>195.73671782762696</v>
      </c>
      <c r="X14" s="524">
        <f t="shared" si="5"/>
        <v>4</v>
      </c>
      <c r="Y14" s="708"/>
      <c r="Z14" s="523">
        <v>11</v>
      </c>
      <c r="AA14" s="525">
        <v>2126.1176470588234</v>
      </c>
      <c r="AB14" s="525">
        <v>193.28342245989305</v>
      </c>
      <c r="AC14" s="524">
        <f t="shared" si="7"/>
        <v>4</v>
      </c>
      <c r="AD14" s="708"/>
      <c r="AE14" s="523">
        <v>11</v>
      </c>
      <c r="AF14" s="525">
        <v>2143.960396039603</v>
      </c>
      <c r="AG14" s="525">
        <v>194.9054905490548</v>
      </c>
      <c r="AH14" s="524">
        <f t="shared" si="9"/>
        <v>4</v>
      </c>
      <c r="AI14" s="708"/>
      <c r="AJ14" s="523">
        <v>11</v>
      </c>
      <c r="AK14" s="525">
        <v>2190.545454545454</v>
      </c>
      <c r="AL14" s="525">
        <v>199.14049586776855</v>
      </c>
      <c r="AM14" s="524">
        <f t="shared" si="11"/>
        <v>4</v>
      </c>
      <c r="AN14" s="708"/>
      <c r="AO14" s="523">
        <v>11</v>
      </c>
      <c r="AP14" s="525">
        <v>2190.41095890411</v>
      </c>
      <c r="AQ14" s="525">
        <v>199.12826899128274</v>
      </c>
      <c r="AR14" s="524">
        <f t="shared" si="13"/>
        <v>4</v>
      </c>
      <c r="AS14" s="708"/>
      <c r="AT14" s="523">
        <v>11</v>
      </c>
      <c r="AU14" s="525">
        <v>2183.3823529411766</v>
      </c>
      <c r="AV14" s="525">
        <v>198.48930481283423</v>
      </c>
      <c r="AW14" s="524">
        <f t="shared" si="15"/>
        <v>4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340"/>
      <c r="E15" s="477"/>
      <c r="F15" s="477"/>
      <c r="G15" s="477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23" t="s">
        <v>564</v>
      </c>
      <c r="Q15" s="525" t="s">
        <v>564</v>
      </c>
      <c r="R15" s="525" t="s">
        <v>564</v>
      </c>
      <c r="S15" s="524" t="e">
        <f t="shared" si="3"/>
        <v>#VALUE!</v>
      </c>
      <c r="T15" s="708"/>
      <c r="U15" s="523" t="s">
        <v>564</v>
      </c>
      <c r="V15" s="525" t="s">
        <v>564</v>
      </c>
      <c r="W15" s="525" t="s">
        <v>564</v>
      </c>
      <c r="X15" s="524" t="e">
        <f t="shared" si="5"/>
        <v>#VALUE!</v>
      </c>
      <c r="Y15" s="708"/>
      <c r="Z15" s="523" t="s">
        <v>564</v>
      </c>
      <c r="AA15" s="525" t="s">
        <v>564</v>
      </c>
      <c r="AB15" s="525" t="s">
        <v>564</v>
      </c>
      <c r="AC15" s="524" t="e">
        <f t="shared" si="7"/>
        <v>#VALUE!</v>
      </c>
      <c r="AD15" s="708"/>
      <c r="AE15" s="523" t="s">
        <v>564</v>
      </c>
      <c r="AF15" s="525" t="s">
        <v>564</v>
      </c>
      <c r="AG15" s="525" t="s">
        <v>564</v>
      </c>
      <c r="AH15" s="524" t="e">
        <f t="shared" si="9"/>
        <v>#VALUE!</v>
      </c>
      <c r="AI15" s="708"/>
      <c r="AJ15" s="523" t="s">
        <v>564</v>
      </c>
      <c r="AK15" s="525" t="s">
        <v>564</v>
      </c>
      <c r="AL15" s="525" t="s">
        <v>564</v>
      </c>
      <c r="AM15" s="524" t="e">
        <f t="shared" si="11"/>
        <v>#VALUE!</v>
      </c>
      <c r="AN15" s="708"/>
      <c r="AO15" s="523" t="s">
        <v>564</v>
      </c>
      <c r="AP15" s="525" t="s">
        <v>564</v>
      </c>
      <c r="AQ15" s="525" t="s">
        <v>564</v>
      </c>
      <c r="AR15" s="524" t="e">
        <f t="shared" si="13"/>
        <v>#VALUE!</v>
      </c>
      <c r="AS15" s="708"/>
      <c r="AT15" s="523" t="s">
        <v>564</v>
      </c>
      <c r="AU15" s="525" t="s">
        <v>564</v>
      </c>
      <c r="AV15" s="525" t="s">
        <v>564</v>
      </c>
      <c r="AW15" s="524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340"/>
      <c r="E16" s="477"/>
      <c r="F16" s="477"/>
      <c r="G16" s="477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23" t="s">
        <v>564</v>
      </c>
      <c r="Q16" s="525" t="s">
        <v>564</v>
      </c>
      <c r="R16" s="525" t="s">
        <v>564</v>
      </c>
      <c r="S16" s="524" t="e">
        <f t="shared" si="3"/>
        <v>#VALUE!</v>
      </c>
      <c r="T16" s="708"/>
      <c r="U16" s="523" t="s">
        <v>564</v>
      </c>
      <c r="V16" s="525" t="s">
        <v>564</v>
      </c>
      <c r="W16" s="525" t="s">
        <v>564</v>
      </c>
      <c r="X16" s="524" t="e">
        <f t="shared" si="5"/>
        <v>#VALUE!</v>
      </c>
      <c r="Y16" s="708"/>
      <c r="Z16" s="523" t="s">
        <v>564</v>
      </c>
      <c r="AA16" s="525" t="s">
        <v>564</v>
      </c>
      <c r="AB16" s="525" t="s">
        <v>564</v>
      </c>
      <c r="AC16" s="524" t="e">
        <f t="shared" si="7"/>
        <v>#VALUE!</v>
      </c>
      <c r="AD16" s="708"/>
      <c r="AE16" s="523" t="s">
        <v>564</v>
      </c>
      <c r="AF16" s="525" t="s">
        <v>564</v>
      </c>
      <c r="AG16" s="525" t="s">
        <v>564</v>
      </c>
      <c r="AH16" s="524" t="e">
        <f t="shared" si="9"/>
        <v>#VALUE!</v>
      </c>
      <c r="AI16" s="708"/>
      <c r="AJ16" s="523" t="s">
        <v>564</v>
      </c>
      <c r="AK16" s="525" t="s">
        <v>564</v>
      </c>
      <c r="AL16" s="525" t="s">
        <v>564</v>
      </c>
      <c r="AM16" s="524" t="e">
        <f t="shared" si="11"/>
        <v>#VALUE!</v>
      </c>
      <c r="AN16" s="708"/>
      <c r="AO16" s="523" t="s">
        <v>564</v>
      </c>
      <c r="AP16" s="525" t="s">
        <v>564</v>
      </c>
      <c r="AQ16" s="525" t="s">
        <v>564</v>
      </c>
      <c r="AR16" s="524" t="e">
        <f t="shared" si="13"/>
        <v>#VALUE!</v>
      </c>
      <c r="AS16" s="708"/>
      <c r="AT16" s="523" t="s">
        <v>564</v>
      </c>
      <c r="AU16" s="525" t="s">
        <v>564</v>
      </c>
      <c r="AV16" s="525" t="s">
        <v>564</v>
      </c>
      <c r="AW16" s="524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340"/>
      <c r="E17" s="477"/>
      <c r="F17" s="477"/>
      <c r="G17" s="477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23" t="s">
        <v>564</v>
      </c>
      <c r="Q17" s="525" t="s">
        <v>564</v>
      </c>
      <c r="R17" s="525" t="s">
        <v>564</v>
      </c>
      <c r="S17" s="524" t="e">
        <f t="shared" si="3"/>
        <v>#VALUE!</v>
      </c>
      <c r="T17" s="708"/>
      <c r="U17" s="523" t="s">
        <v>564</v>
      </c>
      <c r="V17" s="525" t="s">
        <v>564</v>
      </c>
      <c r="W17" s="525" t="s">
        <v>564</v>
      </c>
      <c r="X17" s="524" t="e">
        <f t="shared" si="5"/>
        <v>#VALUE!</v>
      </c>
      <c r="Y17" s="708"/>
      <c r="Z17" s="523" t="s">
        <v>564</v>
      </c>
      <c r="AA17" s="525" t="s">
        <v>564</v>
      </c>
      <c r="AB17" s="525" t="s">
        <v>564</v>
      </c>
      <c r="AC17" s="524" t="e">
        <f t="shared" si="7"/>
        <v>#VALUE!</v>
      </c>
      <c r="AD17" s="708"/>
      <c r="AE17" s="523" t="s">
        <v>564</v>
      </c>
      <c r="AF17" s="525" t="s">
        <v>564</v>
      </c>
      <c r="AG17" s="525" t="s">
        <v>564</v>
      </c>
      <c r="AH17" s="524" t="e">
        <f t="shared" si="9"/>
        <v>#VALUE!</v>
      </c>
      <c r="AI17" s="708"/>
      <c r="AJ17" s="523" t="s">
        <v>564</v>
      </c>
      <c r="AK17" s="525" t="s">
        <v>564</v>
      </c>
      <c r="AL17" s="525" t="s">
        <v>564</v>
      </c>
      <c r="AM17" s="524" t="e">
        <f t="shared" si="11"/>
        <v>#VALUE!</v>
      </c>
      <c r="AN17" s="708"/>
      <c r="AO17" s="523" t="s">
        <v>564</v>
      </c>
      <c r="AP17" s="525" t="s">
        <v>564</v>
      </c>
      <c r="AQ17" s="525" t="s">
        <v>564</v>
      </c>
      <c r="AR17" s="524" t="e">
        <f t="shared" si="13"/>
        <v>#VALUE!</v>
      </c>
      <c r="AS17" s="708"/>
      <c r="AT17" s="523" t="s">
        <v>564</v>
      </c>
      <c r="AU17" s="525" t="s">
        <v>564</v>
      </c>
      <c r="AV17" s="525" t="s">
        <v>564</v>
      </c>
      <c r="AW17" s="524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340"/>
      <c r="E18" s="477"/>
      <c r="F18" s="477"/>
      <c r="G18" s="477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23" t="s">
        <v>564</v>
      </c>
      <c r="Q18" s="525" t="s">
        <v>564</v>
      </c>
      <c r="R18" s="525" t="s">
        <v>564</v>
      </c>
      <c r="S18" s="524" t="e">
        <f t="shared" si="3"/>
        <v>#VALUE!</v>
      </c>
      <c r="T18" s="708"/>
      <c r="U18" s="523" t="s">
        <v>564</v>
      </c>
      <c r="V18" s="525" t="s">
        <v>564</v>
      </c>
      <c r="W18" s="525" t="s">
        <v>564</v>
      </c>
      <c r="X18" s="524" t="e">
        <f t="shared" si="5"/>
        <v>#VALUE!</v>
      </c>
      <c r="Y18" s="708"/>
      <c r="Z18" s="523" t="s">
        <v>564</v>
      </c>
      <c r="AA18" s="525" t="s">
        <v>564</v>
      </c>
      <c r="AB18" s="525" t="s">
        <v>564</v>
      </c>
      <c r="AC18" s="524" t="e">
        <f t="shared" si="7"/>
        <v>#VALUE!</v>
      </c>
      <c r="AD18" s="708"/>
      <c r="AE18" s="523" t="s">
        <v>564</v>
      </c>
      <c r="AF18" s="525" t="s">
        <v>564</v>
      </c>
      <c r="AG18" s="525" t="s">
        <v>564</v>
      </c>
      <c r="AH18" s="524" t="e">
        <f t="shared" si="9"/>
        <v>#VALUE!</v>
      </c>
      <c r="AI18" s="708"/>
      <c r="AJ18" s="523" t="s">
        <v>564</v>
      </c>
      <c r="AK18" s="525" t="s">
        <v>564</v>
      </c>
      <c r="AL18" s="525" t="s">
        <v>564</v>
      </c>
      <c r="AM18" s="524" t="e">
        <f t="shared" si="11"/>
        <v>#VALUE!</v>
      </c>
      <c r="AN18" s="708"/>
      <c r="AO18" s="523" t="s">
        <v>564</v>
      </c>
      <c r="AP18" s="525" t="s">
        <v>564</v>
      </c>
      <c r="AQ18" s="525" t="s">
        <v>564</v>
      </c>
      <c r="AR18" s="524" t="e">
        <f t="shared" si="13"/>
        <v>#VALUE!</v>
      </c>
      <c r="AS18" s="708"/>
      <c r="AT18" s="523" t="s">
        <v>564</v>
      </c>
      <c r="AU18" s="525" t="s">
        <v>564</v>
      </c>
      <c r="AV18" s="525" t="s">
        <v>564</v>
      </c>
      <c r="AW18" s="524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340"/>
      <c r="E19" s="477"/>
      <c r="F19" s="477"/>
      <c r="G19" s="477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23" t="s">
        <v>564</v>
      </c>
      <c r="Q19" s="525" t="s">
        <v>564</v>
      </c>
      <c r="R19" s="525" t="s">
        <v>564</v>
      </c>
      <c r="S19" s="524" t="e">
        <f t="shared" si="3"/>
        <v>#VALUE!</v>
      </c>
      <c r="T19" s="708"/>
      <c r="U19" s="523" t="s">
        <v>564</v>
      </c>
      <c r="V19" s="525" t="s">
        <v>564</v>
      </c>
      <c r="W19" s="525" t="s">
        <v>564</v>
      </c>
      <c r="X19" s="524" t="e">
        <f t="shared" si="5"/>
        <v>#VALUE!</v>
      </c>
      <c r="Y19" s="708"/>
      <c r="Z19" s="523" t="s">
        <v>564</v>
      </c>
      <c r="AA19" s="525" t="s">
        <v>564</v>
      </c>
      <c r="AB19" s="525" t="s">
        <v>564</v>
      </c>
      <c r="AC19" s="524" t="e">
        <f t="shared" si="7"/>
        <v>#VALUE!</v>
      </c>
      <c r="AD19" s="708"/>
      <c r="AE19" s="523" t="s">
        <v>564</v>
      </c>
      <c r="AF19" s="525" t="s">
        <v>564</v>
      </c>
      <c r="AG19" s="525" t="s">
        <v>564</v>
      </c>
      <c r="AH19" s="524" t="e">
        <f t="shared" si="9"/>
        <v>#VALUE!</v>
      </c>
      <c r="AI19" s="708"/>
      <c r="AJ19" s="523" t="s">
        <v>564</v>
      </c>
      <c r="AK19" s="525" t="s">
        <v>564</v>
      </c>
      <c r="AL19" s="525" t="s">
        <v>564</v>
      </c>
      <c r="AM19" s="524" t="e">
        <f t="shared" si="11"/>
        <v>#VALUE!</v>
      </c>
      <c r="AN19" s="708"/>
      <c r="AO19" s="523" t="s">
        <v>564</v>
      </c>
      <c r="AP19" s="525" t="s">
        <v>564</v>
      </c>
      <c r="AQ19" s="525" t="s">
        <v>564</v>
      </c>
      <c r="AR19" s="524" t="e">
        <f t="shared" si="13"/>
        <v>#VALUE!</v>
      </c>
      <c r="AS19" s="708"/>
      <c r="AT19" s="523" t="s">
        <v>564</v>
      </c>
      <c r="AU19" s="525" t="s">
        <v>564</v>
      </c>
      <c r="AV19" s="525" t="s">
        <v>564</v>
      </c>
      <c r="AW19" s="524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340"/>
      <c r="E20" s="477"/>
      <c r="F20" s="477"/>
      <c r="G20" s="477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23" t="s">
        <v>564</v>
      </c>
      <c r="Q20" s="525" t="s">
        <v>564</v>
      </c>
      <c r="R20" s="525" t="s">
        <v>564</v>
      </c>
      <c r="S20" s="524" t="e">
        <f t="shared" si="3"/>
        <v>#VALUE!</v>
      </c>
      <c r="T20" s="708"/>
      <c r="U20" s="523" t="s">
        <v>564</v>
      </c>
      <c r="V20" s="525" t="s">
        <v>564</v>
      </c>
      <c r="W20" s="525" t="s">
        <v>564</v>
      </c>
      <c r="X20" s="524" t="e">
        <f t="shared" si="5"/>
        <v>#VALUE!</v>
      </c>
      <c r="Y20" s="708"/>
      <c r="Z20" s="523" t="s">
        <v>564</v>
      </c>
      <c r="AA20" s="525" t="s">
        <v>564</v>
      </c>
      <c r="AB20" s="525" t="s">
        <v>564</v>
      </c>
      <c r="AC20" s="524" t="e">
        <f t="shared" si="7"/>
        <v>#VALUE!</v>
      </c>
      <c r="AD20" s="708"/>
      <c r="AE20" s="523" t="s">
        <v>564</v>
      </c>
      <c r="AF20" s="525" t="s">
        <v>564</v>
      </c>
      <c r="AG20" s="525" t="s">
        <v>564</v>
      </c>
      <c r="AH20" s="524" t="e">
        <f t="shared" si="9"/>
        <v>#VALUE!</v>
      </c>
      <c r="AI20" s="708"/>
      <c r="AJ20" s="523" t="s">
        <v>564</v>
      </c>
      <c r="AK20" s="525" t="s">
        <v>564</v>
      </c>
      <c r="AL20" s="525" t="s">
        <v>564</v>
      </c>
      <c r="AM20" s="524" t="e">
        <f t="shared" si="11"/>
        <v>#VALUE!</v>
      </c>
      <c r="AN20" s="708"/>
      <c r="AO20" s="523" t="s">
        <v>564</v>
      </c>
      <c r="AP20" s="525" t="s">
        <v>564</v>
      </c>
      <c r="AQ20" s="525" t="s">
        <v>564</v>
      </c>
      <c r="AR20" s="524" t="e">
        <f t="shared" si="13"/>
        <v>#VALUE!</v>
      </c>
      <c r="AS20" s="708"/>
      <c r="AT20" s="523" t="s">
        <v>564</v>
      </c>
      <c r="AU20" s="525" t="s">
        <v>564</v>
      </c>
      <c r="AV20" s="525" t="s">
        <v>564</v>
      </c>
      <c r="AW20" s="524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340"/>
      <c r="E21" s="477"/>
      <c r="F21" s="477"/>
      <c r="G21" s="477"/>
      <c r="H21" s="707"/>
      <c r="I21" s="477"/>
      <c r="J21" s="477"/>
      <c r="K21" s="498"/>
      <c r="L21" s="646"/>
      <c r="M21" s="477" t="e">
        <f>RANK(K21, K$7:$K$21)</f>
        <v>#N/A</v>
      </c>
      <c r="N21" s="663"/>
      <c r="O21" s="663"/>
      <c r="P21" s="523" t="s">
        <v>564</v>
      </c>
      <c r="Q21" s="525" t="s">
        <v>564</v>
      </c>
      <c r="R21" s="525" t="s">
        <v>564</v>
      </c>
      <c r="S21" s="524" t="e">
        <f t="shared" si="3"/>
        <v>#VALUE!</v>
      </c>
      <c r="T21" s="708"/>
      <c r="U21" s="523" t="s">
        <v>564</v>
      </c>
      <c r="V21" s="525" t="s">
        <v>564</v>
      </c>
      <c r="W21" s="525" t="s">
        <v>564</v>
      </c>
      <c r="X21" s="524" t="e">
        <f t="shared" si="5"/>
        <v>#VALUE!</v>
      </c>
      <c r="Y21" s="708"/>
      <c r="Z21" s="523" t="s">
        <v>564</v>
      </c>
      <c r="AA21" s="525" t="s">
        <v>564</v>
      </c>
      <c r="AB21" s="525" t="s">
        <v>564</v>
      </c>
      <c r="AC21" s="524" t="e">
        <f t="shared" si="7"/>
        <v>#VALUE!</v>
      </c>
      <c r="AD21" s="708"/>
      <c r="AE21" s="523" t="s">
        <v>564</v>
      </c>
      <c r="AF21" s="525" t="s">
        <v>564</v>
      </c>
      <c r="AG21" s="525" t="s">
        <v>564</v>
      </c>
      <c r="AH21" s="524" t="e">
        <f t="shared" si="9"/>
        <v>#VALUE!</v>
      </c>
      <c r="AI21" s="708"/>
      <c r="AJ21" s="523" t="s">
        <v>564</v>
      </c>
      <c r="AK21" s="525" t="s">
        <v>564</v>
      </c>
      <c r="AL21" s="525" t="s">
        <v>564</v>
      </c>
      <c r="AM21" s="524" t="e">
        <f t="shared" si="11"/>
        <v>#VALUE!</v>
      </c>
      <c r="AN21" s="708"/>
      <c r="AO21" s="523" t="s">
        <v>564</v>
      </c>
      <c r="AP21" s="525" t="s">
        <v>564</v>
      </c>
      <c r="AQ21" s="525" t="s">
        <v>564</v>
      </c>
      <c r="AR21" s="524" t="e">
        <f t="shared" si="13"/>
        <v>#VALUE!</v>
      </c>
      <c r="AS21" s="708"/>
      <c r="AT21" s="523" t="s">
        <v>564</v>
      </c>
      <c r="AU21" s="525" t="s">
        <v>564</v>
      </c>
      <c r="AV21" s="525" t="s">
        <v>564</v>
      </c>
      <c r="AW21" s="524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362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63" t="s">
        <v>364</v>
      </c>
      <c r="J24" s="663"/>
      <c r="K24" s="663"/>
      <c r="L24" s="679" t="s">
        <v>359</v>
      </c>
      <c r="M24" s="66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538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63" t="s">
        <v>366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7" t="s">
        <v>368</v>
      </c>
      <c r="J26" s="367" t="s">
        <v>369</v>
      </c>
      <c r="K26" s="367" t="s">
        <v>370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706" t="s">
        <v>371</v>
      </c>
      <c r="C27" s="369">
        <v>1</v>
      </c>
      <c r="D27" s="340" t="s">
        <v>352</v>
      </c>
      <c r="E27" s="477">
        <v>4</v>
      </c>
      <c r="F27" s="477">
        <v>2000</v>
      </c>
      <c r="G27" s="477">
        <v>500</v>
      </c>
      <c r="H27" s="702">
        <f>AVERAGE(G27:G41)</f>
        <v>240.60875420875422</v>
      </c>
      <c r="I27" s="370">
        <f t="shared" ref="I27:I40" si="19">IFERROR(AVERAGE(P27,U27,Z27,AE27,AJ27,AO27,AT27),"-")</f>
        <v>5</v>
      </c>
      <c r="J27" s="370">
        <f t="shared" ref="J27:J40" si="20">IFERROR(AVERAGE(Q27,V27,AA27,AF27,AK27,AP27,AU27),"-")</f>
        <v>2103.1544866264021</v>
      </c>
      <c r="K27" s="194">
        <f t="shared" ref="K27:K40" si="21">IFERROR(AVERAGE(R27,W27,AB27,AG27,AL27,AQ27,AV27),"-")</f>
        <v>420.63089732528044</v>
      </c>
      <c r="L27" s="644">
        <f>IFERROR(AVERAGE(K27:K41),"-")</f>
        <v>213.77486863295312</v>
      </c>
      <c r="M27" s="373">
        <f>RANK(K27, K$27:$K$41)</f>
        <v>1</v>
      </c>
      <c r="N27" s="663"/>
      <c r="O27" s="663"/>
      <c r="P27" s="541">
        <v>5</v>
      </c>
      <c r="Q27" s="542">
        <v>2099.9999999999995</v>
      </c>
      <c r="R27" s="542">
        <v>419.99999999999989</v>
      </c>
      <c r="S27" s="541">
        <f t="shared" ref="S27:S41" si="22">RANK(R27, R$27:R$41)</f>
        <v>2</v>
      </c>
      <c r="T27" s="672">
        <f t="shared" ref="T27" si="23">AVERAGE(R27:R41)</f>
        <v>213.36235649596293</v>
      </c>
      <c r="U27" s="541">
        <v>5</v>
      </c>
      <c r="V27" s="542">
        <v>2108.4000000000005</v>
      </c>
      <c r="W27" s="542">
        <v>421.68000000000012</v>
      </c>
      <c r="X27" s="541">
        <f t="shared" ref="X27:X41" si="24">RANK(W27, W$27:W$41)</f>
        <v>2</v>
      </c>
      <c r="Y27" s="672">
        <f t="shared" ref="Y27" si="25">AVERAGE(W27:W41)</f>
        <v>214.6854473270414</v>
      </c>
      <c r="Z27" s="541">
        <v>5</v>
      </c>
      <c r="AA27" s="542">
        <v>2086.2500000000005</v>
      </c>
      <c r="AB27" s="542">
        <v>417.25000000000011</v>
      </c>
      <c r="AC27" s="541">
        <f t="shared" ref="AC27:AC41" si="26">RANK(AB27, AB$27:AB$41)</f>
        <v>1</v>
      </c>
      <c r="AD27" s="672">
        <f t="shared" ref="AD27" si="27">AVERAGE(AB27:AB41)</f>
        <v>212.70626685680702</v>
      </c>
      <c r="AE27" s="541">
        <v>5</v>
      </c>
      <c r="AF27" s="542">
        <v>2095.0000000000005</v>
      </c>
      <c r="AG27" s="542">
        <v>419.00000000000011</v>
      </c>
      <c r="AH27" s="541">
        <f t="shared" ref="AH27:AH41" si="28">RANK(AG27, AG$27:AG$41)</f>
        <v>2</v>
      </c>
      <c r="AI27" s="672">
        <f t="shared" ref="AI27" si="29">AVERAGE(AG27:AG41)</f>
        <v>213.65683571849618</v>
      </c>
      <c r="AJ27" s="541">
        <v>5</v>
      </c>
      <c r="AK27" s="542">
        <v>2101.5789473684217</v>
      </c>
      <c r="AL27" s="542">
        <v>420.31578947368433</v>
      </c>
      <c r="AM27" s="541">
        <f t="shared" ref="AM27:AM41" si="30">RANK(AL27, AL$27:AL$41)</f>
        <v>2</v>
      </c>
      <c r="AN27" s="672">
        <f t="shared" ref="AN27" si="31">AVERAGE(AL27:AL41)</f>
        <v>213.45351222568451</v>
      </c>
      <c r="AO27" s="541">
        <v>5</v>
      </c>
      <c r="AP27" s="542">
        <v>2122.0000000000005</v>
      </c>
      <c r="AQ27" s="542">
        <v>424.40000000000009</v>
      </c>
      <c r="AR27" s="541">
        <f t="shared" ref="AR27:AR41" si="32">RANK(AQ27, AQ$27:AQ$41)</f>
        <v>1</v>
      </c>
      <c r="AS27" s="672">
        <f t="shared" ref="AS27" si="33">AVERAGE(AQ27:AQ41)</f>
        <v>214.55329320188469</v>
      </c>
      <c r="AT27" s="541">
        <v>5</v>
      </c>
      <c r="AU27" s="542">
        <v>2108.8524590163929</v>
      </c>
      <c r="AV27" s="542">
        <v>421.77049180327856</v>
      </c>
      <c r="AW27" s="541">
        <f t="shared" ref="AW27:AW41" si="34">RANK(AV27, AV$27:AV$41)</f>
        <v>1</v>
      </c>
      <c r="AX27" s="672">
        <f t="shared" ref="AX27" si="35">AVERAGE(AV27:AV41)</f>
        <v>214.00636860479511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340" t="s">
        <v>421</v>
      </c>
      <c r="E28" s="477">
        <v>4</v>
      </c>
      <c r="F28" s="477">
        <v>2000</v>
      </c>
      <c r="G28" s="477">
        <v>500</v>
      </c>
      <c r="H28" s="703"/>
      <c r="I28" s="370">
        <f t="shared" si="19"/>
        <v>5</v>
      </c>
      <c r="J28" s="370">
        <f t="shared" si="20"/>
        <v>2101.3177232541502</v>
      </c>
      <c r="K28" s="194">
        <f t="shared" si="21"/>
        <v>420.26354465083006</v>
      </c>
      <c r="L28" s="645"/>
      <c r="M28" s="376">
        <f>RANK(K28, K$27:$K$41)</f>
        <v>2</v>
      </c>
      <c r="N28" s="663"/>
      <c r="O28" s="663"/>
      <c r="P28" s="541">
        <v>5</v>
      </c>
      <c r="Q28" s="542">
        <v>2118.823529411764</v>
      </c>
      <c r="R28" s="542">
        <v>423.76470588235281</v>
      </c>
      <c r="S28" s="541">
        <f t="shared" si="22"/>
        <v>1</v>
      </c>
      <c r="T28" s="673"/>
      <c r="U28" s="541">
        <v>5</v>
      </c>
      <c r="V28" s="542">
        <v>2112.7659574468089</v>
      </c>
      <c r="W28" s="542">
        <v>422.55319148936178</v>
      </c>
      <c r="X28" s="541">
        <f t="shared" si="24"/>
        <v>1</v>
      </c>
      <c r="Y28" s="673"/>
      <c r="Z28" s="541">
        <v>5</v>
      </c>
      <c r="AA28" s="542">
        <v>2077.0212765957449</v>
      </c>
      <c r="AB28" s="542">
        <v>415.404255319149</v>
      </c>
      <c r="AC28" s="541">
        <f t="shared" si="26"/>
        <v>2</v>
      </c>
      <c r="AD28" s="673"/>
      <c r="AE28" s="541">
        <v>5</v>
      </c>
      <c r="AF28" s="542">
        <v>2096.666666666667</v>
      </c>
      <c r="AG28" s="542">
        <v>419.33333333333337</v>
      </c>
      <c r="AH28" s="541">
        <f t="shared" si="28"/>
        <v>1</v>
      </c>
      <c r="AI28" s="673"/>
      <c r="AJ28" s="541">
        <v>5</v>
      </c>
      <c r="AK28" s="542">
        <v>2111.3513513513522</v>
      </c>
      <c r="AL28" s="542">
        <v>422.27027027027043</v>
      </c>
      <c r="AM28" s="541">
        <f t="shared" si="30"/>
        <v>1</v>
      </c>
      <c r="AN28" s="673"/>
      <c r="AO28" s="541">
        <v>5</v>
      </c>
      <c r="AP28" s="542">
        <v>2090.5263157894738</v>
      </c>
      <c r="AQ28" s="542">
        <v>418.10526315789474</v>
      </c>
      <c r="AR28" s="541">
        <f t="shared" si="32"/>
        <v>2</v>
      </c>
      <c r="AS28" s="673"/>
      <c r="AT28" s="541">
        <v>5</v>
      </c>
      <c r="AU28" s="542">
        <v>2102.0689655172418</v>
      </c>
      <c r="AV28" s="542">
        <v>420.41379310344837</v>
      </c>
      <c r="AW28" s="541">
        <f t="shared" si="34"/>
        <v>2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340" t="s">
        <v>555</v>
      </c>
      <c r="E29" s="477">
        <v>13</v>
      </c>
      <c r="F29" s="477">
        <v>2250</v>
      </c>
      <c r="G29" s="477">
        <v>173.1</v>
      </c>
      <c r="H29" s="703"/>
      <c r="I29" s="370">
        <f t="shared" si="19"/>
        <v>13</v>
      </c>
      <c r="J29" s="370">
        <f t="shared" si="20"/>
        <v>2106.890145362047</v>
      </c>
      <c r="K29" s="194">
        <f t="shared" si="21"/>
        <v>162.06847272015744</v>
      </c>
      <c r="L29" s="645"/>
      <c r="M29" s="376">
        <f>RANK(K29, K$27:$K$41)</f>
        <v>7</v>
      </c>
      <c r="N29" s="663"/>
      <c r="O29" s="663"/>
      <c r="P29" s="541">
        <v>13</v>
      </c>
      <c r="Q29" s="542">
        <v>2083.7599999999993</v>
      </c>
      <c r="R29" s="542">
        <v>160.28923076923073</v>
      </c>
      <c r="S29" s="541">
        <f t="shared" si="22"/>
        <v>7</v>
      </c>
      <c r="T29" s="673"/>
      <c r="U29" s="541">
        <v>13</v>
      </c>
      <c r="V29" s="542">
        <v>2128.2089552238804</v>
      </c>
      <c r="W29" s="542">
        <v>163.70838117106771</v>
      </c>
      <c r="X29" s="541">
        <f t="shared" si="24"/>
        <v>7</v>
      </c>
      <c r="Y29" s="673"/>
      <c r="Z29" s="541">
        <v>13</v>
      </c>
      <c r="AA29" s="542">
        <v>2090.0000000000005</v>
      </c>
      <c r="AB29" s="542">
        <v>160.7692307692308</v>
      </c>
      <c r="AC29" s="541">
        <f t="shared" si="26"/>
        <v>7</v>
      </c>
      <c r="AD29" s="673"/>
      <c r="AE29" s="541">
        <v>13</v>
      </c>
      <c r="AF29" s="542">
        <v>2116.5</v>
      </c>
      <c r="AG29" s="542">
        <v>162.80769230769232</v>
      </c>
      <c r="AH29" s="541">
        <f t="shared" si="28"/>
        <v>7</v>
      </c>
      <c r="AI29" s="673"/>
      <c r="AJ29" s="541">
        <v>13</v>
      </c>
      <c r="AK29" s="542">
        <v>2113.5483870967751</v>
      </c>
      <c r="AL29" s="542">
        <v>162.58064516129039</v>
      </c>
      <c r="AM29" s="541">
        <f t="shared" si="30"/>
        <v>7</v>
      </c>
      <c r="AN29" s="673"/>
      <c r="AO29" s="541">
        <v>13</v>
      </c>
      <c r="AP29" s="542">
        <v>2103.7692307692305</v>
      </c>
      <c r="AQ29" s="542">
        <v>161.82840236686388</v>
      </c>
      <c r="AR29" s="541">
        <f t="shared" si="32"/>
        <v>7</v>
      </c>
      <c r="AS29" s="673"/>
      <c r="AT29" s="541">
        <v>13</v>
      </c>
      <c r="AU29" s="542">
        <v>2112.4444444444443</v>
      </c>
      <c r="AV29" s="542">
        <v>162.4957264957265</v>
      </c>
      <c r="AW29" s="541">
        <f t="shared" si="34"/>
        <v>7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340" t="s">
        <v>353</v>
      </c>
      <c r="E30" s="477">
        <v>13</v>
      </c>
      <c r="F30" s="477">
        <v>2250</v>
      </c>
      <c r="G30" s="477">
        <v>173.1</v>
      </c>
      <c r="H30" s="703"/>
      <c r="I30" s="370">
        <f t="shared" si="19"/>
        <v>13</v>
      </c>
      <c r="J30" s="370">
        <f t="shared" si="20"/>
        <v>2179.0924447513976</v>
      </c>
      <c r="K30" s="194">
        <f t="shared" si="21"/>
        <v>167.6224957501075</v>
      </c>
      <c r="L30" s="645"/>
      <c r="M30" s="376">
        <f>RANK(K30, K$27:$K$41)</f>
        <v>6</v>
      </c>
      <c r="N30" s="663"/>
      <c r="O30" s="663"/>
      <c r="P30" s="541">
        <v>13</v>
      </c>
      <c r="Q30" s="542">
        <v>2172.9411764705869</v>
      </c>
      <c r="R30" s="542">
        <v>167.14932126696823</v>
      </c>
      <c r="S30" s="541">
        <f t="shared" si="22"/>
        <v>6</v>
      </c>
      <c r="T30" s="673"/>
      <c r="U30" s="541">
        <v>13</v>
      </c>
      <c r="V30" s="542">
        <v>2190.3296703296701</v>
      </c>
      <c r="W30" s="542">
        <v>168.48689771766692</v>
      </c>
      <c r="X30" s="541">
        <f t="shared" si="24"/>
        <v>6</v>
      </c>
      <c r="Y30" s="673"/>
      <c r="Z30" s="541">
        <v>13</v>
      </c>
      <c r="AA30" s="542">
        <v>2187.2093023255811</v>
      </c>
      <c r="AB30" s="542">
        <v>168.24686940966009</v>
      </c>
      <c r="AC30" s="541">
        <f t="shared" si="26"/>
        <v>6</v>
      </c>
      <c r="AD30" s="673"/>
      <c r="AE30" s="541">
        <v>13</v>
      </c>
      <c r="AF30" s="542">
        <v>2168.3333333333335</v>
      </c>
      <c r="AG30" s="542">
        <v>166.7948717948718</v>
      </c>
      <c r="AH30" s="541">
        <f t="shared" si="28"/>
        <v>6</v>
      </c>
      <c r="AI30" s="673"/>
      <c r="AJ30" s="541">
        <v>13</v>
      </c>
      <c r="AK30" s="542">
        <v>2178.7500000000014</v>
      </c>
      <c r="AL30" s="542">
        <v>167.59615384615395</v>
      </c>
      <c r="AM30" s="541">
        <f t="shared" si="30"/>
        <v>6</v>
      </c>
      <c r="AN30" s="673"/>
      <c r="AO30" s="541">
        <v>13</v>
      </c>
      <c r="AP30" s="542">
        <v>2169.0566037735844</v>
      </c>
      <c r="AQ30" s="542">
        <v>166.85050798258342</v>
      </c>
      <c r="AR30" s="541">
        <f t="shared" si="32"/>
        <v>6</v>
      </c>
      <c r="AS30" s="673"/>
      <c r="AT30" s="541">
        <v>13</v>
      </c>
      <c r="AU30" s="542">
        <v>2187.0270270270271</v>
      </c>
      <c r="AV30" s="542">
        <v>168.23284823284823</v>
      </c>
      <c r="AW30" s="541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340" t="s">
        <v>354</v>
      </c>
      <c r="E31" s="477">
        <v>10</v>
      </c>
      <c r="F31" s="477">
        <v>2769</v>
      </c>
      <c r="G31" s="477">
        <v>276.89999999999998</v>
      </c>
      <c r="H31" s="703"/>
      <c r="I31" s="370">
        <f t="shared" si="19"/>
        <v>10</v>
      </c>
      <c r="J31" s="370">
        <f t="shared" si="20"/>
        <v>2449.1676324780342</v>
      </c>
      <c r="K31" s="194">
        <f t="shared" si="21"/>
        <v>244.9167632478034</v>
      </c>
      <c r="L31" s="645"/>
      <c r="M31" s="376">
        <f>RANK(K31, K$27:$K$41)</f>
        <v>3</v>
      </c>
      <c r="N31" s="663"/>
      <c r="O31" s="663"/>
      <c r="P31" s="541">
        <v>10</v>
      </c>
      <c r="Q31" s="542">
        <v>2448.7682926829261</v>
      </c>
      <c r="R31" s="542">
        <v>244.87682926829262</v>
      </c>
      <c r="S31" s="541">
        <f t="shared" si="22"/>
        <v>3</v>
      </c>
      <c r="T31" s="673"/>
      <c r="U31" s="541">
        <v>10</v>
      </c>
      <c r="V31" s="542">
        <v>2453.6249999999991</v>
      </c>
      <c r="W31" s="542">
        <v>245.3624999999999</v>
      </c>
      <c r="X31" s="541">
        <f t="shared" si="24"/>
        <v>3</v>
      </c>
      <c r="Y31" s="673"/>
      <c r="Z31" s="541">
        <v>10</v>
      </c>
      <c r="AA31" s="542">
        <v>2458.1333333333332</v>
      </c>
      <c r="AB31" s="542">
        <v>245.81333333333333</v>
      </c>
      <c r="AC31" s="541">
        <f t="shared" si="26"/>
        <v>3</v>
      </c>
      <c r="AD31" s="673"/>
      <c r="AE31" s="541">
        <v>10</v>
      </c>
      <c r="AF31" s="542">
        <v>2454.3101123595507</v>
      </c>
      <c r="AG31" s="542">
        <v>245.43101123595505</v>
      </c>
      <c r="AH31" s="541">
        <f t="shared" si="28"/>
        <v>3</v>
      </c>
      <c r="AI31" s="673"/>
      <c r="AJ31" s="541">
        <v>10</v>
      </c>
      <c r="AK31" s="542">
        <v>2426.1132743362832</v>
      </c>
      <c r="AL31" s="542">
        <v>242.61132743362833</v>
      </c>
      <c r="AM31" s="541">
        <f t="shared" si="30"/>
        <v>3</v>
      </c>
      <c r="AN31" s="673"/>
      <c r="AO31" s="541">
        <v>10</v>
      </c>
      <c r="AP31" s="542">
        <v>2465.7600000000002</v>
      </c>
      <c r="AQ31" s="542">
        <v>246.57600000000002</v>
      </c>
      <c r="AR31" s="541">
        <f t="shared" si="32"/>
        <v>3</v>
      </c>
      <c r="AS31" s="673"/>
      <c r="AT31" s="541">
        <v>10</v>
      </c>
      <c r="AU31" s="542">
        <v>2437.4634146341455</v>
      </c>
      <c r="AV31" s="542">
        <v>243.74634146341455</v>
      </c>
      <c r="AW31" s="541">
        <f t="shared" si="34"/>
        <v>3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340" t="s">
        <v>640</v>
      </c>
      <c r="E32" s="477">
        <v>11</v>
      </c>
      <c r="F32" s="477">
        <v>2250</v>
      </c>
      <c r="G32" s="477">
        <v>204.5</v>
      </c>
      <c r="H32" s="703"/>
      <c r="I32" s="370">
        <f t="shared" si="19"/>
        <v>11</v>
      </c>
      <c r="J32" s="370">
        <f t="shared" si="20"/>
        <v>2088.6164484718456</v>
      </c>
      <c r="K32" s="194">
        <f t="shared" si="21"/>
        <v>189.87422258834957</v>
      </c>
      <c r="L32" s="645"/>
      <c r="M32" s="376">
        <f>RANK(K32, K$27:$K$41)</f>
        <v>5</v>
      </c>
      <c r="N32" s="663"/>
      <c r="O32" s="663"/>
      <c r="P32" s="541">
        <v>11</v>
      </c>
      <c r="Q32" s="542">
        <v>2060.2909090909084</v>
      </c>
      <c r="R32" s="542">
        <v>187.29917355371893</v>
      </c>
      <c r="S32" s="541">
        <f t="shared" si="22"/>
        <v>5</v>
      </c>
      <c r="T32" s="673"/>
      <c r="U32" s="541">
        <v>11</v>
      </c>
      <c r="V32" s="542">
        <v>2080.8510638297876</v>
      </c>
      <c r="W32" s="542">
        <v>189.16827852998068</v>
      </c>
      <c r="X32" s="541">
        <f t="shared" si="24"/>
        <v>5</v>
      </c>
      <c r="Y32" s="673"/>
      <c r="Z32" s="541">
        <v>11</v>
      </c>
      <c r="AA32" s="542">
        <v>2068.872180451127</v>
      </c>
      <c r="AB32" s="542">
        <v>188.07928913192063</v>
      </c>
      <c r="AC32" s="541">
        <f t="shared" si="26"/>
        <v>5</v>
      </c>
      <c r="AD32" s="673"/>
      <c r="AE32" s="541">
        <v>11</v>
      </c>
      <c r="AF32" s="542">
        <v>2117.2222222222226</v>
      </c>
      <c r="AG32" s="542">
        <v>192.47474747474752</v>
      </c>
      <c r="AH32" s="541">
        <f t="shared" si="28"/>
        <v>5</v>
      </c>
      <c r="AI32" s="673"/>
      <c r="AJ32" s="541">
        <v>11</v>
      </c>
      <c r="AK32" s="542">
        <v>2069.9999999999991</v>
      </c>
      <c r="AL32" s="542">
        <v>188.1818181818181</v>
      </c>
      <c r="AM32" s="541">
        <f t="shared" si="30"/>
        <v>5</v>
      </c>
      <c r="AN32" s="673"/>
      <c r="AO32" s="541">
        <v>11</v>
      </c>
      <c r="AP32" s="542">
        <v>2116.3728813559323</v>
      </c>
      <c r="AQ32" s="542">
        <v>192.39753466872114</v>
      </c>
      <c r="AR32" s="541">
        <f t="shared" si="32"/>
        <v>5</v>
      </c>
      <c r="AS32" s="673"/>
      <c r="AT32" s="541">
        <v>11</v>
      </c>
      <c r="AU32" s="542">
        <v>2106.7058823529419</v>
      </c>
      <c r="AV32" s="542">
        <v>191.51871657754018</v>
      </c>
      <c r="AW32" s="541">
        <f t="shared" si="34"/>
        <v>5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340" t="s">
        <v>351</v>
      </c>
      <c r="E33" s="477">
        <v>18</v>
      </c>
      <c r="F33" s="477">
        <v>1200</v>
      </c>
      <c r="G33" s="477">
        <v>66.666666666666671</v>
      </c>
      <c r="H33" s="703"/>
      <c r="I33" s="370">
        <f t="shared" si="19"/>
        <v>18</v>
      </c>
      <c r="J33" s="370">
        <f t="shared" si="20"/>
        <v>1103.9130103745779</v>
      </c>
      <c r="K33" s="194">
        <f t="shared" si="21"/>
        <v>61.328500576365442</v>
      </c>
      <c r="L33" s="645"/>
      <c r="M33" s="376">
        <f>RANK(K33, K$27:$K$41)</f>
        <v>8</v>
      </c>
      <c r="N33" s="663"/>
      <c r="O33" s="663"/>
      <c r="P33" s="541">
        <v>18</v>
      </c>
      <c r="Q33" s="542">
        <v>1095.4639175257735</v>
      </c>
      <c r="R33" s="542">
        <v>60.85910652920964</v>
      </c>
      <c r="S33" s="541">
        <f t="shared" si="22"/>
        <v>9</v>
      </c>
      <c r="T33" s="673"/>
      <c r="U33" s="541">
        <v>18</v>
      </c>
      <c r="V33" s="542">
        <v>1117.4117647058822</v>
      </c>
      <c r="W33" s="542">
        <v>62.078431372549012</v>
      </c>
      <c r="X33" s="541">
        <f t="shared" si="24"/>
        <v>8</v>
      </c>
      <c r="Y33" s="673"/>
      <c r="Z33" s="541">
        <v>18</v>
      </c>
      <c r="AA33" s="542">
        <v>1106</v>
      </c>
      <c r="AB33" s="542">
        <v>61.444444444444443</v>
      </c>
      <c r="AC33" s="541">
        <f t="shared" si="26"/>
        <v>8</v>
      </c>
      <c r="AD33" s="673"/>
      <c r="AE33" s="541">
        <v>18</v>
      </c>
      <c r="AF33" s="542">
        <v>1094.1666666666658</v>
      </c>
      <c r="AG33" s="542">
        <v>60.787037037036988</v>
      </c>
      <c r="AH33" s="541">
        <f t="shared" si="28"/>
        <v>9</v>
      </c>
      <c r="AI33" s="673"/>
      <c r="AJ33" s="541">
        <v>18</v>
      </c>
      <c r="AK33" s="542">
        <v>1105.9459459459451</v>
      </c>
      <c r="AL33" s="542">
        <v>61.441441441441398</v>
      </c>
      <c r="AM33" s="541">
        <f t="shared" si="30"/>
        <v>9</v>
      </c>
      <c r="AN33" s="673"/>
      <c r="AO33" s="541">
        <v>18</v>
      </c>
      <c r="AP33" s="542">
        <v>1097.7777777777783</v>
      </c>
      <c r="AQ33" s="542">
        <v>60.98765432098768</v>
      </c>
      <c r="AR33" s="541">
        <f t="shared" si="32"/>
        <v>9</v>
      </c>
      <c r="AS33" s="673"/>
      <c r="AT33" s="541">
        <v>18</v>
      </c>
      <c r="AU33" s="542">
        <v>1110.6250000000002</v>
      </c>
      <c r="AV33" s="542">
        <v>61.7013888888889</v>
      </c>
      <c r="AW33" s="541">
        <f t="shared" si="34"/>
        <v>8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340" t="s">
        <v>683</v>
      </c>
      <c r="E34" s="477">
        <v>11</v>
      </c>
      <c r="F34" s="477">
        <v>2250</v>
      </c>
      <c r="G34" s="477">
        <v>204.54545454545453</v>
      </c>
      <c r="H34" s="703"/>
      <c r="I34" s="370">
        <f t="shared" si="19"/>
        <v>11</v>
      </c>
      <c r="J34" s="370">
        <f t="shared" si="20"/>
        <v>2156.0359901292986</v>
      </c>
      <c r="K34" s="194">
        <f t="shared" si="21"/>
        <v>196.00327182993627</v>
      </c>
      <c r="L34" s="645"/>
      <c r="M34" s="376">
        <f>RANK(K34, K$27:$K$41)</f>
        <v>4</v>
      </c>
      <c r="N34" s="663"/>
      <c r="O34" s="663"/>
      <c r="P34" s="541">
        <v>11</v>
      </c>
      <c r="Q34" s="542">
        <v>2137.2631578947371</v>
      </c>
      <c r="R34" s="542">
        <v>194.29665071770339</v>
      </c>
      <c r="S34" s="541">
        <f t="shared" si="22"/>
        <v>4</v>
      </c>
      <c r="T34" s="673"/>
      <c r="U34" s="541">
        <v>11</v>
      </c>
      <c r="V34" s="542">
        <v>2181.391304347826</v>
      </c>
      <c r="W34" s="542">
        <v>198.30830039525691</v>
      </c>
      <c r="X34" s="541">
        <f t="shared" si="24"/>
        <v>4</v>
      </c>
      <c r="Y34" s="673"/>
      <c r="Z34" s="541">
        <v>11</v>
      </c>
      <c r="AA34" s="542">
        <v>2155.090909090909</v>
      </c>
      <c r="AB34" s="542">
        <v>195.91735537190081</v>
      </c>
      <c r="AC34" s="541">
        <f t="shared" si="26"/>
        <v>4</v>
      </c>
      <c r="AD34" s="673"/>
      <c r="AE34" s="541">
        <v>11</v>
      </c>
      <c r="AF34" s="542">
        <v>2142.0000000000014</v>
      </c>
      <c r="AG34" s="542">
        <v>194.72727272727286</v>
      </c>
      <c r="AH34" s="541">
        <f t="shared" si="28"/>
        <v>4</v>
      </c>
      <c r="AI34" s="673"/>
      <c r="AJ34" s="541">
        <v>11</v>
      </c>
      <c r="AK34" s="542">
        <v>2131.1999999999994</v>
      </c>
      <c r="AL34" s="542">
        <v>193.74545454545449</v>
      </c>
      <c r="AM34" s="541">
        <f t="shared" si="30"/>
        <v>4</v>
      </c>
      <c r="AN34" s="673"/>
      <c r="AO34" s="541">
        <v>11</v>
      </c>
      <c r="AP34" s="542">
        <v>2179.0843373493972</v>
      </c>
      <c r="AQ34" s="542">
        <v>198.09857612267248</v>
      </c>
      <c r="AR34" s="541">
        <f t="shared" si="32"/>
        <v>4</v>
      </c>
      <c r="AS34" s="673"/>
      <c r="AT34" s="541">
        <v>11</v>
      </c>
      <c r="AU34" s="542">
        <v>2166.2222222222217</v>
      </c>
      <c r="AV34" s="542">
        <v>196.92929292929287</v>
      </c>
      <c r="AW34" s="541">
        <f t="shared" si="34"/>
        <v>4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340" t="s">
        <v>591</v>
      </c>
      <c r="E35" s="477">
        <v>18</v>
      </c>
      <c r="F35" s="477">
        <v>1200</v>
      </c>
      <c r="G35" s="477">
        <v>66.666666666666671</v>
      </c>
      <c r="H35" s="703"/>
      <c r="I35" s="370">
        <f t="shared" si="19"/>
        <v>18</v>
      </c>
      <c r="J35" s="370">
        <f t="shared" si="20"/>
        <v>1102.7816821394631</v>
      </c>
      <c r="K35" s="194">
        <f t="shared" si="21"/>
        <v>61.265649007747946</v>
      </c>
      <c r="L35" s="645"/>
      <c r="M35" s="376">
        <f>RANK(K35, K$27:$K$41)</f>
        <v>9</v>
      </c>
      <c r="N35" s="663"/>
      <c r="O35" s="663"/>
      <c r="P35" s="541">
        <v>18</v>
      </c>
      <c r="Q35" s="542">
        <v>1111.0714285714284</v>
      </c>
      <c r="R35" s="542">
        <v>61.726190476190467</v>
      </c>
      <c r="S35" s="541">
        <f t="shared" si="22"/>
        <v>8</v>
      </c>
      <c r="T35" s="673"/>
      <c r="U35" s="541">
        <v>18</v>
      </c>
      <c r="V35" s="542">
        <v>1094.8148148148148</v>
      </c>
      <c r="W35" s="542">
        <v>60.823045267489711</v>
      </c>
      <c r="X35" s="541">
        <f t="shared" si="24"/>
        <v>9</v>
      </c>
      <c r="Y35" s="673"/>
      <c r="Z35" s="541">
        <v>18</v>
      </c>
      <c r="AA35" s="542">
        <v>1105.7692307692305</v>
      </c>
      <c r="AB35" s="542">
        <v>61.431623931623918</v>
      </c>
      <c r="AC35" s="541">
        <f t="shared" si="26"/>
        <v>9</v>
      </c>
      <c r="AD35" s="673"/>
      <c r="AE35" s="541">
        <v>18</v>
      </c>
      <c r="AF35" s="542">
        <v>1108</v>
      </c>
      <c r="AG35" s="542">
        <v>61.555555555555557</v>
      </c>
      <c r="AH35" s="541">
        <f t="shared" si="28"/>
        <v>8</v>
      </c>
      <c r="AI35" s="673"/>
      <c r="AJ35" s="541">
        <v>18</v>
      </c>
      <c r="AK35" s="542">
        <v>1122.0967741935485</v>
      </c>
      <c r="AL35" s="542">
        <v>62.338709677419359</v>
      </c>
      <c r="AM35" s="541">
        <f t="shared" si="30"/>
        <v>8</v>
      </c>
      <c r="AN35" s="673"/>
      <c r="AO35" s="541">
        <v>18</v>
      </c>
      <c r="AP35" s="542">
        <v>1111.2426035502958</v>
      </c>
      <c r="AQ35" s="542">
        <v>61.735700197238657</v>
      </c>
      <c r="AR35" s="541">
        <f t="shared" si="32"/>
        <v>8</v>
      </c>
      <c r="AS35" s="673"/>
      <c r="AT35" s="541">
        <v>18</v>
      </c>
      <c r="AU35" s="542">
        <v>1066.4769230769241</v>
      </c>
      <c r="AV35" s="542">
        <v>59.248717948718003</v>
      </c>
      <c r="AW35" s="541">
        <f t="shared" si="34"/>
        <v>9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340"/>
      <c r="E36" s="477"/>
      <c r="F36" s="477"/>
      <c r="G36" s="477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K$27:$K$41)</f>
        <v>#VALUE!</v>
      </c>
      <c r="N36" s="663"/>
      <c r="O36" s="663"/>
      <c r="P36" s="541" t="s">
        <v>564</v>
      </c>
      <c r="Q36" s="542" t="s">
        <v>564</v>
      </c>
      <c r="R36" s="542" t="s">
        <v>564</v>
      </c>
      <c r="S36" s="541" t="e">
        <f t="shared" si="22"/>
        <v>#VALUE!</v>
      </c>
      <c r="T36" s="673"/>
      <c r="U36" s="541" t="s">
        <v>564</v>
      </c>
      <c r="V36" s="542" t="s">
        <v>564</v>
      </c>
      <c r="W36" s="542" t="s">
        <v>564</v>
      </c>
      <c r="X36" s="541" t="e">
        <f t="shared" si="24"/>
        <v>#VALUE!</v>
      </c>
      <c r="Y36" s="673"/>
      <c r="Z36" s="541" t="s">
        <v>564</v>
      </c>
      <c r="AA36" s="542" t="s">
        <v>564</v>
      </c>
      <c r="AB36" s="542" t="s">
        <v>564</v>
      </c>
      <c r="AC36" s="541" t="e">
        <f t="shared" si="26"/>
        <v>#VALUE!</v>
      </c>
      <c r="AD36" s="673"/>
      <c r="AE36" s="541" t="s">
        <v>564</v>
      </c>
      <c r="AF36" s="542" t="s">
        <v>564</v>
      </c>
      <c r="AG36" s="542" t="s">
        <v>564</v>
      </c>
      <c r="AH36" s="541" t="e">
        <f t="shared" si="28"/>
        <v>#VALUE!</v>
      </c>
      <c r="AI36" s="673"/>
      <c r="AJ36" s="541" t="s">
        <v>564</v>
      </c>
      <c r="AK36" s="542" t="s">
        <v>564</v>
      </c>
      <c r="AL36" s="542" t="s">
        <v>564</v>
      </c>
      <c r="AM36" s="541" t="e">
        <f t="shared" si="30"/>
        <v>#VALUE!</v>
      </c>
      <c r="AN36" s="673"/>
      <c r="AO36" s="541" t="s">
        <v>564</v>
      </c>
      <c r="AP36" s="542" t="s">
        <v>564</v>
      </c>
      <c r="AQ36" s="542" t="s">
        <v>564</v>
      </c>
      <c r="AR36" s="541" t="e">
        <f t="shared" si="32"/>
        <v>#VALUE!</v>
      </c>
      <c r="AS36" s="673"/>
      <c r="AT36" s="541" t="s">
        <v>564</v>
      </c>
      <c r="AU36" s="542" t="s">
        <v>564</v>
      </c>
      <c r="AV36" s="542" t="s">
        <v>564</v>
      </c>
      <c r="AW36" s="541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340"/>
      <c r="E37" s="477"/>
      <c r="F37" s="477"/>
      <c r="G37" s="477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K$27:$K$41)</f>
        <v>#VALUE!</v>
      </c>
      <c r="N37" s="663"/>
      <c r="O37" s="663"/>
      <c r="P37" s="541" t="s">
        <v>564</v>
      </c>
      <c r="Q37" s="542" t="s">
        <v>564</v>
      </c>
      <c r="R37" s="542" t="s">
        <v>564</v>
      </c>
      <c r="S37" s="541" t="e">
        <f t="shared" si="22"/>
        <v>#VALUE!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4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6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8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30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2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340"/>
      <c r="E38" s="477"/>
      <c r="F38" s="477"/>
      <c r="G38" s="477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K$27:$K$41)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2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4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6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8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30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2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340"/>
      <c r="E39" s="477"/>
      <c r="F39" s="477"/>
      <c r="G39" s="477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K$27:$K$41)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2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4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6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8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30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2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340"/>
      <c r="E40" s="477"/>
      <c r="F40" s="477"/>
      <c r="G40" s="477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K$27:$K$41)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2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4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6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8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30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2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340"/>
      <c r="E41" s="477"/>
      <c r="F41" s="477"/>
      <c r="G41" s="477"/>
      <c r="H41" s="707"/>
      <c r="I41" s="373"/>
      <c r="J41" s="373"/>
      <c r="K41" s="371"/>
      <c r="L41" s="646"/>
      <c r="M41" s="376" t="e">
        <f>RANK(K41, K$27:$K$41)</f>
        <v>#N/A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2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4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6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8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30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2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362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63" t="s">
        <v>364</v>
      </c>
      <c r="J44" s="663"/>
      <c r="K44" s="663"/>
      <c r="L44" s="679" t="s">
        <v>359</v>
      </c>
      <c r="M44" s="66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63" t="s">
        <v>366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7" t="s">
        <v>368</v>
      </c>
      <c r="J46" s="367" t="s">
        <v>369</v>
      </c>
      <c r="K46" s="367" t="s">
        <v>370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706" t="s">
        <v>371</v>
      </c>
      <c r="C47" s="369">
        <v>1</v>
      </c>
      <c r="D47" s="340"/>
      <c r="E47" s="477"/>
      <c r="F47" s="477"/>
      <c r="G47" s="477"/>
      <c r="H47" s="702" t="e">
        <f>AVERAGE(G47:G61)</f>
        <v>#DIV/0!</v>
      </c>
      <c r="I47" s="370" t="str">
        <f t="shared" ref="I47:I60" si="38">IFERROR(AVERAGE(P47,U47,Z47,AE47,AJ47,AO47,AT47),"-")</f>
        <v>-</v>
      </c>
      <c r="J47" s="370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44" t="str">
        <f>IFERROR(AVERAGE(K47:K55),"-")</f>
        <v>-</v>
      </c>
      <c r="M47" s="391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41">RANK(AY47, AY$47:AY$61)</f>
        <v>#N/A</v>
      </c>
      <c r="BA47" s="672" t="e">
        <f t="shared" ref="BA47" si="42">AVERAGE(AY47:AY61)</f>
        <v>#DIV/0!</v>
      </c>
    </row>
    <row r="48" spans="2:53">
      <c r="B48" s="671"/>
      <c r="C48" s="369">
        <v>2</v>
      </c>
      <c r="D48" s="340"/>
      <c r="E48" s="477"/>
      <c r="F48" s="477"/>
      <c r="G48" s="477"/>
      <c r="H48" s="703"/>
      <c r="I48" s="370" t="str">
        <f t="shared" si="38"/>
        <v>-</v>
      </c>
      <c r="J48" s="370" t="str">
        <f t="shared" si="39"/>
        <v>-</v>
      </c>
      <c r="K48" s="194" t="str">
        <f t="shared" si="40"/>
        <v>-</v>
      </c>
      <c r="L48" s="645"/>
      <c r="M48" s="391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57" t="e">
        <f t="shared" si="41"/>
        <v>#N/A</v>
      </c>
      <c r="BA48" s="673"/>
    </row>
    <row r="49" spans="2:53">
      <c r="B49" s="671"/>
      <c r="C49" s="369">
        <v>3</v>
      </c>
      <c r="D49" s="340"/>
      <c r="E49" s="477"/>
      <c r="F49" s="477"/>
      <c r="G49" s="477"/>
      <c r="H49" s="703"/>
      <c r="I49" s="370" t="str">
        <f t="shared" si="38"/>
        <v>-</v>
      </c>
      <c r="J49" s="370" t="str">
        <f t="shared" si="39"/>
        <v>-</v>
      </c>
      <c r="K49" s="194" t="str">
        <f t="shared" si="40"/>
        <v>-</v>
      </c>
      <c r="L49" s="645"/>
      <c r="M49" s="391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57" t="e">
        <f t="shared" si="41"/>
        <v>#N/A</v>
      </c>
      <c r="BA49" s="673"/>
    </row>
    <row r="50" spans="2:53">
      <c r="B50" s="671"/>
      <c r="C50" s="369">
        <v>4</v>
      </c>
      <c r="D50" s="340"/>
      <c r="E50" s="477"/>
      <c r="F50" s="477"/>
      <c r="G50" s="477"/>
      <c r="H50" s="703"/>
      <c r="I50" s="370" t="str">
        <f t="shared" si="38"/>
        <v>-</v>
      </c>
      <c r="J50" s="370" t="str">
        <f t="shared" si="39"/>
        <v>-</v>
      </c>
      <c r="K50" s="194" t="str">
        <f t="shared" si="40"/>
        <v>-</v>
      </c>
      <c r="L50" s="645"/>
      <c r="M50" s="391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57" t="e">
        <f t="shared" si="41"/>
        <v>#N/A</v>
      </c>
      <c r="BA50" s="673"/>
    </row>
    <row r="51" spans="2:53">
      <c r="B51" s="671"/>
      <c r="C51" s="369">
        <v>5</v>
      </c>
      <c r="D51" s="340"/>
      <c r="E51" s="477"/>
      <c r="F51" s="477"/>
      <c r="G51" s="477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57" t="e">
        <f t="shared" si="41"/>
        <v>#N/A</v>
      </c>
      <c r="BA51" s="673"/>
    </row>
    <row r="52" spans="2:53">
      <c r="B52" s="671"/>
      <c r="C52" s="369">
        <v>6</v>
      </c>
      <c r="D52" s="340"/>
      <c r="E52" s="477"/>
      <c r="F52" s="477"/>
      <c r="G52" s="477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57" t="e">
        <f t="shared" si="41"/>
        <v>#N/A</v>
      </c>
      <c r="BA52" s="673"/>
    </row>
    <row r="53" spans="2:53">
      <c r="B53" s="671"/>
      <c r="C53" s="369">
        <v>7</v>
      </c>
      <c r="D53" s="340"/>
      <c r="E53" s="477"/>
      <c r="F53" s="477"/>
      <c r="G53" s="477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57" t="e">
        <f t="shared" si="41"/>
        <v>#N/A</v>
      </c>
      <c r="BA53" s="673"/>
    </row>
    <row r="54" spans="2:53">
      <c r="B54" s="671"/>
      <c r="C54" s="369">
        <v>8</v>
      </c>
      <c r="D54" s="340"/>
      <c r="E54" s="477"/>
      <c r="F54" s="477"/>
      <c r="G54" s="477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57" t="e">
        <f t="shared" si="41"/>
        <v>#N/A</v>
      </c>
      <c r="BA54" s="673"/>
    </row>
    <row r="55" spans="2:53">
      <c r="B55" s="671"/>
      <c r="C55" s="369">
        <v>9</v>
      </c>
      <c r="D55" s="340"/>
      <c r="E55" s="477"/>
      <c r="F55" s="477"/>
      <c r="G55" s="477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57" t="e">
        <f t="shared" si="41"/>
        <v>#N/A</v>
      </c>
      <c r="BA55" s="673"/>
    </row>
    <row r="56" spans="2:53">
      <c r="B56" s="671"/>
      <c r="C56" s="369">
        <v>10</v>
      </c>
      <c r="D56" s="340"/>
      <c r="E56" s="477"/>
      <c r="F56" s="477"/>
      <c r="G56" s="477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57" t="e">
        <f t="shared" si="41"/>
        <v>#N/A</v>
      </c>
      <c r="BA56" s="673"/>
    </row>
    <row r="57" spans="2:53">
      <c r="B57" s="671"/>
      <c r="C57" s="369">
        <v>11</v>
      </c>
      <c r="D57" s="340"/>
      <c r="E57" s="477"/>
      <c r="F57" s="477"/>
      <c r="G57" s="477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57" t="e">
        <f t="shared" si="41"/>
        <v>#N/A</v>
      </c>
      <c r="BA57" s="673"/>
    </row>
    <row r="58" spans="2:53">
      <c r="B58" s="671"/>
      <c r="C58" s="369">
        <v>12</v>
      </c>
      <c r="D58" s="340"/>
      <c r="E58" s="477"/>
      <c r="F58" s="477"/>
      <c r="G58" s="477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57" t="e">
        <f t="shared" si="41"/>
        <v>#N/A</v>
      </c>
      <c r="BA58" s="673"/>
    </row>
    <row r="59" spans="2:53">
      <c r="B59" s="671"/>
      <c r="C59" s="369">
        <v>13</v>
      </c>
      <c r="D59" s="340"/>
      <c r="E59" s="477"/>
      <c r="F59" s="477"/>
      <c r="G59" s="477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57" t="e">
        <f t="shared" si="41"/>
        <v>#N/A</v>
      </c>
      <c r="BA59" s="673"/>
    </row>
    <row r="60" spans="2:53">
      <c r="B60" s="671"/>
      <c r="C60" s="369">
        <v>14</v>
      </c>
      <c r="D60" s="340"/>
      <c r="E60" s="477"/>
      <c r="F60" s="477"/>
      <c r="G60" s="477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57" t="e">
        <f t="shared" si="41"/>
        <v>#N/A</v>
      </c>
      <c r="BA60" s="673"/>
    </row>
    <row r="61" spans="2:53">
      <c r="B61" s="671"/>
      <c r="C61" s="369">
        <v>15</v>
      </c>
      <c r="D61" s="340"/>
      <c r="E61" s="477"/>
      <c r="F61" s="477"/>
      <c r="G61" s="477"/>
      <c r="H61" s="707"/>
      <c r="I61" s="373"/>
      <c r="J61" s="373"/>
      <c r="K61" s="371"/>
      <c r="L61" s="646"/>
      <c r="M61" s="391" t="e">
        <f>RANK(K61, K$47:$K$61)</f>
        <v>#N/A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57" t="e">
        <f t="shared" si="41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63" t="s">
        <v>364</v>
      </c>
      <c r="J64" s="663"/>
      <c r="K64" s="663"/>
      <c r="L64" s="679" t="s">
        <v>359</v>
      </c>
      <c r="M64" s="66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63" t="s">
        <v>366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7" t="s">
        <v>368</v>
      </c>
      <c r="J66" s="367" t="s">
        <v>369</v>
      </c>
      <c r="K66" s="367" t="s">
        <v>370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706" t="s">
        <v>371</v>
      </c>
      <c r="C67" s="369">
        <v>1</v>
      </c>
      <c r="D67" s="340"/>
      <c r="E67" s="477"/>
      <c r="F67" s="477"/>
      <c r="G67" s="477"/>
      <c r="H67" s="702" t="e">
        <f>AVERAGE(G67:G81)</f>
        <v>#DIV/0!</v>
      </c>
      <c r="I67" s="370" t="str">
        <f t="shared" ref="I67:I80" si="43">IFERROR(AVERAGE(P67,U67,Z67,AE67,AJ67,AO67,AT67),"-")</f>
        <v>-</v>
      </c>
      <c r="J67" s="370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44" t="str">
        <f>IFERROR(AVERAGE(K67:K81),"-")</f>
        <v>-</v>
      </c>
      <c r="M67" s="373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46">RANK(AY67, AY$67:AY$81)</f>
        <v>#N/A</v>
      </c>
      <c r="BA67" s="672" t="e">
        <f t="shared" ref="BA67" si="47">AVERAGE(AY67:AY81)</f>
        <v>#DIV/0!</v>
      </c>
    </row>
    <row r="68" spans="2:53">
      <c r="B68" s="671"/>
      <c r="C68" s="369">
        <v>2</v>
      </c>
      <c r="D68" s="340"/>
      <c r="E68" s="477"/>
      <c r="F68" s="477"/>
      <c r="G68" s="477"/>
      <c r="H68" s="703"/>
      <c r="I68" s="370" t="str">
        <f t="shared" si="43"/>
        <v>-</v>
      </c>
      <c r="J68" s="370" t="str">
        <f t="shared" si="44"/>
        <v>-</v>
      </c>
      <c r="K68" s="194" t="str">
        <f t="shared" si="45"/>
        <v>-</v>
      </c>
      <c r="L68" s="645"/>
      <c r="M68" s="373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46"/>
        <v>#N/A</v>
      </c>
      <c r="BA68" s="673"/>
    </row>
    <row r="69" spans="2:53">
      <c r="B69" s="671"/>
      <c r="C69" s="369">
        <v>3</v>
      </c>
      <c r="D69" s="340"/>
      <c r="E69" s="477"/>
      <c r="F69" s="477"/>
      <c r="G69" s="477"/>
      <c r="H69" s="703"/>
      <c r="I69" s="370" t="str">
        <f t="shared" si="43"/>
        <v>-</v>
      </c>
      <c r="J69" s="370" t="str">
        <f t="shared" si="44"/>
        <v>-</v>
      </c>
      <c r="K69" s="194" t="str">
        <f t="shared" si="45"/>
        <v>-</v>
      </c>
      <c r="L69" s="645"/>
      <c r="M69" s="373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46"/>
        <v>#N/A</v>
      </c>
      <c r="BA69" s="673"/>
    </row>
    <row r="70" spans="2:53">
      <c r="B70" s="671"/>
      <c r="C70" s="369">
        <v>4</v>
      </c>
      <c r="D70" s="340"/>
      <c r="E70" s="477"/>
      <c r="F70" s="477"/>
      <c r="G70" s="477"/>
      <c r="H70" s="703"/>
      <c r="I70" s="370" t="str">
        <f t="shared" si="43"/>
        <v>-</v>
      </c>
      <c r="J70" s="370" t="str">
        <f t="shared" si="44"/>
        <v>-</v>
      </c>
      <c r="K70" s="194" t="str">
        <f t="shared" si="45"/>
        <v>-</v>
      </c>
      <c r="L70" s="645"/>
      <c r="M70" s="373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46"/>
        <v>#N/A</v>
      </c>
      <c r="BA70" s="673"/>
    </row>
    <row r="71" spans="2:53">
      <c r="B71" s="671"/>
      <c r="C71" s="369">
        <v>5</v>
      </c>
      <c r="D71" s="340"/>
      <c r="E71" s="477"/>
      <c r="F71" s="477"/>
      <c r="G71" s="477"/>
      <c r="H71" s="703"/>
      <c r="I71" s="370" t="str">
        <f t="shared" si="43"/>
        <v>-</v>
      </c>
      <c r="J71" s="370" t="str">
        <f t="shared" si="44"/>
        <v>-</v>
      </c>
      <c r="K71" s="194" t="str">
        <f t="shared" si="45"/>
        <v>-</v>
      </c>
      <c r="L71" s="645"/>
      <c r="M71" s="373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46"/>
        <v>#N/A</v>
      </c>
      <c r="BA71" s="673"/>
    </row>
    <row r="72" spans="2:53">
      <c r="B72" s="671"/>
      <c r="C72" s="369">
        <v>6</v>
      </c>
      <c r="D72" s="340"/>
      <c r="E72" s="477"/>
      <c r="F72" s="477"/>
      <c r="G72" s="477"/>
      <c r="H72" s="703"/>
      <c r="I72" s="370" t="str">
        <f t="shared" si="43"/>
        <v>-</v>
      </c>
      <c r="J72" s="370" t="str">
        <f t="shared" si="44"/>
        <v>-</v>
      </c>
      <c r="K72" s="194" t="str">
        <f t="shared" si="45"/>
        <v>-</v>
      </c>
      <c r="L72" s="645"/>
      <c r="M72" s="373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46"/>
        <v>#N/A</v>
      </c>
      <c r="BA72" s="673"/>
    </row>
    <row r="73" spans="2:53">
      <c r="B73" s="671"/>
      <c r="C73" s="369">
        <v>7</v>
      </c>
      <c r="D73" s="340"/>
      <c r="E73" s="477"/>
      <c r="F73" s="477"/>
      <c r="G73" s="477"/>
      <c r="H73" s="703"/>
      <c r="I73" s="370" t="str">
        <f t="shared" si="43"/>
        <v>-</v>
      </c>
      <c r="J73" s="370" t="str">
        <f t="shared" si="44"/>
        <v>-</v>
      </c>
      <c r="K73" s="194" t="str">
        <f t="shared" si="45"/>
        <v>-</v>
      </c>
      <c r="L73" s="645"/>
      <c r="M73" s="373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46"/>
        <v>#N/A</v>
      </c>
      <c r="BA73" s="673"/>
    </row>
    <row r="74" spans="2:53">
      <c r="B74" s="671"/>
      <c r="C74" s="369">
        <v>8</v>
      </c>
      <c r="D74" s="340"/>
      <c r="E74" s="477"/>
      <c r="F74" s="477"/>
      <c r="G74" s="477"/>
      <c r="H74" s="703"/>
      <c r="I74" s="370" t="str">
        <f t="shared" si="43"/>
        <v>-</v>
      </c>
      <c r="J74" s="370" t="str">
        <f t="shared" si="44"/>
        <v>-</v>
      </c>
      <c r="K74" s="194" t="str">
        <f t="shared" si="45"/>
        <v>-</v>
      </c>
      <c r="L74" s="645"/>
      <c r="M74" s="373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46"/>
        <v>#N/A</v>
      </c>
      <c r="BA74" s="673"/>
    </row>
    <row r="75" spans="2:53">
      <c r="B75" s="671"/>
      <c r="C75" s="369">
        <v>9</v>
      </c>
      <c r="D75" s="340"/>
      <c r="E75" s="477"/>
      <c r="F75" s="477"/>
      <c r="G75" s="477"/>
      <c r="H75" s="703"/>
      <c r="I75" s="370" t="str">
        <f t="shared" si="43"/>
        <v>-</v>
      </c>
      <c r="J75" s="370" t="str">
        <f t="shared" si="44"/>
        <v>-</v>
      </c>
      <c r="K75" s="194" t="str">
        <f t="shared" si="45"/>
        <v>-</v>
      </c>
      <c r="L75" s="645"/>
      <c r="M75" s="373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46"/>
        <v>#N/A</v>
      </c>
      <c r="BA75" s="673"/>
    </row>
    <row r="76" spans="2:53">
      <c r="B76" s="671"/>
      <c r="C76" s="369">
        <v>10</v>
      </c>
      <c r="D76" s="340"/>
      <c r="E76" s="477"/>
      <c r="F76" s="477"/>
      <c r="G76" s="477"/>
      <c r="H76" s="703"/>
      <c r="I76" s="370" t="str">
        <f t="shared" si="43"/>
        <v>-</v>
      </c>
      <c r="J76" s="370" t="str">
        <f t="shared" si="44"/>
        <v>-</v>
      </c>
      <c r="K76" s="194" t="str">
        <f t="shared" si="45"/>
        <v>-</v>
      </c>
      <c r="L76" s="645"/>
      <c r="M76" s="373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46"/>
        <v>#N/A</v>
      </c>
      <c r="BA76" s="673"/>
    </row>
    <row r="77" spans="2:53">
      <c r="B77" s="671"/>
      <c r="C77" s="369">
        <v>11</v>
      </c>
      <c r="D77" s="340"/>
      <c r="E77" s="477"/>
      <c r="F77" s="477"/>
      <c r="G77" s="477"/>
      <c r="H77" s="703"/>
      <c r="I77" s="370" t="str">
        <f t="shared" si="43"/>
        <v>-</v>
      </c>
      <c r="J77" s="370" t="str">
        <f t="shared" si="44"/>
        <v>-</v>
      </c>
      <c r="K77" s="194" t="str">
        <f t="shared" si="45"/>
        <v>-</v>
      </c>
      <c r="L77" s="645"/>
      <c r="M77" s="373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46"/>
        <v>#N/A</v>
      </c>
      <c r="BA77" s="673"/>
    </row>
    <row r="78" spans="2:53">
      <c r="B78" s="671"/>
      <c r="C78" s="369">
        <v>12</v>
      </c>
      <c r="D78" s="340"/>
      <c r="E78" s="477"/>
      <c r="F78" s="477"/>
      <c r="G78" s="477"/>
      <c r="H78" s="703"/>
      <c r="I78" s="370" t="str">
        <f t="shared" si="43"/>
        <v>-</v>
      </c>
      <c r="J78" s="370" t="str">
        <f t="shared" si="44"/>
        <v>-</v>
      </c>
      <c r="K78" s="194" t="str">
        <f t="shared" si="45"/>
        <v>-</v>
      </c>
      <c r="L78" s="645"/>
      <c r="M78" s="373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46"/>
        <v>#N/A</v>
      </c>
      <c r="BA78" s="673"/>
    </row>
    <row r="79" spans="2:53">
      <c r="B79" s="671"/>
      <c r="C79" s="369">
        <v>13</v>
      </c>
      <c r="D79" s="340"/>
      <c r="E79" s="477"/>
      <c r="F79" s="477"/>
      <c r="G79" s="477"/>
      <c r="H79" s="703"/>
      <c r="I79" s="370" t="str">
        <f t="shared" si="43"/>
        <v>-</v>
      </c>
      <c r="J79" s="370" t="str">
        <f t="shared" si="44"/>
        <v>-</v>
      </c>
      <c r="K79" s="194" t="str">
        <f t="shared" si="45"/>
        <v>-</v>
      </c>
      <c r="L79" s="645"/>
      <c r="M79" s="373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46"/>
        <v>#N/A</v>
      </c>
      <c r="BA79" s="673"/>
    </row>
    <row r="80" spans="2:53">
      <c r="B80" s="671"/>
      <c r="C80" s="369">
        <v>14</v>
      </c>
      <c r="D80" s="340"/>
      <c r="E80" s="477"/>
      <c r="F80" s="477"/>
      <c r="G80" s="477"/>
      <c r="H80" s="703"/>
      <c r="I80" s="370" t="str">
        <f t="shared" si="43"/>
        <v>-</v>
      </c>
      <c r="J80" s="370" t="str">
        <f t="shared" si="44"/>
        <v>-</v>
      </c>
      <c r="K80" s="194" t="str">
        <f t="shared" si="45"/>
        <v>-</v>
      </c>
      <c r="L80" s="645"/>
      <c r="M80" s="373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46"/>
        <v>#N/A</v>
      </c>
      <c r="BA80" s="673"/>
    </row>
    <row r="81" spans="2:53">
      <c r="B81" s="671"/>
      <c r="C81" s="369">
        <v>15</v>
      </c>
      <c r="D81" s="340"/>
      <c r="E81" s="477"/>
      <c r="F81" s="477"/>
      <c r="G81" s="477"/>
      <c r="H81" s="707"/>
      <c r="I81" s="373"/>
      <c r="J81" s="373"/>
      <c r="K81" s="371"/>
      <c r="L81" s="646"/>
      <c r="M81" s="373" t="e">
        <f>RANK(K81, K$67:$K$81)</f>
        <v>#N/A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46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63" t="s">
        <v>364</v>
      </c>
      <c r="J84" s="663"/>
      <c r="K84" s="663"/>
      <c r="L84" s="679" t="s">
        <v>359</v>
      </c>
      <c r="M84" s="66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63" t="s">
        <v>366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7" t="s">
        <v>368</v>
      </c>
      <c r="J86" s="367" t="s">
        <v>369</v>
      </c>
      <c r="K86" s="367" t="s">
        <v>370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706" t="s">
        <v>396</v>
      </c>
      <c r="C87" s="369">
        <v>1</v>
      </c>
      <c r="D87" s="340"/>
      <c r="E87" s="477"/>
      <c r="F87" s="477"/>
      <c r="G87" s="477"/>
      <c r="H87" s="702" t="e">
        <f>AVERAGE(G87:G101)</f>
        <v>#DIV/0!</v>
      </c>
      <c r="I87" s="370" t="str">
        <f t="shared" ref="I87:I100" si="48">IFERROR(AVERAGE(P87,U87,Z87,AE87,AJ87,AO87,AT87),"-")</f>
        <v>-</v>
      </c>
      <c r="J87" s="370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51">RANK(AY87, AY$87:AY$101)</f>
        <v>#N/A</v>
      </c>
      <c r="BA87" s="685" t="e">
        <f t="shared" ref="BA87" si="52">AVERAGE(AY87:AY101)</f>
        <v>#DIV/0!</v>
      </c>
    </row>
    <row r="88" spans="2:53">
      <c r="B88" s="671"/>
      <c r="C88" s="369">
        <v>2</v>
      </c>
      <c r="D88" s="340"/>
      <c r="E88" s="477"/>
      <c r="F88" s="477"/>
      <c r="G88" s="477"/>
      <c r="H88" s="703"/>
      <c r="I88" s="370" t="str">
        <f t="shared" si="48"/>
        <v>-</v>
      </c>
      <c r="J88" s="370" t="str">
        <f t="shared" si="49"/>
        <v>-</v>
      </c>
      <c r="K88" s="194" t="str">
        <f t="shared" si="50"/>
        <v>-</v>
      </c>
      <c r="L88" s="645"/>
      <c r="M88" s="395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51"/>
        <v>#N/A</v>
      </c>
      <c r="BA88" s="685"/>
    </row>
    <row r="89" spans="2:53">
      <c r="B89" s="671"/>
      <c r="C89" s="369">
        <v>3</v>
      </c>
      <c r="D89" s="340"/>
      <c r="E89" s="477"/>
      <c r="F89" s="477"/>
      <c r="G89" s="477"/>
      <c r="H89" s="703"/>
      <c r="I89" s="370" t="str">
        <f t="shared" si="48"/>
        <v>-</v>
      </c>
      <c r="J89" s="370" t="str">
        <f t="shared" si="49"/>
        <v>-</v>
      </c>
      <c r="K89" s="194" t="str">
        <f t="shared" si="50"/>
        <v>-</v>
      </c>
      <c r="L89" s="645"/>
      <c r="M89" s="395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51"/>
        <v>#N/A</v>
      </c>
      <c r="BA89" s="685"/>
    </row>
    <row r="90" spans="2:53">
      <c r="B90" s="671"/>
      <c r="C90" s="369">
        <v>4</v>
      </c>
      <c r="D90" s="340"/>
      <c r="E90" s="477"/>
      <c r="F90" s="477"/>
      <c r="G90" s="477"/>
      <c r="H90" s="703"/>
      <c r="I90" s="370" t="str">
        <f t="shared" si="48"/>
        <v>-</v>
      </c>
      <c r="J90" s="370" t="str">
        <f t="shared" si="49"/>
        <v>-</v>
      </c>
      <c r="K90" s="194" t="str">
        <f t="shared" si="50"/>
        <v>-</v>
      </c>
      <c r="L90" s="645"/>
      <c r="M90" s="395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51"/>
        <v>#N/A</v>
      </c>
      <c r="BA90" s="685"/>
    </row>
    <row r="91" spans="2:53">
      <c r="B91" s="671"/>
      <c r="C91" s="369">
        <v>5</v>
      </c>
      <c r="D91" s="340"/>
      <c r="E91" s="477"/>
      <c r="F91" s="477"/>
      <c r="G91" s="477"/>
      <c r="H91" s="703"/>
      <c r="I91" s="370" t="str">
        <f t="shared" si="48"/>
        <v>-</v>
      </c>
      <c r="J91" s="370" t="str">
        <f t="shared" si="49"/>
        <v>-</v>
      </c>
      <c r="K91" s="194" t="str">
        <f t="shared" si="50"/>
        <v>-</v>
      </c>
      <c r="L91" s="645"/>
      <c r="M91" s="395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51"/>
        <v>#N/A</v>
      </c>
      <c r="BA91" s="685"/>
    </row>
    <row r="92" spans="2:53">
      <c r="B92" s="671"/>
      <c r="C92" s="369">
        <v>6</v>
      </c>
      <c r="D92" s="340"/>
      <c r="E92" s="477"/>
      <c r="F92" s="477"/>
      <c r="G92" s="477"/>
      <c r="H92" s="703"/>
      <c r="I92" s="370" t="str">
        <f t="shared" si="48"/>
        <v>-</v>
      </c>
      <c r="J92" s="370" t="str">
        <f t="shared" si="49"/>
        <v>-</v>
      </c>
      <c r="K92" s="194" t="str">
        <f t="shared" si="50"/>
        <v>-</v>
      </c>
      <c r="L92" s="645"/>
      <c r="M92" s="395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51"/>
        <v>#N/A</v>
      </c>
      <c r="BA92" s="685"/>
    </row>
    <row r="93" spans="2:53">
      <c r="B93" s="671"/>
      <c r="C93" s="369">
        <v>7</v>
      </c>
      <c r="D93" s="340"/>
      <c r="E93" s="477"/>
      <c r="F93" s="477"/>
      <c r="G93" s="477"/>
      <c r="H93" s="703"/>
      <c r="I93" s="370" t="str">
        <f t="shared" si="48"/>
        <v>-</v>
      </c>
      <c r="J93" s="370" t="str">
        <f t="shared" si="49"/>
        <v>-</v>
      </c>
      <c r="K93" s="194" t="str">
        <f t="shared" si="50"/>
        <v>-</v>
      </c>
      <c r="L93" s="645"/>
      <c r="M93" s="395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51"/>
        <v>#N/A</v>
      </c>
      <c r="BA93" s="685"/>
    </row>
    <row r="94" spans="2:53">
      <c r="B94" s="671"/>
      <c r="C94" s="369">
        <v>8</v>
      </c>
      <c r="D94" s="340"/>
      <c r="E94" s="477"/>
      <c r="F94" s="477"/>
      <c r="G94" s="477"/>
      <c r="H94" s="703"/>
      <c r="I94" s="370" t="str">
        <f t="shared" si="48"/>
        <v>-</v>
      </c>
      <c r="J94" s="370" t="str">
        <f t="shared" si="49"/>
        <v>-</v>
      </c>
      <c r="K94" s="194" t="str">
        <f t="shared" si="50"/>
        <v>-</v>
      </c>
      <c r="L94" s="645"/>
      <c r="M94" s="395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51"/>
        <v>#N/A</v>
      </c>
      <c r="BA94" s="685"/>
    </row>
    <row r="95" spans="2:53">
      <c r="B95" s="671"/>
      <c r="C95" s="369">
        <v>9</v>
      </c>
      <c r="D95" s="340"/>
      <c r="E95" s="477"/>
      <c r="F95" s="477"/>
      <c r="G95" s="477"/>
      <c r="H95" s="703"/>
      <c r="I95" s="370" t="str">
        <f t="shared" si="48"/>
        <v>-</v>
      </c>
      <c r="J95" s="370" t="str">
        <f t="shared" si="49"/>
        <v>-</v>
      </c>
      <c r="K95" s="194" t="str">
        <f t="shared" si="50"/>
        <v>-</v>
      </c>
      <c r="L95" s="645"/>
      <c r="M95" s="395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51"/>
        <v>#N/A</v>
      </c>
      <c r="BA95" s="685"/>
    </row>
    <row r="96" spans="2:53">
      <c r="B96" s="671"/>
      <c r="C96" s="369">
        <v>10</v>
      </c>
      <c r="D96" s="340"/>
      <c r="E96" s="477"/>
      <c r="F96" s="477"/>
      <c r="G96" s="477"/>
      <c r="H96" s="703"/>
      <c r="I96" s="370" t="str">
        <f t="shared" si="48"/>
        <v>-</v>
      </c>
      <c r="J96" s="370" t="str">
        <f t="shared" si="49"/>
        <v>-</v>
      </c>
      <c r="K96" s="194" t="str">
        <f t="shared" si="50"/>
        <v>-</v>
      </c>
      <c r="L96" s="645"/>
      <c r="M96" s="395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51"/>
        <v>#N/A</v>
      </c>
      <c r="BA96" s="685"/>
    </row>
    <row r="97" spans="2:53">
      <c r="B97" s="671"/>
      <c r="C97" s="369">
        <v>11</v>
      </c>
      <c r="D97" s="340"/>
      <c r="E97" s="477"/>
      <c r="F97" s="477"/>
      <c r="G97" s="477"/>
      <c r="H97" s="703"/>
      <c r="I97" s="370" t="str">
        <f t="shared" si="48"/>
        <v>-</v>
      </c>
      <c r="J97" s="370" t="str">
        <f t="shared" si="49"/>
        <v>-</v>
      </c>
      <c r="K97" s="194" t="str">
        <f t="shared" si="50"/>
        <v>-</v>
      </c>
      <c r="L97" s="645"/>
      <c r="M97" s="395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51"/>
        <v>#N/A</v>
      </c>
      <c r="BA97" s="685"/>
    </row>
    <row r="98" spans="2:53">
      <c r="B98" s="671"/>
      <c r="C98" s="369">
        <v>12</v>
      </c>
      <c r="D98" s="340"/>
      <c r="E98" s="477"/>
      <c r="F98" s="477"/>
      <c r="G98" s="477"/>
      <c r="H98" s="703"/>
      <c r="I98" s="370" t="str">
        <f t="shared" si="48"/>
        <v>-</v>
      </c>
      <c r="J98" s="370" t="str">
        <f t="shared" si="49"/>
        <v>-</v>
      </c>
      <c r="K98" s="194" t="str">
        <f t="shared" si="50"/>
        <v>-</v>
      </c>
      <c r="L98" s="645"/>
      <c r="M98" s="395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51"/>
        <v>#N/A</v>
      </c>
      <c r="BA98" s="685"/>
    </row>
    <row r="99" spans="2:53">
      <c r="B99" s="671"/>
      <c r="C99" s="369">
        <v>13</v>
      </c>
      <c r="D99" s="340"/>
      <c r="E99" s="477"/>
      <c r="F99" s="477"/>
      <c r="G99" s="477"/>
      <c r="H99" s="703"/>
      <c r="I99" s="370" t="str">
        <f t="shared" si="48"/>
        <v>-</v>
      </c>
      <c r="J99" s="370" t="str">
        <f t="shared" si="49"/>
        <v>-</v>
      </c>
      <c r="K99" s="194" t="str">
        <f t="shared" si="50"/>
        <v>-</v>
      </c>
      <c r="L99" s="645"/>
      <c r="M99" s="395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51"/>
        <v>#N/A</v>
      </c>
      <c r="BA99" s="685"/>
    </row>
    <row r="100" spans="2:53">
      <c r="B100" s="671"/>
      <c r="C100" s="369">
        <v>14</v>
      </c>
      <c r="D100" s="340"/>
      <c r="E100" s="477"/>
      <c r="F100" s="477"/>
      <c r="G100" s="477"/>
      <c r="H100" s="703"/>
      <c r="I100" s="370" t="str">
        <f t="shared" si="48"/>
        <v>-</v>
      </c>
      <c r="J100" s="370" t="str">
        <f t="shared" si="49"/>
        <v>-</v>
      </c>
      <c r="K100" s="194" t="str">
        <f t="shared" si="50"/>
        <v>-</v>
      </c>
      <c r="L100" s="645"/>
      <c r="M100" s="395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51"/>
        <v>#N/A</v>
      </c>
      <c r="BA100" s="685"/>
    </row>
    <row r="101" spans="2:53">
      <c r="B101" s="671"/>
      <c r="C101" s="369">
        <v>15</v>
      </c>
      <c r="D101" s="340"/>
      <c r="E101" s="477"/>
      <c r="F101" s="477"/>
      <c r="G101" s="477"/>
      <c r="H101" s="707"/>
      <c r="I101" s="373"/>
      <c r="J101" s="373"/>
      <c r="K101" s="371"/>
      <c r="L101" s="646"/>
      <c r="M101" s="395" t="e">
        <f>RANK(K101, K$87:$K$101)</f>
        <v>#N/A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51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507</v>
      </c>
      <c r="C104" s="663" t="s">
        <v>508</v>
      </c>
      <c r="D104" s="663"/>
      <c r="E104" s="663" t="s">
        <v>509</v>
      </c>
      <c r="F104" s="663"/>
      <c r="G104" s="663"/>
      <c r="H104" s="679" t="s">
        <v>510</v>
      </c>
      <c r="I104" s="663" t="s">
        <v>511</v>
      </c>
      <c r="J104" s="663"/>
      <c r="K104" s="663"/>
      <c r="L104" s="679" t="s">
        <v>359</v>
      </c>
      <c r="M104" s="664" t="s">
        <v>512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515</v>
      </c>
      <c r="F105" s="663"/>
      <c r="G105" s="663"/>
      <c r="H105" s="680"/>
      <c r="I105" s="663" t="s">
        <v>515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517</v>
      </c>
      <c r="F106" s="334" t="s">
        <v>518</v>
      </c>
      <c r="G106" s="334" t="s">
        <v>519</v>
      </c>
      <c r="H106" s="681"/>
      <c r="I106" s="334" t="s">
        <v>517</v>
      </c>
      <c r="J106" s="334" t="s">
        <v>518</v>
      </c>
      <c r="K106" s="334" t="s">
        <v>519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706" t="s">
        <v>521</v>
      </c>
      <c r="C107" s="337">
        <v>1</v>
      </c>
      <c r="D107" s="340"/>
      <c r="E107" s="338"/>
      <c r="F107" s="338"/>
      <c r="G107" s="338"/>
      <c r="H107" s="702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38" t="e">
        <f>RANK(K107, K$107:$K$121)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8" t="e">
        <f t="shared" ref="AZ107:AZ121" si="56">RANK(AY107, AY$67:AY$81)</f>
        <v>#N/A</v>
      </c>
      <c r="BA107" s="708" t="e">
        <f t="shared" ref="BA107" si="57">AVERAGE(AY107:AY121)</f>
        <v>#DIV/0!</v>
      </c>
    </row>
    <row r="108" spans="2:53">
      <c r="B108" s="692"/>
      <c r="C108" s="337">
        <v>2</v>
      </c>
      <c r="D108" s="340"/>
      <c r="E108" s="338"/>
      <c r="F108" s="338"/>
      <c r="G108" s="338"/>
      <c r="H108" s="703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45"/>
      <c r="M108" s="477" t="e">
        <f>RANK(K108, K$107:$K$121)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8" t="e">
        <f t="shared" si="56"/>
        <v>#N/A</v>
      </c>
      <c r="BA108" s="708"/>
    </row>
    <row r="109" spans="2:53">
      <c r="B109" s="692"/>
      <c r="C109" s="337">
        <v>3</v>
      </c>
      <c r="D109" s="340"/>
      <c r="E109" s="338"/>
      <c r="F109" s="338"/>
      <c r="G109" s="338"/>
      <c r="H109" s="703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45"/>
      <c r="M109" s="477" t="e">
        <f>RANK(K109, K$107:$K$121)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8" t="e">
        <f t="shared" si="56"/>
        <v>#N/A</v>
      </c>
      <c r="BA109" s="708"/>
    </row>
    <row r="110" spans="2:53">
      <c r="B110" s="692"/>
      <c r="C110" s="337">
        <v>4</v>
      </c>
      <c r="D110" s="340"/>
      <c r="E110" s="338"/>
      <c r="F110" s="338"/>
      <c r="G110" s="338"/>
      <c r="H110" s="703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45"/>
      <c r="M110" s="477" t="e">
        <f>RANK(K110, K$107:$K$121)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8" t="e">
        <f t="shared" si="56"/>
        <v>#N/A</v>
      </c>
      <c r="BA110" s="708"/>
    </row>
    <row r="111" spans="2:53">
      <c r="B111" s="692"/>
      <c r="C111" s="337">
        <v>5</v>
      </c>
      <c r="D111" s="340"/>
      <c r="E111" s="338"/>
      <c r="F111" s="338"/>
      <c r="G111" s="338"/>
      <c r="H111" s="703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45"/>
      <c r="M111" s="477" t="e">
        <f>RANK(K111, K$107:$K$121)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8" t="e">
        <f t="shared" si="56"/>
        <v>#N/A</v>
      </c>
      <c r="BA111" s="708"/>
    </row>
    <row r="112" spans="2:53">
      <c r="B112" s="692"/>
      <c r="C112" s="337">
        <v>6</v>
      </c>
      <c r="D112" s="340"/>
      <c r="E112" s="338"/>
      <c r="F112" s="338"/>
      <c r="G112" s="338"/>
      <c r="H112" s="703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45"/>
      <c r="M112" s="477" t="e">
        <f>RANK(K112, K$107:$K$121)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8" t="e">
        <f t="shared" si="56"/>
        <v>#N/A</v>
      </c>
      <c r="BA112" s="708"/>
    </row>
    <row r="113" spans="2:53">
      <c r="B113" s="692"/>
      <c r="C113" s="337">
        <v>7</v>
      </c>
      <c r="D113" s="340"/>
      <c r="E113" s="338"/>
      <c r="F113" s="338"/>
      <c r="G113" s="338"/>
      <c r="H113" s="703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45"/>
      <c r="M113" s="477" t="e">
        <f>RANK(K113, K$107:$K$121)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8" t="e">
        <f t="shared" si="56"/>
        <v>#N/A</v>
      </c>
      <c r="BA113" s="708"/>
    </row>
    <row r="114" spans="2:53">
      <c r="B114" s="692"/>
      <c r="C114" s="337">
        <v>8</v>
      </c>
      <c r="D114" s="340"/>
      <c r="E114" s="338"/>
      <c r="F114" s="338"/>
      <c r="G114" s="338"/>
      <c r="H114" s="703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45"/>
      <c r="M114" s="477" t="e">
        <f>RANK(K114, K$107:$K$121)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8" t="e">
        <f t="shared" si="56"/>
        <v>#N/A</v>
      </c>
      <c r="BA114" s="708"/>
    </row>
    <row r="115" spans="2:53">
      <c r="B115" s="692"/>
      <c r="C115" s="337">
        <v>9</v>
      </c>
      <c r="D115" s="340"/>
      <c r="E115" s="338"/>
      <c r="F115" s="338"/>
      <c r="G115" s="338"/>
      <c r="H115" s="703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45"/>
      <c r="M115" s="477" t="e">
        <f>RANK(K115, K$107:$K$121)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8" t="e">
        <f t="shared" si="56"/>
        <v>#N/A</v>
      </c>
      <c r="BA115" s="708"/>
    </row>
    <row r="116" spans="2:53">
      <c r="B116" s="692"/>
      <c r="C116" s="337">
        <v>10</v>
      </c>
      <c r="D116" s="340"/>
      <c r="E116" s="338"/>
      <c r="F116" s="338"/>
      <c r="G116" s="338"/>
      <c r="H116" s="703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45"/>
      <c r="M116" s="477" t="e">
        <f>RANK(K116, K$107:$K$121)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8" t="e">
        <f t="shared" si="56"/>
        <v>#N/A</v>
      </c>
      <c r="BA116" s="708"/>
    </row>
    <row r="117" spans="2:53">
      <c r="B117" s="692"/>
      <c r="C117" s="337">
        <v>11</v>
      </c>
      <c r="D117" s="340"/>
      <c r="E117" s="338"/>
      <c r="F117" s="338"/>
      <c r="G117" s="338"/>
      <c r="H117" s="703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45"/>
      <c r="M117" s="477" t="e">
        <f>RANK(K117, K$107:$K$121)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8" t="e">
        <f t="shared" si="56"/>
        <v>#N/A</v>
      </c>
      <c r="BA117" s="708"/>
    </row>
    <row r="118" spans="2:53">
      <c r="B118" s="692"/>
      <c r="C118" s="337">
        <v>12</v>
      </c>
      <c r="D118" s="340"/>
      <c r="E118" s="338"/>
      <c r="F118" s="338"/>
      <c r="G118" s="338"/>
      <c r="H118" s="703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45"/>
      <c r="M118" s="477" t="e">
        <f>RANK(K118, K$107:$K$121)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8" t="e">
        <f t="shared" si="56"/>
        <v>#N/A</v>
      </c>
      <c r="BA118" s="708"/>
    </row>
    <row r="119" spans="2:53">
      <c r="B119" s="692"/>
      <c r="C119" s="337">
        <v>13</v>
      </c>
      <c r="D119" s="340"/>
      <c r="E119" s="338"/>
      <c r="F119" s="338"/>
      <c r="G119" s="338"/>
      <c r="H119" s="703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45"/>
      <c r="M119" s="477" t="e">
        <f>RANK(K119, K$107:$K$121)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8" t="e">
        <f t="shared" si="56"/>
        <v>#N/A</v>
      </c>
      <c r="BA119" s="708"/>
    </row>
    <row r="120" spans="2:53">
      <c r="B120" s="692"/>
      <c r="C120" s="337">
        <v>14</v>
      </c>
      <c r="D120" s="340"/>
      <c r="E120" s="338"/>
      <c r="F120" s="338"/>
      <c r="G120" s="338"/>
      <c r="H120" s="703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45"/>
      <c r="M120" s="477" t="e">
        <f>RANK(K120, K$107:$K$121)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8" t="e">
        <f t="shared" si="56"/>
        <v>#N/A</v>
      </c>
      <c r="BA120" s="708"/>
    </row>
    <row r="121" spans="2:53">
      <c r="B121" s="692"/>
      <c r="C121" s="337">
        <v>15</v>
      </c>
      <c r="D121" s="340"/>
      <c r="E121" s="338"/>
      <c r="F121" s="338"/>
      <c r="G121" s="338"/>
      <c r="H121" s="707"/>
      <c r="I121" s="355"/>
      <c r="J121" s="355"/>
      <c r="K121" s="353"/>
      <c r="L121" s="646"/>
      <c r="M121" s="477" t="e">
        <f>RANK(K121, K$107:$K$121)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8" t="e">
        <f t="shared" si="56"/>
        <v>#N/A</v>
      </c>
      <c r="BA121" s="708"/>
    </row>
    <row r="123" spans="2:53" ht="15.75">
      <c r="B123" s="697" t="s">
        <v>478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154</v>
      </c>
      <c r="C125" s="663" t="s">
        <v>372</v>
      </c>
      <c r="D125" s="663"/>
      <c r="E125" s="663" t="s">
        <v>363</v>
      </c>
      <c r="F125" s="663"/>
      <c r="G125" s="663"/>
      <c r="H125" s="679" t="s">
        <v>359</v>
      </c>
      <c r="I125" s="701" t="s">
        <v>364</v>
      </c>
      <c r="J125" s="701"/>
      <c r="K125" s="701"/>
      <c r="L125" s="716" t="s">
        <v>359</v>
      </c>
      <c r="M125" s="719" t="s">
        <v>360</v>
      </c>
    </row>
    <row r="126" spans="2:53">
      <c r="B126" s="663"/>
      <c r="C126" s="663"/>
      <c r="D126" s="663"/>
      <c r="E126" s="663" t="s">
        <v>366</v>
      </c>
      <c r="F126" s="663"/>
      <c r="G126" s="663"/>
      <c r="H126" s="680"/>
      <c r="I126" s="701" t="s">
        <v>366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368</v>
      </c>
      <c r="F127" s="296" t="s">
        <v>369</v>
      </c>
      <c r="G127" s="296" t="s">
        <v>370</v>
      </c>
      <c r="H127" s="681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706" t="s">
        <v>371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8" si="58">AVERAGEIF($D$7:$D$121,$D128,I$7:I$121)</f>
        <v>#DIV/0!</v>
      </c>
      <c r="J128" s="193" t="e">
        <f t="shared" si="58"/>
        <v>#DIV/0!</v>
      </c>
      <c r="K128" s="193" t="e">
        <f t="shared" ref="K128:K138" si="59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58"/>
        <v>#DIV/0!</v>
      </c>
      <c r="J129" s="193" t="e">
        <f t="shared" si="58"/>
        <v>#DIV/0!</v>
      </c>
      <c r="K129" s="193" t="e">
        <f t="shared" si="59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58"/>
        <v>#DIV/0!</v>
      </c>
      <c r="J130" s="193" t="e">
        <f t="shared" si="58"/>
        <v>#DIV/0!</v>
      </c>
      <c r="K130" s="193" t="e">
        <f t="shared" si="59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58"/>
        <v>#DIV/0!</v>
      </c>
      <c r="J131" s="193" t="e">
        <f t="shared" si="58"/>
        <v>#DIV/0!</v>
      </c>
      <c r="K131" s="193" t="e">
        <f t="shared" si="59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58"/>
        <v>#DIV/0!</v>
      </c>
      <c r="J132" s="193" t="e">
        <f t="shared" si="58"/>
        <v>#DIV/0!</v>
      </c>
      <c r="K132" s="193" t="e">
        <f t="shared" si="59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58"/>
        <v>#DIV/0!</v>
      </c>
      <c r="J133" s="193" t="e">
        <f t="shared" si="58"/>
        <v>#DIV/0!</v>
      </c>
      <c r="K133" s="193" t="e">
        <f t="shared" si="59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58"/>
        <v>#DIV/0!</v>
      </c>
      <c r="J134" s="193" t="e">
        <f t="shared" si="58"/>
        <v>#DIV/0!</v>
      </c>
      <c r="K134" s="193" t="e">
        <f t="shared" si="59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58"/>
        <v>#DIV/0!</v>
      </c>
      <c r="J135" s="193" t="e">
        <f t="shared" si="58"/>
        <v>#DIV/0!</v>
      </c>
      <c r="K135" s="193" t="e">
        <f t="shared" si="59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 t="e">
        <f t="shared" si="58"/>
        <v>#DIV/0!</v>
      </c>
      <c r="J136" s="193" t="e">
        <f t="shared" si="58"/>
        <v>#DIV/0!</v>
      </c>
      <c r="K136" s="193" t="e">
        <f t="shared" si="59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 t="e">
        <f t="shared" si="58"/>
        <v>#DIV/0!</v>
      </c>
      <c r="J137" s="193" t="e">
        <f t="shared" si="58"/>
        <v>#DIV/0!</v>
      </c>
      <c r="K137" s="193" t="e">
        <f t="shared" si="59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 t="e">
        <f t="shared" si="58"/>
        <v>#DIV/0!</v>
      </c>
      <c r="J138" s="193" t="e">
        <f t="shared" si="58"/>
        <v>#DIV/0!</v>
      </c>
      <c r="K138" s="193" t="e">
        <f t="shared" si="59"/>
        <v>#DIV/0!</v>
      </c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P6" sqref="P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 t="e">
        <f>AVERAGE(L7,L27,L47,L67,L87,L107)</f>
        <v>#DIV/0!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382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397</v>
      </c>
      <c r="C7" s="493">
        <v>1</v>
      </c>
      <c r="D7" s="220"/>
      <c r="E7" s="518"/>
      <c r="F7" s="516"/>
      <c r="G7" s="517"/>
      <c r="H7" s="710" t="e">
        <f>AVERAGE(G7:G21)</f>
        <v>#DIV/0!</v>
      </c>
      <c r="I7" s="496" t="str">
        <f t="shared" ref="I7:I20" si="0">IFERROR(AVERAGE(P7,U7,Z7,AE7,AJ7,AO7,AT7),"-")</f>
        <v>-</v>
      </c>
      <c r="J7" s="496" t="str">
        <f t="shared" ref="J7:J20" si="1">IFERROR(AVERAGE(Q7,V7,AA7,AF7,AK7,AP7,AU7),"-")</f>
        <v>-</v>
      </c>
      <c r="K7" s="194" t="str">
        <f t="shared" ref="K7:K20" si="2">IFERROR(AVERAGE(R7,W7,AB7,AG7,AL7,AQ7,AV7),"-")</f>
        <v>-</v>
      </c>
      <c r="L7" s="644" t="str">
        <f>IFERROR(AVERAGE(K7:K21),"-")</f>
        <v>-</v>
      </c>
      <c r="M7" s="497" t="e">
        <f>RANK(K7, K$7:$K$21)</f>
        <v>#VALUE!</v>
      </c>
      <c r="N7" s="663"/>
      <c r="O7" s="663"/>
      <c r="P7" s="493"/>
      <c r="Q7" s="494"/>
      <c r="R7" s="494"/>
      <c r="S7" s="493"/>
      <c r="T7" s="685"/>
      <c r="U7" s="493"/>
      <c r="V7" s="494"/>
      <c r="W7" s="494"/>
      <c r="X7" s="503"/>
      <c r="Y7" s="685"/>
      <c r="Z7" s="493"/>
      <c r="AA7" s="494"/>
      <c r="AB7" s="494"/>
      <c r="AC7" s="503"/>
      <c r="AD7" s="685"/>
      <c r="AE7" s="493"/>
      <c r="AF7" s="494"/>
      <c r="AG7" s="494"/>
      <c r="AH7" s="503"/>
      <c r="AI7" s="685"/>
      <c r="AJ7" s="493"/>
      <c r="AK7" s="494"/>
      <c r="AL7" s="494"/>
      <c r="AM7" s="503"/>
      <c r="AN7" s="685"/>
      <c r="AO7" s="493"/>
      <c r="AP7" s="494"/>
      <c r="AQ7" s="494"/>
      <c r="AR7" s="503"/>
      <c r="AS7" s="685"/>
      <c r="AT7" s="493"/>
      <c r="AU7" s="494"/>
      <c r="AV7" s="494"/>
      <c r="AW7" s="503"/>
      <c r="AX7" s="685"/>
      <c r="AZ7" s="357" t="e">
        <f t="shared" ref="AZ7:AZ21" si="3">RANK(AY7, AY$7:AY$21)</f>
        <v>#N/A</v>
      </c>
      <c r="BA7" s="685" t="e">
        <f t="shared" ref="BA7" si="4">AVERAGE(AY7:AY21)</f>
        <v>#DIV/0!</v>
      </c>
    </row>
    <row r="8" spans="1:53" ht="15" customHeight="1">
      <c r="A8" s="81"/>
      <c r="B8" s="671"/>
      <c r="C8" s="493">
        <v>2</v>
      </c>
      <c r="D8" s="220"/>
      <c r="E8" s="518"/>
      <c r="F8" s="516"/>
      <c r="G8" s="517"/>
      <c r="H8" s="711"/>
      <c r="I8" s="496" t="str">
        <f t="shared" si="0"/>
        <v>-</v>
      </c>
      <c r="J8" s="496" t="str">
        <f t="shared" si="1"/>
        <v>-</v>
      </c>
      <c r="K8" s="194" t="str">
        <f t="shared" si="2"/>
        <v>-</v>
      </c>
      <c r="L8" s="645"/>
      <c r="M8" s="506" t="e">
        <f>RANK(K8, K$7:$K$21)</f>
        <v>#VALUE!</v>
      </c>
      <c r="N8" s="663"/>
      <c r="O8" s="663"/>
      <c r="P8" s="493"/>
      <c r="Q8" s="494"/>
      <c r="R8" s="494"/>
      <c r="S8" s="503"/>
      <c r="T8" s="685"/>
      <c r="U8" s="493"/>
      <c r="V8" s="494"/>
      <c r="W8" s="494"/>
      <c r="X8" s="503"/>
      <c r="Y8" s="685"/>
      <c r="Z8" s="493"/>
      <c r="AA8" s="494"/>
      <c r="AB8" s="494"/>
      <c r="AC8" s="503"/>
      <c r="AD8" s="685"/>
      <c r="AE8" s="493"/>
      <c r="AF8" s="494"/>
      <c r="AG8" s="494"/>
      <c r="AH8" s="503"/>
      <c r="AI8" s="685"/>
      <c r="AJ8" s="493"/>
      <c r="AK8" s="494"/>
      <c r="AL8" s="494"/>
      <c r="AM8" s="503"/>
      <c r="AN8" s="685"/>
      <c r="AO8" s="493"/>
      <c r="AP8" s="494"/>
      <c r="AQ8" s="494"/>
      <c r="AR8" s="503"/>
      <c r="AS8" s="685"/>
      <c r="AT8" s="493"/>
      <c r="AU8" s="494"/>
      <c r="AV8" s="494"/>
      <c r="AW8" s="503"/>
      <c r="AX8" s="685"/>
      <c r="AZ8" s="357" t="e">
        <f t="shared" si="3"/>
        <v>#N/A</v>
      </c>
      <c r="BA8" s="685"/>
    </row>
    <row r="9" spans="1:53" ht="14.25">
      <c r="A9" s="81"/>
      <c r="B9" s="671"/>
      <c r="C9" s="493">
        <v>3</v>
      </c>
      <c r="D9" s="220"/>
      <c r="E9" s="518"/>
      <c r="F9" s="516"/>
      <c r="G9" s="517"/>
      <c r="H9" s="711"/>
      <c r="I9" s="496" t="str">
        <f t="shared" si="0"/>
        <v>-</v>
      </c>
      <c r="J9" s="496" t="str">
        <f t="shared" si="1"/>
        <v>-</v>
      </c>
      <c r="K9" s="194" t="str">
        <f t="shared" si="2"/>
        <v>-</v>
      </c>
      <c r="L9" s="645"/>
      <c r="M9" s="506" t="e">
        <f>RANK(K9, K$7:$K$21)</f>
        <v>#VALUE!</v>
      </c>
      <c r="N9" s="663"/>
      <c r="O9" s="663"/>
      <c r="P9" s="493"/>
      <c r="Q9" s="494"/>
      <c r="R9" s="494"/>
      <c r="S9" s="503"/>
      <c r="T9" s="685"/>
      <c r="U9" s="493"/>
      <c r="V9" s="494"/>
      <c r="W9" s="494"/>
      <c r="X9" s="503"/>
      <c r="Y9" s="685"/>
      <c r="Z9" s="493"/>
      <c r="AA9" s="494"/>
      <c r="AB9" s="494"/>
      <c r="AC9" s="503"/>
      <c r="AD9" s="685"/>
      <c r="AE9" s="493"/>
      <c r="AF9" s="494"/>
      <c r="AG9" s="494"/>
      <c r="AH9" s="503"/>
      <c r="AI9" s="685"/>
      <c r="AJ9" s="493"/>
      <c r="AK9" s="494"/>
      <c r="AL9" s="494"/>
      <c r="AM9" s="503"/>
      <c r="AN9" s="685"/>
      <c r="AO9" s="493"/>
      <c r="AP9" s="494"/>
      <c r="AQ9" s="494"/>
      <c r="AR9" s="503"/>
      <c r="AS9" s="685"/>
      <c r="AT9" s="493"/>
      <c r="AU9" s="494"/>
      <c r="AV9" s="494"/>
      <c r="AW9" s="503"/>
      <c r="AX9" s="685"/>
      <c r="AZ9" s="357" t="e">
        <f t="shared" si="3"/>
        <v>#N/A</v>
      </c>
      <c r="BA9" s="685"/>
    </row>
    <row r="10" spans="1:53" ht="14.25">
      <c r="A10" s="81"/>
      <c r="B10" s="671"/>
      <c r="C10" s="493">
        <v>4</v>
      </c>
      <c r="D10" s="220"/>
      <c r="E10" s="518"/>
      <c r="F10" s="516"/>
      <c r="G10" s="517"/>
      <c r="H10" s="711"/>
      <c r="I10" s="496" t="str">
        <f t="shared" si="0"/>
        <v>-</v>
      </c>
      <c r="J10" s="496" t="str">
        <f t="shared" si="1"/>
        <v>-</v>
      </c>
      <c r="K10" s="194" t="str">
        <f t="shared" si="2"/>
        <v>-</v>
      </c>
      <c r="L10" s="645"/>
      <c r="M10" s="506" t="e">
        <f>RANK(K10, K$7:$K$21)</f>
        <v>#VALUE!</v>
      </c>
      <c r="N10" s="663"/>
      <c r="O10" s="663"/>
      <c r="P10" s="493"/>
      <c r="Q10" s="494"/>
      <c r="R10" s="494"/>
      <c r="S10" s="503"/>
      <c r="T10" s="685"/>
      <c r="U10" s="493"/>
      <c r="V10" s="494"/>
      <c r="W10" s="494"/>
      <c r="X10" s="503"/>
      <c r="Y10" s="685"/>
      <c r="Z10" s="493"/>
      <c r="AA10" s="494"/>
      <c r="AB10" s="494"/>
      <c r="AC10" s="503"/>
      <c r="AD10" s="685"/>
      <c r="AE10" s="493"/>
      <c r="AF10" s="494"/>
      <c r="AG10" s="494"/>
      <c r="AH10" s="503"/>
      <c r="AI10" s="685"/>
      <c r="AJ10" s="493"/>
      <c r="AK10" s="494"/>
      <c r="AL10" s="494"/>
      <c r="AM10" s="503"/>
      <c r="AN10" s="685"/>
      <c r="AO10" s="493"/>
      <c r="AP10" s="494"/>
      <c r="AQ10" s="494"/>
      <c r="AR10" s="503"/>
      <c r="AS10" s="685"/>
      <c r="AT10" s="493"/>
      <c r="AU10" s="494"/>
      <c r="AV10" s="494"/>
      <c r="AW10" s="503"/>
      <c r="AX10" s="685"/>
      <c r="AZ10" s="357" t="e">
        <f t="shared" si="3"/>
        <v>#N/A</v>
      </c>
      <c r="BA10" s="685"/>
    </row>
    <row r="11" spans="1:53" ht="14.25">
      <c r="A11" s="81"/>
      <c r="B11" s="671"/>
      <c r="C11" s="493">
        <v>5</v>
      </c>
      <c r="D11" s="220"/>
      <c r="E11" s="518"/>
      <c r="F11" s="516"/>
      <c r="G11" s="517"/>
      <c r="H11" s="711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45"/>
      <c r="M11" s="506" t="e">
        <f>RANK(K11, K$7:$K$21)</f>
        <v>#VALUE!</v>
      </c>
      <c r="N11" s="663"/>
      <c r="O11" s="663"/>
      <c r="P11" s="493"/>
      <c r="Q11" s="494"/>
      <c r="R11" s="494"/>
      <c r="S11" s="503"/>
      <c r="T11" s="685"/>
      <c r="U11" s="493"/>
      <c r="V11" s="494"/>
      <c r="W11" s="494"/>
      <c r="X11" s="503"/>
      <c r="Y11" s="685"/>
      <c r="Z11" s="493"/>
      <c r="AA11" s="494"/>
      <c r="AB11" s="494"/>
      <c r="AC11" s="503"/>
      <c r="AD11" s="685"/>
      <c r="AE11" s="493"/>
      <c r="AF11" s="494"/>
      <c r="AG11" s="494"/>
      <c r="AH11" s="503"/>
      <c r="AI11" s="685"/>
      <c r="AJ11" s="493"/>
      <c r="AK11" s="494"/>
      <c r="AL11" s="494"/>
      <c r="AM11" s="503"/>
      <c r="AN11" s="685"/>
      <c r="AO11" s="493"/>
      <c r="AP11" s="494"/>
      <c r="AQ11" s="494"/>
      <c r="AR11" s="503"/>
      <c r="AS11" s="685"/>
      <c r="AT11" s="493"/>
      <c r="AU11" s="494"/>
      <c r="AV11" s="494"/>
      <c r="AW11" s="503"/>
      <c r="AX11" s="685"/>
      <c r="AZ11" s="357" t="e">
        <f t="shared" si="3"/>
        <v>#N/A</v>
      </c>
      <c r="BA11" s="685"/>
    </row>
    <row r="12" spans="1:53" ht="14.25">
      <c r="A12" s="81"/>
      <c r="B12" s="671"/>
      <c r="C12" s="493">
        <v>6</v>
      </c>
      <c r="D12" s="220"/>
      <c r="E12" s="518"/>
      <c r="F12" s="516"/>
      <c r="G12" s="517"/>
      <c r="H12" s="711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45"/>
      <c r="M12" s="506" t="e">
        <f>RANK(K12, K$7:$K$21)</f>
        <v>#VALUE!</v>
      </c>
      <c r="N12" s="663"/>
      <c r="O12" s="663"/>
      <c r="P12" s="493"/>
      <c r="Q12" s="494"/>
      <c r="R12" s="494"/>
      <c r="S12" s="503"/>
      <c r="T12" s="685"/>
      <c r="U12" s="493"/>
      <c r="V12" s="494"/>
      <c r="W12" s="494"/>
      <c r="X12" s="503"/>
      <c r="Y12" s="685"/>
      <c r="Z12" s="493"/>
      <c r="AA12" s="494"/>
      <c r="AB12" s="494"/>
      <c r="AC12" s="503"/>
      <c r="AD12" s="685"/>
      <c r="AE12" s="493"/>
      <c r="AF12" s="494"/>
      <c r="AG12" s="494"/>
      <c r="AH12" s="503"/>
      <c r="AI12" s="685"/>
      <c r="AJ12" s="493"/>
      <c r="AK12" s="494"/>
      <c r="AL12" s="494"/>
      <c r="AM12" s="503"/>
      <c r="AN12" s="685"/>
      <c r="AO12" s="493"/>
      <c r="AP12" s="494"/>
      <c r="AQ12" s="494"/>
      <c r="AR12" s="503"/>
      <c r="AS12" s="685"/>
      <c r="AT12" s="493"/>
      <c r="AU12" s="494"/>
      <c r="AV12" s="494"/>
      <c r="AW12" s="503"/>
      <c r="AX12" s="685"/>
      <c r="AZ12" s="357" t="e">
        <f t="shared" si="3"/>
        <v>#N/A</v>
      </c>
      <c r="BA12" s="685"/>
    </row>
    <row r="13" spans="1:53" ht="14.25">
      <c r="A13" s="81"/>
      <c r="B13" s="671"/>
      <c r="C13" s="493">
        <v>7</v>
      </c>
      <c r="D13" s="220"/>
      <c r="E13" s="518"/>
      <c r="F13" s="516"/>
      <c r="G13" s="517"/>
      <c r="H13" s="711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45"/>
      <c r="M13" s="506" t="e">
        <f>RANK(K13, K$7:$K$21)</f>
        <v>#VALUE!</v>
      </c>
      <c r="N13" s="663"/>
      <c r="O13" s="663"/>
      <c r="P13" s="493"/>
      <c r="Q13" s="494"/>
      <c r="R13" s="494"/>
      <c r="S13" s="503"/>
      <c r="T13" s="685"/>
      <c r="U13" s="493"/>
      <c r="V13" s="494"/>
      <c r="W13" s="494"/>
      <c r="X13" s="503"/>
      <c r="Y13" s="685"/>
      <c r="Z13" s="493"/>
      <c r="AA13" s="494"/>
      <c r="AB13" s="494"/>
      <c r="AC13" s="503"/>
      <c r="AD13" s="685"/>
      <c r="AE13" s="493"/>
      <c r="AF13" s="494"/>
      <c r="AG13" s="494"/>
      <c r="AH13" s="503"/>
      <c r="AI13" s="685"/>
      <c r="AJ13" s="493"/>
      <c r="AK13" s="494"/>
      <c r="AL13" s="494"/>
      <c r="AM13" s="503"/>
      <c r="AN13" s="685"/>
      <c r="AO13" s="493"/>
      <c r="AP13" s="494"/>
      <c r="AQ13" s="494"/>
      <c r="AR13" s="503"/>
      <c r="AS13" s="685"/>
      <c r="AT13" s="493"/>
      <c r="AU13" s="494"/>
      <c r="AV13" s="494"/>
      <c r="AW13" s="503"/>
      <c r="AX13" s="685"/>
      <c r="AZ13" s="357" t="e">
        <f t="shared" si="3"/>
        <v>#N/A</v>
      </c>
      <c r="BA13" s="685"/>
    </row>
    <row r="14" spans="1:53" ht="14.25">
      <c r="A14" s="81"/>
      <c r="B14" s="671"/>
      <c r="C14" s="493">
        <v>8</v>
      </c>
      <c r="D14" s="220"/>
      <c r="E14" s="518"/>
      <c r="F14" s="516"/>
      <c r="G14" s="517"/>
      <c r="H14" s="711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506" t="e">
        <f>RANK(K14, K$7:$K$21)</f>
        <v>#VALUE!</v>
      </c>
      <c r="N14" s="663"/>
      <c r="O14" s="663"/>
      <c r="P14" s="493"/>
      <c r="Q14" s="494"/>
      <c r="R14" s="494"/>
      <c r="S14" s="503"/>
      <c r="T14" s="685"/>
      <c r="U14" s="493"/>
      <c r="V14" s="494"/>
      <c r="W14" s="494"/>
      <c r="X14" s="503"/>
      <c r="Y14" s="685"/>
      <c r="Z14" s="493"/>
      <c r="AA14" s="494"/>
      <c r="AB14" s="494"/>
      <c r="AC14" s="503"/>
      <c r="AD14" s="685"/>
      <c r="AE14" s="493"/>
      <c r="AF14" s="494"/>
      <c r="AG14" s="494"/>
      <c r="AH14" s="503"/>
      <c r="AI14" s="685"/>
      <c r="AJ14" s="493"/>
      <c r="AK14" s="494"/>
      <c r="AL14" s="494"/>
      <c r="AM14" s="503"/>
      <c r="AN14" s="685"/>
      <c r="AO14" s="493"/>
      <c r="AP14" s="494"/>
      <c r="AQ14" s="494"/>
      <c r="AR14" s="503"/>
      <c r="AS14" s="685"/>
      <c r="AT14" s="493"/>
      <c r="AU14" s="494"/>
      <c r="AV14" s="494"/>
      <c r="AW14" s="503"/>
      <c r="AX14" s="685"/>
      <c r="AZ14" s="357" t="e">
        <f t="shared" si="3"/>
        <v>#N/A</v>
      </c>
      <c r="BA14" s="685"/>
    </row>
    <row r="15" spans="1:53" ht="14.25">
      <c r="A15" s="81"/>
      <c r="B15" s="671"/>
      <c r="C15" s="493">
        <v>9</v>
      </c>
      <c r="D15" s="220"/>
      <c r="E15" s="518"/>
      <c r="F15" s="516"/>
      <c r="G15" s="517"/>
      <c r="H15" s="711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506" t="e">
        <f>RANK(K15, K$7:$K$21)</f>
        <v>#VALUE!</v>
      </c>
      <c r="N15" s="663"/>
      <c r="O15" s="663"/>
      <c r="P15" s="493"/>
      <c r="Q15" s="494"/>
      <c r="R15" s="494"/>
      <c r="S15" s="503"/>
      <c r="T15" s="685"/>
      <c r="U15" s="493"/>
      <c r="V15" s="494"/>
      <c r="W15" s="494"/>
      <c r="X15" s="503"/>
      <c r="Y15" s="685"/>
      <c r="Z15" s="493"/>
      <c r="AA15" s="494"/>
      <c r="AB15" s="494"/>
      <c r="AC15" s="503"/>
      <c r="AD15" s="685"/>
      <c r="AE15" s="493"/>
      <c r="AF15" s="494"/>
      <c r="AG15" s="494"/>
      <c r="AH15" s="503"/>
      <c r="AI15" s="685"/>
      <c r="AJ15" s="493"/>
      <c r="AK15" s="494"/>
      <c r="AL15" s="494"/>
      <c r="AM15" s="503"/>
      <c r="AN15" s="685"/>
      <c r="AO15" s="493"/>
      <c r="AP15" s="494"/>
      <c r="AQ15" s="494"/>
      <c r="AR15" s="503"/>
      <c r="AS15" s="685"/>
      <c r="AT15" s="493"/>
      <c r="AU15" s="494"/>
      <c r="AV15" s="494"/>
      <c r="AW15" s="503"/>
      <c r="AX15" s="685"/>
      <c r="AZ15" s="357" t="e">
        <f t="shared" si="3"/>
        <v>#N/A</v>
      </c>
      <c r="BA15" s="685"/>
    </row>
    <row r="16" spans="1:53" ht="14.25">
      <c r="A16" s="81"/>
      <c r="B16" s="671"/>
      <c r="C16" s="493">
        <v>10</v>
      </c>
      <c r="D16" s="220"/>
      <c r="E16" s="518"/>
      <c r="F16" s="516"/>
      <c r="G16" s="517"/>
      <c r="H16" s="711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506" t="e">
        <f>RANK(K16, K$7:$K$21)</f>
        <v>#VALUE!</v>
      </c>
      <c r="N16" s="663"/>
      <c r="O16" s="663"/>
      <c r="P16" s="493"/>
      <c r="Q16" s="494"/>
      <c r="R16" s="494"/>
      <c r="S16" s="503"/>
      <c r="T16" s="685"/>
      <c r="U16" s="493"/>
      <c r="V16" s="494"/>
      <c r="W16" s="494"/>
      <c r="X16" s="503"/>
      <c r="Y16" s="685"/>
      <c r="Z16" s="493"/>
      <c r="AA16" s="494"/>
      <c r="AB16" s="494"/>
      <c r="AC16" s="503"/>
      <c r="AD16" s="685"/>
      <c r="AE16" s="493"/>
      <c r="AF16" s="494"/>
      <c r="AG16" s="494"/>
      <c r="AH16" s="503"/>
      <c r="AI16" s="685"/>
      <c r="AJ16" s="493"/>
      <c r="AK16" s="494"/>
      <c r="AL16" s="494"/>
      <c r="AM16" s="503"/>
      <c r="AN16" s="685"/>
      <c r="AO16" s="493"/>
      <c r="AP16" s="494"/>
      <c r="AQ16" s="494"/>
      <c r="AR16" s="503"/>
      <c r="AS16" s="685"/>
      <c r="AT16" s="493"/>
      <c r="AU16" s="494"/>
      <c r="AV16" s="494"/>
      <c r="AW16" s="503"/>
      <c r="AX16" s="685"/>
      <c r="AZ16" s="357" t="e">
        <f t="shared" si="3"/>
        <v>#N/A</v>
      </c>
      <c r="BA16" s="685"/>
    </row>
    <row r="17" spans="2:53">
      <c r="B17" s="671"/>
      <c r="C17" s="493">
        <v>11</v>
      </c>
      <c r="D17" s="220"/>
      <c r="E17" s="518"/>
      <c r="F17" s="516"/>
      <c r="G17" s="517"/>
      <c r="H17" s="711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506" t="e">
        <f>RANK(K17, K$7:$K$21)</f>
        <v>#VALUE!</v>
      </c>
      <c r="N17" s="663"/>
      <c r="O17" s="663"/>
      <c r="P17" s="493"/>
      <c r="Q17" s="494"/>
      <c r="R17" s="494"/>
      <c r="S17" s="503"/>
      <c r="T17" s="685"/>
      <c r="U17" s="493"/>
      <c r="V17" s="494"/>
      <c r="W17" s="494"/>
      <c r="X17" s="503"/>
      <c r="Y17" s="685"/>
      <c r="Z17" s="493"/>
      <c r="AA17" s="494"/>
      <c r="AB17" s="494"/>
      <c r="AC17" s="503"/>
      <c r="AD17" s="685"/>
      <c r="AE17" s="493"/>
      <c r="AF17" s="494"/>
      <c r="AG17" s="494"/>
      <c r="AH17" s="503"/>
      <c r="AI17" s="685"/>
      <c r="AJ17" s="493"/>
      <c r="AK17" s="494"/>
      <c r="AL17" s="494"/>
      <c r="AM17" s="503"/>
      <c r="AN17" s="685"/>
      <c r="AO17" s="493"/>
      <c r="AP17" s="494"/>
      <c r="AQ17" s="494"/>
      <c r="AR17" s="503"/>
      <c r="AS17" s="685"/>
      <c r="AT17" s="493"/>
      <c r="AU17" s="494"/>
      <c r="AV17" s="494"/>
      <c r="AW17" s="503"/>
      <c r="AX17" s="685"/>
      <c r="AZ17" s="357" t="e">
        <f t="shared" si="3"/>
        <v>#N/A</v>
      </c>
      <c r="BA17" s="685"/>
    </row>
    <row r="18" spans="2:53">
      <c r="B18" s="671"/>
      <c r="C18" s="493">
        <v>12</v>
      </c>
      <c r="D18" s="220"/>
      <c r="E18" s="518"/>
      <c r="F18" s="516"/>
      <c r="G18" s="517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506" t="e">
        <f>RANK(K18, K$7:$K$21)</f>
        <v>#VALUE!</v>
      </c>
      <c r="N18" s="663"/>
      <c r="O18" s="663"/>
      <c r="P18" s="493"/>
      <c r="Q18" s="494"/>
      <c r="R18" s="494"/>
      <c r="S18" s="503"/>
      <c r="T18" s="685"/>
      <c r="U18" s="493"/>
      <c r="V18" s="494"/>
      <c r="W18" s="494"/>
      <c r="X18" s="503"/>
      <c r="Y18" s="685"/>
      <c r="Z18" s="493"/>
      <c r="AA18" s="494"/>
      <c r="AB18" s="494"/>
      <c r="AC18" s="503"/>
      <c r="AD18" s="685"/>
      <c r="AE18" s="493"/>
      <c r="AF18" s="494"/>
      <c r="AG18" s="494"/>
      <c r="AH18" s="503"/>
      <c r="AI18" s="685"/>
      <c r="AJ18" s="493"/>
      <c r="AK18" s="494"/>
      <c r="AL18" s="494"/>
      <c r="AM18" s="503"/>
      <c r="AN18" s="685"/>
      <c r="AO18" s="493"/>
      <c r="AP18" s="494"/>
      <c r="AQ18" s="494"/>
      <c r="AR18" s="503"/>
      <c r="AS18" s="685"/>
      <c r="AT18" s="493"/>
      <c r="AU18" s="494"/>
      <c r="AV18" s="494"/>
      <c r="AW18" s="503"/>
      <c r="AX18" s="685"/>
      <c r="AZ18" s="357" t="e">
        <f t="shared" si="3"/>
        <v>#N/A</v>
      </c>
      <c r="BA18" s="685"/>
    </row>
    <row r="19" spans="2:53">
      <c r="B19" s="671"/>
      <c r="C19" s="493">
        <v>13</v>
      </c>
      <c r="D19" s="220"/>
      <c r="E19" s="518"/>
      <c r="F19" s="516"/>
      <c r="G19" s="517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506" t="e">
        <f>RANK(K19, K$7:$K$21)</f>
        <v>#VALUE!</v>
      </c>
      <c r="N19" s="663"/>
      <c r="O19" s="663"/>
      <c r="P19" s="493"/>
      <c r="Q19" s="494"/>
      <c r="R19" s="494"/>
      <c r="S19" s="503"/>
      <c r="T19" s="685"/>
      <c r="U19" s="493"/>
      <c r="V19" s="494"/>
      <c r="W19" s="494"/>
      <c r="X19" s="503"/>
      <c r="Y19" s="685"/>
      <c r="Z19" s="493"/>
      <c r="AA19" s="494"/>
      <c r="AB19" s="494"/>
      <c r="AC19" s="503"/>
      <c r="AD19" s="685"/>
      <c r="AE19" s="493"/>
      <c r="AF19" s="494"/>
      <c r="AG19" s="494"/>
      <c r="AH19" s="503"/>
      <c r="AI19" s="685"/>
      <c r="AJ19" s="493"/>
      <c r="AK19" s="494"/>
      <c r="AL19" s="494"/>
      <c r="AM19" s="503"/>
      <c r="AN19" s="685"/>
      <c r="AO19" s="493"/>
      <c r="AP19" s="494"/>
      <c r="AQ19" s="494"/>
      <c r="AR19" s="503"/>
      <c r="AS19" s="685"/>
      <c r="AT19" s="493"/>
      <c r="AU19" s="494"/>
      <c r="AV19" s="494"/>
      <c r="AW19" s="503"/>
      <c r="AX19" s="685"/>
      <c r="AZ19" s="357" t="e">
        <f t="shared" si="3"/>
        <v>#N/A</v>
      </c>
      <c r="BA19" s="685"/>
    </row>
    <row r="20" spans="2:53">
      <c r="B20" s="671"/>
      <c r="C20" s="493">
        <v>14</v>
      </c>
      <c r="D20" s="220"/>
      <c r="E20" s="518"/>
      <c r="F20" s="516"/>
      <c r="G20" s="517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506" t="e">
        <f>RANK(K20, K$7:$K$21)</f>
        <v>#VALUE!</v>
      </c>
      <c r="N20" s="663"/>
      <c r="O20" s="663"/>
      <c r="P20" s="493"/>
      <c r="Q20" s="494"/>
      <c r="R20" s="494"/>
      <c r="S20" s="503"/>
      <c r="T20" s="685"/>
      <c r="U20" s="493"/>
      <c r="V20" s="494"/>
      <c r="W20" s="494"/>
      <c r="X20" s="503"/>
      <c r="Y20" s="685"/>
      <c r="Z20" s="493"/>
      <c r="AA20" s="494"/>
      <c r="AB20" s="494"/>
      <c r="AC20" s="503"/>
      <c r="AD20" s="685"/>
      <c r="AE20" s="493"/>
      <c r="AF20" s="494"/>
      <c r="AG20" s="494"/>
      <c r="AH20" s="503"/>
      <c r="AI20" s="685"/>
      <c r="AJ20" s="493"/>
      <c r="AK20" s="494"/>
      <c r="AL20" s="494"/>
      <c r="AM20" s="503"/>
      <c r="AN20" s="685"/>
      <c r="AO20" s="493"/>
      <c r="AP20" s="494"/>
      <c r="AQ20" s="494"/>
      <c r="AR20" s="503"/>
      <c r="AS20" s="685"/>
      <c r="AT20" s="493"/>
      <c r="AU20" s="494"/>
      <c r="AV20" s="494"/>
      <c r="AW20" s="503"/>
      <c r="AX20" s="685"/>
      <c r="AZ20" s="357" t="e">
        <f t="shared" si="3"/>
        <v>#N/A</v>
      </c>
      <c r="BA20" s="685"/>
    </row>
    <row r="21" spans="2:53">
      <c r="B21" s="671"/>
      <c r="C21" s="493">
        <v>15</v>
      </c>
      <c r="D21" s="220"/>
      <c r="E21" s="518"/>
      <c r="F21" s="516"/>
      <c r="G21" s="517"/>
      <c r="H21" s="712"/>
      <c r="I21" s="196"/>
      <c r="J21" s="196"/>
      <c r="K21" s="196"/>
      <c r="L21" s="646"/>
      <c r="M21" s="506" t="e">
        <f>RANK(K21, K$7:$K$21)</f>
        <v>#N/A</v>
      </c>
      <c r="N21" s="663"/>
      <c r="O21" s="663"/>
      <c r="P21" s="493"/>
      <c r="Q21" s="494"/>
      <c r="R21" s="494"/>
      <c r="S21" s="503"/>
      <c r="T21" s="685"/>
      <c r="U21" s="493"/>
      <c r="V21" s="494"/>
      <c r="W21" s="494"/>
      <c r="X21" s="503"/>
      <c r="Y21" s="685"/>
      <c r="Z21" s="493"/>
      <c r="AA21" s="494"/>
      <c r="AB21" s="494"/>
      <c r="AC21" s="503"/>
      <c r="AD21" s="685"/>
      <c r="AE21" s="493"/>
      <c r="AF21" s="494"/>
      <c r="AG21" s="494"/>
      <c r="AH21" s="503"/>
      <c r="AI21" s="685"/>
      <c r="AJ21" s="493"/>
      <c r="AK21" s="494"/>
      <c r="AL21" s="494"/>
      <c r="AM21" s="503"/>
      <c r="AN21" s="685"/>
      <c r="AO21" s="493"/>
      <c r="AP21" s="494"/>
      <c r="AQ21" s="494"/>
      <c r="AR21" s="503"/>
      <c r="AS21" s="685"/>
      <c r="AT21" s="493"/>
      <c r="AU21" s="494"/>
      <c r="AV21" s="494"/>
      <c r="AW21" s="503"/>
      <c r="AX21" s="685"/>
      <c r="AZ21" s="357" t="e">
        <f t="shared" si="3"/>
        <v>#N/A</v>
      </c>
      <c r="BA21" s="685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47" t="s">
        <v>364</v>
      </c>
      <c r="J24" s="647"/>
      <c r="K24" s="647"/>
      <c r="L24" s="648" t="s">
        <v>359</v>
      </c>
      <c r="M24" s="65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47" t="s">
        <v>366</v>
      </c>
      <c r="J25" s="647"/>
      <c r="K25" s="647"/>
      <c r="L25" s="649"/>
      <c r="M25" s="65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6" t="s">
        <v>368</v>
      </c>
      <c r="J26" s="366" t="s">
        <v>369</v>
      </c>
      <c r="K26" s="366" t="s">
        <v>370</v>
      </c>
      <c r="L26" s="650"/>
      <c r="M26" s="65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373</v>
      </c>
      <c r="C27" s="368">
        <v>1</v>
      </c>
      <c r="D27" s="220"/>
      <c r="E27" s="518"/>
      <c r="F27" s="516"/>
      <c r="G27" s="517"/>
      <c r="H27" s="710" t="e">
        <f>AVERAGE(G27:G41)</f>
        <v>#DIV/0!</v>
      </c>
      <c r="I27" s="370" t="str">
        <f t="shared" ref="I27:I40" si="5">IFERROR(AVERAGE(P27,U27,Z27,AE27,AJ27,AO27,AT27),"-")</f>
        <v>-</v>
      </c>
      <c r="J27" s="370" t="str">
        <f t="shared" ref="J27:J40" si="6">IFERROR(AVERAGE(Q27,V27,AA27,AF27,AK27,AP27,AU27),"-")</f>
        <v>-</v>
      </c>
      <c r="K27" s="194" t="str">
        <f t="shared" ref="K27:K40" si="7">IFERROR(AVERAGE(R27,W27,AB27,AG27,AL27,AQ27,AV27),"-")</f>
        <v>-</v>
      </c>
      <c r="L27" s="644" t="str">
        <f>IFERROR(AVERAGE(K27:K41),"-")</f>
        <v>-</v>
      </c>
      <c r="M27" s="372" t="e">
        <f>RANK(K27, K$24:$K$41)</f>
        <v>#VALUE!</v>
      </c>
      <c r="N27" s="663"/>
      <c r="O27" s="663"/>
      <c r="P27" s="501"/>
      <c r="Q27" s="502"/>
      <c r="R27" s="502"/>
      <c r="S27" s="501"/>
      <c r="T27" s="672"/>
      <c r="U27" s="501"/>
      <c r="V27" s="502"/>
      <c r="W27" s="502"/>
      <c r="X27" s="501"/>
      <c r="Y27" s="672"/>
      <c r="Z27" s="501"/>
      <c r="AA27" s="502"/>
      <c r="AB27" s="502"/>
      <c r="AC27" s="501"/>
      <c r="AD27" s="672"/>
      <c r="AE27" s="501"/>
      <c r="AF27" s="502"/>
      <c r="AG27" s="502"/>
      <c r="AH27" s="501"/>
      <c r="AI27" s="672"/>
      <c r="AJ27" s="501"/>
      <c r="AK27" s="502"/>
      <c r="AL27" s="502"/>
      <c r="AM27" s="501"/>
      <c r="AN27" s="672"/>
      <c r="AO27" s="501"/>
      <c r="AP27" s="502"/>
      <c r="AQ27" s="502"/>
      <c r="AR27" s="501"/>
      <c r="AS27" s="672"/>
      <c r="AT27" s="501"/>
      <c r="AU27" s="502"/>
      <c r="AV27" s="502"/>
      <c r="AW27" s="501"/>
      <c r="AX27" s="672"/>
      <c r="AZ27" s="357" t="e">
        <f t="shared" ref="AZ27:AZ41" si="8">RANK(AY27, AY$27:AY$41)</f>
        <v>#N/A</v>
      </c>
      <c r="BA27" s="672" t="e">
        <f t="shared" ref="BA27" si="9">AVERAGE(AY27:AY41)</f>
        <v>#DIV/0!</v>
      </c>
    </row>
    <row r="28" spans="2:53">
      <c r="B28" s="671"/>
      <c r="C28" s="368">
        <v>2</v>
      </c>
      <c r="D28" s="220"/>
      <c r="E28" s="518"/>
      <c r="F28" s="516"/>
      <c r="G28" s="517"/>
      <c r="H28" s="711"/>
      <c r="I28" s="370" t="str">
        <f t="shared" si="5"/>
        <v>-</v>
      </c>
      <c r="J28" s="370" t="str">
        <f t="shared" si="6"/>
        <v>-</v>
      </c>
      <c r="K28" s="194" t="str">
        <f t="shared" si="7"/>
        <v>-</v>
      </c>
      <c r="L28" s="645"/>
      <c r="M28" s="375" t="e">
        <f>RANK(K28, K$24:$K$41)</f>
        <v>#VALUE!</v>
      </c>
      <c r="N28" s="663"/>
      <c r="O28" s="663"/>
      <c r="P28" s="501"/>
      <c r="Q28" s="502"/>
      <c r="R28" s="502"/>
      <c r="S28" s="501"/>
      <c r="T28" s="673"/>
      <c r="U28" s="501"/>
      <c r="V28" s="502"/>
      <c r="W28" s="502"/>
      <c r="X28" s="501"/>
      <c r="Y28" s="673"/>
      <c r="Z28" s="501"/>
      <c r="AA28" s="502"/>
      <c r="AB28" s="502"/>
      <c r="AC28" s="501"/>
      <c r="AD28" s="673"/>
      <c r="AE28" s="501"/>
      <c r="AF28" s="502"/>
      <c r="AG28" s="502"/>
      <c r="AH28" s="501"/>
      <c r="AI28" s="673"/>
      <c r="AJ28" s="501"/>
      <c r="AK28" s="502"/>
      <c r="AL28" s="502"/>
      <c r="AM28" s="501"/>
      <c r="AN28" s="673"/>
      <c r="AO28" s="501"/>
      <c r="AP28" s="502"/>
      <c r="AQ28" s="502"/>
      <c r="AR28" s="501"/>
      <c r="AS28" s="673"/>
      <c r="AT28" s="501"/>
      <c r="AU28" s="502"/>
      <c r="AV28" s="502"/>
      <c r="AW28" s="501"/>
      <c r="AX28" s="673"/>
      <c r="AZ28" s="357" t="e">
        <f t="shared" si="8"/>
        <v>#N/A</v>
      </c>
      <c r="BA28" s="673"/>
    </row>
    <row r="29" spans="2:53">
      <c r="B29" s="671"/>
      <c r="C29" s="368">
        <v>3</v>
      </c>
      <c r="D29" s="220"/>
      <c r="E29" s="518"/>
      <c r="F29" s="516"/>
      <c r="G29" s="517"/>
      <c r="H29" s="711"/>
      <c r="I29" s="370" t="str">
        <f t="shared" si="5"/>
        <v>-</v>
      </c>
      <c r="J29" s="370" t="str">
        <f t="shared" si="6"/>
        <v>-</v>
      </c>
      <c r="K29" s="194" t="str">
        <f t="shared" si="7"/>
        <v>-</v>
      </c>
      <c r="L29" s="645"/>
      <c r="M29" s="375" t="e">
        <f>RANK(K29, K$24:$K$41)</f>
        <v>#VALUE!</v>
      </c>
      <c r="N29" s="663"/>
      <c r="O29" s="663"/>
      <c r="P29" s="501"/>
      <c r="Q29" s="502"/>
      <c r="R29" s="502"/>
      <c r="S29" s="501"/>
      <c r="T29" s="673"/>
      <c r="U29" s="501"/>
      <c r="V29" s="502"/>
      <c r="W29" s="502"/>
      <c r="X29" s="501"/>
      <c r="Y29" s="673"/>
      <c r="Z29" s="501"/>
      <c r="AA29" s="502"/>
      <c r="AB29" s="502"/>
      <c r="AC29" s="501"/>
      <c r="AD29" s="673"/>
      <c r="AE29" s="501"/>
      <c r="AF29" s="502"/>
      <c r="AG29" s="502"/>
      <c r="AH29" s="501"/>
      <c r="AI29" s="673"/>
      <c r="AJ29" s="501"/>
      <c r="AK29" s="502"/>
      <c r="AL29" s="502"/>
      <c r="AM29" s="501"/>
      <c r="AN29" s="673"/>
      <c r="AO29" s="501"/>
      <c r="AP29" s="502"/>
      <c r="AQ29" s="502"/>
      <c r="AR29" s="501"/>
      <c r="AS29" s="673"/>
      <c r="AT29" s="501"/>
      <c r="AU29" s="502"/>
      <c r="AV29" s="502"/>
      <c r="AW29" s="501"/>
      <c r="AX29" s="673"/>
      <c r="AZ29" s="357" t="e">
        <f t="shared" si="8"/>
        <v>#N/A</v>
      </c>
      <c r="BA29" s="673"/>
    </row>
    <row r="30" spans="2:53">
      <c r="B30" s="671"/>
      <c r="C30" s="368">
        <v>4</v>
      </c>
      <c r="D30" s="220"/>
      <c r="E30" s="518"/>
      <c r="F30" s="516"/>
      <c r="G30" s="517"/>
      <c r="H30" s="711"/>
      <c r="I30" s="370" t="str">
        <f t="shared" si="5"/>
        <v>-</v>
      </c>
      <c r="J30" s="370" t="str">
        <f t="shared" si="6"/>
        <v>-</v>
      </c>
      <c r="K30" s="194" t="str">
        <f t="shared" si="7"/>
        <v>-</v>
      </c>
      <c r="L30" s="645"/>
      <c r="M30" s="375" t="e">
        <f>RANK(K30, K$24:$K$41)</f>
        <v>#VALUE!</v>
      </c>
      <c r="N30" s="663"/>
      <c r="O30" s="663"/>
      <c r="P30" s="501"/>
      <c r="Q30" s="502"/>
      <c r="R30" s="502"/>
      <c r="S30" s="501"/>
      <c r="T30" s="673"/>
      <c r="U30" s="501"/>
      <c r="V30" s="502"/>
      <c r="W30" s="502"/>
      <c r="X30" s="501"/>
      <c r="Y30" s="673"/>
      <c r="Z30" s="501"/>
      <c r="AA30" s="502"/>
      <c r="AB30" s="502"/>
      <c r="AC30" s="501"/>
      <c r="AD30" s="673"/>
      <c r="AE30" s="501"/>
      <c r="AF30" s="502"/>
      <c r="AG30" s="502"/>
      <c r="AH30" s="501"/>
      <c r="AI30" s="673"/>
      <c r="AJ30" s="501"/>
      <c r="AK30" s="502"/>
      <c r="AL30" s="502"/>
      <c r="AM30" s="501"/>
      <c r="AN30" s="673"/>
      <c r="AO30" s="501"/>
      <c r="AP30" s="502"/>
      <c r="AQ30" s="502"/>
      <c r="AR30" s="501"/>
      <c r="AS30" s="673"/>
      <c r="AT30" s="501"/>
      <c r="AU30" s="502"/>
      <c r="AV30" s="502"/>
      <c r="AW30" s="501"/>
      <c r="AX30" s="673"/>
      <c r="AZ30" s="357" t="e">
        <f t="shared" si="8"/>
        <v>#N/A</v>
      </c>
      <c r="BA30" s="673"/>
    </row>
    <row r="31" spans="2:53">
      <c r="B31" s="671"/>
      <c r="C31" s="368">
        <v>5</v>
      </c>
      <c r="D31" s="220"/>
      <c r="E31" s="518"/>
      <c r="F31" s="516"/>
      <c r="G31" s="517"/>
      <c r="H31" s="711"/>
      <c r="I31" s="370" t="str">
        <f t="shared" si="5"/>
        <v>-</v>
      </c>
      <c r="J31" s="370" t="str">
        <f t="shared" si="6"/>
        <v>-</v>
      </c>
      <c r="K31" s="194" t="str">
        <f t="shared" si="7"/>
        <v>-</v>
      </c>
      <c r="L31" s="645"/>
      <c r="M31" s="375" t="e">
        <f>RANK(K31, K$24:$K$41)</f>
        <v>#VALUE!</v>
      </c>
      <c r="N31" s="663"/>
      <c r="O31" s="663"/>
      <c r="P31" s="501"/>
      <c r="Q31" s="502"/>
      <c r="R31" s="502"/>
      <c r="S31" s="501"/>
      <c r="T31" s="673"/>
      <c r="U31" s="501"/>
      <c r="V31" s="502"/>
      <c r="W31" s="502"/>
      <c r="X31" s="501"/>
      <c r="Y31" s="673"/>
      <c r="Z31" s="501"/>
      <c r="AA31" s="502"/>
      <c r="AB31" s="502"/>
      <c r="AC31" s="501"/>
      <c r="AD31" s="673"/>
      <c r="AE31" s="501"/>
      <c r="AF31" s="502"/>
      <c r="AG31" s="502"/>
      <c r="AH31" s="501"/>
      <c r="AI31" s="673"/>
      <c r="AJ31" s="501"/>
      <c r="AK31" s="502"/>
      <c r="AL31" s="502"/>
      <c r="AM31" s="501"/>
      <c r="AN31" s="673"/>
      <c r="AO31" s="501"/>
      <c r="AP31" s="502"/>
      <c r="AQ31" s="502"/>
      <c r="AR31" s="501"/>
      <c r="AS31" s="673"/>
      <c r="AT31" s="501"/>
      <c r="AU31" s="502"/>
      <c r="AV31" s="502"/>
      <c r="AW31" s="501"/>
      <c r="AX31" s="673"/>
      <c r="AZ31" s="357" t="e">
        <f t="shared" si="8"/>
        <v>#N/A</v>
      </c>
      <c r="BA31" s="673"/>
    </row>
    <row r="32" spans="2:53">
      <c r="B32" s="671"/>
      <c r="C32" s="368">
        <v>6</v>
      </c>
      <c r="D32" s="220"/>
      <c r="E32" s="518"/>
      <c r="F32" s="516"/>
      <c r="G32" s="517"/>
      <c r="H32" s="711"/>
      <c r="I32" s="370" t="str">
        <f t="shared" si="5"/>
        <v>-</v>
      </c>
      <c r="J32" s="370" t="str">
        <f t="shared" si="6"/>
        <v>-</v>
      </c>
      <c r="K32" s="194" t="str">
        <f t="shared" si="7"/>
        <v>-</v>
      </c>
      <c r="L32" s="645"/>
      <c r="M32" s="375" t="e">
        <f>RANK(K32, K$24:$K$41)</f>
        <v>#VALUE!</v>
      </c>
      <c r="N32" s="663"/>
      <c r="O32" s="663"/>
      <c r="P32" s="501"/>
      <c r="Q32" s="502"/>
      <c r="R32" s="502"/>
      <c r="S32" s="501"/>
      <c r="T32" s="673"/>
      <c r="U32" s="501"/>
      <c r="V32" s="502"/>
      <c r="W32" s="502"/>
      <c r="X32" s="501"/>
      <c r="Y32" s="673"/>
      <c r="Z32" s="501"/>
      <c r="AA32" s="502"/>
      <c r="AB32" s="502"/>
      <c r="AC32" s="501"/>
      <c r="AD32" s="673"/>
      <c r="AE32" s="501"/>
      <c r="AF32" s="502"/>
      <c r="AG32" s="502"/>
      <c r="AH32" s="501"/>
      <c r="AI32" s="673"/>
      <c r="AJ32" s="501"/>
      <c r="AK32" s="502"/>
      <c r="AL32" s="502"/>
      <c r="AM32" s="501"/>
      <c r="AN32" s="673"/>
      <c r="AO32" s="501"/>
      <c r="AP32" s="502"/>
      <c r="AQ32" s="502"/>
      <c r="AR32" s="501"/>
      <c r="AS32" s="673"/>
      <c r="AT32" s="501"/>
      <c r="AU32" s="502"/>
      <c r="AV32" s="502"/>
      <c r="AW32" s="501"/>
      <c r="AX32" s="673"/>
      <c r="AZ32" s="357" t="e">
        <f t="shared" si="8"/>
        <v>#N/A</v>
      </c>
      <c r="BA32" s="673"/>
    </row>
    <row r="33" spans="2:53">
      <c r="B33" s="671"/>
      <c r="C33" s="368">
        <v>7</v>
      </c>
      <c r="D33" s="220"/>
      <c r="E33" s="518"/>
      <c r="F33" s="516"/>
      <c r="G33" s="517"/>
      <c r="H33" s="711"/>
      <c r="I33" s="370" t="str">
        <f t="shared" si="5"/>
        <v>-</v>
      </c>
      <c r="J33" s="370" t="str">
        <f t="shared" si="6"/>
        <v>-</v>
      </c>
      <c r="K33" s="194" t="str">
        <f t="shared" si="7"/>
        <v>-</v>
      </c>
      <c r="L33" s="645"/>
      <c r="M33" s="375" t="e">
        <f>RANK(K33, K$24:$K$41)</f>
        <v>#VALUE!</v>
      </c>
      <c r="N33" s="663"/>
      <c r="O33" s="663"/>
      <c r="P33" s="501"/>
      <c r="Q33" s="502"/>
      <c r="R33" s="502"/>
      <c r="S33" s="501"/>
      <c r="T33" s="673"/>
      <c r="U33" s="501"/>
      <c r="V33" s="502"/>
      <c r="W33" s="502"/>
      <c r="X33" s="501"/>
      <c r="Y33" s="673"/>
      <c r="Z33" s="501"/>
      <c r="AA33" s="502"/>
      <c r="AB33" s="502"/>
      <c r="AC33" s="501"/>
      <c r="AD33" s="673"/>
      <c r="AE33" s="501"/>
      <c r="AF33" s="502"/>
      <c r="AG33" s="502"/>
      <c r="AH33" s="501"/>
      <c r="AI33" s="673"/>
      <c r="AJ33" s="501"/>
      <c r="AK33" s="502"/>
      <c r="AL33" s="502"/>
      <c r="AM33" s="501"/>
      <c r="AN33" s="673"/>
      <c r="AO33" s="501"/>
      <c r="AP33" s="502"/>
      <c r="AQ33" s="502"/>
      <c r="AR33" s="501"/>
      <c r="AS33" s="673"/>
      <c r="AT33" s="501"/>
      <c r="AU33" s="502"/>
      <c r="AV33" s="502"/>
      <c r="AW33" s="501"/>
      <c r="AX33" s="673"/>
      <c r="AZ33" s="357" t="e">
        <f t="shared" si="8"/>
        <v>#N/A</v>
      </c>
      <c r="BA33" s="673"/>
    </row>
    <row r="34" spans="2:53">
      <c r="B34" s="671"/>
      <c r="C34" s="368">
        <v>8</v>
      </c>
      <c r="D34" s="220"/>
      <c r="E34" s="518"/>
      <c r="F34" s="516"/>
      <c r="G34" s="517"/>
      <c r="H34" s="711"/>
      <c r="I34" s="370" t="str">
        <f t="shared" si="5"/>
        <v>-</v>
      </c>
      <c r="J34" s="370" t="str">
        <f t="shared" si="6"/>
        <v>-</v>
      </c>
      <c r="K34" s="194" t="str">
        <f t="shared" si="7"/>
        <v>-</v>
      </c>
      <c r="L34" s="645"/>
      <c r="M34" s="375" t="e">
        <f>RANK(K34, K$24:$K$41)</f>
        <v>#VALUE!</v>
      </c>
      <c r="N34" s="663"/>
      <c r="O34" s="663"/>
      <c r="P34" s="501"/>
      <c r="Q34" s="502"/>
      <c r="R34" s="502"/>
      <c r="S34" s="501"/>
      <c r="T34" s="673"/>
      <c r="U34" s="501"/>
      <c r="V34" s="502"/>
      <c r="W34" s="502"/>
      <c r="X34" s="501"/>
      <c r="Y34" s="673"/>
      <c r="Z34" s="501"/>
      <c r="AA34" s="502"/>
      <c r="AB34" s="502"/>
      <c r="AC34" s="501"/>
      <c r="AD34" s="673"/>
      <c r="AE34" s="501"/>
      <c r="AF34" s="502"/>
      <c r="AG34" s="502"/>
      <c r="AH34" s="501"/>
      <c r="AI34" s="673"/>
      <c r="AJ34" s="501"/>
      <c r="AK34" s="502"/>
      <c r="AL34" s="502"/>
      <c r="AM34" s="501"/>
      <c r="AN34" s="673"/>
      <c r="AO34" s="501"/>
      <c r="AP34" s="502"/>
      <c r="AQ34" s="502"/>
      <c r="AR34" s="501"/>
      <c r="AS34" s="673"/>
      <c r="AT34" s="501"/>
      <c r="AU34" s="502"/>
      <c r="AV34" s="502"/>
      <c r="AW34" s="501"/>
      <c r="AX34" s="673"/>
      <c r="AZ34" s="357" t="e">
        <f t="shared" si="8"/>
        <v>#N/A</v>
      </c>
      <c r="BA34" s="673"/>
    </row>
    <row r="35" spans="2:53">
      <c r="B35" s="671"/>
      <c r="C35" s="368">
        <v>9</v>
      </c>
      <c r="D35" s="220"/>
      <c r="E35" s="518"/>
      <c r="F35" s="516"/>
      <c r="G35" s="517"/>
      <c r="H35" s="711"/>
      <c r="I35" s="370" t="str">
        <f t="shared" si="5"/>
        <v>-</v>
      </c>
      <c r="J35" s="370" t="str">
        <f t="shared" si="6"/>
        <v>-</v>
      </c>
      <c r="K35" s="194" t="str">
        <f t="shared" si="7"/>
        <v>-</v>
      </c>
      <c r="L35" s="645"/>
      <c r="M35" s="375" t="e">
        <f>RANK(K35, K$24:$K$41)</f>
        <v>#VALUE!</v>
      </c>
      <c r="N35" s="663"/>
      <c r="O35" s="663"/>
      <c r="P35" s="501"/>
      <c r="Q35" s="502"/>
      <c r="R35" s="502"/>
      <c r="S35" s="501"/>
      <c r="T35" s="673"/>
      <c r="U35" s="501"/>
      <c r="V35" s="502"/>
      <c r="W35" s="502"/>
      <c r="X35" s="501"/>
      <c r="Y35" s="673"/>
      <c r="Z35" s="501"/>
      <c r="AA35" s="502"/>
      <c r="AB35" s="502"/>
      <c r="AC35" s="501"/>
      <c r="AD35" s="673"/>
      <c r="AE35" s="501"/>
      <c r="AF35" s="502"/>
      <c r="AG35" s="502"/>
      <c r="AH35" s="501"/>
      <c r="AI35" s="673"/>
      <c r="AJ35" s="501"/>
      <c r="AK35" s="502"/>
      <c r="AL35" s="502"/>
      <c r="AM35" s="501"/>
      <c r="AN35" s="673"/>
      <c r="AO35" s="501"/>
      <c r="AP35" s="502"/>
      <c r="AQ35" s="502"/>
      <c r="AR35" s="501"/>
      <c r="AS35" s="673"/>
      <c r="AT35" s="501"/>
      <c r="AU35" s="502"/>
      <c r="AV35" s="502"/>
      <c r="AW35" s="501"/>
      <c r="AX35" s="673"/>
      <c r="AZ35" s="357" t="e">
        <f t="shared" si="8"/>
        <v>#N/A</v>
      </c>
      <c r="BA35" s="673"/>
    </row>
    <row r="36" spans="2:53">
      <c r="B36" s="671"/>
      <c r="C36" s="368">
        <v>10</v>
      </c>
      <c r="D36" s="220"/>
      <c r="E36" s="518"/>
      <c r="F36" s="516"/>
      <c r="G36" s="517"/>
      <c r="H36" s="711"/>
      <c r="I36" s="370" t="str">
        <f t="shared" si="5"/>
        <v>-</v>
      </c>
      <c r="J36" s="370" t="str">
        <f t="shared" si="6"/>
        <v>-</v>
      </c>
      <c r="K36" s="194" t="str">
        <f t="shared" si="7"/>
        <v>-</v>
      </c>
      <c r="L36" s="645"/>
      <c r="M36" s="375" t="e">
        <f>RANK(K36, K$24:$K$41)</f>
        <v>#VALUE!</v>
      </c>
      <c r="N36" s="663"/>
      <c r="O36" s="663"/>
      <c r="P36" s="501"/>
      <c r="Q36" s="502"/>
      <c r="R36" s="502"/>
      <c r="S36" s="501"/>
      <c r="T36" s="673"/>
      <c r="U36" s="501"/>
      <c r="V36" s="502"/>
      <c r="W36" s="502"/>
      <c r="X36" s="501"/>
      <c r="Y36" s="673"/>
      <c r="Z36" s="501"/>
      <c r="AA36" s="502"/>
      <c r="AB36" s="502"/>
      <c r="AC36" s="501"/>
      <c r="AD36" s="673"/>
      <c r="AE36" s="501"/>
      <c r="AF36" s="502"/>
      <c r="AG36" s="502"/>
      <c r="AH36" s="501"/>
      <c r="AI36" s="673"/>
      <c r="AJ36" s="501"/>
      <c r="AK36" s="502"/>
      <c r="AL36" s="502"/>
      <c r="AM36" s="501"/>
      <c r="AN36" s="673"/>
      <c r="AO36" s="501"/>
      <c r="AP36" s="502"/>
      <c r="AQ36" s="502"/>
      <c r="AR36" s="501"/>
      <c r="AS36" s="673"/>
      <c r="AT36" s="501"/>
      <c r="AU36" s="502"/>
      <c r="AV36" s="502"/>
      <c r="AW36" s="501"/>
      <c r="AX36" s="673"/>
      <c r="AZ36" s="357" t="e">
        <f t="shared" si="8"/>
        <v>#N/A</v>
      </c>
      <c r="BA36" s="673"/>
    </row>
    <row r="37" spans="2:53">
      <c r="B37" s="671"/>
      <c r="C37" s="368">
        <v>11</v>
      </c>
      <c r="D37" s="220"/>
      <c r="E37" s="518"/>
      <c r="F37" s="516"/>
      <c r="G37" s="517"/>
      <c r="H37" s="711"/>
      <c r="I37" s="370" t="str">
        <f t="shared" si="5"/>
        <v>-</v>
      </c>
      <c r="J37" s="370" t="str">
        <f t="shared" si="6"/>
        <v>-</v>
      </c>
      <c r="K37" s="194" t="str">
        <f t="shared" si="7"/>
        <v>-</v>
      </c>
      <c r="L37" s="645"/>
      <c r="M37" s="375" t="e">
        <f>RANK(K37, K$24:$K$41)</f>
        <v>#VALUE!</v>
      </c>
      <c r="N37" s="663"/>
      <c r="O37" s="663"/>
      <c r="P37" s="501"/>
      <c r="Q37" s="502"/>
      <c r="R37" s="502"/>
      <c r="S37" s="501"/>
      <c r="T37" s="673"/>
      <c r="U37" s="501"/>
      <c r="V37" s="502"/>
      <c r="W37" s="502"/>
      <c r="X37" s="501"/>
      <c r="Y37" s="673"/>
      <c r="Z37" s="501"/>
      <c r="AA37" s="502"/>
      <c r="AB37" s="502"/>
      <c r="AC37" s="501"/>
      <c r="AD37" s="673"/>
      <c r="AE37" s="501"/>
      <c r="AF37" s="502"/>
      <c r="AG37" s="502"/>
      <c r="AH37" s="501"/>
      <c r="AI37" s="673"/>
      <c r="AJ37" s="501"/>
      <c r="AK37" s="502"/>
      <c r="AL37" s="502"/>
      <c r="AM37" s="501"/>
      <c r="AN37" s="673"/>
      <c r="AO37" s="501"/>
      <c r="AP37" s="502"/>
      <c r="AQ37" s="502"/>
      <c r="AR37" s="501"/>
      <c r="AS37" s="673"/>
      <c r="AT37" s="501"/>
      <c r="AU37" s="502"/>
      <c r="AV37" s="502"/>
      <c r="AW37" s="501"/>
      <c r="AX37" s="673"/>
      <c r="AZ37" s="357" t="e">
        <f t="shared" si="8"/>
        <v>#N/A</v>
      </c>
      <c r="BA37" s="673"/>
    </row>
    <row r="38" spans="2:53">
      <c r="B38" s="671"/>
      <c r="C38" s="368">
        <v>12</v>
      </c>
      <c r="D38" s="220"/>
      <c r="E38" s="518"/>
      <c r="F38" s="516"/>
      <c r="G38" s="517"/>
      <c r="H38" s="711"/>
      <c r="I38" s="370" t="str">
        <f t="shared" si="5"/>
        <v>-</v>
      </c>
      <c r="J38" s="370" t="str">
        <f t="shared" si="6"/>
        <v>-</v>
      </c>
      <c r="K38" s="194" t="str">
        <f t="shared" si="7"/>
        <v>-</v>
      </c>
      <c r="L38" s="645"/>
      <c r="M38" s="375" t="e">
        <f>RANK(K38, K$24:$K$41)</f>
        <v>#VALUE!</v>
      </c>
      <c r="N38" s="663"/>
      <c r="O38" s="663"/>
      <c r="P38" s="501"/>
      <c r="Q38" s="502"/>
      <c r="R38" s="502"/>
      <c r="S38" s="501"/>
      <c r="T38" s="673"/>
      <c r="U38" s="501"/>
      <c r="V38" s="502"/>
      <c r="W38" s="502"/>
      <c r="X38" s="501"/>
      <c r="Y38" s="673"/>
      <c r="Z38" s="501"/>
      <c r="AA38" s="502"/>
      <c r="AB38" s="502"/>
      <c r="AC38" s="501"/>
      <c r="AD38" s="673"/>
      <c r="AE38" s="501"/>
      <c r="AF38" s="502"/>
      <c r="AG38" s="502"/>
      <c r="AH38" s="501"/>
      <c r="AI38" s="673"/>
      <c r="AJ38" s="501"/>
      <c r="AK38" s="502"/>
      <c r="AL38" s="502"/>
      <c r="AM38" s="501"/>
      <c r="AN38" s="673"/>
      <c r="AO38" s="501"/>
      <c r="AP38" s="502"/>
      <c r="AQ38" s="502"/>
      <c r="AR38" s="501"/>
      <c r="AS38" s="673"/>
      <c r="AT38" s="501"/>
      <c r="AU38" s="502"/>
      <c r="AV38" s="502"/>
      <c r="AW38" s="501"/>
      <c r="AX38" s="673"/>
      <c r="AZ38" s="357" t="e">
        <f t="shared" si="8"/>
        <v>#N/A</v>
      </c>
      <c r="BA38" s="673"/>
    </row>
    <row r="39" spans="2:53">
      <c r="B39" s="671"/>
      <c r="C39" s="368">
        <v>13</v>
      </c>
      <c r="D39" s="220"/>
      <c r="E39" s="518"/>
      <c r="F39" s="516"/>
      <c r="G39" s="517"/>
      <c r="H39" s="711"/>
      <c r="I39" s="370" t="str">
        <f t="shared" si="5"/>
        <v>-</v>
      </c>
      <c r="J39" s="370" t="str">
        <f t="shared" si="6"/>
        <v>-</v>
      </c>
      <c r="K39" s="194" t="str">
        <f t="shared" si="7"/>
        <v>-</v>
      </c>
      <c r="L39" s="645"/>
      <c r="M39" s="375" t="e">
        <f>RANK(K39, K$24:$K$41)</f>
        <v>#VALUE!</v>
      </c>
      <c r="N39" s="663"/>
      <c r="O39" s="663"/>
      <c r="P39" s="501"/>
      <c r="Q39" s="502"/>
      <c r="R39" s="502"/>
      <c r="S39" s="501"/>
      <c r="T39" s="673"/>
      <c r="U39" s="501"/>
      <c r="V39" s="502"/>
      <c r="W39" s="502"/>
      <c r="X39" s="501"/>
      <c r="Y39" s="673"/>
      <c r="Z39" s="501"/>
      <c r="AA39" s="502"/>
      <c r="AB39" s="502"/>
      <c r="AC39" s="501"/>
      <c r="AD39" s="673"/>
      <c r="AE39" s="501"/>
      <c r="AF39" s="502"/>
      <c r="AG39" s="502"/>
      <c r="AH39" s="501"/>
      <c r="AI39" s="673"/>
      <c r="AJ39" s="501"/>
      <c r="AK39" s="502"/>
      <c r="AL39" s="502"/>
      <c r="AM39" s="501"/>
      <c r="AN39" s="673"/>
      <c r="AO39" s="501"/>
      <c r="AP39" s="502"/>
      <c r="AQ39" s="502"/>
      <c r="AR39" s="501"/>
      <c r="AS39" s="673"/>
      <c r="AT39" s="501"/>
      <c r="AU39" s="502"/>
      <c r="AV39" s="502"/>
      <c r="AW39" s="501"/>
      <c r="AX39" s="673"/>
      <c r="AZ39" s="357" t="e">
        <f t="shared" si="8"/>
        <v>#N/A</v>
      </c>
      <c r="BA39" s="673"/>
    </row>
    <row r="40" spans="2:53">
      <c r="B40" s="671"/>
      <c r="C40" s="368">
        <v>14</v>
      </c>
      <c r="D40" s="220"/>
      <c r="E40" s="518"/>
      <c r="F40" s="516"/>
      <c r="G40" s="517"/>
      <c r="H40" s="711"/>
      <c r="I40" s="370" t="str">
        <f t="shared" si="5"/>
        <v>-</v>
      </c>
      <c r="J40" s="370" t="str">
        <f t="shared" si="6"/>
        <v>-</v>
      </c>
      <c r="K40" s="194" t="str">
        <f t="shared" si="7"/>
        <v>-</v>
      </c>
      <c r="L40" s="645"/>
      <c r="M40" s="375" t="e">
        <f>RANK(K40, K$24:$K$41)</f>
        <v>#VALUE!</v>
      </c>
      <c r="N40" s="663"/>
      <c r="O40" s="663"/>
      <c r="P40" s="501"/>
      <c r="Q40" s="502"/>
      <c r="R40" s="502"/>
      <c r="S40" s="501"/>
      <c r="T40" s="673"/>
      <c r="U40" s="501"/>
      <c r="V40" s="502"/>
      <c r="W40" s="502"/>
      <c r="X40" s="501"/>
      <c r="Y40" s="673"/>
      <c r="Z40" s="501"/>
      <c r="AA40" s="502"/>
      <c r="AB40" s="502"/>
      <c r="AC40" s="501"/>
      <c r="AD40" s="673"/>
      <c r="AE40" s="501"/>
      <c r="AF40" s="502"/>
      <c r="AG40" s="502"/>
      <c r="AH40" s="501"/>
      <c r="AI40" s="673"/>
      <c r="AJ40" s="501"/>
      <c r="AK40" s="502"/>
      <c r="AL40" s="502"/>
      <c r="AM40" s="501"/>
      <c r="AN40" s="673"/>
      <c r="AO40" s="501"/>
      <c r="AP40" s="502"/>
      <c r="AQ40" s="502"/>
      <c r="AR40" s="501"/>
      <c r="AS40" s="673"/>
      <c r="AT40" s="501"/>
      <c r="AU40" s="502"/>
      <c r="AV40" s="502"/>
      <c r="AW40" s="501"/>
      <c r="AX40" s="673"/>
      <c r="AZ40" s="357" t="e">
        <f t="shared" si="8"/>
        <v>#N/A</v>
      </c>
      <c r="BA40" s="673"/>
    </row>
    <row r="41" spans="2:53">
      <c r="B41" s="671"/>
      <c r="C41" s="368">
        <v>15</v>
      </c>
      <c r="D41" s="220"/>
      <c r="E41" s="518"/>
      <c r="F41" s="516"/>
      <c r="G41" s="517"/>
      <c r="H41" s="712"/>
      <c r="I41" s="196"/>
      <c r="J41" s="196"/>
      <c r="K41" s="196"/>
      <c r="L41" s="646"/>
      <c r="M41" s="374" t="e">
        <f>RANK(K41, K$24:$K$41)</f>
        <v>#N/A</v>
      </c>
      <c r="N41" s="663"/>
      <c r="O41" s="663"/>
      <c r="P41" s="501"/>
      <c r="Q41" s="502"/>
      <c r="R41" s="502"/>
      <c r="S41" s="501"/>
      <c r="T41" s="674"/>
      <c r="U41" s="501"/>
      <c r="V41" s="502"/>
      <c r="W41" s="502"/>
      <c r="X41" s="501"/>
      <c r="Y41" s="674"/>
      <c r="Z41" s="501"/>
      <c r="AA41" s="502"/>
      <c r="AB41" s="502"/>
      <c r="AC41" s="501"/>
      <c r="AD41" s="674"/>
      <c r="AE41" s="501"/>
      <c r="AF41" s="502"/>
      <c r="AG41" s="502"/>
      <c r="AH41" s="501"/>
      <c r="AI41" s="674"/>
      <c r="AJ41" s="501"/>
      <c r="AK41" s="502"/>
      <c r="AL41" s="502"/>
      <c r="AM41" s="501"/>
      <c r="AN41" s="674"/>
      <c r="AO41" s="501"/>
      <c r="AP41" s="502"/>
      <c r="AQ41" s="502"/>
      <c r="AR41" s="501"/>
      <c r="AS41" s="674"/>
      <c r="AT41" s="501"/>
      <c r="AU41" s="502"/>
      <c r="AV41" s="502"/>
      <c r="AW41" s="501"/>
      <c r="AX41" s="674"/>
      <c r="AZ41" s="357" t="e">
        <f t="shared" si="8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47" t="s">
        <v>364</v>
      </c>
      <c r="J44" s="647"/>
      <c r="K44" s="647"/>
      <c r="L44" s="648" t="s">
        <v>359</v>
      </c>
      <c r="M44" s="65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47" t="s">
        <v>366</v>
      </c>
      <c r="J45" s="647"/>
      <c r="K45" s="647"/>
      <c r="L45" s="649"/>
      <c r="M45" s="65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6" t="s">
        <v>368</v>
      </c>
      <c r="J46" s="366" t="s">
        <v>369</v>
      </c>
      <c r="K46" s="366" t="s">
        <v>370</v>
      </c>
      <c r="L46" s="650"/>
      <c r="M46" s="65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360</v>
      </c>
      <c r="BA46" s="663"/>
    </row>
    <row r="47" spans="2:53">
      <c r="B47" s="663" t="s">
        <v>459</v>
      </c>
      <c r="C47" s="368">
        <v>1</v>
      </c>
      <c r="D47" s="220"/>
      <c r="E47" s="518"/>
      <c r="F47" s="516"/>
      <c r="G47" s="517"/>
      <c r="H47" s="710" t="e">
        <f>AVERAGE(G47:G61)</f>
        <v>#DIV/0!</v>
      </c>
      <c r="I47" s="370" t="str">
        <f t="shared" ref="I47:I60" si="10">IFERROR(AVERAGE(P47,U47,Z47,AE47,AJ47,AO47,AT47),"-")</f>
        <v>-</v>
      </c>
      <c r="J47" s="370" t="str">
        <f t="shared" ref="J47:J60" si="11">IFERROR(AVERAGE(Q47,V47,AA47,AF47,AK47,AP47,AU47),"-")</f>
        <v>-</v>
      </c>
      <c r="K47" s="194" t="str">
        <f t="shared" ref="K47:K60" si="12">IFERROR(AVERAGE(R47,W47,AB47,AG47,AL47,AQ47,AV47),"-")</f>
        <v>-</v>
      </c>
      <c r="L47" s="644" t="str">
        <f>IFERROR(AVERAGE(K47:K61),"-")</f>
        <v>-</v>
      </c>
      <c r="M47" s="372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13">RANK(AY47, AY$47:AY$61)</f>
        <v>#N/A</v>
      </c>
      <c r="BA47" s="672" t="e">
        <f t="shared" ref="BA47" si="14">AVERAGE(AY47:AY61)</f>
        <v>#DIV/0!</v>
      </c>
    </row>
    <row r="48" spans="2:53">
      <c r="B48" s="671"/>
      <c r="C48" s="368">
        <v>2</v>
      </c>
      <c r="D48" s="220"/>
      <c r="E48" s="518"/>
      <c r="F48" s="516"/>
      <c r="G48" s="517"/>
      <c r="H48" s="711"/>
      <c r="I48" s="370" t="str">
        <f t="shared" si="10"/>
        <v>-</v>
      </c>
      <c r="J48" s="370" t="str">
        <f t="shared" si="11"/>
        <v>-</v>
      </c>
      <c r="K48" s="194" t="str">
        <f t="shared" si="12"/>
        <v>-</v>
      </c>
      <c r="L48" s="645"/>
      <c r="M48" s="390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57" t="e">
        <f t="shared" si="13"/>
        <v>#N/A</v>
      </c>
      <c r="BA48" s="673"/>
    </row>
    <row r="49" spans="2:53">
      <c r="B49" s="671"/>
      <c r="C49" s="368">
        <v>3</v>
      </c>
      <c r="D49" s="220"/>
      <c r="E49" s="518"/>
      <c r="F49" s="516"/>
      <c r="G49" s="517"/>
      <c r="H49" s="711"/>
      <c r="I49" s="370" t="str">
        <f t="shared" si="10"/>
        <v>-</v>
      </c>
      <c r="J49" s="370" t="str">
        <f t="shared" si="11"/>
        <v>-</v>
      </c>
      <c r="K49" s="194" t="str">
        <f t="shared" si="12"/>
        <v>-</v>
      </c>
      <c r="L49" s="645"/>
      <c r="M49" s="390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57" t="e">
        <f t="shared" si="13"/>
        <v>#N/A</v>
      </c>
      <c r="BA49" s="673"/>
    </row>
    <row r="50" spans="2:53">
      <c r="B50" s="671"/>
      <c r="C50" s="368">
        <v>4</v>
      </c>
      <c r="D50" s="220"/>
      <c r="E50" s="518"/>
      <c r="F50" s="516"/>
      <c r="G50" s="517"/>
      <c r="H50" s="711"/>
      <c r="I50" s="370" t="str">
        <f t="shared" si="10"/>
        <v>-</v>
      </c>
      <c r="J50" s="370" t="str">
        <f t="shared" si="11"/>
        <v>-</v>
      </c>
      <c r="K50" s="194" t="str">
        <f t="shared" si="12"/>
        <v>-</v>
      </c>
      <c r="L50" s="645"/>
      <c r="M50" s="390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57" t="e">
        <f t="shared" si="13"/>
        <v>#N/A</v>
      </c>
      <c r="BA50" s="673"/>
    </row>
    <row r="51" spans="2:53">
      <c r="B51" s="671"/>
      <c r="C51" s="368">
        <v>5</v>
      </c>
      <c r="D51" s="220"/>
      <c r="E51" s="518"/>
      <c r="F51" s="516"/>
      <c r="G51" s="517"/>
      <c r="H51" s="711"/>
      <c r="I51" s="370" t="str">
        <f t="shared" si="10"/>
        <v>-</v>
      </c>
      <c r="J51" s="370" t="str">
        <f t="shared" si="11"/>
        <v>-</v>
      </c>
      <c r="K51" s="194" t="str">
        <f t="shared" si="12"/>
        <v>-</v>
      </c>
      <c r="L51" s="645"/>
      <c r="M51" s="390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57" t="e">
        <f t="shared" si="13"/>
        <v>#N/A</v>
      </c>
      <c r="BA51" s="673"/>
    </row>
    <row r="52" spans="2:53">
      <c r="B52" s="671"/>
      <c r="C52" s="368">
        <v>6</v>
      </c>
      <c r="D52" s="220"/>
      <c r="E52" s="518"/>
      <c r="F52" s="516"/>
      <c r="G52" s="517"/>
      <c r="H52" s="711"/>
      <c r="I52" s="370" t="str">
        <f t="shared" si="10"/>
        <v>-</v>
      </c>
      <c r="J52" s="370" t="str">
        <f t="shared" si="11"/>
        <v>-</v>
      </c>
      <c r="K52" s="194" t="str">
        <f t="shared" si="12"/>
        <v>-</v>
      </c>
      <c r="L52" s="645"/>
      <c r="M52" s="390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57" t="e">
        <f t="shared" si="13"/>
        <v>#N/A</v>
      </c>
      <c r="BA52" s="673"/>
    </row>
    <row r="53" spans="2:53">
      <c r="B53" s="671"/>
      <c r="C53" s="368">
        <v>7</v>
      </c>
      <c r="D53" s="220"/>
      <c r="E53" s="518"/>
      <c r="F53" s="516"/>
      <c r="G53" s="517"/>
      <c r="H53" s="711"/>
      <c r="I53" s="370" t="str">
        <f t="shared" si="10"/>
        <v>-</v>
      </c>
      <c r="J53" s="370" t="str">
        <f t="shared" si="11"/>
        <v>-</v>
      </c>
      <c r="K53" s="194" t="str">
        <f t="shared" si="12"/>
        <v>-</v>
      </c>
      <c r="L53" s="645"/>
      <c r="M53" s="390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57" t="e">
        <f t="shared" si="13"/>
        <v>#N/A</v>
      </c>
      <c r="BA53" s="673"/>
    </row>
    <row r="54" spans="2:53">
      <c r="B54" s="671"/>
      <c r="C54" s="368">
        <v>8</v>
      </c>
      <c r="D54" s="220"/>
      <c r="E54" s="518"/>
      <c r="F54" s="516"/>
      <c r="G54" s="517"/>
      <c r="H54" s="711"/>
      <c r="I54" s="370" t="str">
        <f t="shared" si="10"/>
        <v>-</v>
      </c>
      <c r="J54" s="370" t="str">
        <f t="shared" si="11"/>
        <v>-</v>
      </c>
      <c r="K54" s="194" t="str">
        <f t="shared" si="12"/>
        <v>-</v>
      </c>
      <c r="L54" s="645"/>
      <c r="M54" s="390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57" t="e">
        <f t="shared" si="13"/>
        <v>#N/A</v>
      </c>
      <c r="BA54" s="673"/>
    </row>
    <row r="55" spans="2:53">
      <c r="B55" s="671"/>
      <c r="C55" s="368">
        <v>9</v>
      </c>
      <c r="D55" s="220"/>
      <c r="E55" s="518"/>
      <c r="F55" s="516"/>
      <c r="G55" s="517"/>
      <c r="H55" s="711"/>
      <c r="I55" s="370" t="str">
        <f t="shared" si="10"/>
        <v>-</v>
      </c>
      <c r="J55" s="370" t="str">
        <f t="shared" si="11"/>
        <v>-</v>
      </c>
      <c r="K55" s="194" t="str">
        <f t="shared" si="12"/>
        <v>-</v>
      </c>
      <c r="L55" s="645"/>
      <c r="M55" s="390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57" t="e">
        <f t="shared" si="13"/>
        <v>#N/A</v>
      </c>
      <c r="BA55" s="673"/>
    </row>
    <row r="56" spans="2:53">
      <c r="B56" s="671"/>
      <c r="C56" s="368">
        <v>10</v>
      </c>
      <c r="D56" s="220"/>
      <c r="E56" s="518"/>
      <c r="F56" s="516"/>
      <c r="G56" s="517"/>
      <c r="H56" s="711"/>
      <c r="I56" s="370" t="str">
        <f t="shared" si="10"/>
        <v>-</v>
      </c>
      <c r="J56" s="370" t="str">
        <f t="shared" si="11"/>
        <v>-</v>
      </c>
      <c r="K56" s="194" t="str">
        <f t="shared" si="12"/>
        <v>-</v>
      </c>
      <c r="L56" s="645"/>
      <c r="M56" s="390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57" t="e">
        <f t="shared" si="13"/>
        <v>#N/A</v>
      </c>
      <c r="BA56" s="673"/>
    </row>
    <row r="57" spans="2:53">
      <c r="B57" s="671"/>
      <c r="C57" s="368">
        <v>11</v>
      </c>
      <c r="D57" s="220"/>
      <c r="E57" s="518"/>
      <c r="F57" s="516"/>
      <c r="G57" s="517"/>
      <c r="H57" s="711"/>
      <c r="I57" s="370" t="str">
        <f t="shared" si="10"/>
        <v>-</v>
      </c>
      <c r="J57" s="370" t="str">
        <f t="shared" si="11"/>
        <v>-</v>
      </c>
      <c r="K57" s="194" t="str">
        <f t="shared" si="12"/>
        <v>-</v>
      </c>
      <c r="L57" s="645"/>
      <c r="M57" s="390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57" t="e">
        <f t="shared" si="13"/>
        <v>#N/A</v>
      </c>
      <c r="BA57" s="673"/>
    </row>
    <row r="58" spans="2:53">
      <c r="B58" s="671"/>
      <c r="C58" s="368">
        <v>12</v>
      </c>
      <c r="D58" s="220"/>
      <c r="E58" s="518"/>
      <c r="F58" s="516"/>
      <c r="G58" s="517"/>
      <c r="H58" s="711"/>
      <c r="I58" s="370" t="str">
        <f t="shared" si="10"/>
        <v>-</v>
      </c>
      <c r="J58" s="370" t="str">
        <f t="shared" si="11"/>
        <v>-</v>
      </c>
      <c r="K58" s="194" t="str">
        <f t="shared" si="12"/>
        <v>-</v>
      </c>
      <c r="L58" s="645"/>
      <c r="M58" s="390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57" t="e">
        <f t="shared" si="13"/>
        <v>#N/A</v>
      </c>
      <c r="BA58" s="673"/>
    </row>
    <row r="59" spans="2:53">
      <c r="B59" s="671"/>
      <c r="C59" s="368">
        <v>13</v>
      </c>
      <c r="D59" s="220"/>
      <c r="E59" s="518"/>
      <c r="F59" s="516"/>
      <c r="G59" s="517"/>
      <c r="H59" s="711"/>
      <c r="I59" s="370" t="str">
        <f t="shared" si="10"/>
        <v>-</v>
      </c>
      <c r="J59" s="370" t="str">
        <f t="shared" si="11"/>
        <v>-</v>
      </c>
      <c r="K59" s="194" t="str">
        <f t="shared" si="12"/>
        <v>-</v>
      </c>
      <c r="L59" s="645"/>
      <c r="M59" s="390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57" t="e">
        <f t="shared" si="13"/>
        <v>#N/A</v>
      </c>
      <c r="BA59" s="673"/>
    </row>
    <row r="60" spans="2:53">
      <c r="B60" s="671"/>
      <c r="C60" s="368">
        <v>14</v>
      </c>
      <c r="D60" s="220"/>
      <c r="E60" s="518"/>
      <c r="F60" s="516"/>
      <c r="G60" s="517"/>
      <c r="H60" s="711"/>
      <c r="I60" s="370" t="str">
        <f t="shared" si="10"/>
        <v>-</v>
      </c>
      <c r="J60" s="370" t="str">
        <f t="shared" si="11"/>
        <v>-</v>
      </c>
      <c r="K60" s="194" t="str">
        <f t="shared" si="12"/>
        <v>-</v>
      </c>
      <c r="L60" s="645"/>
      <c r="M60" s="390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57" t="e">
        <f t="shared" si="13"/>
        <v>#N/A</v>
      </c>
      <c r="BA60" s="673"/>
    </row>
    <row r="61" spans="2:53">
      <c r="B61" s="671"/>
      <c r="C61" s="368">
        <v>15</v>
      </c>
      <c r="D61" s="220"/>
      <c r="E61" s="518"/>
      <c r="F61" s="516"/>
      <c r="G61" s="517"/>
      <c r="H61" s="712"/>
      <c r="I61" s="196"/>
      <c r="J61" s="196"/>
      <c r="K61" s="196"/>
      <c r="L61" s="646"/>
      <c r="M61" s="390" t="e">
        <f>RANK(K61, K$47:$K$61)</f>
        <v>#N/A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57" t="e">
        <f t="shared" si="13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79" t="s">
        <v>372</v>
      </c>
      <c r="D64" s="682"/>
      <c r="E64" s="660" t="s">
        <v>363</v>
      </c>
      <c r="F64" s="661"/>
      <c r="G64" s="662"/>
      <c r="H64" s="664" t="s">
        <v>359</v>
      </c>
      <c r="I64" s="651" t="s">
        <v>364</v>
      </c>
      <c r="J64" s="652"/>
      <c r="K64" s="653"/>
      <c r="L64" s="654" t="s">
        <v>359</v>
      </c>
      <c r="M64" s="654" t="s">
        <v>360</v>
      </c>
      <c r="N64" s="664"/>
      <c r="O64" s="664" t="s">
        <v>365</v>
      </c>
      <c r="P64" s="660" t="s">
        <v>361</v>
      </c>
      <c r="Q64" s="661"/>
      <c r="R64" s="661"/>
      <c r="S64" s="662"/>
      <c r="T64" s="664" t="s">
        <v>359</v>
      </c>
      <c r="U64" s="660" t="s">
        <v>361</v>
      </c>
      <c r="V64" s="661"/>
      <c r="W64" s="661"/>
      <c r="X64" s="662"/>
      <c r="Y64" s="664" t="s">
        <v>359</v>
      </c>
      <c r="Z64" s="660" t="s">
        <v>361</v>
      </c>
      <c r="AA64" s="661"/>
      <c r="AB64" s="661"/>
      <c r="AC64" s="662"/>
      <c r="AD64" s="664" t="s">
        <v>359</v>
      </c>
      <c r="AE64" s="660" t="s">
        <v>361</v>
      </c>
      <c r="AF64" s="661"/>
      <c r="AG64" s="661"/>
      <c r="AH64" s="662"/>
      <c r="AI64" s="664" t="s">
        <v>359</v>
      </c>
      <c r="AJ64" s="660" t="s">
        <v>361</v>
      </c>
      <c r="AK64" s="661"/>
      <c r="AL64" s="661"/>
      <c r="AM64" s="662"/>
      <c r="AN64" s="664" t="s">
        <v>359</v>
      </c>
      <c r="AO64" s="660" t="s">
        <v>361</v>
      </c>
      <c r="AP64" s="661"/>
      <c r="AQ64" s="661"/>
      <c r="AR64" s="662"/>
      <c r="AS64" s="664" t="s">
        <v>359</v>
      </c>
      <c r="AT64" s="660" t="s">
        <v>361</v>
      </c>
      <c r="AU64" s="661"/>
      <c r="AV64" s="661"/>
      <c r="AW64" s="662"/>
      <c r="AX64" s="664" t="s">
        <v>359</v>
      </c>
      <c r="BA64" s="663" t="s">
        <v>359</v>
      </c>
    </row>
    <row r="65" spans="2:53">
      <c r="B65" s="663"/>
      <c r="C65" s="680"/>
      <c r="D65" s="683"/>
      <c r="E65" s="660" t="s">
        <v>366</v>
      </c>
      <c r="F65" s="661"/>
      <c r="G65" s="662"/>
      <c r="H65" s="665"/>
      <c r="I65" s="651" t="s">
        <v>366</v>
      </c>
      <c r="J65" s="652"/>
      <c r="K65" s="653"/>
      <c r="L65" s="655"/>
      <c r="M65" s="655"/>
      <c r="N65" s="665"/>
      <c r="O65" s="665"/>
      <c r="P65" s="660" t="s">
        <v>367</v>
      </c>
      <c r="Q65" s="661"/>
      <c r="R65" s="661"/>
      <c r="S65" s="662"/>
      <c r="T65" s="665"/>
      <c r="U65" s="660" t="s">
        <v>367</v>
      </c>
      <c r="V65" s="661"/>
      <c r="W65" s="661"/>
      <c r="X65" s="662"/>
      <c r="Y65" s="665"/>
      <c r="Z65" s="660" t="s">
        <v>367</v>
      </c>
      <c r="AA65" s="661"/>
      <c r="AB65" s="661"/>
      <c r="AC65" s="662"/>
      <c r="AD65" s="665"/>
      <c r="AE65" s="660" t="s">
        <v>367</v>
      </c>
      <c r="AF65" s="661"/>
      <c r="AG65" s="661"/>
      <c r="AH65" s="662"/>
      <c r="AI65" s="665"/>
      <c r="AJ65" s="660" t="s">
        <v>367</v>
      </c>
      <c r="AK65" s="661"/>
      <c r="AL65" s="661"/>
      <c r="AM65" s="662"/>
      <c r="AN65" s="665"/>
      <c r="AO65" s="660" t="s">
        <v>367</v>
      </c>
      <c r="AP65" s="661"/>
      <c r="AQ65" s="661"/>
      <c r="AR65" s="662"/>
      <c r="AS65" s="665"/>
      <c r="AT65" s="660" t="s">
        <v>367</v>
      </c>
      <c r="AU65" s="661"/>
      <c r="AV65" s="661"/>
      <c r="AW65" s="662"/>
      <c r="AX65" s="665"/>
      <c r="BA65" s="663"/>
    </row>
    <row r="66" spans="2:53">
      <c r="B66" s="663"/>
      <c r="C66" s="681"/>
      <c r="D66" s="684"/>
      <c r="E66" s="486" t="s">
        <v>368</v>
      </c>
      <c r="F66" s="486" t="s">
        <v>369</v>
      </c>
      <c r="G66" s="486" t="s">
        <v>370</v>
      </c>
      <c r="H66" s="666"/>
      <c r="I66" s="485" t="s">
        <v>368</v>
      </c>
      <c r="J66" s="485" t="s">
        <v>369</v>
      </c>
      <c r="K66" s="485" t="s">
        <v>370</v>
      </c>
      <c r="L66" s="656"/>
      <c r="M66" s="656"/>
      <c r="N66" s="665"/>
      <c r="O66" s="665"/>
      <c r="P66" s="486" t="s">
        <v>368</v>
      </c>
      <c r="Q66" s="486" t="s">
        <v>369</v>
      </c>
      <c r="R66" s="486" t="s">
        <v>370</v>
      </c>
      <c r="S66" s="486" t="s">
        <v>360</v>
      </c>
      <c r="T66" s="666"/>
      <c r="U66" s="486" t="s">
        <v>368</v>
      </c>
      <c r="V66" s="486" t="s">
        <v>369</v>
      </c>
      <c r="W66" s="486" t="s">
        <v>370</v>
      </c>
      <c r="X66" s="486" t="s">
        <v>360</v>
      </c>
      <c r="Y66" s="666"/>
      <c r="Z66" s="486" t="s">
        <v>368</v>
      </c>
      <c r="AA66" s="486" t="s">
        <v>369</v>
      </c>
      <c r="AB66" s="486" t="s">
        <v>370</v>
      </c>
      <c r="AC66" s="486" t="s">
        <v>360</v>
      </c>
      <c r="AD66" s="666"/>
      <c r="AE66" s="486" t="s">
        <v>368</v>
      </c>
      <c r="AF66" s="486" t="s">
        <v>369</v>
      </c>
      <c r="AG66" s="486" t="s">
        <v>370</v>
      </c>
      <c r="AH66" s="486" t="s">
        <v>360</v>
      </c>
      <c r="AI66" s="666"/>
      <c r="AJ66" s="486" t="s">
        <v>368</v>
      </c>
      <c r="AK66" s="486" t="s">
        <v>369</v>
      </c>
      <c r="AL66" s="486" t="s">
        <v>370</v>
      </c>
      <c r="AM66" s="486" t="s">
        <v>360</v>
      </c>
      <c r="AN66" s="666"/>
      <c r="AO66" s="486" t="s">
        <v>368</v>
      </c>
      <c r="AP66" s="486" t="s">
        <v>369</v>
      </c>
      <c r="AQ66" s="486" t="s">
        <v>370</v>
      </c>
      <c r="AR66" s="486" t="s">
        <v>360</v>
      </c>
      <c r="AS66" s="666"/>
      <c r="AT66" s="486" t="s">
        <v>368</v>
      </c>
      <c r="AU66" s="486" t="s">
        <v>369</v>
      </c>
      <c r="AV66" s="486" t="s">
        <v>370</v>
      </c>
      <c r="AW66" s="486" t="s">
        <v>360</v>
      </c>
      <c r="AX66" s="666"/>
      <c r="AZ66" s="356" t="s">
        <v>360</v>
      </c>
      <c r="BA66" s="663"/>
    </row>
    <row r="67" spans="2:53">
      <c r="B67" s="663" t="s">
        <v>373</v>
      </c>
      <c r="C67" s="487">
        <v>1</v>
      </c>
      <c r="D67" s="220"/>
      <c r="E67" s="518"/>
      <c r="F67" s="516"/>
      <c r="G67" s="517"/>
      <c r="H67" s="672" t="e">
        <f>AVERAGE(G67:G81)</f>
        <v>#DIV/0!</v>
      </c>
      <c r="I67" s="488" t="str">
        <f t="shared" ref="I67:I80" si="15">IFERROR(AVERAGE(P67,U67,Z67,AE67,AJ67,AO67,AT67),"-")</f>
        <v>-</v>
      </c>
      <c r="J67" s="488" t="str">
        <f t="shared" ref="J67:J80" si="16">IFERROR(AVERAGE(Q67,V67,AA67,AF67,AK67,AP67,AU67),"-")</f>
        <v>-</v>
      </c>
      <c r="K67" s="194" t="str">
        <f t="shared" ref="K67:K80" si="17">IFERROR(AVERAGE(R67,W67,AB67,AG67,AL67,AQ67,AV67),"-")</f>
        <v>-</v>
      </c>
      <c r="L67" s="657" t="str">
        <f>IFERROR(AVERAGE(K67:K81),"-")</f>
        <v>-</v>
      </c>
      <c r="M67" s="489" t="e">
        <f>RANK(K67, K$67:$K$81)</f>
        <v>#VALUE!</v>
      </c>
      <c r="N67" s="665"/>
      <c r="O67" s="665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18">RANK(AY67, AY$67:AY$81)</f>
        <v>#N/A</v>
      </c>
      <c r="BA67" s="672" t="e">
        <f t="shared" ref="BA67" si="19">AVERAGE(AY67:AY81)</f>
        <v>#DIV/0!</v>
      </c>
    </row>
    <row r="68" spans="2:53">
      <c r="B68" s="671"/>
      <c r="C68" s="487">
        <v>2</v>
      </c>
      <c r="D68" s="220"/>
      <c r="E68" s="518"/>
      <c r="F68" s="516"/>
      <c r="G68" s="517"/>
      <c r="H68" s="673"/>
      <c r="I68" s="488" t="str">
        <f t="shared" si="15"/>
        <v>-</v>
      </c>
      <c r="J68" s="488" t="str">
        <f t="shared" si="16"/>
        <v>-</v>
      </c>
      <c r="K68" s="194" t="str">
        <f t="shared" si="17"/>
        <v>-</v>
      </c>
      <c r="L68" s="658"/>
      <c r="M68" s="489" t="e">
        <f>RANK(K68, K$67:$K$81)</f>
        <v>#VALUE!</v>
      </c>
      <c r="N68" s="665"/>
      <c r="O68" s="665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18"/>
        <v>#N/A</v>
      </c>
      <c r="BA68" s="673"/>
    </row>
    <row r="69" spans="2:53">
      <c r="B69" s="671"/>
      <c r="C69" s="487">
        <v>3</v>
      </c>
      <c r="D69" s="220"/>
      <c r="E69" s="518"/>
      <c r="F69" s="516"/>
      <c r="G69" s="517"/>
      <c r="H69" s="673"/>
      <c r="I69" s="488" t="str">
        <f t="shared" si="15"/>
        <v>-</v>
      </c>
      <c r="J69" s="488" t="str">
        <f t="shared" si="16"/>
        <v>-</v>
      </c>
      <c r="K69" s="194" t="str">
        <f t="shared" si="17"/>
        <v>-</v>
      </c>
      <c r="L69" s="658"/>
      <c r="M69" s="489" t="e">
        <f>RANK(K69, K$87:$K$101)</f>
        <v>#VALUE!</v>
      </c>
      <c r="N69" s="665"/>
      <c r="O69" s="665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18"/>
        <v>#N/A</v>
      </c>
      <c r="BA69" s="673"/>
    </row>
    <row r="70" spans="2:53">
      <c r="B70" s="671"/>
      <c r="C70" s="487">
        <v>4</v>
      </c>
      <c r="D70" s="220"/>
      <c r="E70" s="518"/>
      <c r="F70" s="516"/>
      <c r="G70" s="517"/>
      <c r="H70" s="673"/>
      <c r="I70" s="488" t="str">
        <f t="shared" si="15"/>
        <v>-</v>
      </c>
      <c r="J70" s="488" t="str">
        <f t="shared" si="16"/>
        <v>-</v>
      </c>
      <c r="K70" s="194" t="str">
        <f t="shared" si="17"/>
        <v>-</v>
      </c>
      <c r="L70" s="658"/>
      <c r="M70" s="489" t="e">
        <f>RANK(K70, K$87:$K$101)</f>
        <v>#VALUE!</v>
      </c>
      <c r="N70" s="665"/>
      <c r="O70" s="665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18"/>
        <v>#N/A</v>
      </c>
      <c r="BA70" s="673"/>
    </row>
    <row r="71" spans="2:53">
      <c r="B71" s="671"/>
      <c r="C71" s="487">
        <v>5</v>
      </c>
      <c r="D71" s="220"/>
      <c r="E71" s="518"/>
      <c r="F71" s="516"/>
      <c r="G71" s="517"/>
      <c r="H71" s="673"/>
      <c r="I71" s="488" t="str">
        <f t="shared" si="15"/>
        <v>-</v>
      </c>
      <c r="J71" s="488" t="str">
        <f t="shared" si="16"/>
        <v>-</v>
      </c>
      <c r="K71" s="194" t="str">
        <f t="shared" si="17"/>
        <v>-</v>
      </c>
      <c r="L71" s="658"/>
      <c r="M71" s="489" t="e">
        <f>RANK(K71, K$87:$K$101)</f>
        <v>#VALUE!</v>
      </c>
      <c r="N71" s="665"/>
      <c r="O71" s="665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18"/>
        <v>#N/A</v>
      </c>
      <c r="BA71" s="673"/>
    </row>
    <row r="72" spans="2:53">
      <c r="B72" s="671"/>
      <c r="C72" s="487">
        <v>6</v>
      </c>
      <c r="D72" s="220"/>
      <c r="E72" s="518"/>
      <c r="F72" s="516"/>
      <c r="G72" s="517"/>
      <c r="H72" s="673"/>
      <c r="I72" s="488" t="str">
        <f t="shared" si="15"/>
        <v>-</v>
      </c>
      <c r="J72" s="488" t="str">
        <f t="shared" si="16"/>
        <v>-</v>
      </c>
      <c r="K72" s="194" t="str">
        <f t="shared" si="17"/>
        <v>-</v>
      </c>
      <c r="L72" s="658"/>
      <c r="M72" s="489" t="e">
        <f>RANK(K72, K$87:$K$101)</f>
        <v>#VALUE!</v>
      </c>
      <c r="N72" s="665"/>
      <c r="O72" s="665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18"/>
        <v>#N/A</v>
      </c>
      <c r="BA72" s="673"/>
    </row>
    <row r="73" spans="2:53">
      <c r="B73" s="671"/>
      <c r="C73" s="487">
        <v>7</v>
      </c>
      <c r="D73" s="220"/>
      <c r="E73" s="518"/>
      <c r="F73" s="516"/>
      <c r="G73" s="517"/>
      <c r="H73" s="673"/>
      <c r="I73" s="488" t="str">
        <f t="shared" si="15"/>
        <v>-</v>
      </c>
      <c r="J73" s="488" t="str">
        <f t="shared" si="16"/>
        <v>-</v>
      </c>
      <c r="K73" s="194" t="str">
        <f t="shared" si="17"/>
        <v>-</v>
      </c>
      <c r="L73" s="658"/>
      <c r="M73" s="489" t="e">
        <f>RANK(K73, K$87:$K$101)</f>
        <v>#VALUE!</v>
      </c>
      <c r="N73" s="665"/>
      <c r="O73" s="665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18"/>
        <v>#N/A</v>
      </c>
      <c r="BA73" s="673"/>
    </row>
    <row r="74" spans="2:53">
      <c r="B74" s="671"/>
      <c r="C74" s="487">
        <v>8</v>
      </c>
      <c r="D74" s="220"/>
      <c r="E74" s="518"/>
      <c r="F74" s="516"/>
      <c r="G74" s="517"/>
      <c r="H74" s="673"/>
      <c r="I74" s="488" t="str">
        <f t="shared" si="15"/>
        <v>-</v>
      </c>
      <c r="J74" s="488" t="str">
        <f t="shared" si="16"/>
        <v>-</v>
      </c>
      <c r="K74" s="194" t="str">
        <f t="shared" si="17"/>
        <v>-</v>
      </c>
      <c r="L74" s="658"/>
      <c r="M74" s="489" t="e">
        <f>RANK(K74, K$87:$K$101)</f>
        <v>#VALUE!</v>
      </c>
      <c r="N74" s="665"/>
      <c r="O74" s="665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18"/>
        <v>#N/A</v>
      </c>
      <c r="BA74" s="673"/>
    </row>
    <row r="75" spans="2:53">
      <c r="B75" s="671"/>
      <c r="C75" s="487">
        <v>9</v>
      </c>
      <c r="D75" s="220"/>
      <c r="E75" s="518"/>
      <c r="F75" s="516"/>
      <c r="G75" s="517"/>
      <c r="H75" s="673"/>
      <c r="I75" s="488" t="str">
        <f t="shared" si="15"/>
        <v>-</v>
      </c>
      <c r="J75" s="488" t="str">
        <f t="shared" si="16"/>
        <v>-</v>
      </c>
      <c r="K75" s="194" t="str">
        <f t="shared" si="17"/>
        <v>-</v>
      </c>
      <c r="L75" s="658"/>
      <c r="M75" s="489" t="e">
        <f>RANK(K75, K$87:$K$101)</f>
        <v>#VALUE!</v>
      </c>
      <c r="N75" s="665"/>
      <c r="O75" s="665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18"/>
        <v>#N/A</v>
      </c>
      <c r="BA75" s="673"/>
    </row>
    <row r="76" spans="2:53">
      <c r="B76" s="671"/>
      <c r="C76" s="487">
        <v>10</v>
      </c>
      <c r="D76" s="220"/>
      <c r="E76" s="518"/>
      <c r="F76" s="516"/>
      <c r="G76" s="517"/>
      <c r="H76" s="673"/>
      <c r="I76" s="488" t="str">
        <f t="shared" si="15"/>
        <v>-</v>
      </c>
      <c r="J76" s="488" t="str">
        <f t="shared" si="16"/>
        <v>-</v>
      </c>
      <c r="K76" s="194" t="str">
        <f t="shared" si="17"/>
        <v>-</v>
      </c>
      <c r="L76" s="658"/>
      <c r="M76" s="489" t="e">
        <f>RANK(K76, K$87:$K$101)</f>
        <v>#VALUE!</v>
      </c>
      <c r="N76" s="665"/>
      <c r="O76" s="665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18"/>
        <v>#N/A</v>
      </c>
      <c r="BA76" s="673"/>
    </row>
    <row r="77" spans="2:53">
      <c r="B77" s="671"/>
      <c r="C77" s="487">
        <v>11</v>
      </c>
      <c r="D77" s="220"/>
      <c r="E77" s="518"/>
      <c r="F77" s="516"/>
      <c r="G77" s="517"/>
      <c r="H77" s="673"/>
      <c r="I77" s="488" t="str">
        <f t="shared" si="15"/>
        <v>-</v>
      </c>
      <c r="J77" s="488" t="str">
        <f t="shared" si="16"/>
        <v>-</v>
      </c>
      <c r="K77" s="194" t="str">
        <f t="shared" si="17"/>
        <v>-</v>
      </c>
      <c r="L77" s="658"/>
      <c r="M77" s="489" t="e">
        <f>RANK(K77, K$87:$K$101)</f>
        <v>#VALUE!</v>
      </c>
      <c r="N77" s="665"/>
      <c r="O77" s="665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18"/>
        <v>#N/A</v>
      </c>
      <c r="BA77" s="673"/>
    </row>
    <row r="78" spans="2:53">
      <c r="B78" s="671"/>
      <c r="C78" s="487">
        <v>12</v>
      </c>
      <c r="D78" s="220"/>
      <c r="E78" s="518"/>
      <c r="F78" s="516"/>
      <c r="G78" s="517"/>
      <c r="H78" s="673"/>
      <c r="I78" s="488" t="str">
        <f t="shared" si="15"/>
        <v>-</v>
      </c>
      <c r="J78" s="488" t="str">
        <f t="shared" si="16"/>
        <v>-</v>
      </c>
      <c r="K78" s="194" t="str">
        <f t="shared" si="17"/>
        <v>-</v>
      </c>
      <c r="L78" s="658"/>
      <c r="M78" s="489" t="e">
        <f>RANK(K78, K$87:$K$101)</f>
        <v>#VALUE!</v>
      </c>
      <c r="N78" s="665"/>
      <c r="O78" s="665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18"/>
        <v>#N/A</v>
      </c>
      <c r="BA78" s="673"/>
    </row>
    <row r="79" spans="2:53">
      <c r="B79" s="671"/>
      <c r="C79" s="487">
        <v>13</v>
      </c>
      <c r="D79" s="220"/>
      <c r="E79" s="518"/>
      <c r="F79" s="516"/>
      <c r="G79" s="517"/>
      <c r="H79" s="673"/>
      <c r="I79" s="488" t="str">
        <f t="shared" si="15"/>
        <v>-</v>
      </c>
      <c r="J79" s="488" t="str">
        <f t="shared" si="16"/>
        <v>-</v>
      </c>
      <c r="K79" s="194" t="str">
        <f t="shared" si="17"/>
        <v>-</v>
      </c>
      <c r="L79" s="658"/>
      <c r="M79" s="489" t="e">
        <f>RANK(K79, K$87:$K$101)</f>
        <v>#VALUE!</v>
      </c>
      <c r="N79" s="665"/>
      <c r="O79" s="665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18"/>
        <v>#N/A</v>
      </c>
      <c r="BA79" s="673"/>
    </row>
    <row r="80" spans="2:53">
      <c r="B80" s="671"/>
      <c r="C80" s="487">
        <v>14</v>
      </c>
      <c r="D80" s="220"/>
      <c r="E80" s="518"/>
      <c r="F80" s="516"/>
      <c r="G80" s="517"/>
      <c r="H80" s="673"/>
      <c r="I80" s="488" t="str">
        <f t="shared" si="15"/>
        <v>-</v>
      </c>
      <c r="J80" s="488" t="str">
        <f t="shared" si="16"/>
        <v>-</v>
      </c>
      <c r="K80" s="194" t="str">
        <f t="shared" si="17"/>
        <v>-</v>
      </c>
      <c r="L80" s="658"/>
      <c r="M80" s="489" t="e">
        <f>RANK(K80, K$87:$K$101)</f>
        <v>#VALUE!</v>
      </c>
      <c r="N80" s="665"/>
      <c r="O80" s="665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18"/>
        <v>#N/A</v>
      </c>
      <c r="BA80" s="673"/>
    </row>
    <row r="81" spans="2:53">
      <c r="B81" s="671"/>
      <c r="C81" s="487">
        <v>15</v>
      </c>
      <c r="D81" s="220"/>
      <c r="E81" s="518"/>
      <c r="F81" s="516"/>
      <c r="G81" s="517"/>
      <c r="H81" s="674"/>
      <c r="I81" s="488" t="str">
        <f t="shared" ref="I81" si="20">IFERROR(AVERAGE(P81,U81,Z81,AE81,AJ81,AO81,AT81),"-")</f>
        <v>-</v>
      </c>
      <c r="J81" s="488" t="str">
        <f t="shared" ref="J81" si="21">IFERROR(AVERAGE(Q81,V81,AA81,AF81,AK81,AP81,AU81),"-")</f>
        <v>-</v>
      </c>
      <c r="K81" s="194" t="str">
        <f t="shared" ref="K81" si="22">IFERROR(AVERAGE(R81,W81,AB81,AG81,AL81,AQ81,AV81),"-")</f>
        <v>-</v>
      </c>
      <c r="L81" s="659"/>
      <c r="M81" s="488" t="e">
        <f>RANK(K81, K$87:$K$101)</f>
        <v>#VALUE!</v>
      </c>
      <c r="N81" s="666"/>
      <c r="O81" s="666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18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47" t="s">
        <v>364</v>
      </c>
      <c r="J84" s="647"/>
      <c r="K84" s="647"/>
      <c r="L84" s="648" t="s">
        <v>359</v>
      </c>
      <c r="M84" s="65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47" t="s">
        <v>366</v>
      </c>
      <c r="J85" s="647"/>
      <c r="K85" s="647"/>
      <c r="L85" s="649"/>
      <c r="M85" s="65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6" t="s">
        <v>368</v>
      </c>
      <c r="J86" s="366" t="s">
        <v>369</v>
      </c>
      <c r="K86" s="366" t="s">
        <v>370</v>
      </c>
      <c r="L86" s="650"/>
      <c r="M86" s="65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397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23">IFERROR(AVERAGE(P87,U87,Z87,AE87,AJ87,AO87,AT87),"-")</f>
        <v>-</v>
      </c>
      <c r="J87" s="370" t="str">
        <f t="shared" ref="J87:J100" si="24">IFERROR(AVERAGE(Q87,V87,AA87,AF87,AK87,AP87,AU87),"-")</f>
        <v>-</v>
      </c>
      <c r="K87" s="194" t="str">
        <f t="shared" ref="K87:K100" si="25">IFERROR(AVERAGE(R87,W87,AB87,AG87,AL87,AQ87,AV87),"-")</f>
        <v>-</v>
      </c>
      <c r="L87" s="644" t="str">
        <f>IFERROR(AVERAGE(K87:K101),"-")</f>
        <v>-</v>
      </c>
      <c r="M87" s="372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26">RANK(AY87, AY$87:AY$101)</f>
        <v>#N/A</v>
      </c>
      <c r="BA87" s="685" t="e">
        <f t="shared" ref="BA87" si="27">AVERAGE(AY87:AY101)</f>
        <v>#DIV/0!</v>
      </c>
    </row>
    <row r="88" spans="2:53">
      <c r="B88" s="671"/>
      <c r="C88" s="368">
        <v>2</v>
      </c>
      <c r="D88" s="220"/>
      <c r="E88" s="483"/>
      <c r="F88" s="480"/>
      <c r="G88" s="479"/>
      <c r="H88" s="711"/>
      <c r="I88" s="370" t="str">
        <f t="shared" si="23"/>
        <v>-</v>
      </c>
      <c r="J88" s="370" t="str">
        <f t="shared" si="24"/>
        <v>-</v>
      </c>
      <c r="K88" s="194" t="str">
        <f t="shared" si="25"/>
        <v>-</v>
      </c>
      <c r="L88" s="645"/>
      <c r="M88" s="372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26"/>
        <v>#N/A</v>
      </c>
      <c r="BA88" s="685"/>
    </row>
    <row r="89" spans="2:53">
      <c r="B89" s="671"/>
      <c r="C89" s="368">
        <v>3</v>
      </c>
      <c r="D89" s="220"/>
      <c r="E89" s="483"/>
      <c r="F89" s="480"/>
      <c r="G89" s="479"/>
      <c r="H89" s="711"/>
      <c r="I89" s="370" t="str">
        <f t="shared" si="23"/>
        <v>-</v>
      </c>
      <c r="J89" s="370" t="str">
        <f t="shared" si="24"/>
        <v>-</v>
      </c>
      <c r="K89" s="194" t="str">
        <f t="shared" si="25"/>
        <v>-</v>
      </c>
      <c r="L89" s="645"/>
      <c r="M89" s="372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26"/>
        <v>#N/A</v>
      </c>
      <c r="BA89" s="685"/>
    </row>
    <row r="90" spans="2:53">
      <c r="B90" s="671"/>
      <c r="C90" s="368">
        <v>4</v>
      </c>
      <c r="D90" s="220"/>
      <c r="E90" s="483"/>
      <c r="F90" s="480"/>
      <c r="G90" s="479"/>
      <c r="H90" s="711"/>
      <c r="I90" s="370" t="str">
        <f t="shared" si="23"/>
        <v>-</v>
      </c>
      <c r="J90" s="370" t="str">
        <f t="shared" si="24"/>
        <v>-</v>
      </c>
      <c r="K90" s="194" t="str">
        <f t="shared" si="25"/>
        <v>-</v>
      </c>
      <c r="L90" s="645"/>
      <c r="M90" s="372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26"/>
        <v>#N/A</v>
      </c>
      <c r="BA90" s="685"/>
    </row>
    <row r="91" spans="2:53">
      <c r="B91" s="671"/>
      <c r="C91" s="368">
        <v>5</v>
      </c>
      <c r="D91" s="220"/>
      <c r="E91" s="483"/>
      <c r="F91" s="480"/>
      <c r="G91" s="479"/>
      <c r="H91" s="711"/>
      <c r="I91" s="370" t="str">
        <f t="shared" si="23"/>
        <v>-</v>
      </c>
      <c r="J91" s="370" t="str">
        <f t="shared" si="24"/>
        <v>-</v>
      </c>
      <c r="K91" s="194" t="str">
        <f t="shared" si="25"/>
        <v>-</v>
      </c>
      <c r="L91" s="645"/>
      <c r="M91" s="372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26"/>
        <v>#N/A</v>
      </c>
      <c r="BA91" s="685"/>
    </row>
    <row r="92" spans="2:53">
      <c r="B92" s="671"/>
      <c r="C92" s="368">
        <v>6</v>
      </c>
      <c r="D92" s="220"/>
      <c r="E92" s="483"/>
      <c r="F92" s="480"/>
      <c r="G92" s="479"/>
      <c r="H92" s="711"/>
      <c r="I92" s="370" t="str">
        <f t="shared" si="23"/>
        <v>-</v>
      </c>
      <c r="J92" s="370" t="str">
        <f t="shared" si="24"/>
        <v>-</v>
      </c>
      <c r="K92" s="194" t="str">
        <f t="shared" si="25"/>
        <v>-</v>
      </c>
      <c r="L92" s="645"/>
      <c r="M92" s="372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26"/>
        <v>#N/A</v>
      </c>
      <c r="BA92" s="685"/>
    </row>
    <row r="93" spans="2:53">
      <c r="B93" s="671"/>
      <c r="C93" s="368">
        <v>7</v>
      </c>
      <c r="D93" s="220"/>
      <c r="E93" s="483"/>
      <c r="F93" s="480"/>
      <c r="G93" s="479"/>
      <c r="H93" s="711"/>
      <c r="I93" s="370" t="str">
        <f t="shared" si="23"/>
        <v>-</v>
      </c>
      <c r="J93" s="370" t="str">
        <f t="shared" si="24"/>
        <v>-</v>
      </c>
      <c r="K93" s="194" t="str">
        <f t="shared" si="25"/>
        <v>-</v>
      </c>
      <c r="L93" s="645"/>
      <c r="M93" s="372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26"/>
        <v>#N/A</v>
      </c>
      <c r="BA93" s="685"/>
    </row>
    <row r="94" spans="2:53">
      <c r="B94" s="671"/>
      <c r="C94" s="368">
        <v>8</v>
      </c>
      <c r="D94" s="220"/>
      <c r="E94" s="483"/>
      <c r="F94" s="480"/>
      <c r="G94" s="479"/>
      <c r="H94" s="711"/>
      <c r="I94" s="370" t="str">
        <f t="shared" si="23"/>
        <v>-</v>
      </c>
      <c r="J94" s="370" t="str">
        <f t="shared" si="24"/>
        <v>-</v>
      </c>
      <c r="K94" s="194" t="str">
        <f t="shared" si="25"/>
        <v>-</v>
      </c>
      <c r="L94" s="645"/>
      <c r="M94" s="372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26"/>
        <v>#N/A</v>
      </c>
      <c r="BA94" s="685"/>
    </row>
    <row r="95" spans="2:53">
      <c r="B95" s="671"/>
      <c r="C95" s="368">
        <v>9</v>
      </c>
      <c r="D95" s="220"/>
      <c r="E95" s="483"/>
      <c r="F95" s="480"/>
      <c r="G95" s="479"/>
      <c r="H95" s="711"/>
      <c r="I95" s="370" t="str">
        <f t="shared" si="23"/>
        <v>-</v>
      </c>
      <c r="J95" s="370" t="str">
        <f t="shared" si="24"/>
        <v>-</v>
      </c>
      <c r="K95" s="194" t="str">
        <f t="shared" si="25"/>
        <v>-</v>
      </c>
      <c r="L95" s="645"/>
      <c r="M95" s="372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26"/>
        <v>#N/A</v>
      </c>
      <c r="BA95" s="685"/>
    </row>
    <row r="96" spans="2:53">
      <c r="B96" s="671"/>
      <c r="C96" s="368">
        <v>10</v>
      </c>
      <c r="D96" s="220"/>
      <c r="E96" s="483"/>
      <c r="F96" s="480"/>
      <c r="G96" s="479"/>
      <c r="H96" s="711"/>
      <c r="I96" s="370" t="str">
        <f t="shared" si="23"/>
        <v>-</v>
      </c>
      <c r="J96" s="370" t="str">
        <f t="shared" si="24"/>
        <v>-</v>
      </c>
      <c r="K96" s="194" t="str">
        <f t="shared" si="25"/>
        <v>-</v>
      </c>
      <c r="L96" s="645"/>
      <c r="M96" s="372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26"/>
        <v>#N/A</v>
      </c>
      <c r="BA96" s="685"/>
    </row>
    <row r="97" spans="2:53">
      <c r="B97" s="671"/>
      <c r="C97" s="368">
        <v>11</v>
      </c>
      <c r="D97" s="220"/>
      <c r="E97" s="483"/>
      <c r="F97" s="480"/>
      <c r="G97" s="479"/>
      <c r="H97" s="711"/>
      <c r="I97" s="370" t="str">
        <f t="shared" si="23"/>
        <v>-</v>
      </c>
      <c r="J97" s="370" t="str">
        <f t="shared" si="24"/>
        <v>-</v>
      </c>
      <c r="K97" s="194" t="str">
        <f t="shared" si="25"/>
        <v>-</v>
      </c>
      <c r="L97" s="645"/>
      <c r="M97" s="372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26"/>
        <v>#N/A</v>
      </c>
      <c r="BA97" s="685"/>
    </row>
    <row r="98" spans="2:53">
      <c r="B98" s="671"/>
      <c r="C98" s="368">
        <v>12</v>
      </c>
      <c r="D98" s="220"/>
      <c r="E98" s="483"/>
      <c r="F98" s="480"/>
      <c r="G98" s="479"/>
      <c r="H98" s="711"/>
      <c r="I98" s="370" t="str">
        <f t="shared" si="23"/>
        <v>-</v>
      </c>
      <c r="J98" s="370" t="str">
        <f t="shared" si="24"/>
        <v>-</v>
      </c>
      <c r="K98" s="194" t="str">
        <f t="shared" si="25"/>
        <v>-</v>
      </c>
      <c r="L98" s="645"/>
      <c r="M98" s="372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26"/>
        <v>#N/A</v>
      </c>
      <c r="BA98" s="685"/>
    </row>
    <row r="99" spans="2:53">
      <c r="B99" s="671"/>
      <c r="C99" s="368">
        <v>13</v>
      </c>
      <c r="D99" s="220"/>
      <c r="E99" s="483"/>
      <c r="F99" s="480"/>
      <c r="G99" s="479"/>
      <c r="H99" s="711"/>
      <c r="I99" s="370" t="str">
        <f t="shared" si="23"/>
        <v>-</v>
      </c>
      <c r="J99" s="370" t="str">
        <f t="shared" si="24"/>
        <v>-</v>
      </c>
      <c r="K99" s="194" t="str">
        <f t="shared" si="25"/>
        <v>-</v>
      </c>
      <c r="L99" s="645"/>
      <c r="M99" s="372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26"/>
        <v>#N/A</v>
      </c>
      <c r="BA99" s="685"/>
    </row>
    <row r="100" spans="2:53">
      <c r="B100" s="671"/>
      <c r="C100" s="368">
        <v>14</v>
      </c>
      <c r="D100" s="220"/>
      <c r="E100" s="483"/>
      <c r="F100" s="480"/>
      <c r="G100" s="479"/>
      <c r="H100" s="711"/>
      <c r="I100" s="370" t="str">
        <f t="shared" si="23"/>
        <v>-</v>
      </c>
      <c r="J100" s="370" t="str">
        <f t="shared" si="24"/>
        <v>-</v>
      </c>
      <c r="K100" s="194" t="str">
        <f t="shared" si="25"/>
        <v>-</v>
      </c>
      <c r="L100" s="645"/>
      <c r="M100" s="372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26"/>
        <v>#N/A</v>
      </c>
      <c r="BA100" s="685"/>
    </row>
    <row r="101" spans="2:53">
      <c r="B101" s="671"/>
      <c r="C101" s="368">
        <v>15</v>
      </c>
      <c r="D101" s="220"/>
      <c r="E101" s="483"/>
      <c r="F101" s="480"/>
      <c r="G101" s="479"/>
      <c r="H101" s="712"/>
      <c r="I101" s="196"/>
      <c r="J101" s="196"/>
      <c r="K101" s="196"/>
      <c r="L101" s="646"/>
      <c r="M101" s="370" t="e">
        <f>RANK(K101, K$87:$K$101)</f>
        <v>#N/A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26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154</v>
      </c>
      <c r="C104" s="663" t="s">
        <v>372</v>
      </c>
      <c r="D104" s="663"/>
      <c r="E104" s="663" t="s">
        <v>363</v>
      </c>
      <c r="F104" s="663"/>
      <c r="G104" s="663"/>
      <c r="H104" s="679" t="s">
        <v>359</v>
      </c>
      <c r="I104" s="647" t="s">
        <v>364</v>
      </c>
      <c r="J104" s="647"/>
      <c r="K104" s="647"/>
      <c r="L104" s="648" t="s">
        <v>359</v>
      </c>
      <c r="M104" s="654" t="s">
        <v>360</v>
      </c>
      <c r="N104" s="663"/>
      <c r="O104" s="663" t="s">
        <v>365</v>
      </c>
      <c r="P104" s="660" t="s">
        <v>361</v>
      </c>
      <c r="Q104" s="661"/>
      <c r="R104" s="661"/>
      <c r="S104" s="662"/>
      <c r="T104" s="663" t="s">
        <v>359</v>
      </c>
      <c r="U104" s="660" t="s">
        <v>361</v>
      </c>
      <c r="V104" s="661"/>
      <c r="W104" s="661"/>
      <c r="X104" s="662"/>
      <c r="Y104" s="663" t="s">
        <v>359</v>
      </c>
      <c r="Z104" s="660" t="s">
        <v>361</v>
      </c>
      <c r="AA104" s="661"/>
      <c r="AB104" s="661"/>
      <c r="AC104" s="662"/>
      <c r="AD104" s="663" t="s">
        <v>359</v>
      </c>
      <c r="AE104" s="660" t="s">
        <v>361</v>
      </c>
      <c r="AF104" s="661"/>
      <c r="AG104" s="661"/>
      <c r="AH104" s="662"/>
      <c r="AI104" s="663" t="s">
        <v>359</v>
      </c>
      <c r="AJ104" s="660" t="s">
        <v>361</v>
      </c>
      <c r="AK104" s="661"/>
      <c r="AL104" s="661"/>
      <c r="AM104" s="662"/>
      <c r="AN104" s="663" t="s">
        <v>359</v>
      </c>
      <c r="AO104" s="660" t="s">
        <v>361</v>
      </c>
      <c r="AP104" s="661"/>
      <c r="AQ104" s="661"/>
      <c r="AR104" s="662"/>
      <c r="AS104" s="663" t="s">
        <v>359</v>
      </c>
      <c r="AT104" s="660" t="s">
        <v>361</v>
      </c>
      <c r="AU104" s="661"/>
      <c r="AV104" s="661"/>
      <c r="AW104" s="662"/>
      <c r="AX104" s="663" t="s">
        <v>359</v>
      </c>
      <c r="BA104" s="663" t="s">
        <v>359</v>
      </c>
    </row>
    <row r="105" spans="2:53">
      <c r="B105" s="663"/>
      <c r="C105" s="663"/>
      <c r="D105" s="663"/>
      <c r="E105" s="663" t="s">
        <v>366</v>
      </c>
      <c r="F105" s="663"/>
      <c r="G105" s="663"/>
      <c r="H105" s="680"/>
      <c r="I105" s="647" t="s">
        <v>366</v>
      </c>
      <c r="J105" s="647"/>
      <c r="K105" s="647"/>
      <c r="L105" s="649"/>
      <c r="M105" s="655"/>
      <c r="N105" s="663"/>
      <c r="O105" s="663"/>
      <c r="P105" s="660" t="s">
        <v>367</v>
      </c>
      <c r="Q105" s="661"/>
      <c r="R105" s="661"/>
      <c r="S105" s="662"/>
      <c r="T105" s="663"/>
      <c r="U105" s="660" t="s">
        <v>367</v>
      </c>
      <c r="V105" s="661"/>
      <c r="W105" s="661"/>
      <c r="X105" s="662"/>
      <c r="Y105" s="663"/>
      <c r="Z105" s="660" t="s">
        <v>367</v>
      </c>
      <c r="AA105" s="661"/>
      <c r="AB105" s="661"/>
      <c r="AC105" s="662"/>
      <c r="AD105" s="663"/>
      <c r="AE105" s="660" t="s">
        <v>367</v>
      </c>
      <c r="AF105" s="661"/>
      <c r="AG105" s="661"/>
      <c r="AH105" s="662"/>
      <c r="AI105" s="663"/>
      <c r="AJ105" s="660" t="s">
        <v>367</v>
      </c>
      <c r="AK105" s="661"/>
      <c r="AL105" s="661"/>
      <c r="AM105" s="662"/>
      <c r="AN105" s="663"/>
      <c r="AO105" s="660" t="s">
        <v>367</v>
      </c>
      <c r="AP105" s="661"/>
      <c r="AQ105" s="661"/>
      <c r="AR105" s="662"/>
      <c r="AS105" s="663"/>
      <c r="AT105" s="660" t="s">
        <v>367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296" t="s">
        <v>368</v>
      </c>
      <c r="F106" s="296" t="s">
        <v>369</v>
      </c>
      <c r="G106" s="296" t="s">
        <v>370</v>
      </c>
      <c r="H106" s="681"/>
      <c r="I106" s="297" t="s">
        <v>368</v>
      </c>
      <c r="J106" s="297" t="s">
        <v>369</v>
      </c>
      <c r="K106" s="297" t="s">
        <v>370</v>
      </c>
      <c r="L106" s="650"/>
      <c r="M106" s="656"/>
      <c r="N106" s="663"/>
      <c r="O106" s="663"/>
      <c r="P106" s="296" t="s">
        <v>368</v>
      </c>
      <c r="Q106" s="296" t="s">
        <v>369</v>
      </c>
      <c r="R106" s="296" t="s">
        <v>370</v>
      </c>
      <c r="S106" s="296" t="s">
        <v>360</v>
      </c>
      <c r="T106" s="663"/>
      <c r="U106" s="296" t="s">
        <v>368</v>
      </c>
      <c r="V106" s="296" t="s">
        <v>369</v>
      </c>
      <c r="W106" s="296" t="s">
        <v>370</v>
      </c>
      <c r="X106" s="296" t="s">
        <v>360</v>
      </c>
      <c r="Y106" s="663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63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63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63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63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63"/>
      <c r="AZ106" s="356" t="s">
        <v>360</v>
      </c>
      <c r="BA106" s="663"/>
    </row>
    <row r="107" spans="2:53">
      <c r="B107" s="663" t="s">
        <v>373</v>
      </c>
      <c r="C107" s="295">
        <v>1</v>
      </c>
      <c r="D107" s="220"/>
      <c r="E107" s="176"/>
      <c r="F107" s="295"/>
      <c r="G107" s="298"/>
      <c r="H107" s="710" t="e">
        <f>AVERAGE(G107:G121)</f>
        <v>#DIV/0!</v>
      </c>
      <c r="I107" s="352" t="str">
        <f t="shared" ref="I107:I120" si="28">IFERROR(AVERAGE(P107,U107,Z107,AE107,AJ107,AO107,AT107),"-")</f>
        <v>-</v>
      </c>
      <c r="J107" s="352" t="str">
        <f t="shared" ref="J107:J120" si="29">IFERROR(AVERAGE(Q107,V107,AA107,AF107,AK107,AP107,AU107),"-")</f>
        <v>-</v>
      </c>
      <c r="K107" s="194" t="str">
        <f t="shared" ref="K107:K120" si="30">IFERROR(AVERAGE(R107,W107,AB107,AG107,AL107,AQ107,AV107),"-")</f>
        <v>-</v>
      </c>
      <c r="L107" s="644" t="str">
        <f>IFERROR(AVERAGE(K107:K121),"-")</f>
        <v>-</v>
      </c>
      <c r="M107" s="477" t="e">
        <f>RANK(K107, K$107:$K$121)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7" t="e">
        <f>RANK(AY107, AY$107:AY$121)</f>
        <v>#N/A</v>
      </c>
      <c r="BA107" s="685" t="e">
        <f>AVERAGE(AY107:AY121)</f>
        <v>#DIV/0!</v>
      </c>
    </row>
    <row r="108" spans="2:53">
      <c r="B108" s="671"/>
      <c r="C108" s="295">
        <v>2</v>
      </c>
      <c r="D108" s="220"/>
      <c r="E108" s="176"/>
      <c r="F108" s="295"/>
      <c r="G108" s="298"/>
      <c r="H108" s="711"/>
      <c r="I108" s="352" t="str">
        <f t="shared" si="28"/>
        <v>-</v>
      </c>
      <c r="J108" s="352" t="str">
        <f t="shared" si="29"/>
        <v>-</v>
      </c>
      <c r="K108" s="194" t="str">
        <f t="shared" si="30"/>
        <v>-</v>
      </c>
      <c r="L108" s="645"/>
      <c r="M108" s="477" t="e">
        <f>RANK(K108, K$107:$K$121)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7" t="e">
        <f t="shared" ref="AZ108:AZ121" si="31">RANK(AY108, AY$107:AY$121)</f>
        <v>#N/A</v>
      </c>
      <c r="BA108" s="685"/>
    </row>
    <row r="109" spans="2:53">
      <c r="B109" s="671"/>
      <c r="C109" s="295">
        <v>3</v>
      </c>
      <c r="D109" s="220"/>
      <c r="E109" s="176"/>
      <c r="F109" s="295"/>
      <c r="G109" s="298"/>
      <c r="H109" s="711"/>
      <c r="I109" s="352" t="str">
        <f t="shared" si="28"/>
        <v>-</v>
      </c>
      <c r="J109" s="352" t="str">
        <f t="shared" si="29"/>
        <v>-</v>
      </c>
      <c r="K109" s="194" t="str">
        <f t="shared" si="30"/>
        <v>-</v>
      </c>
      <c r="L109" s="645"/>
      <c r="M109" s="477" t="e">
        <f>RANK(K109, K$107:$K$121)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7" t="e">
        <f t="shared" si="31"/>
        <v>#N/A</v>
      </c>
      <c r="BA109" s="685"/>
    </row>
    <row r="110" spans="2:53">
      <c r="B110" s="671"/>
      <c r="C110" s="295">
        <v>4</v>
      </c>
      <c r="D110" s="220"/>
      <c r="E110" s="176"/>
      <c r="F110" s="295"/>
      <c r="G110" s="298"/>
      <c r="H110" s="711"/>
      <c r="I110" s="352" t="str">
        <f t="shared" si="28"/>
        <v>-</v>
      </c>
      <c r="J110" s="352" t="str">
        <f t="shared" si="29"/>
        <v>-</v>
      </c>
      <c r="K110" s="194" t="str">
        <f t="shared" si="30"/>
        <v>-</v>
      </c>
      <c r="L110" s="645"/>
      <c r="M110" s="477" t="e">
        <f>RANK(K110, K$107:$K$121)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7" t="e">
        <f t="shared" si="31"/>
        <v>#N/A</v>
      </c>
      <c r="BA110" s="685"/>
    </row>
    <row r="111" spans="2:53">
      <c r="B111" s="671"/>
      <c r="C111" s="295">
        <v>5</v>
      </c>
      <c r="D111" s="220"/>
      <c r="E111" s="176"/>
      <c r="F111" s="295"/>
      <c r="G111" s="298"/>
      <c r="H111" s="711"/>
      <c r="I111" s="352" t="str">
        <f t="shared" si="28"/>
        <v>-</v>
      </c>
      <c r="J111" s="352" t="str">
        <f t="shared" si="29"/>
        <v>-</v>
      </c>
      <c r="K111" s="194" t="str">
        <f t="shared" si="30"/>
        <v>-</v>
      </c>
      <c r="L111" s="645"/>
      <c r="M111" s="477" t="e">
        <f>RANK(K111, K$107:$K$121)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7" t="e">
        <f t="shared" si="31"/>
        <v>#N/A</v>
      </c>
      <c r="BA111" s="685"/>
    </row>
    <row r="112" spans="2:53">
      <c r="B112" s="671"/>
      <c r="C112" s="295">
        <v>6</v>
      </c>
      <c r="D112" s="220"/>
      <c r="E112" s="176"/>
      <c r="F112" s="295"/>
      <c r="G112" s="298"/>
      <c r="H112" s="711"/>
      <c r="I112" s="352" t="str">
        <f t="shared" si="28"/>
        <v>-</v>
      </c>
      <c r="J112" s="352" t="str">
        <f t="shared" si="29"/>
        <v>-</v>
      </c>
      <c r="K112" s="194" t="str">
        <f t="shared" si="30"/>
        <v>-</v>
      </c>
      <c r="L112" s="645"/>
      <c r="M112" s="477" t="e">
        <f>RANK(K112, K$107:$K$121)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7" t="e">
        <f t="shared" si="31"/>
        <v>#N/A</v>
      </c>
      <c r="BA112" s="685"/>
    </row>
    <row r="113" spans="2:53">
      <c r="B113" s="671"/>
      <c r="C113" s="295">
        <v>7</v>
      </c>
      <c r="D113" s="220"/>
      <c r="E113" s="176"/>
      <c r="F113" s="295"/>
      <c r="G113" s="298"/>
      <c r="H113" s="711"/>
      <c r="I113" s="352" t="str">
        <f t="shared" si="28"/>
        <v>-</v>
      </c>
      <c r="J113" s="352" t="str">
        <f t="shared" si="29"/>
        <v>-</v>
      </c>
      <c r="K113" s="194" t="str">
        <f t="shared" si="30"/>
        <v>-</v>
      </c>
      <c r="L113" s="645"/>
      <c r="M113" s="477" t="e">
        <f>RANK(K113, K$107:$K$121)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7" t="e">
        <f t="shared" si="31"/>
        <v>#N/A</v>
      </c>
      <c r="BA113" s="685"/>
    </row>
    <row r="114" spans="2:53">
      <c r="B114" s="671"/>
      <c r="C114" s="295">
        <v>8</v>
      </c>
      <c r="D114" s="220"/>
      <c r="E114" s="176"/>
      <c r="F114" s="295"/>
      <c r="G114" s="298"/>
      <c r="H114" s="711"/>
      <c r="I114" s="352" t="str">
        <f t="shared" si="28"/>
        <v>-</v>
      </c>
      <c r="J114" s="352" t="str">
        <f t="shared" si="29"/>
        <v>-</v>
      </c>
      <c r="K114" s="194" t="str">
        <f t="shared" si="30"/>
        <v>-</v>
      </c>
      <c r="L114" s="645"/>
      <c r="M114" s="477" t="e">
        <f>RANK(K114, K$107:$K$121)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7" t="e">
        <f t="shared" si="31"/>
        <v>#N/A</v>
      </c>
      <c r="BA114" s="685"/>
    </row>
    <row r="115" spans="2:53">
      <c r="B115" s="671"/>
      <c r="C115" s="295">
        <v>9</v>
      </c>
      <c r="D115" s="220"/>
      <c r="E115" s="176"/>
      <c r="F115" s="295"/>
      <c r="G115" s="298"/>
      <c r="H115" s="711"/>
      <c r="I115" s="352" t="str">
        <f t="shared" si="28"/>
        <v>-</v>
      </c>
      <c r="J115" s="352" t="str">
        <f t="shared" si="29"/>
        <v>-</v>
      </c>
      <c r="K115" s="194" t="str">
        <f t="shared" si="30"/>
        <v>-</v>
      </c>
      <c r="L115" s="645"/>
      <c r="M115" s="477" t="e">
        <f>RANK(K115, K$107:$K$121)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7" t="e">
        <f t="shared" si="31"/>
        <v>#N/A</v>
      </c>
      <c r="BA115" s="685"/>
    </row>
    <row r="116" spans="2:53">
      <c r="B116" s="671"/>
      <c r="C116" s="295">
        <v>10</v>
      </c>
      <c r="D116" s="220"/>
      <c r="E116" s="176"/>
      <c r="F116" s="295"/>
      <c r="G116" s="298"/>
      <c r="H116" s="711"/>
      <c r="I116" s="352" t="str">
        <f t="shared" si="28"/>
        <v>-</v>
      </c>
      <c r="J116" s="352" t="str">
        <f t="shared" si="29"/>
        <v>-</v>
      </c>
      <c r="K116" s="194" t="str">
        <f t="shared" si="30"/>
        <v>-</v>
      </c>
      <c r="L116" s="645"/>
      <c r="M116" s="477" t="e">
        <f>RANK(K116, K$107:$K$121)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7" t="e">
        <f t="shared" si="31"/>
        <v>#N/A</v>
      </c>
      <c r="BA116" s="685"/>
    </row>
    <row r="117" spans="2:53">
      <c r="B117" s="671"/>
      <c r="C117" s="295">
        <v>11</v>
      </c>
      <c r="D117" s="220"/>
      <c r="E117" s="176"/>
      <c r="F117" s="295"/>
      <c r="G117" s="298"/>
      <c r="H117" s="711"/>
      <c r="I117" s="352" t="str">
        <f t="shared" si="28"/>
        <v>-</v>
      </c>
      <c r="J117" s="352" t="str">
        <f t="shared" si="29"/>
        <v>-</v>
      </c>
      <c r="K117" s="194" t="str">
        <f t="shared" si="30"/>
        <v>-</v>
      </c>
      <c r="L117" s="645"/>
      <c r="M117" s="477" t="e">
        <f>RANK(K117, K$107:$K$121)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7" t="e">
        <f t="shared" si="31"/>
        <v>#N/A</v>
      </c>
      <c r="BA117" s="685"/>
    </row>
    <row r="118" spans="2:53">
      <c r="B118" s="671"/>
      <c r="C118" s="295">
        <v>12</v>
      </c>
      <c r="D118" s="220"/>
      <c r="E118" s="176"/>
      <c r="F118" s="295"/>
      <c r="G118" s="298"/>
      <c r="H118" s="711"/>
      <c r="I118" s="352" t="str">
        <f t="shared" si="28"/>
        <v>-</v>
      </c>
      <c r="J118" s="352" t="str">
        <f t="shared" si="29"/>
        <v>-</v>
      </c>
      <c r="K118" s="194" t="str">
        <f t="shared" si="30"/>
        <v>-</v>
      </c>
      <c r="L118" s="645"/>
      <c r="M118" s="477" t="e">
        <f>RANK(K118, K$107:$K$121)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7" t="e">
        <f t="shared" si="31"/>
        <v>#N/A</v>
      </c>
      <c r="BA118" s="685"/>
    </row>
    <row r="119" spans="2:53">
      <c r="B119" s="671"/>
      <c r="C119" s="295">
        <v>13</v>
      </c>
      <c r="D119" s="220"/>
      <c r="E119" s="176"/>
      <c r="F119" s="295"/>
      <c r="G119" s="298"/>
      <c r="H119" s="711"/>
      <c r="I119" s="352" t="str">
        <f t="shared" si="28"/>
        <v>-</v>
      </c>
      <c r="J119" s="352" t="str">
        <f t="shared" si="29"/>
        <v>-</v>
      </c>
      <c r="K119" s="194" t="str">
        <f t="shared" si="30"/>
        <v>-</v>
      </c>
      <c r="L119" s="645"/>
      <c r="M119" s="477" t="e">
        <f>RANK(K119, K$107:$K$121)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7" t="e">
        <f t="shared" si="31"/>
        <v>#N/A</v>
      </c>
      <c r="BA119" s="685"/>
    </row>
    <row r="120" spans="2:53">
      <c r="B120" s="671"/>
      <c r="C120" s="295">
        <v>14</v>
      </c>
      <c r="D120" s="220"/>
      <c r="E120" s="176"/>
      <c r="F120" s="295"/>
      <c r="G120" s="298"/>
      <c r="H120" s="711"/>
      <c r="I120" s="352" t="str">
        <f t="shared" si="28"/>
        <v>-</v>
      </c>
      <c r="J120" s="352" t="str">
        <f t="shared" si="29"/>
        <v>-</v>
      </c>
      <c r="K120" s="194" t="str">
        <f t="shared" si="30"/>
        <v>-</v>
      </c>
      <c r="L120" s="645"/>
      <c r="M120" s="477" t="e">
        <f>RANK(K120, K$107:$K$121)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7" t="e">
        <f t="shared" si="31"/>
        <v>#N/A</v>
      </c>
      <c r="BA120" s="685"/>
    </row>
    <row r="121" spans="2:53">
      <c r="B121" s="671"/>
      <c r="C121" s="295">
        <v>15</v>
      </c>
      <c r="D121" s="220"/>
      <c r="E121" s="176"/>
      <c r="F121" s="295"/>
      <c r="G121" s="298"/>
      <c r="H121" s="712"/>
      <c r="I121" s="196"/>
      <c r="J121" s="196"/>
      <c r="K121" s="196"/>
      <c r="L121" s="646"/>
      <c r="M121" s="477" t="e">
        <f>RANK(K121, K$107:$K$121)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7" t="e">
        <f t="shared" si="31"/>
        <v>#N/A</v>
      </c>
      <c r="BA121" s="685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479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28" si="32">AVERAGEIF($D$7:$D$121,$D128,I$7:I$121)</f>
        <v>#DIV/0!</v>
      </c>
      <c r="J128" s="193" t="e">
        <f t="shared" si="32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/>
      <c r="J129" s="193"/>
      <c r="K129" s="193"/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/>
      <c r="J130" s="193"/>
      <c r="K130" s="193"/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/>
      <c r="J131" s="193"/>
      <c r="K131" s="193"/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/>
      <c r="J132" s="193"/>
      <c r="K132" s="193"/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zoomScale="25" zoomScaleNormal="25" workbookViewId="0">
      <pane xSplit="15" topLeftCell="P1" activePane="topRight" state="frozen"/>
      <selection activeCell="H7" sqref="H7:H21"/>
      <selection pane="topRight" activeCell="T42" sqref="S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AVERAGE(L7,L42,L77,L112,L147,L182)</f>
        <v>88.380299556037428</v>
      </c>
    </row>
    <row r="2" spans="1:53" ht="15.75">
      <c r="A2" s="81"/>
      <c r="B2" s="675" t="s">
        <v>162</v>
      </c>
      <c r="C2" s="676"/>
      <c r="D2" s="676"/>
      <c r="E2" s="676"/>
      <c r="F2" s="676"/>
      <c r="G2" s="676"/>
      <c r="H2" s="677"/>
      <c r="I2" s="202"/>
      <c r="J2" s="202"/>
      <c r="K2" s="202"/>
      <c r="L2" s="202"/>
      <c r="M2" s="201"/>
      <c r="N2" s="664" t="s">
        <v>156</v>
      </c>
      <c r="O2" s="664" t="s">
        <v>105</v>
      </c>
      <c r="P2" s="667">
        <v>46266</v>
      </c>
      <c r="Q2" s="668"/>
      <c r="R2" s="668"/>
      <c r="S2" s="668"/>
      <c r="T2" s="669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678"/>
      <c r="C3" s="678"/>
      <c r="D3" s="678"/>
      <c r="E3" s="678"/>
      <c r="F3" s="678"/>
      <c r="G3" s="678"/>
      <c r="H3" s="678"/>
      <c r="I3" s="199"/>
      <c r="J3" s="199"/>
      <c r="K3" s="199"/>
      <c r="L3" s="199"/>
      <c r="M3" s="200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134</v>
      </c>
      <c r="C7" s="493">
        <v>1</v>
      </c>
      <c r="D7" s="196" t="s">
        <v>338</v>
      </c>
      <c r="E7" s="496">
        <v>6</v>
      </c>
      <c r="F7" s="196">
        <v>1500</v>
      </c>
      <c r="G7" s="194">
        <v>250</v>
      </c>
      <c r="H7" s="710">
        <f>AVERAGE(G7:G36)</f>
        <v>100.37471681655114</v>
      </c>
      <c r="I7" s="496">
        <f>IFERROR(AVERAGE(P7,U7,Z7,AE7,AJ7,AO7,AT7),"-")</f>
        <v>6</v>
      </c>
      <c r="J7" s="496">
        <f>IFERROR(AVERAGE(Q7,V7,AA7,AF7,AK7,AP7,AU7),"-")</f>
        <v>1468.7404368145812</v>
      </c>
      <c r="K7" s="194">
        <f>IFERROR(AVERAGE(R7,W7,AB7,AG7,AL7,AQ7,AV7),"-")</f>
        <v>244.79007280243022</v>
      </c>
      <c r="L7" s="644">
        <f>IFERROR(AVERAGE(K7:K36),"-")</f>
        <v>88.879798284433988</v>
      </c>
      <c r="M7" s="497">
        <f>RANK(K7, K$7:$K$36)</f>
        <v>1</v>
      </c>
      <c r="N7" s="663"/>
      <c r="O7" s="663"/>
      <c r="P7" s="523">
        <v>6</v>
      </c>
      <c r="Q7" s="525">
        <v>1479.2598425196848</v>
      </c>
      <c r="R7" s="525">
        <v>246.54330708661413</v>
      </c>
      <c r="S7" s="523">
        <f>RANK(R7, R$7:R$36)</f>
        <v>1</v>
      </c>
      <c r="T7" s="685">
        <f>AVERAGE(R7:R36)</f>
        <v>89.227956533216343</v>
      </c>
      <c r="U7" s="523">
        <v>6</v>
      </c>
      <c r="V7" s="525">
        <v>1485.107462686567</v>
      </c>
      <c r="W7" s="525">
        <v>247.51791044776118</v>
      </c>
      <c r="X7" s="523">
        <f>RANK(W7, W$7:W$36)</f>
        <v>1</v>
      </c>
      <c r="Y7" s="685">
        <f>AVERAGE(W7:W36)</f>
        <v>86.359172745938935</v>
      </c>
      <c r="Z7" s="523">
        <v>6</v>
      </c>
      <c r="AA7" s="525">
        <v>1469.4139534883716</v>
      </c>
      <c r="AB7" s="525">
        <v>244.90232558139527</v>
      </c>
      <c r="AC7" s="523">
        <f>RANK(AB7, AB$7:AB$36)</f>
        <v>2</v>
      </c>
      <c r="AD7" s="685">
        <f>AVERAGE(AB7:AB36)</f>
        <v>89.856126237557163</v>
      </c>
      <c r="AE7" s="523">
        <v>6</v>
      </c>
      <c r="AF7" s="525">
        <v>1479.5550000000003</v>
      </c>
      <c r="AG7" s="525">
        <v>246.59250000000006</v>
      </c>
      <c r="AH7" s="523">
        <f>RANK(AG7, AG$7:AG$36)</f>
        <v>1</v>
      </c>
      <c r="AI7" s="685">
        <f>AVERAGE(AG7:AG36)</f>
        <v>89.558881565210498</v>
      </c>
      <c r="AJ7" s="523">
        <v>6</v>
      </c>
      <c r="AK7" s="525">
        <v>1449.646153846154</v>
      </c>
      <c r="AL7" s="525">
        <v>241.60769230769233</v>
      </c>
      <c r="AM7" s="523">
        <f>RANK(AL7, AL$7:AL$36)</f>
        <v>1</v>
      </c>
      <c r="AN7" s="685">
        <f>AVERAGE(AL7:AL36)</f>
        <v>89.807138832486714</v>
      </c>
      <c r="AO7" s="523">
        <v>6</v>
      </c>
      <c r="AP7" s="525">
        <v>1450.30064516129</v>
      </c>
      <c r="AQ7" s="525">
        <v>241.71677419354833</v>
      </c>
      <c r="AR7" s="523">
        <f>RANK(AQ7, AQ$7:AQ$36)</f>
        <v>2</v>
      </c>
      <c r="AS7" s="685">
        <f>AVERAGE(AQ7:AQ36)</f>
        <v>89.028121209525111</v>
      </c>
      <c r="AT7" s="523">
        <v>6</v>
      </c>
      <c r="AU7" s="525">
        <v>1467.9</v>
      </c>
      <c r="AV7" s="525">
        <v>244.65</v>
      </c>
      <c r="AW7" s="523">
        <f>RANK(AV7, AV$7:AV$36)</f>
        <v>2</v>
      </c>
      <c r="AX7" s="685">
        <f>AVERAGE(AV7:AV36)</f>
        <v>88.321190867103084</v>
      </c>
      <c r="AZ7" s="357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71"/>
      <c r="C8" s="493">
        <v>2</v>
      </c>
      <c r="D8" s="196" t="s">
        <v>565</v>
      </c>
      <c r="E8" s="496">
        <v>6</v>
      </c>
      <c r="F8" s="196">
        <v>1636</v>
      </c>
      <c r="G8" s="194">
        <v>272.66666666666669</v>
      </c>
      <c r="H8" s="711"/>
      <c r="I8" s="496">
        <f t="shared" ref="I8:I36" si="0">IFERROR(AVERAGE(P8,U8,Z8,AE8,AJ8,AO8,AT8),"-")</f>
        <v>6</v>
      </c>
      <c r="J8" s="496">
        <f t="shared" ref="J8:J36" si="1">IFERROR(AVERAGE(Q8,V8,AA8,AF8,AK8,AP8,AU8),"-")</f>
        <v>1453.208482362727</v>
      </c>
      <c r="K8" s="194">
        <f t="shared" ref="K8:K36" si="2">IFERROR(AVERAGE(R8,W8,AB8,AG8,AL8,AQ8,AV8),"-")</f>
        <v>242.20141372712118</v>
      </c>
      <c r="L8" s="645"/>
      <c r="M8" s="506">
        <f>RANK(K8, K$7:$K$36)</f>
        <v>2</v>
      </c>
      <c r="N8" s="663"/>
      <c r="O8" s="663"/>
      <c r="P8" s="523">
        <v>6</v>
      </c>
      <c r="Q8" s="525">
        <v>1446.3636363636363</v>
      </c>
      <c r="R8" s="525">
        <v>241.06060606060603</v>
      </c>
      <c r="S8" s="523">
        <f t="shared" ref="S8:S36" si="3">RANK(R8, R$7:R$36)</f>
        <v>2</v>
      </c>
      <c r="T8" s="685"/>
      <c r="U8" s="523">
        <v>6</v>
      </c>
      <c r="V8" s="525">
        <v>1441.7391304347825</v>
      </c>
      <c r="W8" s="525">
        <v>240.28985507246375</v>
      </c>
      <c r="X8" s="523">
        <f t="shared" ref="X8:X36" si="4">RANK(W8, W$7:W$36)</f>
        <v>2</v>
      </c>
      <c r="Y8" s="685"/>
      <c r="Z8" s="523">
        <v>6</v>
      </c>
      <c r="AA8" s="525">
        <v>1473.8709677419349</v>
      </c>
      <c r="AB8" s="525">
        <v>245.64516129032248</v>
      </c>
      <c r="AC8" s="523">
        <f t="shared" ref="AC8:AC36" si="5">RANK(AB8, AB$7:AB$36)</f>
        <v>1</v>
      </c>
      <c r="AD8" s="685"/>
      <c r="AE8" s="523">
        <v>6</v>
      </c>
      <c r="AF8" s="525">
        <v>1444.8000000000004</v>
      </c>
      <c r="AG8" s="525">
        <v>240.80000000000007</v>
      </c>
      <c r="AH8" s="523">
        <f t="shared" ref="AH8:AH36" si="6">RANK(AG8, AG$7:AG$36)</f>
        <v>2</v>
      </c>
      <c r="AI8" s="685"/>
      <c r="AJ8" s="523">
        <v>6</v>
      </c>
      <c r="AK8" s="525">
        <v>1430.6666666666667</v>
      </c>
      <c r="AL8" s="525">
        <v>238.44444444444446</v>
      </c>
      <c r="AM8" s="523">
        <f t="shared" ref="AM8:AM36" si="7">RANK(AL8, AL$7:AL$36)</f>
        <v>2</v>
      </c>
      <c r="AN8" s="685"/>
      <c r="AO8" s="523">
        <v>6</v>
      </c>
      <c r="AP8" s="525">
        <v>1453.5483870967737</v>
      </c>
      <c r="AQ8" s="525">
        <v>242.25806451612894</v>
      </c>
      <c r="AR8" s="523">
        <f t="shared" ref="AR8:AR36" si="8">RANK(AQ8, AQ$7:AQ$36)</f>
        <v>1</v>
      </c>
      <c r="AS8" s="685"/>
      <c r="AT8" s="523">
        <v>6</v>
      </c>
      <c r="AU8" s="525">
        <v>1481.4705882352941</v>
      </c>
      <c r="AV8" s="525">
        <v>246.91176470588235</v>
      </c>
      <c r="AW8" s="523">
        <f t="shared" ref="AW8:AW36" si="9">RANK(AV8, AV$7:AV$36)</f>
        <v>1</v>
      </c>
      <c r="AX8" s="685"/>
      <c r="AZ8" s="357" t="e">
        <f t="shared" ref="AZ8:AZ36" si="10">RANK(AY8, AY$7:AY$36)</f>
        <v>#N/A</v>
      </c>
      <c r="BA8" s="685"/>
    </row>
    <row r="9" spans="1:53" ht="14.25">
      <c r="A9" s="81"/>
      <c r="B9" s="671"/>
      <c r="C9" s="493">
        <v>3</v>
      </c>
      <c r="D9" s="196" t="s">
        <v>559</v>
      </c>
      <c r="E9" s="496">
        <v>16</v>
      </c>
      <c r="F9" s="196">
        <v>1500</v>
      </c>
      <c r="G9" s="194">
        <v>93.75</v>
      </c>
      <c r="H9" s="711"/>
      <c r="I9" s="496">
        <f t="shared" si="0"/>
        <v>16.571428571428573</v>
      </c>
      <c r="J9" s="496">
        <f t="shared" si="1"/>
        <v>1300.9693271388019</v>
      </c>
      <c r="K9" s="194">
        <f t="shared" si="2"/>
        <v>78.575252388989881</v>
      </c>
      <c r="L9" s="645"/>
      <c r="M9" s="506">
        <f>RANK(K9, K$7:$K$36)</f>
        <v>10</v>
      </c>
      <c r="N9" s="663"/>
      <c r="O9" s="663"/>
      <c r="P9" s="523">
        <v>17</v>
      </c>
      <c r="Q9" s="525">
        <v>1328.3999999999985</v>
      </c>
      <c r="R9" s="525">
        <v>78.14117647058815</v>
      </c>
      <c r="S9" s="523">
        <f t="shared" si="3"/>
        <v>14</v>
      </c>
      <c r="T9" s="685"/>
      <c r="U9" s="523">
        <v>16</v>
      </c>
      <c r="V9" s="525">
        <v>1291.0909090909104</v>
      </c>
      <c r="W9" s="525">
        <v>80.693181818181898</v>
      </c>
      <c r="X9" s="523">
        <f t="shared" si="4"/>
        <v>10</v>
      </c>
      <c r="Y9" s="685"/>
      <c r="Z9" s="523">
        <v>16</v>
      </c>
      <c r="AA9" s="525">
        <v>1301.6250000000014</v>
      </c>
      <c r="AB9" s="525">
        <v>81.351562500000085</v>
      </c>
      <c r="AC9" s="523">
        <f t="shared" si="5"/>
        <v>11</v>
      </c>
      <c r="AD9" s="685"/>
      <c r="AE9" s="523">
        <v>17</v>
      </c>
      <c r="AF9" s="525">
        <v>1288.192771084337</v>
      </c>
      <c r="AG9" s="525">
        <v>75.776045357902177</v>
      </c>
      <c r="AH9" s="523">
        <f t="shared" si="6"/>
        <v>15</v>
      </c>
      <c r="AI9" s="685"/>
      <c r="AJ9" s="523">
        <v>17</v>
      </c>
      <c r="AK9" s="525">
        <v>1294.5652173913043</v>
      </c>
      <c r="AL9" s="525">
        <v>76.150895140664957</v>
      </c>
      <c r="AM9" s="523">
        <f t="shared" si="7"/>
        <v>15</v>
      </c>
      <c r="AN9" s="685"/>
      <c r="AO9" s="523">
        <v>16</v>
      </c>
      <c r="AP9" s="525">
        <v>1306.0000000000005</v>
      </c>
      <c r="AQ9" s="525">
        <v>81.625000000000028</v>
      </c>
      <c r="AR9" s="523">
        <f t="shared" si="8"/>
        <v>8</v>
      </c>
      <c r="AS9" s="685"/>
      <c r="AT9" s="523">
        <v>17</v>
      </c>
      <c r="AU9" s="525">
        <v>1296.9113924050625</v>
      </c>
      <c r="AV9" s="525">
        <v>76.288905435591914</v>
      </c>
      <c r="AW9" s="523">
        <f t="shared" si="9"/>
        <v>15</v>
      </c>
      <c r="AX9" s="685"/>
      <c r="AZ9" s="357" t="e">
        <f t="shared" si="10"/>
        <v>#N/A</v>
      </c>
      <c r="BA9" s="685"/>
    </row>
    <row r="10" spans="1:53" ht="14.25">
      <c r="A10" s="81"/>
      <c r="B10" s="671"/>
      <c r="C10" s="493">
        <v>4</v>
      </c>
      <c r="D10" s="196" t="s">
        <v>540</v>
      </c>
      <c r="E10" s="496">
        <v>18</v>
      </c>
      <c r="F10" s="196">
        <v>1500</v>
      </c>
      <c r="G10" s="194">
        <v>83.333333333333329</v>
      </c>
      <c r="H10" s="711"/>
      <c r="I10" s="496">
        <f t="shared" si="0"/>
        <v>18</v>
      </c>
      <c r="J10" s="496">
        <f t="shared" si="1"/>
        <v>1245.1915935484933</v>
      </c>
      <c r="K10" s="194">
        <f t="shared" si="2"/>
        <v>69.177310752694069</v>
      </c>
      <c r="L10" s="645"/>
      <c r="M10" s="506">
        <f>RANK(K10, K$7:$K$36)</f>
        <v>20</v>
      </c>
      <c r="N10" s="663"/>
      <c r="O10" s="663"/>
      <c r="P10" s="523">
        <v>18</v>
      </c>
      <c r="Q10" s="525">
        <v>1258.7142857142858</v>
      </c>
      <c r="R10" s="525">
        <v>69.928571428571431</v>
      </c>
      <c r="S10" s="523">
        <f t="shared" si="3"/>
        <v>18</v>
      </c>
      <c r="T10" s="685"/>
      <c r="U10" s="523">
        <v>18</v>
      </c>
      <c r="V10" s="525">
        <v>1243.8805970149253</v>
      </c>
      <c r="W10" s="525">
        <v>69.104477611940297</v>
      </c>
      <c r="X10" s="523">
        <f t="shared" si="4"/>
        <v>18</v>
      </c>
      <c r="Y10" s="685"/>
      <c r="Z10" s="523">
        <v>18</v>
      </c>
      <c r="AA10" s="525">
        <v>1259.9999999999993</v>
      </c>
      <c r="AB10" s="525">
        <v>69.999999999999957</v>
      </c>
      <c r="AC10" s="523">
        <f t="shared" si="5"/>
        <v>19</v>
      </c>
      <c r="AD10" s="685"/>
      <c r="AE10" s="523">
        <v>18</v>
      </c>
      <c r="AF10" s="525">
        <v>1225.3124999999998</v>
      </c>
      <c r="AG10" s="525">
        <v>68.072916666666657</v>
      </c>
      <c r="AH10" s="523">
        <f t="shared" si="6"/>
        <v>20</v>
      </c>
      <c r="AI10" s="685"/>
      <c r="AJ10" s="523">
        <v>18</v>
      </c>
      <c r="AK10" s="525">
        <v>1247.6470588235293</v>
      </c>
      <c r="AL10" s="525">
        <v>69.313725490196077</v>
      </c>
      <c r="AM10" s="523">
        <f t="shared" si="7"/>
        <v>20</v>
      </c>
      <c r="AN10" s="685"/>
      <c r="AO10" s="523">
        <v>18</v>
      </c>
      <c r="AP10" s="525">
        <v>1236.3636363636358</v>
      </c>
      <c r="AQ10" s="525">
        <v>68.68686868686865</v>
      </c>
      <c r="AR10" s="523">
        <f t="shared" si="8"/>
        <v>19</v>
      </c>
      <c r="AS10" s="685"/>
      <c r="AT10" s="523">
        <v>18</v>
      </c>
      <c r="AU10" s="525">
        <v>1244.4230769230767</v>
      </c>
      <c r="AV10" s="525">
        <v>69.134615384615373</v>
      </c>
      <c r="AW10" s="523">
        <f t="shared" si="9"/>
        <v>19</v>
      </c>
      <c r="AX10" s="685"/>
      <c r="AZ10" s="357" t="e">
        <f t="shared" si="10"/>
        <v>#N/A</v>
      </c>
      <c r="BA10" s="685"/>
    </row>
    <row r="11" spans="1:53" ht="14.25">
      <c r="A11" s="81"/>
      <c r="B11" s="671"/>
      <c r="C11" s="493">
        <v>5</v>
      </c>
      <c r="D11" s="196" t="s">
        <v>725</v>
      </c>
      <c r="E11" s="496">
        <v>16</v>
      </c>
      <c r="F11" s="196">
        <v>1565</v>
      </c>
      <c r="G11" s="194">
        <v>97.8125</v>
      </c>
      <c r="H11" s="711"/>
      <c r="I11" s="496">
        <f t="shared" si="0"/>
        <v>16</v>
      </c>
      <c r="J11" s="496">
        <f t="shared" si="1"/>
        <v>1312.8447142754178</v>
      </c>
      <c r="K11" s="194">
        <f t="shared" si="2"/>
        <v>82.052794642213613</v>
      </c>
      <c r="L11" s="645"/>
      <c r="M11" s="506">
        <f>RANK(K11, K$7:$K$36)</f>
        <v>7</v>
      </c>
      <c r="N11" s="663"/>
      <c r="O11" s="663"/>
      <c r="P11" s="523">
        <v>16</v>
      </c>
      <c r="Q11" s="525">
        <v>1322.5806451612905</v>
      </c>
      <c r="R11" s="525">
        <v>82.661290322580655</v>
      </c>
      <c r="S11" s="523">
        <f t="shared" si="3"/>
        <v>9</v>
      </c>
      <c r="T11" s="685"/>
      <c r="U11" s="523">
        <v>16</v>
      </c>
      <c r="V11" s="525">
        <v>1338.3529411764703</v>
      </c>
      <c r="W11" s="525">
        <v>83.647058823529392</v>
      </c>
      <c r="X11" s="523">
        <f t="shared" si="4"/>
        <v>7</v>
      </c>
      <c r="Y11" s="685"/>
      <c r="Z11" s="523">
        <v>16</v>
      </c>
      <c r="AA11" s="525">
        <v>1326.1016949152554</v>
      </c>
      <c r="AB11" s="525">
        <v>82.881355932203462</v>
      </c>
      <c r="AC11" s="523">
        <f t="shared" si="5"/>
        <v>8</v>
      </c>
      <c r="AD11" s="685"/>
      <c r="AE11" s="523">
        <v>16</v>
      </c>
      <c r="AF11" s="525">
        <v>1304.0000000000014</v>
      </c>
      <c r="AG11" s="525">
        <v>81.500000000000085</v>
      </c>
      <c r="AH11" s="523">
        <f t="shared" si="6"/>
        <v>9</v>
      </c>
      <c r="AI11" s="685"/>
      <c r="AJ11" s="523">
        <v>16</v>
      </c>
      <c r="AK11" s="525">
        <v>1321.6438356164372</v>
      </c>
      <c r="AL11" s="525">
        <v>82.602739726027323</v>
      </c>
      <c r="AM11" s="523">
        <f t="shared" si="7"/>
        <v>9</v>
      </c>
      <c r="AN11" s="685"/>
      <c r="AO11" s="523">
        <v>16</v>
      </c>
      <c r="AP11" s="525">
        <v>1293.1034482758619</v>
      </c>
      <c r="AQ11" s="525">
        <v>80.818965517241367</v>
      </c>
      <c r="AR11" s="523">
        <f t="shared" si="8"/>
        <v>9</v>
      </c>
      <c r="AS11" s="685"/>
      <c r="AT11" s="523">
        <v>16</v>
      </c>
      <c r="AU11" s="525">
        <v>1284.1304347826085</v>
      </c>
      <c r="AV11" s="525">
        <v>80.258152173913032</v>
      </c>
      <c r="AW11" s="523">
        <f t="shared" si="9"/>
        <v>9</v>
      </c>
      <c r="AX11" s="685"/>
      <c r="AZ11" s="357" t="e">
        <f t="shared" si="10"/>
        <v>#N/A</v>
      </c>
      <c r="BA11" s="685"/>
    </row>
    <row r="12" spans="1:53" ht="14.25">
      <c r="A12" s="81"/>
      <c r="B12" s="671"/>
      <c r="C12" s="493">
        <v>6</v>
      </c>
      <c r="D12" s="196" t="s">
        <v>594</v>
      </c>
      <c r="E12" s="496">
        <v>20</v>
      </c>
      <c r="F12" s="196">
        <v>1440</v>
      </c>
      <c r="G12" s="194">
        <v>72</v>
      </c>
      <c r="H12" s="711"/>
      <c r="I12" s="496">
        <f t="shared" si="0"/>
        <v>20.142857142857142</v>
      </c>
      <c r="J12" s="496">
        <f t="shared" si="1"/>
        <v>1206.827255393089</v>
      </c>
      <c r="K12" s="194">
        <f t="shared" si="2"/>
        <v>59.932227687049988</v>
      </c>
      <c r="L12" s="645"/>
      <c r="M12" s="506">
        <f>RANK(K12, K$7:$K$36)</f>
        <v>23</v>
      </c>
      <c r="N12" s="663"/>
      <c r="O12" s="663"/>
      <c r="P12" s="523">
        <v>20</v>
      </c>
      <c r="Q12" s="525">
        <v>1244.2105263157903</v>
      </c>
      <c r="R12" s="525">
        <v>62.210526315789515</v>
      </c>
      <c r="S12" s="523">
        <f t="shared" si="3"/>
        <v>23</v>
      </c>
      <c r="T12" s="685"/>
      <c r="U12" s="523">
        <v>20</v>
      </c>
      <c r="V12" s="525">
        <v>1226.3157894736851</v>
      </c>
      <c r="W12" s="525">
        <v>61.315789473684255</v>
      </c>
      <c r="X12" s="523">
        <f t="shared" si="4"/>
        <v>22</v>
      </c>
      <c r="Y12" s="685"/>
      <c r="Z12" s="523">
        <v>20</v>
      </c>
      <c r="AA12" s="525">
        <v>1197.8181818181824</v>
      </c>
      <c r="AB12" s="525">
        <v>59.890909090909119</v>
      </c>
      <c r="AC12" s="523">
        <f t="shared" si="5"/>
        <v>23</v>
      </c>
      <c r="AD12" s="685"/>
      <c r="AE12" s="523">
        <v>20</v>
      </c>
      <c r="AF12" s="525">
        <v>1183.2558139534881</v>
      </c>
      <c r="AG12" s="525">
        <v>59.162790697674403</v>
      </c>
      <c r="AH12" s="523">
        <f t="shared" si="6"/>
        <v>24</v>
      </c>
      <c r="AI12" s="685"/>
      <c r="AJ12" s="523">
        <v>20</v>
      </c>
      <c r="AK12" s="525">
        <v>1213.3333333333333</v>
      </c>
      <c r="AL12" s="525">
        <v>60.666666666666664</v>
      </c>
      <c r="AM12" s="523">
        <f t="shared" si="7"/>
        <v>23</v>
      </c>
      <c r="AN12" s="685"/>
      <c r="AO12" s="523">
        <v>20</v>
      </c>
      <c r="AP12" s="525">
        <v>1180.0000000000011</v>
      </c>
      <c r="AQ12" s="525">
        <v>59.000000000000057</v>
      </c>
      <c r="AR12" s="523">
        <f t="shared" si="8"/>
        <v>23</v>
      </c>
      <c r="AS12" s="685"/>
      <c r="AT12" s="523">
        <v>21</v>
      </c>
      <c r="AU12" s="525">
        <v>1202.857142857144</v>
      </c>
      <c r="AV12" s="525">
        <v>57.278911564625908</v>
      </c>
      <c r="AW12" s="523">
        <f t="shared" si="9"/>
        <v>24</v>
      </c>
      <c r="AX12" s="685"/>
      <c r="AZ12" s="357" t="e">
        <f t="shared" si="10"/>
        <v>#N/A</v>
      </c>
      <c r="BA12" s="685"/>
    </row>
    <row r="13" spans="1:53" ht="14.25">
      <c r="A13" s="81"/>
      <c r="B13" s="671"/>
      <c r="C13" s="493">
        <v>7</v>
      </c>
      <c r="D13" s="196" t="s">
        <v>726</v>
      </c>
      <c r="E13" s="496">
        <v>16</v>
      </c>
      <c r="F13" s="196">
        <v>1500</v>
      </c>
      <c r="G13" s="194">
        <v>93.75</v>
      </c>
      <c r="H13" s="711"/>
      <c r="I13" s="496">
        <f t="shared" si="0"/>
        <v>16</v>
      </c>
      <c r="J13" s="496">
        <f t="shared" si="1"/>
        <v>1301.4218110377562</v>
      </c>
      <c r="K13" s="194">
        <f t="shared" si="2"/>
        <v>81.338863189859765</v>
      </c>
      <c r="L13" s="645"/>
      <c r="M13" s="506">
        <f>RANK(K13, K$7:$K$36)</f>
        <v>9</v>
      </c>
      <c r="N13" s="663"/>
      <c r="O13" s="663"/>
      <c r="P13" s="523">
        <v>16</v>
      </c>
      <c r="Q13" s="525">
        <v>1311.891891891891</v>
      </c>
      <c r="R13" s="525">
        <v>81.993243243243185</v>
      </c>
      <c r="S13" s="523">
        <f t="shared" si="3"/>
        <v>10</v>
      </c>
      <c r="T13" s="685"/>
      <c r="U13" s="523">
        <v>16</v>
      </c>
      <c r="V13" s="525">
        <v>1319.104477611942</v>
      </c>
      <c r="W13" s="525">
        <v>82.444029850746375</v>
      </c>
      <c r="X13" s="523">
        <f t="shared" si="4"/>
        <v>8</v>
      </c>
      <c r="Y13" s="685"/>
      <c r="Z13" s="523">
        <v>16</v>
      </c>
      <c r="AA13" s="525">
        <v>1308.6956521739119</v>
      </c>
      <c r="AB13" s="525">
        <v>81.793478260869492</v>
      </c>
      <c r="AC13" s="523">
        <f t="shared" si="5"/>
        <v>9</v>
      </c>
      <c r="AD13" s="685"/>
      <c r="AE13" s="523">
        <v>16</v>
      </c>
      <c r="AF13" s="525">
        <v>1291.4999999999995</v>
      </c>
      <c r="AG13" s="525">
        <v>80.718749999999972</v>
      </c>
      <c r="AH13" s="523">
        <f t="shared" si="6"/>
        <v>10</v>
      </c>
      <c r="AI13" s="685"/>
      <c r="AJ13" s="523">
        <v>16</v>
      </c>
      <c r="AK13" s="525">
        <v>1328.9361702127662</v>
      </c>
      <c r="AL13" s="525">
        <v>83.058510638297889</v>
      </c>
      <c r="AM13" s="523">
        <f t="shared" si="7"/>
        <v>8</v>
      </c>
      <c r="AN13" s="685"/>
      <c r="AO13" s="523">
        <v>16</v>
      </c>
      <c r="AP13" s="525">
        <v>1272.9230769230783</v>
      </c>
      <c r="AQ13" s="525">
        <v>79.557692307692392</v>
      </c>
      <c r="AR13" s="523">
        <f t="shared" si="8"/>
        <v>11</v>
      </c>
      <c r="AS13" s="685"/>
      <c r="AT13" s="523">
        <v>16</v>
      </c>
      <c r="AU13" s="525">
        <v>1276.901408450703</v>
      </c>
      <c r="AV13" s="525">
        <v>79.806338028168938</v>
      </c>
      <c r="AW13" s="523">
        <f t="shared" si="9"/>
        <v>10</v>
      </c>
      <c r="AX13" s="685"/>
      <c r="AZ13" s="357" t="e">
        <f t="shared" si="10"/>
        <v>#N/A</v>
      </c>
      <c r="BA13" s="685"/>
    </row>
    <row r="14" spans="1:53" ht="14.25">
      <c r="A14" s="81"/>
      <c r="B14" s="671"/>
      <c r="C14" s="493">
        <v>8</v>
      </c>
      <c r="D14" s="196" t="s">
        <v>727</v>
      </c>
      <c r="E14" s="496">
        <v>18</v>
      </c>
      <c r="F14" s="196">
        <v>1636</v>
      </c>
      <c r="G14" s="194">
        <v>90.888888888888886</v>
      </c>
      <c r="H14" s="711"/>
      <c r="I14" s="496">
        <f t="shared" si="0"/>
        <v>18</v>
      </c>
      <c r="J14" s="496">
        <f t="shared" si="1"/>
        <v>1399.9843216681113</v>
      </c>
      <c r="K14" s="194">
        <f t="shared" si="2"/>
        <v>77.776906759339525</v>
      </c>
      <c r="L14" s="645"/>
      <c r="M14" s="506">
        <f>RANK(K14, K$7:$K$36)</f>
        <v>14</v>
      </c>
      <c r="N14" s="663"/>
      <c r="O14" s="663"/>
      <c r="P14" s="523">
        <v>18</v>
      </c>
      <c r="Q14" s="525">
        <v>1426.7796610169505</v>
      </c>
      <c r="R14" s="525">
        <v>79.265536723163919</v>
      </c>
      <c r="S14" s="523">
        <f t="shared" si="3"/>
        <v>13</v>
      </c>
      <c r="T14" s="685"/>
      <c r="U14" s="523">
        <v>18</v>
      </c>
      <c r="V14" s="525">
        <v>1399.2857142857154</v>
      </c>
      <c r="W14" s="525">
        <v>77.738095238095298</v>
      </c>
      <c r="X14" s="523">
        <f t="shared" si="4"/>
        <v>14</v>
      </c>
      <c r="Y14" s="685"/>
      <c r="Z14" s="523">
        <v>18</v>
      </c>
      <c r="AA14" s="525">
        <v>1383.9130434782608</v>
      </c>
      <c r="AB14" s="525">
        <v>76.884057971014485</v>
      </c>
      <c r="AC14" s="523">
        <f t="shared" si="5"/>
        <v>15</v>
      </c>
      <c r="AD14" s="685"/>
      <c r="AE14" s="523">
        <v>18</v>
      </c>
      <c r="AF14" s="525">
        <v>1389.7959183673472</v>
      </c>
      <c r="AG14" s="525">
        <v>77.210884353741505</v>
      </c>
      <c r="AH14" s="523">
        <f t="shared" si="6"/>
        <v>13</v>
      </c>
      <c r="AI14" s="685"/>
      <c r="AJ14" s="523">
        <v>18</v>
      </c>
      <c r="AK14" s="525">
        <v>1385.8064516129045</v>
      </c>
      <c r="AL14" s="525">
        <v>76.989247311828024</v>
      </c>
      <c r="AM14" s="523">
        <f t="shared" si="7"/>
        <v>14</v>
      </c>
      <c r="AN14" s="685"/>
      <c r="AO14" s="523">
        <v>18</v>
      </c>
      <c r="AP14" s="525">
        <v>1406.9565217391289</v>
      </c>
      <c r="AQ14" s="525">
        <v>78.164251207729379</v>
      </c>
      <c r="AR14" s="523">
        <f t="shared" si="8"/>
        <v>13</v>
      </c>
      <c r="AS14" s="685"/>
      <c r="AT14" s="523">
        <v>18</v>
      </c>
      <c r="AU14" s="525">
        <v>1407.3529411764723</v>
      </c>
      <c r="AV14" s="525">
        <v>78.186274509804022</v>
      </c>
      <c r="AW14" s="523">
        <f t="shared" si="9"/>
        <v>11</v>
      </c>
      <c r="AX14" s="685"/>
      <c r="AZ14" s="357" t="e">
        <f t="shared" si="10"/>
        <v>#N/A</v>
      </c>
      <c r="BA14" s="685"/>
    </row>
    <row r="15" spans="1:53" ht="14.25">
      <c r="A15" s="81"/>
      <c r="B15" s="671"/>
      <c r="C15" s="493">
        <v>9</v>
      </c>
      <c r="D15" s="196" t="s">
        <v>728</v>
      </c>
      <c r="E15" s="496">
        <v>18</v>
      </c>
      <c r="F15" s="196">
        <v>1636</v>
      </c>
      <c r="G15" s="194">
        <v>90.888888888888886</v>
      </c>
      <c r="H15" s="711"/>
      <c r="I15" s="496">
        <f t="shared" si="0"/>
        <v>18</v>
      </c>
      <c r="J15" s="496">
        <f t="shared" si="1"/>
        <v>1414.0807471461383</v>
      </c>
      <c r="K15" s="194">
        <f t="shared" si="2"/>
        <v>78.5600415081188</v>
      </c>
      <c r="L15" s="645"/>
      <c r="M15" s="506">
        <f>RANK(K15, K$7:$K$36)</f>
        <v>11</v>
      </c>
      <c r="N15" s="663"/>
      <c r="O15" s="663"/>
      <c r="P15" s="523">
        <v>18</v>
      </c>
      <c r="Q15" s="525">
        <v>1431.0638297872342</v>
      </c>
      <c r="R15" s="525">
        <v>79.503546099290787</v>
      </c>
      <c r="S15" s="523">
        <f t="shared" si="3"/>
        <v>12</v>
      </c>
      <c r="T15" s="685"/>
      <c r="U15" s="523">
        <v>18</v>
      </c>
      <c r="V15" s="525">
        <v>1425.3333333333335</v>
      </c>
      <c r="W15" s="525">
        <v>79.18518518518519</v>
      </c>
      <c r="X15" s="523">
        <f t="shared" si="4"/>
        <v>13</v>
      </c>
      <c r="Y15" s="685"/>
      <c r="Z15" s="523">
        <v>18</v>
      </c>
      <c r="AA15" s="525">
        <v>1406.8421052631568</v>
      </c>
      <c r="AB15" s="525">
        <v>78.157894736842039</v>
      </c>
      <c r="AC15" s="523">
        <f t="shared" si="5"/>
        <v>12</v>
      </c>
      <c r="AD15" s="685"/>
      <c r="AE15" s="523">
        <v>18</v>
      </c>
      <c r="AF15" s="525">
        <v>1422.8571428571422</v>
      </c>
      <c r="AG15" s="525">
        <v>79.047619047619008</v>
      </c>
      <c r="AH15" s="523">
        <f t="shared" si="6"/>
        <v>12</v>
      </c>
      <c r="AI15" s="685"/>
      <c r="AJ15" s="523">
        <v>18</v>
      </c>
      <c r="AK15" s="525">
        <v>1415.744680851064</v>
      </c>
      <c r="AL15" s="525">
        <v>78.652482269503551</v>
      </c>
      <c r="AM15" s="523">
        <f t="shared" si="7"/>
        <v>13</v>
      </c>
      <c r="AN15" s="685"/>
      <c r="AO15" s="523">
        <v>18</v>
      </c>
      <c r="AP15" s="525">
        <v>1401.7241379310356</v>
      </c>
      <c r="AQ15" s="525">
        <v>77.873563218390871</v>
      </c>
      <c r="AR15" s="523">
        <f t="shared" si="8"/>
        <v>14</v>
      </c>
      <c r="AS15" s="685"/>
      <c r="AT15" s="523">
        <v>18</v>
      </c>
      <c r="AU15" s="525">
        <v>1395.0000000000011</v>
      </c>
      <c r="AV15" s="525">
        <v>77.500000000000057</v>
      </c>
      <c r="AW15" s="523">
        <f t="shared" si="9"/>
        <v>12</v>
      </c>
      <c r="AX15" s="685"/>
      <c r="AZ15" s="357" t="e">
        <f t="shared" si="10"/>
        <v>#N/A</v>
      </c>
      <c r="BA15" s="685"/>
    </row>
    <row r="16" spans="1:53" ht="14.25">
      <c r="A16" s="81"/>
      <c r="B16" s="671"/>
      <c r="C16" s="493">
        <v>10</v>
      </c>
      <c r="D16" s="196" t="s">
        <v>330</v>
      </c>
      <c r="E16" s="496">
        <v>17</v>
      </c>
      <c r="F16" s="196">
        <v>1500</v>
      </c>
      <c r="G16" s="194">
        <v>88.235294117647058</v>
      </c>
      <c r="H16" s="711"/>
      <c r="I16" s="496">
        <f t="shared" si="0"/>
        <v>17</v>
      </c>
      <c r="J16" s="496">
        <f t="shared" si="1"/>
        <v>1334.5906074560555</v>
      </c>
      <c r="K16" s="194">
        <f t="shared" si="2"/>
        <v>78.505329850356219</v>
      </c>
      <c r="L16" s="645"/>
      <c r="M16" s="506">
        <f>RANK(K16, K$7:$K$36)</f>
        <v>13</v>
      </c>
      <c r="N16" s="663"/>
      <c r="O16" s="663"/>
      <c r="P16" s="523">
        <v>17</v>
      </c>
      <c r="Q16" s="525">
        <v>1318.6046511627903</v>
      </c>
      <c r="R16" s="525">
        <v>77.564979480164141</v>
      </c>
      <c r="S16" s="523">
        <f t="shared" si="3"/>
        <v>15</v>
      </c>
      <c r="T16" s="685"/>
      <c r="U16" s="523">
        <v>17</v>
      </c>
      <c r="V16" s="525">
        <v>1357.1428571428567</v>
      </c>
      <c r="W16" s="525">
        <v>79.831932773109216</v>
      </c>
      <c r="X16" s="523">
        <f t="shared" si="4"/>
        <v>12</v>
      </c>
      <c r="Y16" s="685"/>
      <c r="Z16" s="523">
        <v>17</v>
      </c>
      <c r="AA16" s="525">
        <v>1321.6666666666656</v>
      </c>
      <c r="AB16" s="525">
        <v>77.74509803921562</v>
      </c>
      <c r="AC16" s="523">
        <f t="shared" si="5"/>
        <v>13</v>
      </c>
      <c r="AD16" s="685"/>
      <c r="AE16" s="523">
        <v>17</v>
      </c>
      <c r="AF16" s="525">
        <v>1308.6486486486476</v>
      </c>
      <c r="AG16" s="525">
        <v>76.979332273449856</v>
      </c>
      <c r="AH16" s="523">
        <f t="shared" si="6"/>
        <v>14</v>
      </c>
      <c r="AI16" s="685"/>
      <c r="AJ16" s="523">
        <v>17</v>
      </c>
      <c r="AK16" s="525">
        <v>1372.8571428571424</v>
      </c>
      <c r="AL16" s="525">
        <v>80.756302521008379</v>
      </c>
      <c r="AM16" s="523">
        <f t="shared" si="7"/>
        <v>11</v>
      </c>
      <c r="AN16" s="685"/>
      <c r="AO16" s="523">
        <v>17</v>
      </c>
      <c r="AP16" s="525">
        <v>1345.714285714286</v>
      </c>
      <c r="AQ16" s="525">
        <v>79.159663865546236</v>
      </c>
      <c r="AR16" s="523">
        <f t="shared" si="8"/>
        <v>12</v>
      </c>
      <c r="AS16" s="685"/>
      <c r="AT16" s="523">
        <v>17</v>
      </c>
      <c r="AU16" s="525">
        <v>1317.5000000000005</v>
      </c>
      <c r="AV16" s="525">
        <v>77.500000000000028</v>
      </c>
      <c r="AW16" s="523">
        <f t="shared" si="9"/>
        <v>13</v>
      </c>
      <c r="AX16" s="685"/>
      <c r="AZ16" s="357" t="e">
        <f t="shared" si="10"/>
        <v>#N/A</v>
      </c>
      <c r="BA16" s="685"/>
    </row>
    <row r="17" spans="2:53">
      <c r="B17" s="671"/>
      <c r="C17" s="493">
        <v>11</v>
      </c>
      <c r="D17" s="196" t="s">
        <v>729</v>
      </c>
      <c r="E17" s="496">
        <v>20</v>
      </c>
      <c r="F17" s="196">
        <v>1440</v>
      </c>
      <c r="G17" s="194">
        <v>72</v>
      </c>
      <c r="H17" s="711"/>
      <c r="I17" s="496">
        <f t="shared" si="0"/>
        <v>20</v>
      </c>
      <c r="J17" s="496">
        <f t="shared" si="1"/>
        <v>1342.2951832157905</v>
      </c>
      <c r="K17" s="194">
        <f t="shared" si="2"/>
        <v>67.114759160789532</v>
      </c>
      <c r="L17" s="645"/>
      <c r="M17" s="506">
        <f>RANK(K17, K$7:$K$36)</f>
        <v>22</v>
      </c>
      <c r="N17" s="663"/>
      <c r="O17" s="663"/>
      <c r="P17" s="523">
        <v>20</v>
      </c>
      <c r="Q17" s="525">
        <v>1359.9999999999986</v>
      </c>
      <c r="R17" s="525">
        <v>67.999999999999929</v>
      </c>
      <c r="S17" s="523">
        <f t="shared" si="3"/>
        <v>21</v>
      </c>
      <c r="T17" s="685"/>
      <c r="U17" s="523">
        <v>20</v>
      </c>
      <c r="V17" s="525">
        <v>1370.5714285714273</v>
      </c>
      <c r="W17" s="525">
        <v>68.528571428571368</v>
      </c>
      <c r="X17" s="523">
        <f t="shared" si="4"/>
        <v>19</v>
      </c>
      <c r="Y17" s="685"/>
      <c r="Z17" s="523">
        <v>20</v>
      </c>
      <c r="AA17" s="525">
        <v>1351.5789473684222</v>
      </c>
      <c r="AB17" s="525">
        <v>67.578947368421112</v>
      </c>
      <c r="AC17" s="523">
        <f t="shared" si="5"/>
        <v>22</v>
      </c>
      <c r="AD17" s="685"/>
      <c r="AE17" s="523">
        <v>20</v>
      </c>
      <c r="AF17" s="525">
        <v>1354.4444444444453</v>
      </c>
      <c r="AG17" s="525">
        <v>67.722222222222257</v>
      </c>
      <c r="AH17" s="523">
        <f t="shared" si="6"/>
        <v>22</v>
      </c>
      <c r="AI17" s="685"/>
      <c r="AJ17" s="523">
        <v>20</v>
      </c>
      <c r="AK17" s="525">
        <v>1334.7826086956507</v>
      </c>
      <c r="AL17" s="525">
        <v>66.739130434782538</v>
      </c>
      <c r="AM17" s="523">
        <f t="shared" si="7"/>
        <v>22</v>
      </c>
      <c r="AN17" s="685"/>
      <c r="AO17" s="523">
        <v>20</v>
      </c>
      <c r="AP17" s="525">
        <v>1319.2682926829264</v>
      </c>
      <c r="AQ17" s="525">
        <v>65.963414634146318</v>
      </c>
      <c r="AR17" s="523">
        <f t="shared" si="8"/>
        <v>21</v>
      </c>
      <c r="AS17" s="685"/>
      <c r="AT17" s="523">
        <v>20</v>
      </c>
      <c r="AU17" s="525">
        <v>1305.4205607476642</v>
      </c>
      <c r="AV17" s="525">
        <v>65.271028037383218</v>
      </c>
      <c r="AW17" s="523">
        <f t="shared" si="9"/>
        <v>21</v>
      </c>
      <c r="AX17" s="685"/>
      <c r="AZ17" s="357" t="e">
        <f t="shared" si="10"/>
        <v>#N/A</v>
      </c>
      <c r="BA17" s="685"/>
    </row>
    <row r="18" spans="2:53">
      <c r="B18" s="671"/>
      <c r="C18" s="493">
        <v>12</v>
      </c>
      <c r="D18" s="196" t="s">
        <v>340</v>
      </c>
      <c r="E18" s="496">
        <v>14</v>
      </c>
      <c r="F18" s="196">
        <v>1440</v>
      </c>
      <c r="G18" s="194">
        <v>102.85714285714286</v>
      </c>
      <c r="H18" s="711"/>
      <c r="I18" s="496">
        <f t="shared" si="0"/>
        <v>14.285714285714286</v>
      </c>
      <c r="J18" s="496">
        <f t="shared" si="1"/>
        <v>1330.3573494719301</v>
      </c>
      <c r="K18" s="194">
        <f t="shared" si="2"/>
        <v>93.240006744968724</v>
      </c>
      <c r="L18" s="645"/>
      <c r="M18" s="506">
        <f>RANK(K18, K$7:$K$36)</f>
        <v>5</v>
      </c>
      <c r="N18" s="663"/>
      <c r="O18" s="663"/>
      <c r="P18" s="523">
        <v>15</v>
      </c>
      <c r="Q18" s="525">
        <v>1329.4736842105272</v>
      </c>
      <c r="R18" s="525">
        <v>88.631578947368482</v>
      </c>
      <c r="S18" s="523">
        <f t="shared" si="3"/>
        <v>5</v>
      </c>
      <c r="T18" s="685"/>
      <c r="U18" s="523">
        <v>14</v>
      </c>
      <c r="V18" s="525">
        <v>1316.7857142857151</v>
      </c>
      <c r="W18" s="525">
        <v>94.05612244897965</v>
      </c>
      <c r="X18" s="523">
        <f t="shared" si="4"/>
        <v>4</v>
      </c>
      <c r="Y18" s="685"/>
      <c r="Z18" s="523">
        <v>14</v>
      </c>
      <c r="AA18" s="525">
        <v>1328.1818181818182</v>
      </c>
      <c r="AB18" s="525">
        <v>94.870129870129873</v>
      </c>
      <c r="AC18" s="523">
        <f t="shared" si="5"/>
        <v>4</v>
      </c>
      <c r="AD18" s="685"/>
      <c r="AE18" s="523">
        <v>14</v>
      </c>
      <c r="AF18" s="525">
        <v>1353.9130434782608</v>
      </c>
      <c r="AG18" s="525">
        <v>96.708074534161483</v>
      </c>
      <c r="AH18" s="523">
        <f t="shared" si="6"/>
        <v>3</v>
      </c>
      <c r="AI18" s="685"/>
      <c r="AJ18" s="523">
        <v>14</v>
      </c>
      <c r="AK18" s="525">
        <v>1351.6363636363644</v>
      </c>
      <c r="AL18" s="525">
        <v>96.545454545454604</v>
      </c>
      <c r="AM18" s="523">
        <f t="shared" si="7"/>
        <v>3</v>
      </c>
      <c r="AN18" s="685"/>
      <c r="AO18" s="523">
        <v>14</v>
      </c>
      <c r="AP18" s="525">
        <v>1337.2727272727286</v>
      </c>
      <c r="AQ18" s="525">
        <v>95.519480519480609</v>
      </c>
      <c r="AR18" s="523">
        <f t="shared" si="8"/>
        <v>5</v>
      </c>
      <c r="AS18" s="685"/>
      <c r="AT18" s="523">
        <v>15</v>
      </c>
      <c r="AU18" s="525">
        <v>1295.2380952380965</v>
      </c>
      <c r="AV18" s="525">
        <v>86.34920634920644</v>
      </c>
      <c r="AW18" s="523">
        <f t="shared" si="9"/>
        <v>5</v>
      </c>
      <c r="AX18" s="685"/>
      <c r="AZ18" s="357" t="e">
        <f t="shared" si="10"/>
        <v>#N/A</v>
      </c>
      <c r="BA18" s="685"/>
    </row>
    <row r="19" spans="2:53">
      <c r="B19" s="671"/>
      <c r="C19" s="493">
        <v>13</v>
      </c>
      <c r="D19" s="196" t="s">
        <v>730</v>
      </c>
      <c r="E19" s="496">
        <v>19</v>
      </c>
      <c r="F19" s="196">
        <v>1440</v>
      </c>
      <c r="G19" s="194">
        <v>75.78947368421052</v>
      </c>
      <c r="H19" s="711"/>
      <c r="I19" s="496">
        <f t="shared" si="0"/>
        <v>19</v>
      </c>
      <c r="J19" s="496">
        <f t="shared" si="1"/>
        <v>1327.7794356443592</v>
      </c>
      <c r="K19" s="194">
        <f t="shared" si="2"/>
        <v>69.883128191808368</v>
      </c>
      <c r="L19" s="645"/>
      <c r="M19" s="506">
        <f>RANK(K19, K$7:$K$36)</f>
        <v>19</v>
      </c>
      <c r="N19" s="663"/>
      <c r="O19" s="663"/>
      <c r="P19" s="523">
        <v>19</v>
      </c>
      <c r="Q19" s="525">
        <v>1329.6296296296291</v>
      </c>
      <c r="R19" s="525">
        <v>69.980506822612057</v>
      </c>
      <c r="S19" s="523">
        <f t="shared" si="3"/>
        <v>17</v>
      </c>
      <c r="T19" s="685"/>
      <c r="U19" s="523">
        <v>19</v>
      </c>
      <c r="V19" s="525">
        <v>1328.799999999999</v>
      </c>
      <c r="W19" s="525">
        <v>69.936842105263111</v>
      </c>
      <c r="X19" s="523">
        <f t="shared" si="4"/>
        <v>17</v>
      </c>
      <c r="Y19" s="685"/>
      <c r="Z19" s="523">
        <v>19</v>
      </c>
      <c r="AA19" s="525">
        <v>1360.6451612903238</v>
      </c>
      <c r="AB19" s="525">
        <v>71.612903225806519</v>
      </c>
      <c r="AC19" s="523">
        <f t="shared" si="5"/>
        <v>17</v>
      </c>
      <c r="AD19" s="685"/>
      <c r="AE19" s="523">
        <v>19</v>
      </c>
      <c r="AF19" s="525">
        <v>1334.7692307692323</v>
      </c>
      <c r="AG19" s="525">
        <v>70.251012145749073</v>
      </c>
      <c r="AH19" s="523">
        <f t="shared" si="6"/>
        <v>17</v>
      </c>
      <c r="AI19" s="685"/>
      <c r="AJ19" s="523">
        <v>19</v>
      </c>
      <c r="AK19" s="525">
        <v>1339.4594594594585</v>
      </c>
      <c r="AL19" s="525">
        <v>70.497866287339917</v>
      </c>
      <c r="AM19" s="523">
        <f t="shared" si="7"/>
        <v>17</v>
      </c>
      <c r="AN19" s="685"/>
      <c r="AO19" s="523">
        <v>19</v>
      </c>
      <c r="AP19" s="525">
        <v>1296.9767441860463</v>
      </c>
      <c r="AQ19" s="525">
        <v>68.261933904528746</v>
      </c>
      <c r="AR19" s="523">
        <f t="shared" si="8"/>
        <v>20</v>
      </c>
      <c r="AS19" s="685"/>
      <c r="AT19" s="523">
        <v>19</v>
      </c>
      <c r="AU19" s="525">
        <v>1304.1758241758243</v>
      </c>
      <c r="AV19" s="525">
        <v>68.640832851359178</v>
      </c>
      <c r="AW19" s="523">
        <f t="shared" si="9"/>
        <v>20</v>
      </c>
      <c r="AX19" s="685"/>
      <c r="AZ19" s="357" t="e">
        <f t="shared" si="10"/>
        <v>#N/A</v>
      </c>
      <c r="BA19" s="685"/>
    </row>
    <row r="20" spans="2:53">
      <c r="B20" s="671"/>
      <c r="C20" s="493">
        <v>14</v>
      </c>
      <c r="D20" s="196" t="s">
        <v>339</v>
      </c>
      <c r="E20" s="496">
        <v>19</v>
      </c>
      <c r="F20" s="196">
        <v>1440</v>
      </c>
      <c r="G20" s="194">
        <v>75.78947368421052</v>
      </c>
      <c r="H20" s="711"/>
      <c r="I20" s="496">
        <f t="shared" si="0"/>
        <v>19</v>
      </c>
      <c r="J20" s="496">
        <f t="shared" si="1"/>
        <v>1336.6741563090843</v>
      </c>
      <c r="K20" s="194">
        <f t="shared" si="2"/>
        <v>70.351271384688644</v>
      </c>
      <c r="L20" s="645"/>
      <c r="M20" s="506">
        <f>RANK(K20, K$7:$K$36)</f>
        <v>17</v>
      </c>
      <c r="N20" s="663"/>
      <c r="O20" s="663"/>
      <c r="P20" s="523">
        <v>19</v>
      </c>
      <c r="Q20" s="525">
        <v>1323.0769230769224</v>
      </c>
      <c r="R20" s="525">
        <v>69.635627530364332</v>
      </c>
      <c r="S20" s="523">
        <f t="shared" si="3"/>
        <v>19</v>
      </c>
      <c r="T20" s="685"/>
      <c r="U20" s="523">
        <v>19</v>
      </c>
      <c r="V20" s="525">
        <v>1353.4285714285702</v>
      </c>
      <c r="W20" s="525">
        <v>71.233082706766851</v>
      </c>
      <c r="X20" s="523">
        <f t="shared" si="4"/>
        <v>15</v>
      </c>
      <c r="Y20" s="685"/>
      <c r="Z20" s="523">
        <v>19</v>
      </c>
      <c r="AA20" s="525">
        <v>1346.896551724139</v>
      </c>
      <c r="AB20" s="525">
        <v>70.889292196007318</v>
      </c>
      <c r="AC20" s="523">
        <f t="shared" si="5"/>
        <v>18</v>
      </c>
      <c r="AD20" s="685"/>
      <c r="AE20" s="523">
        <v>19</v>
      </c>
      <c r="AF20" s="525">
        <v>1320.9523809523823</v>
      </c>
      <c r="AG20" s="525">
        <v>69.523809523809589</v>
      </c>
      <c r="AH20" s="523">
        <f t="shared" si="6"/>
        <v>19</v>
      </c>
      <c r="AI20" s="685"/>
      <c r="AJ20" s="523">
        <v>19</v>
      </c>
      <c r="AK20" s="525">
        <v>1327.2413793103458</v>
      </c>
      <c r="AL20" s="525">
        <v>69.854809437386621</v>
      </c>
      <c r="AM20" s="523">
        <f t="shared" si="7"/>
        <v>19</v>
      </c>
      <c r="AN20" s="685"/>
      <c r="AO20" s="523">
        <v>19</v>
      </c>
      <c r="AP20" s="525">
        <v>1347.123287671232</v>
      </c>
      <c r="AQ20" s="525">
        <v>70.901225666906953</v>
      </c>
      <c r="AR20" s="523">
        <f t="shared" si="8"/>
        <v>17</v>
      </c>
      <c r="AS20" s="685"/>
      <c r="AT20" s="523">
        <v>19</v>
      </c>
      <c r="AU20" s="525">
        <v>1337.9999999999986</v>
      </c>
      <c r="AV20" s="525">
        <v>70.421052631578874</v>
      </c>
      <c r="AW20" s="523">
        <f t="shared" si="9"/>
        <v>18</v>
      </c>
      <c r="AX20" s="685"/>
      <c r="AZ20" s="357" t="e">
        <f t="shared" si="10"/>
        <v>#N/A</v>
      </c>
      <c r="BA20" s="685"/>
    </row>
    <row r="21" spans="2:53">
      <c r="B21" s="671"/>
      <c r="C21" s="493">
        <v>15</v>
      </c>
      <c r="D21" s="196" t="s">
        <v>731</v>
      </c>
      <c r="E21" s="496">
        <v>18</v>
      </c>
      <c r="F21" s="196">
        <v>1500</v>
      </c>
      <c r="G21" s="194">
        <v>83.333333333333329</v>
      </c>
      <c r="H21" s="711"/>
      <c r="I21" s="496">
        <f t="shared" si="0"/>
        <v>18</v>
      </c>
      <c r="J21" s="496">
        <f t="shared" si="1"/>
        <v>1293.6281597676793</v>
      </c>
      <c r="K21" s="194">
        <f t="shared" si="2"/>
        <v>71.868231098204404</v>
      </c>
      <c r="L21" s="645"/>
      <c r="M21" s="506">
        <f>RANK(K21, K$7:$K$36)</f>
        <v>16</v>
      </c>
      <c r="N21" s="663"/>
      <c r="O21" s="663"/>
      <c r="P21" s="523">
        <v>18</v>
      </c>
      <c r="Q21" s="525">
        <v>1308.4210526315799</v>
      </c>
      <c r="R21" s="525">
        <v>72.690058479532212</v>
      </c>
      <c r="S21" s="523">
        <f t="shared" si="3"/>
        <v>16</v>
      </c>
      <c r="T21" s="685"/>
      <c r="U21" s="523">
        <v>18</v>
      </c>
      <c r="V21" s="525">
        <v>1201.7454545454586</v>
      </c>
      <c r="W21" s="525">
        <v>66.763636363636593</v>
      </c>
      <c r="X21" s="523">
        <f t="shared" si="4"/>
        <v>20</v>
      </c>
      <c r="Y21" s="685"/>
      <c r="Z21" s="523">
        <v>18</v>
      </c>
      <c r="AA21" s="525">
        <v>1315.6363636363644</v>
      </c>
      <c r="AB21" s="525">
        <v>73.090909090909136</v>
      </c>
      <c r="AC21" s="523">
        <f t="shared" si="5"/>
        <v>16</v>
      </c>
      <c r="AD21" s="685"/>
      <c r="AE21" s="523">
        <v>18</v>
      </c>
      <c r="AF21" s="525">
        <v>1298.1818181818182</v>
      </c>
      <c r="AG21" s="525">
        <v>72.121212121212125</v>
      </c>
      <c r="AH21" s="523">
        <f t="shared" si="6"/>
        <v>16</v>
      </c>
      <c r="AI21" s="685"/>
      <c r="AJ21" s="523">
        <v>18</v>
      </c>
      <c r="AK21" s="525">
        <v>1330.6666666666665</v>
      </c>
      <c r="AL21" s="525">
        <v>73.925925925925924</v>
      </c>
      <c r="AM21" s="523">
        <f t="shared" si="7"/>
        <v>16</v>
      </c>
      <c r="AN21" s="685"/>
      <c r="AO21" s="523">
        <v>18</v>
      </c>
      <c r="AP21" s="525">
        <v>1304.7457627118656</v>
      </c>
      <c r="AQ21" s="525">
        <v>72.485875706214756</v>
      </c>
      <c r="AR21" s="523">
        <f t="shared" si="8"/>
        <v>16</v>
      </c>
      <c r="AS21" s="685"/>
      <c r="AT21" s="523">
        <v>18</v>
      </c>
      <c r="AU21" s="525">
        <v>1296.0000000000014</v>
      </c>
      <c r="AV21" s="525">
        <v>72.000000000000071</v>
      </c>
      <c r="AW21" s="523">
        <f t="shared" si="9"/>
        <v>16</v>
      </c>
      <c r="AX21" s="685"/>
      <c r="AZ21" s="357" t="e">
        <f t="shared" si="10"/>
        <v>#N/A</v>
      </c>
      <c r="BA21" s="685"/>
    </row>
    <row r="22" spans="2:53">
      <c r="B22" s="671"/>
      <c r="C22" s="493">
        <v>16</v>
      </c>
      <c r="D22" s="196" t="s">
        <v>501</v>
      </c>
      <c r="E22" s="496">
        <v>17</v>
      </c>
      <c r="F22" s="196">
        <v>1440</v>
      </c>
      <c r="G22" s="194">
        <v>84.705882352941174</v>
      </c>
      <c r="H22" s="711"/>
      <c r="I22" s="496">
        <f t="shared" si="0"/>
        <v>17</v>
      </c>
      <c r="J22" s="496">
        <f t="shared" si="1"/>
        <v>1335.3906617891728</v>
      </c>
      <c r="K22" s="194">
        <f t="shared" si="2"/>
        <v>78.552391869951336</v>
      </c>
      <c r="L22" s="645"/>
      <c r="M22" s="506">
        <f>RANK(K22, K$7:$K$36)</f>
        <v>12</v>
      </c>
      <c r="N22" s="663"/>
      <c r="O22" s="663"/>
      <c r="P22" s="523">
        <v>17</v>
      </c>
      <c r="Q22" s="525">
        <v>1361.5384615384608</v>
      </c>
      <c r="R22" s="525">
        <v>80.090497737556518</v>
      </c>
      <c r="S22" s="523">
        <f t="shared" si="3"/>
        <v>11</v>
      </c>
      <c r="T22" s="685"/>
      <c r="U22" s="523">
        <v>17</v>
      </c>
      <c r="V22" s="525">
        <v>1370.5263157894726</v>
      </c>
      <c r="W22" s="525">
        <v>80.619195046439572</v>
      </c>
      <c r="X22" s="523">
        <f t="shared" si="4"/>
        <v>11</v>
      </c>
      <c r="Y22" s="685"/>
      <c r="Z22" s="523">
        <v>17</v>
      </c>
      <c r="AA22" s="525">
        <v>1319.9999999999982</v>
      </c>
      <c r="AB22" s="525">
        <v>77.647058823529306</v>
      </c>
      <c r="AC22" s="523">
        <f t="shared" si="5"/>
        <v>14</v>
      </c>
      <c r="AD22" s="685"/>
      <c r="AE22" s="523">
        <v>17</v>
      </c>
      <c r="AF22" s="525">
        <v>1347.2727272727254</v>
      </c>
      <c r="AG22" s="525">
        <v>79.251336898395607</v>
      </c>
      <c r="AH22" s="523">
        <f t="shared" si="6"/>
        <v>11</v>
      </c>
      <c r="AI22" s="685"/>
      <c r="AJ22" s="523">
        <v>17</v>
      </c>
      <c r="AK22" s="525">
        <v>1344.6153846153838</v>
      </c>
      <c r="AL22" s="525">
        <v>79.09502262443435</v>
      </c>
      <c r="AM22" s="523">
        <f t="shared" si="7"/>
        <v>12</v>
      </c>
      <c r="AN22" s="685"/>
      <c r="AO22" s="523">
        <v>17</v>
      </c>
      <c r="AP22" s="525">
        <v>1305.4838709677433</v>
      </c>
      <c r="AQ22" s="525">
        <v>76.793168880455482</v>
      </c>
      <c r="AR22" s="523">
        <f t="shared" si="8"/>
        <v>15</v>
      </c>
      <c r="AS22" s="685"/>
      <c r="AT22" s="523">
        <v>17</v>
      </c>
      <c r="AU22" s="525">
        <v>1298.2978723404256</v>
      </c>
      <c r="AV22" s="525">
        <v>76.370463078848559</v>
      </c>
      <c r="AW22" s="523">
        <f t="shared" si="9"/>
        <v>14</v>
      </c>
      <c r="AX22" s="685"/>
      <c r="AZ22" s="357" t="e">
        <f t="shared" si="10"/>
        <v>#N/A</v>
      </c>
      <c r="BA22" s="685"/>
    </row>
    <row r="23" spans="2:53">
      <c r="B23" s="671"/>
      <c r="C23" s="493">
        <v>17</v>
      </c>
      <c r="D23" s="196" t="s">
        <v>580</v>
      </c>
      <c r="E23" s="496">
        <v>16</v>
      </c>
      <c r="F23" s="196">
        <v>1636</v>
      </c>
      <c r="G23" s="194">
        <v>102.25</v>
      </c>
      <c r="H23" s="711"/>
      <c r="I23" s="496">
        <f t="shared" si="0"/>
        <v>16</v>
      </c>
      <c r="J23" s="496">
        <f t="shared" si="1"/>
        <v>1207.0715447540567</v>
      </c>
      <c r="K23" s="194">
        <f t="shared" si="2"/>
        <v>75.441971547128546</v>
      </c>
      <c r="L23" s="645"/>
      <c r="M23" s="506">
        <f>RANK(K23, K$7:$K$36)</f>
        <v>15</v>
      </c>
      <c r="N23" s="663"/>
      <c r="O23" s="663"/>
      <c r="P23" s="523">
        <v>16</v>
      </c>
      <c r="Q23" s="525">
        <v>1389.9999999999995</v>
      </c>
      <c r="R23" s="525">
        <v>86.874999999999972</v>
      </c>
      <c r="S23" s="523">
        <f t="shared" si="3"/>
        <v>6</v>
      </c>
      <c r="T23" s="685"/>
      <c r="U23" s="523">
        <v>16</v>
      </c>
      <c r="V23" s="525">
        <v>0</v>
      </c>
      <c r="W23" s="525">
        <v>0</v>
      </c>
      <c r="X23" s="523">
        <f t="shared" si="4"/>
        <v>25</v>
      </c>
      <c r="Y23" s="685"/>
      <c r="Z23" s="523">
        <v>16</v>
      </c>
      <c r="AA23" s="525">
        <v>1449.9999999999975</v>
      </c>
      <c r="AB23" s="525">
        <v>90.624999999999844</v>
      </c>
      <c r="AC23" s="523">
        <f t="shared" si="5"/>
        <v>6</v>
      </c>
      <c r="AD23" s="685"/>
      <c r="AE23" s="523">
        <v>16</v>
      </c>
      <c r="AF23" s="525">
        <v>1441.9354838709653</v>
      </c>
      <c r="AG23" s="525">
        <v>90.120967741935331</v>
      </c>
      <c r="AH23" s="523">
        <f t="shared" si="6"/>
        <v>6</v>
      </c>
      <c r="AI23" s="685"/>
      <c r="AJ23" s="523">
        <v>16</v>
      </c>
      <c r="AK23" s="525">
        <v>1463.6842105263147</v>
      </c>
      <c r="AL23" s="525">
        <v>91.480263157894669</v>
      </c>
      <c r="AM23" s="523">
        <f t="shared" si="7"/>
        <v>6</v>
      </c>
      <c r="AN23" s="685"/>
      <c r="AO23" s="523">
        <v>16</v>
      </c>
      <c r="AP23" s="525">
        <v>1336.1538461538469</v>
      </c>
      <c r="AQ23" s="525">
        <v>83.509615384615429</v>
      </c>
      <c r="AR23" s="523">
        <f t="shared" si="8"/>
        <v>6</v>
      </c>
      <c r="AS23" s="685"/>
      <c r="AT23" s="523">
        <v>16</v>
      </c>
      <c r="AU23" s="525">
        <v>1367.7272727272727</v>
      </c>
      <c r="AV23" s="525">
        <v>85.482954545454547</v>
      </c>
      <c r="AW23" s="523">
        <f t="shared" si="9"/>
        <v>6</v>
      </c>
      <c r="AX23" s="685"/>
      <c r="AZ23" s="357" t="e">
        <f t="shared" si="10"/>
        <v>#N/A</v>
      </c>
      <c r="BA23" s="685"/>
    </row>
    <row r="24" spans="2:53">
      <c r="B24" s="671"/>
      <c r="C24" s="493">
        <v>18</v>
      </c>
      <c r="D24" s="196" t="s">
        <v>732</v>
      </c>
      <c r="E24" s="496">
        <v>16</v>
      </c>
      <c r="F24" s="196">
        <v>1500</v>
      </c>
      <c r="G24" s="194">
        <v>93.75</v>
      </c>
      <c r="H24" s="711"/>
      <c r="I24" s="496">
        <f t="shared" si="0"/>
        <v>16</v>
      </c>
      <c r="J24" s="496">
        <f t="shared" si="1"/>
        <v>1312.7603024121277</v>
      </c>
      <c r="K24" s="194">
        <f t="shared" si="2"/>
        <v>82.047518900757979</v>
      </c>
      <c r="L24" s="645"/>
      <c r="M24" s="506">
        <f>RANK(K24, K$7:$K$36)</f>
        <v>8</v>
      </c>
      <c r="N24" s="663"/>
      <c r="O24" s="663"/>
      <c r="P24" s="523">
        <v>16</v>
      </c>
      <c r="Q24" s="525">
        <v>1330.4347826086957</v>
      </c>
      <c r="R24" s="525">
        <v>83.152173913043484</v>
      </c>
      <c r="S24" s="523">
        <f t="shared" si="3"/>
        <v>8</v>
      </c>
      <c r="T24" s="685"/>
      <c r="U24" s="523">
        <v>16</v>
      </c>
      <c r="V24" s="525">
        <v>1300.8510638297876</v>
      </c>
      <c r="W24" s="525">
        <v>81.303191489361723</v>
      </c>
      <c r="X24" s="523">
        <f t="shared" si="4"/>
        <v>9</v>
      </c>
      <c r="Y24" s="685"/>
      <c r="Z24" s="523">
        <v>16</v>
      </c>
      <c r="AA24" s="525">
        <v>1304.2105263157887</v>
      </c>
      <c r="AB24" s="525">
        <v>81.513157894736793</v>
      </c>
      <c r="AC24" s="523">
        <f t="shared" si="5"/>
        <v>10</v>
      </c>
      <c r="AD24" s="685"/>
      <c r="AE24" s="523">
        <v>16</v>
      </c>
      <c r="AF24" s="525">
        <v>1328.1081081081072</v>
      </c>
      <c r="AG24" s="525">
        <v>83.006756756756701</v>
      </c>
      <c r="AH24" s="523">
        <f t="shared" si="6"/>
        <v>8</v>
      </c>
      <c r="AI24" s="685"/>
      <c r="AJ24" s="523">
        <v>16</v>
      </c>
      <c r="AK24" s="525">
        <v>1309.7560975609751</v>
      </c>
      <c r="AL24" s="525">
        <v>81.859756097560947</v>
      </c>
      <c r="AM24" s="523">
        <f t="shared" si="7"/>
        <v>10</v>
      </c>
      <c r="AN24" s="685"/>
      <c r="AO24" s="523">
        <v>16</v>
      </c>
      <c r="AP24" s="525">
        <v>1323.4615384615392</v>
      </c>
      <c r="AQ24" s="525">
        <v>82.716346153846203</v>
      </c>
      <c r="AR24" s="523">
        <f t="shared" si="8"/>
        <v>7</v>
      </c>
      <c r="AS24" s="685"/>
      <c r="AT24" s="523">
        <v>16</v>
      </c>
      <c r="AU24" s="525">
        <v>1292.5000000000002</v>
      </c>
      <c r="AV24" s="525">
        <v>80.781250000000014</v>
      </c>
      <c r="AW24" s="523">
        <f t="shared" si="9"/>
        <v>7</v>
      </c>
      <c r="AX24" s="685"/>
      <c r="AZ24" s="357" t="e">
        <f t="shared" si="10"/>
        <v>#N/A</v>
      </c>
      <c r="BA24" s="685"/>
    </row>
    <row r="25" spans="2:53">
      <c r="B25" s="671"/>
      <c r="C25" s="493">
        <v>19</v>
      </c>
      <c r="D25" s="196" t="s">
        <v>733</v>
      </c>
      <c r="E25" s="496">
        <v>16</v>
      </c>
      <c r="F25" s="196">
        <v>1500</v>
      </c>
      <c r="G25" s="194">
        <v>93.75</v>
      </c>
      <c r="H25" s="711"/>
      <c r="I25" s="496">
        <f t="shared" si="0"/>
        <v>16</v>
      </c>
      <c r="J25" s="496">
        <f t="shared" si="1"/>
        <v>1328.6298540836885</v>
      </c>
      <c r="K25" s="194">
        <f t="shared" si="2"/>
        <v>83.039365880230534</v>
      </c>
      <c r="L25" s="645"/>
      <c r="M25" s="506">
        <f>RANK(K25, K$7:$K$36)</f>
        <v>6</v>
      </c>
      <c r="N25" s="663"/>
      <c r="O25" s="663"/>
      <c r="P25" s="523">
        <v>16</v>
      </c>
      <c r="Q25" s="525">
        <v>1331.8181818181831</v>
      </c>
      <c r="R25" s="525">
        <v>83.238636363636445</v>
      </c>
      <c r="S25" s="523">
        <f t="shared" si="3"/>
        <v>7</v>
      </c>
      <c r="T25" s="685"/>
      <c r="U25" s="523">
        <v>16</v>
      </c>
      <c r="V25" s="525">
        <v>1348.5245901639357</v>
      </c>
      <c r="W25" s="525">
        <v>84.282786885245983</v>
      </c>
      <c r="X25" s="523">
        <f t="shared" si="4"/>
        <v>6</v>
      </c>
      <c r="Y25" s="685"/>
      <c r="Z25" s="523">
        <v>16</v>
      </c>
      <c r="AA25" s="525">
        <v>1361.2500000000005</v>
      </c>
      <c r="AB25" s="525">
        <v>85.078125000000028</v>
      </c>
      <c r="AC25" s="523">
        <f t="shared" si="5"/>
        <v>7</v>
      </c>
      <c r="AD25" s="685"/>
      <c r="AE25" s="523">
        <v>16</v>
      </c>
      <c r="AF25" s="525">
        <v>1330.9090909090919</v>
      </c>
      <c r="AG25" s="525">
        <v>83.181818181818244</v>
      </c>
      <c r="AH25" s="523">
        <f t="shared" si="6"/>
        <v>7</v>
      </c>
      <c r="AI25" s="685"/>
      <c r="AJ25" s="523">
        <v>16</v>
      </c>
      <c r="AK25" s="525">
        <v>1347.0967741935494</v>
      </c>
      <c r="AL25" s="525">
        <v>84.19354838709684</v>
      </c>
      <c r="AM25" s="523">
        <f t="shared" si="7"/>
        <v>7</v>
      </c>
      <c r="AN25" s="685"/>
      <c r="AO25" s="523">
        <v>16</v>
      </c>
      <c r="AP25" s="525">
        <v>1291.2328767123277</v>
      </c>
      <c r="AQ25" s="525">
        <v>80.702054794520478</v>
      </c>
      <c r="AR25" s="523">
        <f t="shared" si="8"/>
        <v>10</v>
      </c>
      <c r="AS25" s="685"/>
      <c r="AT25" s="523">
        <v>16</v>
      </c>
      <c r="AU25" s="525">
        <v>1289.577464788731</v>
      </c>
      <c r="AV25" s="525">
        <v>80.598591549295691</v>
      </c>
      <c r="AW25" s="523">
        <f t="shared" si="9"/>
        <v>8</v>
      </c>
      <c r="AX25" s="685"/>
      <c r="AZ25" s="357" t="e">
        <f t="shared" si="10"/>
        <v>#N/A</v>
      </c>
      <c r="BA25" s="685"/>
    </row>
    <row r="26" spans="2:53">
      <c r="B26" s="671"/>
      <c r="C26" s="493">
        <v>20</v>
      </c>
      <c r="D26" s="196" t="s">
        <v>596</v>
      </c>
      <c r="E26" s="496">
        <v>19</v>
      </c>
      <c r="F26" s="196">
        <v>1440</v>
      </c>
      <c r="G26" s="194">
        <v>75.78947368421052</v>
      </c>
      <c r="H26" s="711"/>
      <c r="I26" s="496">
        <f t="shared" si="0"/>
        <v>19</v>
      </c>
      <c r="J26" s="496">
        <f t="shared" si="1"/>
        <v>1276.4847795620033</v>
      </c>
      <c r="K26" s="194">
        <f t="shared" si="2"/>
        <v>67.183409450631743</v>
      </c>
      <c r="L26" s="645"/>
      <c r="M26" s="506">
        <f>RANK(K26, K$7:$K$36)</f>
        <v>21</v>
      </c>
      <c r="N26" s="663"/>
      <c r="O26" s="663"/>
      <c r="P26" s="523">
        <v>19</v>
      </c>
      <c r="Q26" s="525">
        <v>1278.7500000000005</v>
      </c>
      <c r="R26" s="525">
        <v>67.302631578947398</v>
      </c>
      <c r="S26" s="523">
        <f t="shared" si="3"/>
        <v>22</v>
      </c>
      <c r="T26" s="685"/>
      <c r="U26" s="523">
        <v>19</v>
      </c>
      <c r="V26" s="525">
        <v>1267.2000000000003</v>
      </c>
      <c r="W26" s="525">
        <v>66.694736842105272</v>
      </c>
      <c r="X26" s="523">
        <f t="shared" si="4"/>
        <v>21</v>
      </c>
      <c r="Y26" s="685"/>
      <c r="Z26" s="523">
        <v>19</v>
      </c>
      <c r="AA26" s="525">
        <v>1321.6216216216205</v>
      </c>
      <c r="AB26" s="525">
        <v>69.559032716927391</v>
      </c>
      <c r="AC26" s="523">
        <f t="shared" si="5"/>
        <v>21</v>
      </c>
      <c r="AD26" s="685"/>
      <c r="AE26" s="523">
        <v>19</v>
      </c>
      <c r="AF26" s="525">
        <v>1287.5675675675666</v>
      </c>
      <c r="AG26" s="525">
        <v>67.766714082503498</v>
      </c>
      <c r="AH26" s="523">
        <f t="shared" si="6"/>
        <v>21</v>
      </c>
      <c r="AI26" s="685"/>
      <c r="AJ26" s="523">
        <v>19</v>
      </c>
      <c r="AK26" s="525">
        <v>1302.6666666666667</v>
      </c>
      <c r="AL26" s="525">
        <v>68.561403508771932</v>
      </c>
      <c r="AM26" s="523">
        <f t="shared" si="7"/>
        <v>21</v>
      </c>
      <c r="AN26" s="685"/>
      <c r="AO26" s="523">
        <v>19</v>
      </c>
      <c r="AP26" s="525">
        <v>1249.2857142857151</v>
      </c>
      <c r="AQ26" s="525">
        <v>65.751879699248164</v>
      </c>
      <c r="AR26" s="523">
        <f t="shared" si="8"/>
        <v>22</v>
      </c>
      <c r="AS26" s="685"/>
      <c r="AT26" s="523">
        <v>19</v>
      </c>
      <c r="AU26" s="525">
        <v>1228.3018867924536</v>
      </c>
      <c r="AV26" s="525">
        <v>64.647467725918617</v>
      </c>
      <c r="AW26" s="523">
        <f t="shared" si="9"/>
        <v>22</v>
      </c>
      <c r="AX26" s="685"/>
      <c r="AZ26" s="357" t="e">
        <f t="shared" si="10"/>
        <v>#N/A</v>
      </c>
      <c r="BA26" s="685"/>
    </row>
    <row r="27" spans="2:53">
      <c r="B27" s="671"/>
      <c r="C27" s="493">
        <v>21</v>
      </c>
      <c r="D27" s="196" t="s">
        <v>644</v>
      </c>
      <c r="E27" s="496">
        <v>21</v>
      </c>
      <c r="F27" s="196">
        <v>1440</v>
      </c>
      <c r="G27" s="194">
        <v>68.571428571428569</v>
      </c>
      <c r="H27" s="711"/>
      <c r="I27" s="496">
        <f t="shared" si="0"/>
        <v>20.714285714285715</v>
      </c>
      <c r="J27" s="496">
        <f t="shared" si="1"/>
        <v>1091.4408852471554</v>
      </c>
      <c r="K27" s="194">
        <f t="shared" si="2"/>
        <v>52.737118643758699</v>
      </c>
      <c r="L27" s="645"/>
      <c r="M27" s="506">
        <f>RANK(K27, K$7:$K$36)</f>
        <v>25</v>
      </c>
      <c r="N27" s="663"/>
      <c r="O27" s="663"/>
      <c r="P27" s="523">
        <v>21</v>
      </c>
      <c r="Q27" s="525">
        <v>1100.5714285714275</v>
      </c>
      <c r="R27" s="525">
        <v>52.408163265306072</v>
      </c>
      <c r="S27" s="523">
        <f t="shared" si="3"/>
        <v>25</v>
      </c>
      <c r="T27" s="685"/>
      <c r="U27" s="523">
        <v>21</v>
      </c>
      <c r="V27" s="525">
        <v>1109.142857142856</v>
      </c>
      <c r="W27" s="525">
        <v>52.816326530612187</v>
      </c>
      <c r="X27" s="523">
        <f t="shared" si="4"/>
        <v>24</v>
      </c>
      <c r="Y27" s="685"/>
      <c r="Z27" s="523">
        <v>21</v>
      </c>
      <c r="AA27" s="525">
        <v>971.53846153845905</v>
      </c>
      <c r="AB27" s="525">
        <v>46.263736263736142</v>
      </c>
      <c r="AC27" s="523">
        <f t="shared" si="5"/>
        <v>25</v>
      </c>
      <c r="AD27" s="685"/>
      <c r="AE27" s="523">
        <v>20</v>
      </c>
      <c r="AF27" s="525">
        <v>1137.599999999997</v>
      </c>
      <c r="AG27" s="525">
        <v>56.879999999999846</v>
      </c>
      <c r="AH27" s="523">
        <f t="shared" si="6"/>
        <v>25</v>
      </c>
      <c r="AI27" s="685"/>
      <c r="AJ27" s="523">
        <v>21</v>
      </c>
      <c r="AK27" s="525">
        <v>1129.999999999998</v>
      </c>
      <c r="AL27" s="525">
        <v>53.809523809523711</v>
      </c>
      <c r="AM27" s="523">
        <f t="shared" si="7"/>
        <v>25</v>
      </c>
      <c r="AN27" s="685"/>
      <c r="AO27" s="523">
        <v>20</v>
      </c>
      <c r="AP27" s="525">
        <v>1107.8048780487802</v>
      </c>
      <c r="AQ27" s="525">
        <v>55.390243902439011</v>
      </c>
      <c r="AR27" s="523">
        <f t="shared" si="8"/>
        <v>25</v>
      </c>
      <c r="AS27" s="685"/>
      <c r="AT27" s="523">
        <v>21</v>
      </c>
      <c r="AU27" s="525">
        <v>1083.4285714285704</v>
      </c>
      <c r="AV27" s="525">
        <v>51.591836734693828</v>
      </c>
      <c r="AW27" s="523">
        <f t="shared" si="9"/>
        <v>25</v>
      </c>
      <c r="AX27" s="685"/>
      <c r="AZ27" s="357" t="e">
        <f t="shared" si="10"/>
        <v>#N/A</v>
      </c>
      <c r="BA27" s="685"/>
    </row>
    <row r="28" spans="2:53">
      <c r="B28" s="671"/>
      <c r="C28" s="493">
        <v>22</v>
      </c>
      <c r="D28" s="196" t="s">
        <v>645</v>
      </c>
      <c r="E28" s="496">
        <v>19</v>
      </c>
      <c r="F28" s="196">
        <v>1440</v>
      </c>
      <c r="G28" s="194">
        <v>75.78947368421052</v>
      </c>
      <c r="H28" s="711"/>
      <c r="I28" s="496">
        <f t="shared" si="0"/>
        <v>19</v>
      </c>
      <c r="J28" s="496">
        <f t="shared" si="1"/>
        <v>1330.4167642793484</v>
      </c>
      <c r="K28" s="194">
        <f t="shared" si="2"/>
        <v>70.021934962070958</v>
      </c>
      <c r="L28" s="645"/>
      <c r="M28" s="506">
        <f>RANK(K28, K$7:$K$36)</f>
        <v>18</v>
      </c>
      <c r="N28" s="663"/>
      <c r="O28" s="663"/>
      <c r="P28" s="523">
        <v>19</v>
      </c>
      <c r="Q28" s="525">
        <v>1318.9830508474586</v>
      </c>
      <c r="R28" s="525">
        <v>69.420160570918867</v>
      </c>
      <c r="S28" s="523">
        <f t="shared" si="3"/>
        <v>20</v>
      </c>
      <c r="T28" s="685"/>
      <c r="U28" s="523">
        <v>19</v>
      </c>
      <c r="V28" s="525">
        <v>1340.0000000000009</v>
      </c>
      <c r="W28" s="525">
        <v>70.526315789473728</v>
      </c>
      <c r="X28" s="523">
        <f t="shared" si="4"/>
        <v>16</v>
      </c>
      <c r="Y28" s="685"/>
      <c r="Z28" s="523">
        <v>19</v>
      </c>
      <c r="AA28" s="525">
        <v>1327.8260869565217</v>
      </c>
      <c r="AB28" s="525">
        <v>69.885583524027467</v>
      </c>
      <c r="AC28" s="523">
        <f t="shared" si="5"/>
        <v>20</v>
      </c>
      <c r="AD28" s="685"/>
      <c r="AE28" s="523">
        <v>19</v>
      </c>
      <c r="AF28" s="525">
        <v>1324.8979591836739</v>
      </c>
      <c r="AG28" s="525">
        <v>69.731471535982834</v>
      </c>
      <c r="AH28" s="523">
        <f t="shared" si="6"/>
        <v>18</v>
      </c>
      <c r="AI28" s="685"/>
      <c r="AJ28" s="523">
        <v>19</v>
      </c>
      <c r="AK28" s="525">
        <v>1331.3793103448284</v>
      </c>
      <c r="AL28" s="525">
        <v>70.072595281306761</v>
      </c>
      <c r="AM28" s="523">
        <f t="shared" si="7"/>
        <v>18</v>
      </c>
      <c r="AN28" s="685"/>
      <c r="AO28" s="523">
        <v>19</v>
      </c>
      <c r="AP28" s="525">
        <v>1313.4375000000016</v>
      </c>
      <c r="AQ28" s="525">
        <v>69.128289473684291</v>
      </c>
      <c r="AR28" s="523">
        <f t="shared" si="8"/>
        <v>18</v>
      </c>
      <c r="AS28" s="685"/>
      <c r="AT28" s="523">
        <v>19</v>
      </c>
      <c r="AU28" s="525">
        <v>1356.3934426229521</v>
      </c>
      <c r="AV28" s="525">
        <v>71.389128559102744</v>
      </c>
      <c r="AW28" s="523">
        <f t="shared" si="9"/>
        <v>17</v>
      </c>
      <c r="AX28" s="685"/>
      <c r="AZ28" s="357" t="e">
        <f t="shared" si="10"/>
        <v>#N/A</v>
      </c>
      <c r="BA28" s="685"/>
    </row>
    <row r="29" spans="2:53">
      <c r="B29" s="671"/>
      <c r="C29" s="493">
        <v>23</v>
      </c>
      <c r="D29" s="196" t="s">
        <v>669</v>
      </c>
      <c r="E29" s="496">
        <v>14</v>
      </c>
      <c r="F29" s="196">
        <v>1440</v>
      </c>
      <c r="G29" s="194">
        <v>102.85714285714286</v>
      </c>
      <c r="H29" s="711"/>
      <c r="I29" s="496">
        <f t="shared" si="0"/>
        <v>14</v>
      </c>
      <c r="J29" s="496">
        <f t="shared" si="1"/>
        <v>1320.2829807526989</v>
      </c>
      <c r="K29" s="194">
        <f t="shared" si="2"/>
        <v>94.30592719662134</v>
      </c>
      <c r="L29" s="645"/>
      <c r="M29" s="506">
        <f>RANK(K29, K$7:$K$36)</f>
        <v>3</v>
      </c>
      <c r="N29" s="663"/>
      <c r="O29" s="663"/>
      <c r="P29" s="523">
        <v>14</v>
      </c>
      <c r="Q29" s="525">
        <v>1312.5000000000016</v>
      </c>
      <c r="R29" s="525">
        <v>93.750000000000114</v>
      </c>
      <c r="S29" s="523">
        <f t="shared" si="3"/>
        <v>3</v>
      </c>
      <c r="T29" s="685"/>
      <c r="U29" s="523">
        <v>14</v>
      </c>
      <c r="V29" s="525">
        <v>1308.3870967741948</v>
      </c>
      <c r="W29" s="525">
        <v>93.456221198156769</v>
      </c>
      <c r="X29" s="523">
        <f t="shared" si="4"/>
        <v>5</v>
      </c>
      <c r="Y29" s="685"/>
      <c r="Z29" s="523">
        <v>14</v>
      </c>
      <c r="AA29" s="525">
        <v>1331.0204081632658</v>
      </c>
      <c r="AB29" s="525">
        <v>95.07288629737613</v>
      </c>
      <c r="AC29" s="523">
        <f t="shared" si="5"/>
        <v>3</v>
      </c>
      <c r="AD29" s="685"/>
      <c r="AE29" s="523">
        <v>14</v>
      </c>
      <c r="AF29" s="525">
        <v>1305.5555555555561</v>
      </c>
      <c r="AG29" s="525">
        <v>93.253968253968296</v>
      </c>
      <c r="AH29" s="523">
        <f t="shared" si="6"/>
        <v>4</v>
      </c>
      <c r="AI29" s="685"/>
      <c r="AJ29" s="523">
        <v>14</v>
      </c>
      <c r="AK29" s="525">
        <v>1326.5454545454554</v>
      </c>
      <c r="AL29" s="525">
        <v>94.753246753246813</v>
      </c>
      <c r="AM29" s="523">
        <f t="shared" si="7"/>
        <v>5</v>
      </c>
      <c r="AN29" s="685"/>
      <c r="AO29" s="523">
        <v>14</v>
      </c>
      <c r="AP29" s="525">
        <v>1345.7142857142871</v>
      </c>
      <c r="AQ29" s="525">
        <v>96.122448979591937</v>
      </c>
      <c r="AR29" s="523">
        <f t="shared" si="8"/>
        <v>3</v>
      </c>
      <c r="AS29" s="685"/>
      <c r="AT29" s="523">
        <v>14</v>
      </c>
      <c r="AU29" s="525">
        <v>1312.2580645161304</v>
      </c>
      <c r="AV29" s="525">
        <v>93.732718894009309</v>
      </c>
      <c r="AW29" s="523">
        <f t="shared" si="9"/>
        <v>4</v>
      </c>
      <c r="AX29" s="685"/>
      <c r="AZ29" s="357" t="e">
        <f t="shared" si="10"/>
        <v>#N/A</v>
      </c>
      <c r="BA29" s="685"/>
    </row>
    <row r="30" spans="2:53">
      <c r="B30" s="671"/>
      <c r="C30" s="493">
        <v>24</v>
      </c>
      <c r="D30" s="196" t="s">
        <v>682</v>
      </c>
      <c r="E30" s="496">
        <v>21</v>
      </c>
      <c r="F30" s="196">
        <v>1385</v>
      </c>
      <c r="G30" s="194">
        <v>65.952380952380949</v>
      </c>
      <c r="H30" s="711"/>
      <c r="I30" s="496">
        <f t="shared" si="0"/>
        <v>20.571428571428573</v>
      </c>
      <c r="J30" s="496">
        <f t="shared" si="1"/>
        <v>1218.1266342296135</v>
      </c>
      <c r="K30" s="194">
        <f t="shared" si="2"/>
        <v>59.247296340518865</v>
      </c>
      <c r="L30" s="645"/>
      <c r="M30" s="506">
        <f>RANK(K30, K$7:$K$36)</f>
        <v>24</v>
      </c>
      <c r="N30" s="663"/>
      <c r="O30" s="663"/>
      <c r="P30" s="523">
        <v>21</v>
      </c>
      <c r="Q30" s="525">
        <v>1209.6000000000004</v>
      </c>
      <c r="R30" s="525">
        <v>57.600000000000016</v>
      </c>
      <c r="S30" s="523">
        <f t="shared" si="3"/>
        <v>24</v>
      </c>
      <c r="T30" s="685"/>
      <c r="U30" s="523">
        <v>20</v>
      </c>
      <c r="V30" s="525">
        <v>1221.4285714285722</v>
      </c>
      <c r="W30" s="525">
        <v>61.071428571428612</v>
      </c>
      <c r="X30" s="523">
        <f t="shared" si="4"/>
        <v>23</v>
      </c>
      <c r="Y30" s="685"/>
      <c r="Z30" s="523">
        <v>21</v>
      </c>
      <c r="AA30" s="525">
        <v>1235.5555555555561</v>
      </c>
      <c r="AB30" s="525">
        <v>58.835978835978864</v>
      </c>
      <c r="AC30" s="523">
        <f t="shared" si="5"/>
        <v>24</v>
      </c>
      <c r="AD30" s="685"/>
      <c r="AE30" s="523">
        <v>20</v>
      </c>
      <c r="AF30" s="525">
        <v>1214.6938775510207</v>
      </c>
      <c r="AG30" s="525">
        <v>60.734693877551038</v>
      </c>
      <c r="AH30" s="523">
        <f t="shared" si="6"/>
        <v>23</v>
      </c>
      <c r="AI30" s="685"/>
      <c r="AJ30" s="523">
        <v>20</v>
      </c>
      <c r="AK30" s="525">
        <v>1213.2000000000003</v>
      </c>
      <c r="AL30" s="525">
        <v>60.660000000000011</v>
      </c>
      <c r="AM30" s="523">
        <f t="shared" si="7"/>
        <v>24</v>
      </c>
      <c r="AN30" s="685"/>
      <c r="AO30" s="523">
        <v>21</v>
      </c>
      <c r="AP30" s="525">
        <v>1213.5849056603779</v>
      </c>
      <c r="AQ30" s="525">
        <v>57.789757412398949</v>
      </c>
      <c r="AR30" s="523">
        <f t="shared" si="8"/>
        <v>24</v>
      </c>
      <c r="AS30" s="685"/>
      <c r="AT30" s="523">
        <v>21</v>
      </c>
      <c r="AU30" s="525">
        <v>1218.8235294117653</v>
      </c>
      <c r="AV30" s="525">
        <v>58.039215686274538</v>
      </c>
      <c r="AW30" s="523">
        <f t="shared" si="9"/>
        <v>23</v>
      </c>
      <c r="AX30" s="685"/>
      <c r="AZ30" s="357" t="e">
        <f t="shared" si="10"/>
        <v>#N/A</v>
      </c>
      <c r="BA30" s="685"/>
    </row>
    <row r="31" spans="2:53">
      <c r="B31" s="671"/>
      <c r="C31" s="493">
        <v>25</v>
      </c>
      <c r="D31" s="196" t="s">
        <v>688</v>
      </c>
      <c r="E31" s="496">
        <v>14</v>
      </c>
      <c r="F31" s="196">
        <v>1440</v>
      </c>
      <c r="G31" s="194">
        <v>102.85714285714286</v>
      </c>
      <c r="H31" s="711"/>
      <c r="I31" s="496">
        <f t="shared" si="0"/>
        <v>14.142857142857142</v>
      </c>
      <c r="J31" s="496">
        <f t="shared" si="1"/>
        <v>1329.4273590120122</v>
      </c>
      <c r="K31" s="194">
        <f t="shared" si="2"/>
        <v>94.050412430546686</v>
      </c>
      <c r="L31" s="645"/>
      <c r="M31" s="506">
        <f>RANK(K31, K$7:$K$36)</f>
        <v>4</v>
      </c>
      <c r="N31" s="663"/>
      <c r="O31" s="663"/>
      <c r="P31" s="523">
        <v>15</v>
      </c>
      <c r="Q31" s="525">
        <v>1335.7664233576643</v>
      </c>
      <c r="R31" s="525">
        <v>89.051094890510953</v>
      </c>
      <c r="S31" s="523">
        <f t="shared" si="3"/>
        <v>4</v>
      </c>
      <c r="T31" s="685"/>
      <c r="U31" s="523">
        <v>14</v>
      </c>
      <c r="V31" s="525">
        <v>1342.9268292682923</v>
      </c>
      <c r="W31" s="525">
        <v>95.92334494773516</v>
      </c>
      <c r="X31" s="523">
        <f t="shared" si="4"/>
        <v>3</v>
      </c>
      <c r="Y31" s="685"/>
      <c r="Z31" s="523">
        <v>14</v>
      </c>
      <c r="AA31" s="525">
        <v>1324.799999999999</v>
      </c>
      <c r="AB31" s="525">
        <v>94.628571428571362</v>
      </c>
      <c r="AC31" s="523">
        <f t="shared" si="5"/>
        <v>5</v>
      </c>
      <c r="AD31" s="685"/>
      <c r="AE31" s="523">
        <v>14</v>
      </c>
      <c r="AF31" s="525">
        <v>1300.0000000000011</v>
      </c>
      <c r="AG31" s="525">
        <v>92.857142857142932</v>
      </c>
      <c r="AH31" s="523">
        <f t="shared" si="6"/>
        <v>5</v>
      </c>
      <c r="AI31" s="685"/>
      <c r="AJ31" s="523">
        <v>14</v>
      </c>
      <c r="AK31" s="525">
        <v>1328.4210526315801</v>
      </c>
      <c r="AL31" s="525">
        <v>94.88721804511286</v>
      </c>
      <c r="AM31" s="523">
        <f t="shared" si="7"/>
        <v>4</v>
      </c>
      <c r="AN31" s="685"/>
      <c r="AO31" s="523">
        <v>14</v>
      </c>
      <c r="AP31" s="525">
        <v>1341.2903225806465</v>
      </c>
      <c r="AQ31" s="525">
        <v>95.806451612903317</v>
      </c>
      <c r="AR31" s="523">
        <f t="shared" si="8"/>
        <v>4</v>
      </c>
      <c r="AS31" s="685"/>
      <c r="AT31" s="523">
        <v>14</v>
      </c>
      <c r="AU31" s="525">
        <v>1332.7868852459028</v>
      </c>
      <c r="AV31" s="525">
        <v>95.199063231850204</v>
      </c>
      <c r="AW31" s="523">
        <f t="shared" si="9"/>
        <v>3</v>
      </c>
      <c r="AX31" s="685"/>
      <c r="AZ31" s="357" t="e">
        <f t="shared" si="10"/>
        <v>#N/A</v>
      </c>
      <c r="BA31" s="685"/>
    </row>
    <row r="32" spans="2:53">
      <c r="B32" s="671"/>
      <c r="C32" s="493">
        <v>26</v>
      </c>
      <c r="D32" s="196"/>
      <c r="E32" s="496"/>
      <c r="F32" s="196"/>
      <c r="G32" s="194"/>
      <c r="H32" s="711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45"/>
      <c r="M32" s="506" t="e">
        <f>RANK(K32, K$7:$K$36)</f>
        <v>#VALUE!</v>
      </c>
      <c r="N32" s="663"/>
      <c r="O32" s="663"/>
      <c r="P32" s="523" t="s">
        <v>564</v>
      </c>
      <c r="Q32" s="525" t="s">
        <v>564</v>
      </c>
      <c r="R32" s="525" t="s">
        <v>564</v>
      </c>
      <c r="S32" s="523" t="e">
        <f t="shared" si="3"/>
        <v>#VALUE!</v>
      </c>
      <c r="T32" s="685"/>
      <c r="U32" s="523" t="s">
        <v>564</v>
      </c>
      <c r="V32" s="525" t="s">
        <v>564</v>
      </c>
      <c r="W32" s="525" t="s">
        <v>564</v>
      </c>
      <c r="X32" s="523" t="e">
        <f t="shared" si="4"/>
        <v>#VALUE!</v>
      </c>
      <c r="Y32" s="685"/>
      <c r="Z32" s="523" t="s">
        <v>564</v>
      </c>
      <c r="AA32" s="525" t="s">
        <v>564</v>
      </c>
      <c r="AB32" s="525" t="s">
        <v>564</v>
      </c>
      <c r="AC32" s="523" t="e">
        <f t="shared" si="5"/>
        <v>#VALUE!</v>
      </c>
      <c r="AD32" s="685"/>
      <c r="AE32" s="523" t="s">
        <v>564</v>
      </c>
      <c r="AF32" s="525" t="s">
        <v>564</v>
      </c>
      <c r="AG32" s="525" t="s">
        <v>564</v>
      </c>
      <c r="AH32" s="523" t="e">
        <f t="shared" si="6"/>
        <v>#VALUE!</v>
      </c>
      <c r="AI32" s="685"/>
      <c r="AJ32" s="523" t="s">
        <v>564</v>
      </c>
      <c r="AK32" s="525" t="s">
        <v>564</v>
      </c>
      <c r="AL32" s="525" t="s">
        <v>564</v>
      </c>
      <c r="AM32" s="523" t="e">
        <f t="shared" si="7"/>
        <v>#VALUE!</v>
      </c>
      <c r="AN32" s="685"/>
      <c r="AO32" s="523" t="s">
        <v>564</v>
      </c>
      <c r="AP32" s="525" t="s">
        <v>564</v>
      </c>
      <c r="AQ32" s="525" t="s">
        <v>564</v>
      </c>
      <c r="AR32" s="523" t="e">
        <f t="shared" si="8"/>
        <v>#VALUE!</v>
      </c>
      <c r="AS32" s="685"/>
      <c r="AT32" s="523" t="s">
        <v>564</v>
      </c>
      <c r="AU32" s="525" t="s">
        <v>564</v>
      </c>
      <c r="AV32" s="525" t="s">
        <v>564</v>
      </c>
      <c r="AW32" s="523" t="e">
        <f t="shared" si="9"/>
        <v>#VALUE!</v>
      </c>
      <c r="AX32" s="685"/>
      <c r="AZ32" s="357" t="e">
        <f t="shared" si="10"/>
        <v>#N/A</v>
      </c>
      <c r="BA32" s="685"/>
    </row>
    <row r="33" spans="2:53">
      <c r="B33" s="671"/>
      <c r="C33" s="493">
        <v>27</v>
      </c>
      <c r="D33" s="196"/>
      <c r="E33" s="496"/>
      <c r="F33" s="196"/>
      <c r="G33" s="194"/>
      <c r="H33" s="711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45"/>
      <c r="M33" s="506" t="e">
        <f>RANK(K33, K$7:$K$36)</f>
        <v>#VALUE!</v>
      </c>
      <c r="N33" s="663"/>
      <c r="O33" s="663"/>
      <c r="P33" s="523" t="s">
        <v>564</v>
      </c>
      <c r="Q33" s="525" t="s">
        <v>564</v>
      </c>
      <c r="R33" s="525" t="s">
        <v>564</v>
      </c>
      <c r="S33" s="523" t="e">
        <f t="shared" si="3"/>
        <v>#VALUE!</v>
      </c>
      <c r="T33" s="685"/>
      <c r="U33" s="523" t="s">
        <v>564</v>
      </c>
      <c r="V33" s="525" t="s">
        <v>564</v>
      </c>
      <c r="W33" s="525" t="s">
        <v>564</v>
      </c>
      <c r="X33" s="523" t="e">
        <f t="shared" si="4"/>
        <v>#VALUE!</v>
      </c>
      <c r="Y33" s="685"/>
      <c r="Z33" s="523" t="s">
        <v>564</v>
      </c>
      <c r="AA33" s="525" t="s">
        <v>564</v>
      </c>
      <c r="AB33" s="525" t="s">
        <v>564</v>
      </c>
      <c r="AC33" s="523" t="e">
        <f t="shared" si="5"/>
        <v>#VALUE!</v>
      </c>
      <c r="AD33" s="685"/>
      <c r="AE33" s="523" t="s">
        <v>564</v>
      </c>
      <c r="AF33" s="525" t="s">
        <v>564</v>
      </c>
      <c r="AG33" s="525" t="s">
        <v>564</v>
      </c>
      <c r="AH33" s="523" t="e">
        <f t="shared" si="6"/>
        <v>#VALUE!</v>
      </c>
      <c r="AI33" s="685"/>
      <c r="AJ33" s="523" t="s">
        <v>564</v>
      </c>
      <c r="AK33" s="525" t="s">
        <v>564</v>
      </c>
      <c r="AL33" s="525" t="s">
        <v>564</v>
      </c>
      <c r="AM33" s="523" t="e">
        <f t="shared" si="7"/>
        <v>#VALUE!</v>
      </c>
      <c r="AN33" s="685"/>
      <c r="AO33" s="523" t="s">
        <v>564</v>
      </c>
      <c r="AP33" s="525" t="s">
        <v>564</v>
      </c>
      <c r="AQ33" s="525" t="s">
        <v>564</v>
      </c>
      <c r="AR33" s="523" t="e">
        <f t="shared" si="8"/>
        <v>#VALUE!</v>
      </c>
      <c r="AS33" s="685"/>
      <c r="AT33" s="523" t="s">
        <v>564</v>
      </c>
      <c r="AU33" s="525" t="s">
        <v>564</v>
      </c>
      <c r="AV33" s="525" t="s">
        <v>564</v>
      </c>
      <c r="AW33" s="523" t="e">
        <f t="shared" si="9"/>
        <v>#VALUE!</v>
      </c>
      <c r="AX33" s="685"/>
      <c r="AZ33" s="357" t="e">
        <f t="shared" si="10"/>
        <v>#N/A</v>
      </c>
      <c r="BA33" s="685"/>
    </row>
    <row r="34" spans="2:53">
      <c r="B34" s="671"/>
      <c r="C34" s="493">
        <v>28</v>
      </c>
      <c r="D34" s="196"/>
      <c r="E34" s="496"/>
      <c r="F34" s="196"/>
      <c r="G34" s="194"/>
      <c r="H34" s="711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45"/>
      <c r="M34" s="506" t="e">
        <f>RANK(K34, K$7:$K$36)</f>
        <v>#VALUE!</v>
      </c>
      <c r="N34" s="663"/>
      <c r="O34" s="663"/>
      <c r="P34" s="523" t="s">
        <v>564</v>
      </c>
      <c r="Q34" s="525" t="s">
        <v>564</v>
      </c>
      <c r="R34" s="525" t="s">
        <v>564</v>
      </c>
      <c r="S34" s="523" t="e">
        <f t="shared" si="3"/>
        <v>#VALUE!</v>
      </c>
      <c r="T34" s="685"/>
      <c r="U34" s="523" t="s">
        <v>564</v>
      </c>
      <c r="V34" s="525" t="s">
        <v>564</v>
      </c>
      <c r="W34" s="525" t="s">
        <v>564</v>
      </c>
      <c r="X34" s="523" t="e">
        <f t="shared" si="4"/>
        <v>#VALUE!</v>
      </c>
      <c r="Y34" s="685"/>
      <c r="Z34" s="523" t="s">
        <v>564</v>
      </c>
      <c r="AA34" s="525" t="s">
        <v>564</v>
      </c>
      <c r="AB34" s="525" t="s">
        <v>564</v>
      </c>
      <c r="AC34" s="523" t="e">
        <f t="shared" si="5"/>
        <v>#VALUE!</v>
      </c>
      <c r="AD34" s="685"/>
      <c r="AE34" s="523" t="s">
        <v>564</v>
      </c>
      <c r="AF34" s="525" t="s">
        <v>564</v>
      </c>
      <c r="AG34" s="525" t="s">
        <v>564</v>
      </c>
      <c r="AH34" s="523" t="e">
        <f t="shared" si="6"/>
        <v>#VALUE!</v>
      </c>
      <c r="AI34" s="685"/>
      <c r="AJ34" s="523" t="s">
        <v>564</v>
      </c>
      <c r="AK34" s="525" t="s">
        <v>564</v>
      </c>
      <c r="AL34" s="525" t="s">
        <v>564</v>
      </c>
      <c r="AM34" s="523" t="e">
        <f t="shared" si="7"/>
        <v>#VALUE!</v>
      </c>
      <c r="AN34" s="685"/>
      <c r="AO34" s="523" t="s">
        <v>564</v>
      </c>
      <c r="AP34" s="525" t="s">
        <v>564</v>
      </c>
      <c r="AQ34" s="525" t="s">
        <v>564</v>
      </c>
      <c r="AR34" s="523" t="e">
        <f t="shared" si="8"/>
        <v>#VALUE!</v>
      </c>
      <c r="AS34" s="685"/>
      <c r="AT34" s="523" t="s">
        <v>564</v>
      </c>
      <c r="AU34" s="525" t="s">
        <v>564</v>
      </c>
      <c r="AV34" s="525" t="s">
        <v>564</v>
      </c>
      <c r="AW34" s="523" t="e">
        <f t="shared" si="9"/>
        <v>#VALUE!</v>
      </c>
      <c r="AX34" s="685"/>
      <c r="AZ34" s="357" t="e">
        <f t="shared" si="10"/>
        <v>#N/A</v>
      </c>
      <c r="BA34" s="685"/>
    </row>
    <row r="35" spans="2:53">
      <c r="B35" s="671"/>
      <c r="C35" s="493">
        <v>29</v>
      </c>
      <c r="D35" s="196"/>
      <c r="E35" s="496"/>
      <c r="F35" s="196"/>
      <c r="G35" s="194"/>
      <c r="H35" s="711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45"/>
      <c r="M35" s="506" t="e">
        <f>RANK(K35, K$7:$K$36)</f>
        <v>#VALUE!</v>
      </c>
      <c r="N35" s="663"/>
      <c r="O35" s="663"/>
      <c r="P35" s="523" t="s">
        <v>564</v>
      </c>
      <c r="Q35" s="525" t="s">
        <v>564</v>
      </c>
      <c r="R35" s="525" t="s">
        <v>564</v>
      </c>
      <c r="S35" s="523" t="e">
        <f t="shared" si="3"/>
        <v>#VALUE!</v>
      </c>
      <c r="T35" s="685"/>
      <c r="U35" s="523" t="s">
        <v>564</v>
      </c>
      <c r="V35" s="525" t="s">
        <v>564</v>
      </c>
      <c r="W35" s="525" t="s">
        <v>564</v>
      </c>
      <c r="X35" s="523" t="e">
        <f t="shared" si="4"/>
        <v>#VALUE!</v>
      </c>
      <c r="Y35" s="685"/>
      <c r="Z35" s="523" t="s">
        <v>564</v>
      </c>
      <c r="AA35" s="525" t="s">
        <v>564</v>
      </c>
      <c r="AB35" s="525" t="s">
        <v>564</v>
      </c>
      <c r="AC35" s="523" t="e">
        <f t="shared" si="5"/>
        <v>#VALUE!</v>
      </c>
      <c r="AD35" s="685"/>
      <c r="AE35" s="523" t="s">
        <v>564</v>
      </c>
      <c r="AF35" s="525" t="s">
        <v>564</v>
      </c>
      <c r="AG35" s="525" t="s">
        <v>564</v>
      </c>
      <c r="AH35" s="523" t="e">
        <f t="shared" si="6"/>
        <v>#VALUE!</v>
      </c>
      <c r="AI35" s="685"/>
      <c r="AJ35" s="523" t="s">
        <v>564</v>
      </c>
      <c r="AK35" s="525" t="s">
        <v>564</v>
      </c>
      <c r="AL35" s="525" t="s">
        <v>564</v>
      </c>
      <c r="AM35" s="523" t="e">
        <f t="shared" si="7"/>
        <v>#VALUE!</v>
      </c>
      <c r="AN35" s="685"/>
      <c r="AO35" s="523" t="s">
        <v>564</v>
      </c>
      <c r="AP35" s="525" t="s">
        <v>564</v>
      </c>
      <c r="AQ35" s="525" t="s">
        <v>564</v>
      </c>
      <c r="AR35" s="523" t="e">
        <f t="shared" si="8"/>
        <v>#VALUE!</v>
      </c>
      <c r="AS35" s="685"/>
      <c r="AT35" s="523" t="s">
        <v>564</v>
      </c>
      <c r="AU35" s="525" t="s">
        <v>564</v>
      </c>
      <c r="AV35" s="525" t="s">
        <v>564</v>
      </c>
      <c r="AW35" s="523" t="e">
        <f t="shared" si="9"/>
        <v>#VALUE!</v>
      </c>
      <c r="AX35" s="685"/>
      <c r="AZ35" s="357" t="e">
        <f t="shared" si="10"/>
        <v>#N/A</v>
      </c>
      <c r="BA35" s="685"/>
    </row>
    <row r="36" spans="2:53">
      <c r="B36" s="671"/>
      <c r="C36" s="493">
        <v>30</v>
      </c>
      <c r="D36" s="196"/>
      <c r="E36" s="496"/>
      <c r="F36" s="196"/>
      <c r="G36" s="194"/>
      <c r="H36" s="712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46"/>
      <c r="M36" s="506" t="e">
        <f>RANK(K36, K$7:$K$36)</f>
        <v>#VALUE!</v>
      </c>
      <c r="N36" s="663"/>
      <c r="O36" s="663"/>
      <c r="P36" s="523" t="s">
        <v>564</v>
      </c>
      <c r="Q36" s="525" t="s">
        <v>564</v>
      </c>
      <c r="R36" s="525" t="s">
        <v>564</v>
      </c>
      <c r="S36" s="523" t="e">
        <f t="shared" si="3"/>
        <v>#VALUE!</v>
      </c>
      <c r="T36" s="685"/>
      <c r="U36" s="523" t="s">
        <v>564</v>
      </c>
      <c r="V36" s="525" t="s">
        <v>564</v>
      </c>
      <c r="W36" s="525" t="s">
        <v>564</v>
      </c>
      <c r="X36" s="523" t="e">
        <f t="shared" si="4"/>
        <v>#VALUE!</v>
      </c>
      <c r="Y36" s="685"/>
      <c r="Z36" s="523" t="s">
        <v>564</v>
      </c>
      <c r="AA36" s="525" t="s">
        <v>564</v>
      </c>
      <c r="AB36" s="525" t="s">
        <v>564</v>
      </c>
      <c r="AC36" s="523" t="e">
        <f t="shared" si="5"/>
        <v>#VALUE!</v>
      </c>
      <c r="AD36" s="685"/>
      <c r="AE36" s="523" t="s">
        <v>564</v>
      </c>
      <c r="AF36" s="525" t="s">
        <v>564</v>
      </c>
      <c r="AG36" s="525" t="s">
        <v>564</v>
      </c>
      <c r="AH36" s="523" t="e">
        <f t="shared" si="6"/>
        <v>#VALUE!</v>
      </c>
      <c r="AI36" s="685"/>
      <c r="AJ36" s="523" t="s">
        <v>564</v>
      </c>
      <c r="AK36" s="525" t="s">
        <v>564</v>
      </c>
      <c r="AL36" s="525" t="s">
        <v>564</v>
      </c>
      <c r="AM36" s="523" t="e">
        <f t="shared" si="7"/>
        <v>#VALUE!</v>
      </c>
      <c r="AN36" s="685"/>
      <c r="AO36" s="523" t="s">
        <v>564</v>
      </c>
      <c r="AP36" s="525" t="s">
        <v>564</v>
      </c>
      <c r="AQ36" s="525" t="s">
        <v>564</v>
      </c>
      <c r="AR36" s="523" t="e">
        <f t="shared" si="8"/>
        <v>#VALUE!</v>
      </c>
      <c r="AS36" s="685"/>
      <c r="AT36" s="523" t="s">
        <v>564</v>
      </c>
      <c r="AU36" s="525" t="s">
        <v>564</v>
      </c>
      <c r="AV36" s="525" t="s">
        <v>564</v>
      </c>
      <c r="AW36" s="523" t="e">
        <f t="shared" si="9"/>
        <v>#VALUE!</v>
      </c>
      <c r="AX36" s="685"/>
      <c r="AZ36" s="357" t="e">
        <f t="shared" si="10"/>
        <v>#N/A</v>
      </c>
      <c r="BA36" s="685"/>
    </row>
    <row r="37" spans="2:53" ht="15.75">
      <c r="B37" s="689" t="s">
        <v>162</v>
      </c>
      <c r="C37" s="690"/>
      <c r="D37" s="690"/>
      <c r="E37" s="690"/>
      <c r="F37" s="690"/>
      <c r="G37" s="690"/>
      <c r="H37" s="690"/>
      <c r="I37" s="197"/>
      <c r="J37" s="197"/>
      <c r="K37" s="197"/>
      <c r="L37" s="197"/>
      <c r="M37" s="198"/>
      <c r="N37" s="664" t="s">
        <v>156</v>
      </c>
      <c r="O37" s="664" t="s">
        <v>105</v>
      </c>
      <c r="P37" s="670">
        <f>AT2+1</f>
        <v>46273</v>
      </c>
      <c r="Q37" s="671"/>
      <c r="R37" s="671"/>
      <c r="S37" s="671"/>
      <c r="T37" s="671"/>
      <c r="U37" s="670">
        <f>P37+1</f>
        <v>46274</v>
      </c>
      <c r="V37" s="671"/>
      <c r="W37" s="671"/>
      <c r="X37" s="671"/>
      <c r="Y37" s="671"/>
      <c r="Z37" s="670">
        <f>U37+1</f>
        <v>46275</v>
      </c>
      <c r="AA37" s="671"/>
      <c r="AB37" s="671"/>
      <c r="AC37" s="671"/>
      <c r="AD37" s="671"/>
      <c r="AE37" s="670">
        <f>Z37+1</f>
        <v>46276</v>
      </c>
      <c r="AF37" s="671"/>
      <c r="AG37" s="671"/>
      <c r="AH37" s="671"/>
      <c r="AI37" s="671"/>
      <c r="AJ37" s="670">
        <f>AE37+1</f>
        <v>46277</v>
      </c>
      <c r="AK37" s="671"/>
      <c r="AL37" s="671"/>
      <c r="AM37" s="671"/>
      <c r="AN37" s="671"/>
      <c r="AO37" s="670">
        <f>AJ37+1</f>
        <v>46278</v>
      </c>
      <c r="AP37" s="671"/>
      <c r="AQ37" s="671"/>
      <c r="AR37" s="671"/>
      <c r="AS37" s="671"/>
      <c r="AT37" s="670">
        <f>AO37+1</f>
        <v>46279</v>
      </c>
      <c r="AU37" s="671"/>
      <c r="AV37" s="671"/>
      <c r="AW37" s="671"/>
      <c r="AX37" s="671"/>
    </row>
    <row r="38" spans="2:53" ht="15.75">
      <c r="B38" s="678"/>
      <c r="C38" s="678"/>
      <c r="D38" s="678"/>
      <c r="E38" s="678"/>
      <c r="F38" s="678"/>
      <c r="G38" s="678"/>
      <c r="H38" s="678"/>
      <c r="I38" s="199"/>
      <c r="J38" s="199"/>
      <c r="K38" s="199"/>
      <c r="L38" s="199"/>
      <c r="M38" s="200"/>
      <c r="N38" s="666"/>
      <c r="O38" s="666"/>
      <c r="P38" s="670" t="s">
        <v>317</v>
      </c>
      <c r="Q38" s="671"/>
      <c r="R38" s="671"/>
      <c r="S38" s="671"/>
      <c r="T38" s="671"/>
      <c r="U38" s="670" t="s">
        <v>318</v>
      </c>
      <c r="V38" s="671"/>
      <c r="W38" s="671"/>
      <c r="X38" s="671"/>
      <c r="Y38" s="671"/>
      <c r="Z38" s="670" t="s">
        <v>319</v>
      </c>
      <c r="AA38" s="671"/>
      <c r="AB38" s="671"/>
      <c r="AC38" s="671"/>
      <c r="AD38" s="671"/>
      <c r="AE38" s="670" t="s">
        <v>320</v>
      </c>
      <c r="AF38" s="671"/>
      <c r="AG38" s="671"/>
      <c r="AH38" s="671"/>
      <c r="AI38" s="671"/>
      <c r="AJ38" s="670" t="s">
        <v>321</v>
      </c>
      <c r="AK38" s="671"/>
      <c r="AL38" s="671"/>
      <c r="AM38" s="671"/>
      <c r="AN38" s="671"/>
      <c r="AO38" s="670" t="s">
        <v>322</v>
      </c>
      <c r="AP38" s="671"/>
      <c r="AQ38" s="671"/>
      <c r="AR38" s="671"/>
      <c r="AS38" s="671"/>
      <c r="AT38" s="670" t="s">
        <v>323</v>
      </c>
      <c r="AU38" s="671"/>
      <c r="AV38" s="671"/>
      <c r="AW38" s="671"/>
      <c r="AX38" s="671"/>
    </row>
    <row r="39" spans="2:53">
      <c r="B39" s="663" t="s">
        <v>400</v>
      </c>
      <c r="C39" s="663" t="s">
        <v>401</v>
      </c>
      <c r="D39" s="663"/>
      <c r="E39" s="663" t="s">
        <v>402</v>
      </c>
      <c r="F39" s="663"/>
      <c r="G39" s="663"/>
      <c r="H39" s="679" t="s">
        <v>403</v>
      </c>
      <c r="I39" s="647" t="s">
        <v>404</v>
      </c>
      <c r="J39" s="647"/>
      <c r="K39" s="647"/>
      <c r="L39" s="648" t="s">
        <v>403</v>
      </c>
      <c r="M39" s="654" t="s">
        <v>405</v>
      </c>
      <c r="N39" s="663"/>
      <c r="O39" s="663" t="s">
        <v>406</v>
      </c>
      <c r="P39" s="660" t="s">
        <v>407</v>
      </c>
      <c r="Q39" s="661"/>
      <c r="R39" s="661"/>
      <c r="S39" s="662"/>
      <c r="T39" s="663" t="s">
        <v>403</v>
      </c>
      <c r="U39" s="660" t="s">
        <v>407</v>
      </c>
      <c r="V39" s="661"/>
      <c r="W39" s="661"/>
      <c r="X39" s="662"/>
      <c r="Y39" s="663" t="s">
        <v>403</v>
      </c>
      <c r="Z39" s="660" t="s">
        <v>407</v>
      </c>
      <c r="AA39" s="661"/>
      <c r="AB39" s="661"/>
      <c r="AC39" s="662"/>
      <c r="AD39" s="663" t="s">
        <v>403</v>
      </c>
      <c r="AE39" s="660" t="s">
        <v>407</v>
      </c>
      <c r="AF39" s="661"/>
      <c r="AG39" s="661"/>
      <c r="AH39" s="662"/>
      <c r="AI39" s="663" t="s">
        <v>403</v>
      </c>
      <c r="AJ39" s="660" t="s">
        <v>407</v>
      </c>
      <c r="AK39" s="661"/>
      <c r="AL39" s="661"/>
      <c r="AM39" s="662"/>
      <c r="AN39" s="663" t="s">
        <v>403</v>
      </c>
      <c r="AO39" s="660" t="s">
        <v>407</v>
      </c>
      <c r="AP39" s="661"/>
      <c r="AQ39" s="661"/>
      <c r="AR39" s="662"/>
      <c r="AS39" s="663" t="s">
        <v>403</v>
      </c>
      <c r="AT39" s="660" t="s">
        <v>407</v>
      </c>
      <c r="AU39" s="661"/>
      <c r="AV39" s="661"/>
      <c r="AW39" s="662"/>
      <c r="AX39" s="663" t="s">
        <v>403</v>
      </c>
      <c r="BA39" s="663" t="s">
        <v>359</v>
      </c>
    </row>
    <row r="40" spans="2:53">
      <c r="B40" s="663"/>
      <c r="C40" s="663"/>
      <c r="D40" s="663"/>
      <c r="E40" s="663" t="s">
        <v>408</v>
      </c>
      <c r="F40" s="663"/>
      <c r="G40" s="663"/>
      <c r="H40" s="680"/>
      <c r="I40" s="647" t="s">
        <v>408</v>
      </c>
      <c r="J40" s="647"/>
      <c r="K40" s="647"/>
      <c r="L40" s="649"/>
      <c r="M40" s="655"/>
      <c r="N40" s="663"/>
      <c r="O40" s="663"/>
      <c r="P40" s="660" t="s">
        <v>409</v>
      </c>
      <c r="Q40" s="661"/>
      <c r="R40" s="661"/>
      <c r="S40" s="662"/>
      <c r="T40" s="663"/>
      <c r="U40" s="660" t="s">
        <v>409</v>
      </c>
      <c r="V40" s="661"/>
      <c r="W40" s="661"/>
      <c r="X40" s="662"/>
      <c r="Y40" s="663"/>
      <c r="Z40" s="660" t="s">
        <v>409</v>
      </c>
      <c r="AA40" s="661"/>
      <c r="AB40" s="661"/>
      <c r="AC40" s="662"/>
      <c r="AD40" s="663"/>
      <c r="AE40" s="660" t="s">
        <v>409</v>
      </c>
      <c r="AF40" s="661"/>
      <c r="AG40" s="661"/>
      <c r="AH40" s="662"/>
      <c r="AI40" s="663"/>
      <c r="AJ40" s="660" t="s">
        <v>409</v>
      </c>
      <c r="AK40" s="661"/>
      <c r="AL40" s="661"/>
      <c r="AM40" s="662"/>
      <c r="AN40" s="663"/>
      <c r="AO40" s="660" t="s">
        <v>409</v>
      </c>
      <c r="AP40" s="661"/>
      <c r="AQ40" s="661"/>
      <c r="AR40" s="662"/>
      <c r="AS40" s="663"/>
      <c r="AT40" s="660" t="s">
        <v>409</v>
      </c>
      <c r="AU40" s="661"/>
      <c r="AV40" s="661"/>
      <c r="AW40" s="662"/>
      <c r="AX40" s="663"/>
      <c r="BA40" s="663"/>
    </row>
    <row r="41" spans="2:53">
      <c r="B41" s="663"/>
      <c r="C41" s="663"/>
      <c r="D41" s="663"/>
      <c r="E41" s="274" t="s">
        <v>410</v>
      </c>
      <c r="F41" s="274" t="s">
        <v>411</v>
      </c>
      <c r="G41" s="274" t="s">
        <v>412</v>
      </c>
      <c r="H41" s="681"/>
      <c r="I41" s="273" t="s">
        <v>410</v>
      </c>
      <c r="J41" s="273" t="s">
        <v>411</v>
      </c>
      <c r="K41" s="273" t="s">
        <v>412</v>
      </c>
      <c r="L41" s="650"/>
      <c r="M41" s="656"/>
      <c r="N41" s="663"/>
      <c r="O41" s="663"/>
      <c r="P41" s="274" t="s">
        <v>410</v>
      </c>
      <c r="Q41" s="274" t="s">
        <v>411</v>
      </c>
      <c r="R41" s="274" t="s">
        <v>412</v>
      </c>
      <c r="S41" s="274" t="s">
        <v>405</v>
      </c>
      <c r="T41" s="663"/>
      <c r="U41" s="274" t="s">
        <v>410</v>
      </c>
      <c r="V41" s="274" t="s">
        <v>411</v>
      </c>
      <c r="W41" s="274" t="s">
        <v>412</v>
      </c>
      <c r="X41" s="274" t="s">
        <v>405</v>
      </c>
      <c r="Y41" s="663"/>
      <c r="Z41" s="274" t="s">
        <v>410</v>
      </c>
      <c r="AA41" s="274" t="s">
        <v>411</v>
      </c>
      <c r="AB41" s="274" t="s">
        <v>412</v>
      </c>
      <c r="AC41" s="274" t="s">
        <v>405</v>
      </c>
      <c r="AD41" s="663"/>
      <c r="AE41" s="274" t="s">
        <v>410</v>
      </c>
      <c r="AF41" s="274" t="s">
        <v>411</v>
      </c>
      <c r="AG41" s="274" t="s">
        <v>412</v>
      </c>
      <c r="AH41" s="274" t="s">
        <v>405</v>
      </c>
      <c r="AI41" s="663"/>
      <c r="AJ41" s="274" t="s">
        <v>410</v>
      </c>
      <c r="AK41" s="274" t="s">
        <v>411</v>
      </c>
      <c r="AL41" s="274" t="s">
        <v>412</v>
      </c>
      <c r="AM41" s="274" t="s">
        <v>405</v>
      </c>
      <c r="AN41" s="663"/>
      <c r="AO41" s="274" t="s">
        <v>410</v>
      </c>
      <c r="AP41" s="274" t="s">
        <v>411</v>
      </c>
      <c r="AQ41" s="274" t="s">
        <v>412</v>
      </c>
      <c r="AR41" s="274" t="s">
        <v>405</v>
      </c>
      <c r="AS41" s="663"/>
      <c r="AT41" s="274" t="s">
        <v>410</v>
      </c>
      <c r="AU41" s="274" t="s">
        <v>411</v>
      </c>
      <c r="AV41" s="274" t="s">
        <v>412</v>
      </c>
      <c r="AW41" s="274" t="s">
        <v>405</v>
      </c>
      <c r="AX41" s="663"/>
      <c r="AZ41" s="356" t="s">
        <v>360</v>
      </c>
      <c r="BA41" s="663"/>
    </row>
    <row r="42" spans="2:53">
      <c r="B42" s="663" t="s">
        <v>413</v>
      </c>
      <c r="C42" s="275">
        <v>1</v>
      </c>
      <c r="D42" s="196" t="s">
        <v>338</v>
      </c>
      <c r="E42" s="496">
        <v>6</v>
      </c>
      <c r="F42" s="196">
        <v>1500</v>
      </c>
      <c r="G42" s="194">
        <v>250</v>
      </c>
      <c r="H42" s="710">
        <f>AVERAGE(G42:G71)</f>
        <v>99.151513422507961</v>
      </c>
      <c r="I42" s="352">
        <f>IFERROR(AVERAGE(P42,U42,Z42,AE42,AJ42,AO42,AT42),"-")</f>
        <v>6</v>
      </c>
      <c r="J42" s="352">
        <f>IFERROR(AVERAGE(Q42,V42,AA42,AF42,AK42,AP42,AU42),"-")</f>
        <v>1471.2234537316119</v>
      </c>
      <c r="K42" s="194">
        <f>IFERROR(AVERAGE(R42,W42,AB42,AG42,AL42,AQ42,AV42),"-")</f>
        <v>245.20390895526864</v>
      </c>
      <c r="L42" s="644">
        <f>IFERROR(AVERAGE(K42:K71),"-")</f>
        <v>87.880800827640869</v>
      </c>
      <c r="M42" s="195">
        <f>RANK(K42, K$42:$K$71)</f>
        <v>1</v>
      </c>
      <c r="N42" s="663"/>
      <c r="O42" s="663"/>
      <c r="P42" s="541">
        <v>6</v>
      </c>
      <c r="Q42" s="542">
        <v>1451.7428571428577</v>
      </c>
      <c r="R42" s="542">
        <v>241.95714285714294</v>
      </c>
      <c r="S42" s="541">
        <f t="shared" ref="S42:S71" si="11">RANK(R42, R$42:R$71)</f>
        <v>2</v>
      </c>
      <c r="T42" s="685">
        <f>AVERAGE(R42:R71)</f>
        <v>89.488795760370721</v>
      </c>
      <c r="U42" s="541">
        <v>6</v>
      </c>
      <c r="V42" s="542">
        <v>1465.3972602739723</v>
      </c>
      <c r="W42" s="542">
        <v>244.2328767123287</v>
      </c>
      <c r="X42" s="541">
        <f t="shared" ref="X42:X71" si="12">RANK(W42, W$42:W$71)</f>
        <v>2</v>
      </c>
      <c r="Y42" s="685">
        <f>AVERAGE(W42:W71)</f>
        <v>89.456815937377883</v>
      </c>
      <c r="Z42" s="541">
        <v>6</v>
      </c>
      <c r="AA42" s="542">
        <v>1491.1174825174828</v>
      </c>
      <c r="AB42" s="542">
        <v>248.51958041958048</v>
      </c>
      <c r="AC42" s="541">
        <f t="shared" ref="AC42:AC71" si="13">RANK(AB42, AB$42:AB$71)</f>
        <v>1</v>
      </c>
      <c r="AD42" s="685">
        <f>AVERAGE(AB42:AB71)</f>
        <v>88.101627631508762</v>
      </c>
      <c r="AE42" s="541">
        <v>6</v>
      </c>
      <c r="AF42" s="542">
        <v>1463.1157894736841</v>
      </c>
      <c r="AG42" s="542">
        <v>243.85263157894735</v>
      </c>
      <c r="AH42" s="541">
        <f t="shared" ref="AH42:AH71" si="14">RANK(AG42, AG$42:AG$71)</f>
        <v>1</v>
      </c>
      <c r="AI42" s="685">
        <f>AVERAGE(AG42:AG71)</f>
        <v>89.684309231236668</v>
      </c>
      <c r="AJ42" s="541">
        <v>6</v>
      </c>
      <c r="AK42" s="542">
        <v>1489.4169230769226</v>
      </c>
      <c r="AL42" s="542">
        <v>248.23615384615377</v>
      </c>
      <c r="AM42" s="541">
        <f t="shared" ref="AM42:AM71" si="15">RANK(AL42, AL$42:AL$71)</f>
        <v>1</v>
      </c>
      <c r="AN42" s="685">
        <f>AVERAGE(AL42:AL71)</f>
        <v>89.97246578680658</v>
      </c>
      <c r="AO42" s="541">
        <v>6</v>
      </c>
      <c r="AP42" s="542">
        <v>1471.3363636363636</v>
      </c>
      <c r="AQ42" s="542">
        <v>245.22272727272727</v>
      </c>
      <c r="AR42" s="541">
        <f t="shared" ref="AR42:AR71" si="16">RANK(AQ42, AQ$42:AQ$71)</f>
        <v>2</v>
      </c>
      <c r="AS42" s="685">
        <f>AVERAGE(AQ42:AQ71)</f>
        <v>90.245073451863576</v>
      </c>
      <c r="AT42" s="541">
        <v>6</v>
      </c>
      <c r="AU42" s="542">
        <v>1466.4375</v>
      </c>
      <c r="AV42" s="542">
        <v>244.40625</v>
      </c>
      <c r="AW42" s="541">
        <f t="shared" ref="AW42:AW71" si="17">RANK(AV42, AV$42:AV$71)</f>
        <v>1</v>
      </c>
      <c r="AX42" s="685">
        <f>AVERAGE(AV42:AV71)</f>
        <v>88.842436059299317</v>
      </c>
      <c r="AZ42" s="357" t="e">
        <f t="shared" ref="AZ42:AZ71" si="18">RANK(AY42, AY$42:AY$71)</f>
        <v>#N/A</v>
      </c>
      <c r="BA42" s="685" t="e">
        <f>AVERAGE(AY42:AY71)</f>
        <v>#DIV/0!</v>
      </c>
    </row>
    <row r="43" spans="2:53">
      <c r="B43" s="671"/>
      <c r="C43" s="275">
        <v>2</v>
      </c>
      <c r="D43" s="196" t="s">
        <v>565</v>
      </c>
      <c r="E43" s="496">
        <v>6</v>
      </c>
      <c r="F43" s="196">
        <v>1636</v>
      </c>
      <c r="G43" s="194">
        <v>272.66666666666669</v>
      </c>
      <c r="H43" s="711"/>
      <c r="I43" s="352">
        <f t="shared" ref="I43:I71" si="19">IFERROR(AVERAGE(P43,U43,Z43,AE43,AJ43,AO43,AT43),"-")</f>
        <v>6</v>
      </c>
      <c r="J43" s="352">
        <f t="shared" ref="J43:J71" si="20">IFERROR(AVERAGE(Q43,V43,AA43,AF43,AK43,AP43,AU43),"-")</f>
        <v>1468.5798085189365</v>
      </c>
      <c r="K43" s="194">
        <f t="shared" ref="K43:K71" si="21">IFERROR(AVERAGE(R43,W43,AB43,AG43,AL43,AQ43,AV43),"-")</f>
        <v>244.7633014198228</v>
      </c>
      <c r="L43" s="645"/>
      <c r="M43" s="195">
        <f>RANK(K43, K$42:$K$71)</f>
        <v>2</v>
      </c>
      <c r="N43" s="663"/>
      <c r="O43" s="663"/>
      <c r="P43" s="541">
        <v>6</v>
      </c>
      <c r="Q43" s="542">
        <v>1474.8387096774188</v>
      </c>
      <c r="R43" s="542">
        <v>245.80645161290315</v>
      </c>
      <c r="S43" s="541">
        <f t="shared" si="11"/>
        <v>1</v>
      </c>
      <c r="T43" s="685"/>
      <c r="U43" s="541">
        <v>6</v>
      </c>
      <c r="V43" s="542">
        <v>1487.5862068965507</v>
      </c>
      <c r="W43" s="542">
        <v>247.93103448275846</v>
      </c>
      <c r="X43" s="541">
        <f t="shared" si="12"/>
        <v>1</v>
      </c>
      <c r="Y43" s="685"/>
      <c r="Z43" s="541">
        <v>6</v>
      </c>
      <c r="AA43" s="542">
        <v>1451.9999999999993</v>
      </c>
      <c r="AB43" s="542">
        <v>241.99999999999989</v>
      </c>
      <c r="AC43" s="541">
        <f t="shared" si="13"/>
        <v>2</v>
      </c>
      <c r="AD43" s="685"/>
      <c r="AE43" s="541">
        <v>6</v>
      </c>
      <c r="AF43" s="542">
        <v>1460.4255319148938</v>
      </c>
      <c r="AG43" s="542">
        <v>243.40425531914897</v>
      </c>
      <c r="AH43" s="541">
        <f t="shared" si="14"/>
        <v>2</v>
      </c>
      <c r="AI43" s="685"/>
      <c r="AJ43" s="541">
        <v>6</v>
      </c>
      <c r="AK43" s="542">
        <v>1482.2727272727273</v>
      </c>
      <c r="AL43" s="542">
        <v>247.04545454545453</v>
      </c>
      <c r="AM43" s="541">
        <f t="shared" si="15"/>
        <v>2</v>
      </c>
      <c r="AN43" s="685"/>
      <c r="AO43" s="541">
        <v>6</v>
      </c>
      <c r="AP43" s="542">
        <v>1480.9999999999993</v>
      </c>
      <c r="AQ43" s="542">
        <v>246.83333333333323</v>
      </c>
      <c r="AR43" s="541">
        <f t="shared" si="16"/>
        <v>1</v>
      </c>
      <c r="AS43" s="685"/>
      <c r="AT43" s="541">
        <v>6</v>
      </c>
      <c r="AU43" s="542">
        <v>1441.9354838709673</v>
      </c>
      <c r="AV43" s="542">
        <v>240.32258064516122</v>
      </c>
      <c r="AW43" s="541">
        <f t="shared" si="17"/>
        <v>2</v>
      </c>
      <c r="AX43" s="685"/>
      <c r="AZ43" s="357" t="e">
        <f t="shared" si="18"/>
        <v>#N/A</v>
      </c>
      <c r="BA43" s="685"/>
    </row>
    <row r="44" spans="2:53">
      <c r="B44" s="671"/>
      <c r="C44" s="275">
        <v>3</v>
      </c>
      <c r="D44" s="196" t="s">
        <v>559</v>
      </c>
      <c r="E44" s="496">
        <v>16</v>
      </c>
      <c r="F44" s="196">
        <v>1500</v>
      </c>
      <c r="G44" s="194">
        <v>93.75</v>
      </c>
      <c r="H44" s="711"/>
      <c r="I44" s="352">
        <f t="shared" si="19"/>
        <v>16.428571428571427</v>
      </c>
      <c r="J44" s="352">
        <f t="shared" si="20"/>
        <v>1285.0552817939749</v>
      </c>
      <c r="K44" s="194">
        <f t="shared" si="21"/>
        <v>78.271290432407909</v>
      </c>
      <c r="L44" s="645"/>
      <c r="M44" s="195">
        <f>RANK(K44, K$42:$K$71)</f>
        <v>11</v>
      </c>
      <c r="N44" s="663"/>
      <c r="O44" s="663"/>
      <c r="P44" s="541">
        <v>17</v>
      </c>
      <c r="Q44" s="542">
        <v>1300.695652173913</v>
      </c>
      <c r="R44" s="542">
        <v>76.511508951406654</v>
      </c>
      <c r="S44" s="541">
        <f t="shared" si="11"/>
        <v>13</v>
      </c>
      <c r="T44" s="685"/>
      <c r="U44" s="541">
        <v>17</v>
      </c>
      <c r="V44" s="542">
        <v>1299.2727272727275</v>
      </c>
      <c r="W44" s="542">
        <v>76.427807486631025</v>
      </c>
      <c r="X44" s="541">
        <f t="shared" si="12"/>
        <v>13</v>
      </c>
      <c r="Y44" s="685"/>
      <c r="Z44" s="541">
        <v>17</v>
      </c>
      <c r="AA44" s="542">
        <v>1293.0731707317068</v>
      </c>
      <c r="AB44" s="542">
        <v>76.063127690100401</v>
      </c>
      <c r="AC44" s="541">
        <f t="shared" si="13"/>
        <v>13</v>
      </c>
      <c r="AD44" s="685"/>
      <c r="AE44" s="541">
        <v>16</v>
      </c>
      <c r="AF44" s="542">
        <v>1278.3529411764694</v>
      </c>
      <c r="AG44" s="542">
        <v>79.897058823529335</v>
      </c>
      <c r="AH44" s="541">
        <f t="shared" si="14"/>
        <v>9</v>
      </c>
      <c r="AI44" s="685"/>
      <c r="AJ44" s="541">
        <v>16</v>
      </c>
      <c r="AK44" s="542">
        <v>1264.421052631578</v>
      </c>
      <c r="AL44" s="542">
        <v>79.026315789473628</v>
      </c>
      <c r="AM44" s="541">
        <f t="shared" si="15"/>
        <v>11</v>
      </c>
      <c r="AN44" s="685"/>
      <c r="AO44" s="541">
        <v>16</v>
      </c>
      <c r="AP44" s="542">
        <v>1294.0000000000005</v>
      </c>
      <c r="AQ44" s="542">
        <v>80.875000000000028</v>
      </c>
      <c r="AR44" s="541">
        <f t="shared" si="16"/>
        <v>7</v>
      </c>
      <c r="AS44" s="685"/>
      <c r="AT44" s="541">
        <v>16</v>
      </c>
      <c r="AU44" s="542">
        <v>1265.5714285714296</v>
      </c>
      <c r="AV44" s="542">
        <v>79.098214285714349</v>
      </c>
      <c r="AW44" s="541">
        <f t="shared" si="17"/>
        <v>11</v>
      </c>
      <c r="AX44" s="685"/>
      <c r="AZ44" s="357" t="e">
        <f t="shared" si="18"/>
        <v>#N/A</v>
      </c>
      <c r="BA44" s="685"/>
    </row>
    <row r="45" spans="2:53">
      <c r="B45" s="671"/>
      <c r="C45" s="275">
        <v>4</v>
      </c>
      <c r="D45" s="196" t="s">
        <v>540</v>
      </c>
      <c r="E45" s="496">
        <v>18</v>
      </c>
      <c r="F45" s="196">
        <v>1500</v>
      </c>
      <c r="G45" s="194">
        <v>83.333333333333329</v>
      </c>
      <c r="H45" s="711"/>
      <c r="I45" s="352">
        <f t="shared" si="19"/>
        <v>18</v>
      </c>
      <c r="J45" s="352">
        <f t="shared" si="20"/>
        <v>1238.3293793090099</v>
      </c>
      <c r="K45" s="194">
        <f t="shared" si="21"/>
        <v>68.796076628278328</v>
      </c>
      <c r="L45" s="645"/>
      <c r="M45" s="195">
        <f>RANK(K45, K$42:$K$71)</f>
        <v>19</v>
      </c>
      <c r="N45" s="663"/>
      <c r="O45" s="663"/>
      <c r="P45" s="541">
        <v>18</v>
      </c>
      <c r="Q45" s="542">
        <v>1238.2417582417584</v>
      </c>
      <c r="R45" s="542">
        <v>68.791208791208803</v>
      </c>
      <c r="S45" s="541">
        <f t="shared" si="11"/>
        <v>20</v>
      </c>
      <c r="T45" s="685"/>
      <c r="U45" s="541">
        <v>18</v>
      </c>
      <c r="V45" s="542">
        <v>1216.4050632911399</v>
      </c>
      <c r="W45" s="542">
        <v>67.578059071729996</v>
      </c>
      <c r="X45" s="541">
        <f t="shared" si="12"/>
        <v>21</v>
      </c>
      <c r="Y45" s="685"/>
      <c r="Z45" s="541">
        <v>18</v>
      </c>
      <c r="AA45" s="542">
        <v>1226.6434782608696</v>
      </c>
      <c r="AB45" s="542">
        <v>68.146859903381653</v>
      </c>
      <c r="AC45" s="541">
        <f t="shared" si="13"/>
        <v>19</v>
      </c>
      <c r="AD45" s="685"/>
      <c r="AE45" s="541">
        <v>18</v>
      </c>
      <c r="AF45" s="542">
        <v>1246.5671641791046</v>
      </c>
      <c r="AG45" s="542">
        <v>69.25373134328359</v>
      </c>
      <c r="AH45" s="541">
        <f t="shared" si="14"/>
        <v>19</v>
      </c>
      <c r="AI45" s="685"/>
      <c r="AJ45" s="541">
        <v>18</v>
      </c>
      <c r="AK45" s="542">
        <v>1254.0000000000005</v>
      </c>
      <c r="AL45" s="542">
        <v>69.666666666666686</v>
      </c>
      <c r="AM45" s="541">
        <f t="shared" si="15"/>
        <v>18</v>
      </c>
      <c r="AN45" s="685"/>
      <c r="AO45" s="541">
        <v>18</v>
      </c>
      <c r="AP45" s="542">
        <v>1248.1188118811876</v>
      </c>
      <c r="AQ45" s="542">
        <v>69.339933993399313</v>
      </c>
      <c r="AR45" s="541">
        <f t="shared" si="16"/>
        <v>18</v>
      </c>
      <c r="AS45" s="685"/>
      <c r="AT45" s="541" t="s">
        <v>564</v>
      </c>
      <c r="AU45" s="542" t="s">
        <v>564</v>
      </c>
      <c r="AV45" s="542" t="s">
        <v>564</v>
      </c>
      <c r="AW45" s="541" t="e">
        <f t="shared" si="17"/>
        <v>#VALUE!</v>
      </c>
      <c r="AX45" s="685"/>
      <c r="AZ45" s="357" t="e">
        <f t="shared" si="18"/>
        <v>#N/A</v>
      </c>
      <c r="BA45" s="685"/>
    </row>
    <row r="46" spans="2:53">
      <c r="B46" s="671"/>
      <c r="C46" s="275">
        <v>5</v>
      </c>
      <c r="D46" s="196" t="s">
        <v>725</v>
      </c>
      <c r="E46" s="496">
        <v>16</v>
      </c>
      <c r="F46" s="196">
        <v>1565</v>
      </c>
      <c r="G46" s="194">
        <v>97.8125</v>
      </c>
      <c r="H46" s="711"/>
      <c r="I46" s="352">
        <f t="shared" si="19"/>
        <v>16</v>
      </c>
      <c r="J46" s="352">
        <f t="shared" si="20"/>
        <v>1285.5806879620109</v>
      </c>
      <c r="K46" s="194">
        <f t="shared" si="21"/>
        <v>80.348792997625679</v>
      </c>
      <c r="L46" s="645"/>
      <c r="M46" s="195">
        <f>RANK(K46, K$42:$K$71)</f>
        <v>10</v>
      </c>
      <c r="N46" s="663"/>
      <c r="O46" s="663"/>
      <c r="P46" s="541">
        <v>16</v>
      </c>
      <c r="Q46" s="542">
        <v>1293.1764705882351</v>
      </c>
      <c r="R46" s="542">
        <v>80.823529411764696</v>
      </c>
      <c r="S46" s="541">
        <f t="shared" si="11"/>
        <v>9</v>
      </c>
      <c r="T46" s="685"/>
      <c r="U46" s="541">
        <v>16</v>
      </c>
      <c r="V46" s="542">
        <v>1276.5789473684201</v>
      </c>
      <c r="W46" s="542">
        <v>79.786184210526258</v>
      </c>
      <c r="X46" s="541">
        <f t="shared" si="12"/>
        <v>9</v>
      </c>
      <c r="Y46" s="685"/>
      <c r="Z46" s="541">
        <v>16</v>
      </c>
      <c r="AA46" s="542">
        <v>1307.6470588235279</v>
      </c>
      <c r="AB46" s="542">
        <v>81.727941176470495</v>
      </c>
      <c r="AC46" s="541">
        <f t="shared" si="13"/>
        <v>8</v>
      </c>
      <c r="AD46" s="685"/>
      <c r="AE46" s="541">
        <v>16</v>
      </c>
      <c r="AF46" s="542">
        <v>1267.8260869565204</v>
      </c>
      <c r="AG46" s="542">
        <v>79.239130434782524</v>
      </c>
      <c r="AH46" s="541">
        <f t="shared" si="14"/>
        <v>11</v>
      </c>
      <c r="AI46" s="685"/>
      <c r="AJ46" s="541">
        <v>16</v>
      </c>
      <c r="AK46" s="542">
        <v>1276.8292682926826</v>
      </c>
      <c r="AL46" s="542">
        <v>79.801829268292664</v>
      </c>
      <c r="AM46" s="541">
        <f t="shared" si="15"/>
        <v>10</v>
      </c>
      <c r="AN46" s="685"/>
      <c r="AO46" s="541">
        <v>16</v>
      </c>
      <c r="AP46" s="542">
        <v>1277.4193548387098</v>
      </c>
      <c r="AQ46" s="542">
        <v>79.838709677419359</v>
      </c>
      <c r="AR46" s="541">
        <f t="shared" si="16"/>
        <v>11</v>
      </c>
      <c r="AS46" s="685"/>
      <c r="AT46" s="541">
        <v>16</v>
      </c>
      <c r="AU46" s="542">
        <v>1299.5876288659797</v>
      </c>
      <c r="AV46" s="542">
        <v>81.224226804123731</v>
      </c>
      <c r="AW46" s="541">
        <f t="shared" si="17"/>
        <v>9</v>
      </c>
      <c r="AX46" s="685"/>
      <c r="AZ46" s="357" t="e">
        <f t="shared" si="18"/>
        <v>#N/A</v>
      </c>
      <c r="BA46" s="685"/>
    </row>
    <row r="47" spans="2:53">
      <c r="B47" s="671"/>
      <c r="C47" s="275">
        <v>6</v>
      </c>
      <c r="D47" s="196" t="s">
        <v>594</v>
      </c>
      <c r="E47" s="496">
        <v>20</v>
      </c>
      <c r="F47" s="196">
        <v>1440</v>
      </c>
      <c r="G47" s="194">
        <v>72</v>
      </c>
      <c r="H47" s="711"/>
      <c r="I47" s="352">
        <f t="shared" si="19"/>
        <v>20.285714285714285</v>
      </c>
      <c r="J47" s="352">
        <f t="shared" si="20"/>
        <v>1186.7519843176219</v>
      </c>
      <c r="K47" s="194">
        <f t="shared" si="21"/>
        <v>58.533392971171232</v>
      </c>
      <c r="L47" s="645"/>
      <c r="M47" s="195">
        <f>RANK(K47, K$42:$K$71)</f>
        <v>25</v>
      </c>
      <c r="N47" s="663"/>
      <c r="O47" s="663"/>
      <c r="P47" s="541">
        <v>21</v>
      </c>
      <c r="Q47" s="542">
        <v>1182.5806451612914</v>
      </c>
      <c r="R47" s="542">
        <v>56.313364055299587</v>
      </c>
      <c r="S47" s="541">
        <f t="shared" si="11"/>
        <v>24</v>
      </c>
      <c r="T47" s="685"/>
      <c r="U47" s="541">
        <v>21</v>
      </c>
      <c r="V47" s="542">
        <v>1181.7857142857151</v>
      </c>
      <c r="W47" s="542">
        <v>56.275510204081669</v>
      </c>
      <c r="X47" s="541">
        <f t="shared" si="12"/>
        <v>24</v>
      </c>
      <c r="Y47" s="685"/>
      <c r="Z47" s="541">
        <v>20</v>
      </c>
      <c r="AA47" s="542">
        <v>1204.6153846153852</v>
      </c>
      <c r="AB47" s="542">
        <v>60.230769230769262</v>
      </c>
      <c r="AC47" s="541">
        <f t="shared" si="13"/>
        <v>22</v>
      </c>
      <c r="AD47" s="685"/>
      <c r="AE47" s="541">
        <v>20</v>
      </c>
      <c r="AF47" s="542">
        <v>1177.0212765957449</v>
      </c>
      <c r="AG47" s="542">
        <v>58.851063829787243</v>
      </c>
      <c r="AH47" s="541">
        <f t="shared" si="14"/>
        <v>23</v>
      </c>
      <c r="AI47" s="685"/>
      <c r="AJ47" s="541">
        <v>20</v>
      </c>
      <c r="AK47" s="542">
        <v>1190.0000000000005</v>
      </c>
      <c r="AL47" s="542">
        <v>59.500000000000021</v>
      </c>
      <c r="AM47" s="541">
        <f t="shared" si="15"/>
        <v>23</v>
      </c>
      <c r="AN47" s="685"/>
      <c r="AO47" s="541">
        <v>20</v>
      </c>
      <c r="AP47" s="542">
        <v>1193.0000000000011</v>
      </c>
      <c r="AQ47" s="542">
        <v>59.650000000000055</v>
      </c>
      <c r="AR47" s="541">
        <f t="shared" si="16"/>
        <v>22</v>
      </c>
      <c r="AS47" s="685"/>
      <c r="AT47" s="541">
        <v>20</v>
      </c>
      <c r="AU47" s="542">
        <v>1178.2608695652164</v>
      </c>
      <c r="AV47" s="542">
        <v>58.913043478260818</v>
      </c>
      <c r="AW47" s="541">
        <f t="shared" si="17"/>
        <v>23</v>
      </c>
      <c r="AX47" s="685"/>
      <c r="AZ47" s="357" t="e">
        <f t="shared" si="18"/>
        <v>#N/A</v>
      </c>
      <c r="BA47" s="685"/>
    </row>
    <row r="48" spans="2:53">
      <c r="B48" s="671"/>
      <c r="C48" s="275">
        <v>7</v>
      </c>
      <c r="D48" s="196" t="s">
        <v>726</v>
      </c>
      <c r="E48" s="496">
        <v>16</v>
      </c>
      <c r="F48" s="196">
        <v>1500</v>
      </c>
      <c r="G48" s="194">
        <v>93.75</v>
      </c>
      <c r="H48" s="711"/>
      <c r="I48" s="352">
        <f t="shared" si="19"/>
        <v>16</v>
      </c>
      <c r="J48" s="352">
        <f t="shared" si="20"/>
        <v>1290.664478331481</v>
      </c>
      <c r="K48" s="194">
        <f t="shared" si="21"/>
        <v>80.666529895717559</v>
      </c>
      <c r="L48" s="645"/>
      <c r="M48" s="195">
        <f>RANK(K48, K$42:$K$71)</f>
        <v>8</v>
      </c>
      <c r="N48" s="663"/>
      <c r="O48" s="663"/>
      <c r="P48" s="541">
        <v>16</v>
      </c>
      <c r="Q48" s="542">
        <v>1300.5882352941162</v>
      </c>
      <c r="R48" s="542">
        <v>81.286764705882263</v>
      </c>
      <c r="S48" s="541">
        <f t="shared" si="11"/>
        <v>8</v>
      </c>
      <c r="T48" s="685"/>
      <c r="U48" s="541">
        <v>16</v>
      </c>
      <c r="V48" s="542">
        <v>1299.6774193548399</v>
      </c>
      <c r="W48" s="542">
        <v>81.229838709677495</v>
      </c>
      <c r="X48" s="541">
        <f t="shared" si="12"/>
        <v>8</v>
      </c>
      <c r="Y48" s="685"/>
      <c r="Z48" s="541">
        <v>16</v>
      </c>
      <c r="AA48" s="542">
        <v>1291.1111111111118</v>
      </c>
      <c r="AB48" s="542">
        <v>80.694444444444485</v>
      </c>
      <c r="AC48" s="541">
        <f t="shared" si="13"/>
        <v>9</v>
      </c>
      <c r="AD48" s="685"/>
      <c r="AE48" s="541">
        <v>16</v>
      </c>
      <c r="AF48" s="542">
        <v>1273.4693877551024</v>
      </c>
      <c r="AG48" s="542">
        <v>79.591836734693899</v>
      </c>
      <c r="AH48" s="541">
        <f t="shared" si="14"/>
        <v>10</v>
      </c>
      <c r="AI48" s="685"/>
      <c r="AJ48" s="541">
        <v>16</v>
      </c>
      <c r="AK48" s="542">
        <v>1305.0000000000011</v>
      </c>
      <c r="AL48" s="542">
        <v>81.562500000000071</v>
      </c>
      <c r="AM48" s="541">
        <f t="shared" si="15"/>
        <v>8</v>
      </c>
      <c r="AN48" s="685"/>
      <c r="AO48" s="541">
        <v>16</v>
      </c>
      <c r="AP48" s="542">
        <v>1290.0000000000016</v>
      </c>
      <c r="AQ48" s="542">
        <v>80.625000000000099</v>
      </c>
      <c r="AR48" s="541">
        <f t="shared" si="16"/>
        <v>9</v>
      </c>
      <c r="AS48" s="685"/>
      <c r="AT48" s="541">
        <v>16</v>
      </c>
      <c r="AU48" s="542">
        <v>1274.8051948051941</v>
      </c>
      <c r="AV48" s="542">
        <v>79.675324675324632</v>
      </c>
      <c r="AW48" s="541">
        <f t="shared" si="17"/>
        <v>10</v>
      </c>
      <c r="AX48" s="685"/>
      <c r="AZ48" s="357" t="e">
        <f t="shared" si="18"/>
        <v>#N/A</v>
      </c>
      <c r="BA48" s="685"/>
    </row>
    <row r="49" spans="2:53">
      <c r="B49" s="671"/>
      <c r="C49" s="275">
        <v>8</v>
      </c>
      <c r="D49" s="196" t="s">
        <v>727</v>
      </c>
      <c r="E49" s="496">
        <v>18</v>
      </c>
      <c r="F49" s="196">
        <v>1636</v>
      </c>
      <c r="G49" s="194">
        <v>90.888888888888886</v>
      </c>
      <c r="H49" s="711"/>
      <c r="I49" s="352">
        <f t="shared" si="19"/>
        <v>18</v>
      </c>
      <c r="J49" s="352">
        <f t="shared" si="20"/>
        <v>1388.7748420323289</v>
      </c>
      <c r="K49" s="194">
        <f t="shared" si="21"/>
        <v>77.154157890684928</v>
      </c>
      <c r="L49" s="645"/>
      <c r="M49" s="195">
        <f>RANK(K49, K$42:$K$71)</f>
        <v>13</v>
      </c>
      <c r="N49" s="663"/>
      <c r="O49" s="663"/>
      <c r="P49" s="541">
        <v>18</v>
      </c>
      <c r="Q49" s="542">
        <v>1383.5294117647077</v>
      </c>
      <c r="R49" s="542">
        <v>76.862745098039312</v>
      </c>
      <c r="S49" s="541">
        <f t="shared" si="11"/>
        <v>12</v>
      </c>
      <c r="T49" s="685"/>
      <c r="U49" s="541">
        <v>18</v>
      </c>
      <c r="V49" s="542">
        <v>1394.0000000000014</v>
      </c>
      <c r="W49" s="542">
        <v>77.444444444444514</v>
      </c>
      <c r="X49" s="541">
        <f t="shared" si="12"/>
        <v>11</v>
      </c>
      <c r="Y49" s="685"/>
      <c r="Z49" s="541">
        <v>18</v>
      </c>
      <c r="AA49" s="542">
        <v>1388.5714285714289</v>
      </c>
      <c r="AB49" s="542">
        <v>77.142857142857167</v>
      </c>
      <c r="AC49" s="541">
        <f t="shared" si="13"/>
        <v>12</v>
      </c>
      <c r="AD49" s="685"/>
      <c r="AE49" s="541">
        <v>18</v>
      </c>
      <c r="AF49" s="542">
        <v>1410.5454545454556</v>
      </c>
      <c r="AG49" s="542">
        <v>78.363636363636431</v>
      </c>
      <c r="AH49" s="541">
        <f t="shared" si="14"/>
        <v>14</v>
      </c>
      <c r="AI49" s="685"/>
      <c r="AJ49" s="541">
        <v>18</v>
      </c>
      <c r="AK49" s="542">
        <v>1412.9032258064528</v>
      </c>
      <c r="AL49" s="542">
        <v>78.49462365591404</v>
      </c>
      <c r="AM49" s="541">
        <f t="shared" si="15"/>
        <v>12</v>
      </c>
      <c r="AN49" s="685"/>
      <c r="AO49" s="541">
        <v>18</v>
      </c>
      <c r="AP49" s="542">
        <v>1381.4634146341459</v>
      </c>
      <c r="AQ49" s="542">
        <v>76.74796747967477</v>
      </c>
      <c r="AR49" s="541">
        <f t="shared" si="16"/>
        <v>14</v>
      </c>
      <c r="AS49" s="685"/>
      <c r="AT49" s="541">
        <v>18</v>
      </c>
      <c r="AU49" s="542">
        <v>1350.4109589041086</v>
      </c>
      <c r="AV49" s="542">
        <v>75.022831050228262</v>
      </c>
      <c r="AW49" s="541">
        <f t="shared" si="17"/>
        <v>15</v>
      </c>
      <c r="AX49" s="685"/>
      <c r="AZ49" s="357" t="e">
        <f t="shared" si="18"/>
        <v>#N/A</v>
      </c>
      <c r="BA49" s="685"/>
    </row>
    <row r="50" spans="2:53">
      <c r="B50" s="671"/>
      <c r="C50" s="275">
        <v>9</v>
      </c>
      <c r="D50" s="196" t="s">
        <v>728</v>
      </c>
      <c r="E50" s="496">
        <v>18</v>
      </c>
      <c r="F50" s="196">
        <v>1636</v>
      </c>
      <c r="G50" s="194">
        <v>90.888888888888886</v>
      </c>
      <c r="H50" s="711"/>
      <c r="I50" s="352">
        <f t="shared" si="19"/>
        <v>18</v>
      </c>
      <c r="J50" s="352">
        <f t="shared" si="20"/>
        <v>1370.9807826818435</v>
      </c>
      <c r="K50" s="194">
        <f t="shared" si="21"/>
        <v>76.165599037880199</v>
      </c>
      <c r="L50" s="645"/>
      <c r="M50" s="195">
        <f>RANK(K50, K$42:$K$71)</f>
        <v>15</v>
      </c>
      <c r="N50" s="663"/>
      <c r="O50" s="663"/>
      <c r="P50" s="541">
        <v>18</v>
      </c>
      <c r="Q50" s="542">
        <v>1348.9285714285725</v>
      </c>
      <c r="R50" s="542">
        <v>74.940476190476247</v>
      </c>
      <c r="S50" s="541">
        <f t="shared" si="11"/>
        <v>15</v>
      </c>
      <c r="T50" s="685"/>
      <c r="U50" s="541">
        <v>18</v>
      </c>
      <c r="V50" s="542">
        <v>1402.9787234042556</v>
      </c>
      <c r="W50" s="542">
        <v>77.943262411347533</v>
      </c>
      <c r="X50" s="541">
        <f t="shared" si="12"/>
        <v>10</v>
      </c>
      <c r="Y50" s="685"/>
      <c r="Z50" s="541">
        <v>18</v>
      </c>
      <c r="AA50" s="542">
        <v>1356.2790697674418</v>
      </c>
      <c r="AB50" s="542">
        <v>75.348837209302317</v>
      </c>
      <c r="AC50" s="541">
        <f t="shared" si="13"/>
        <v>14</v>
      </c>
      <c r="AD50" s="685"/>
      <c r="AE50" s="541">
        <v>18</v>
      </c>
      <c r="AF50" s="542">
        <v>1373.3333333333333</v>
      </c>
      <c r="AG50" s="542">
        <v>76.296296296296291</v>
      </c>
      <c r="AH50" s="541">
        <f t="shared" si="14"/>
        <v>15</v>
      </c>
      <c r="AI50" s="685"/>
      <c r="AJ50" s="541">
        <v>18</v>
      </c>
      <c r="AK50" s="542">
        <v>1356.4705882352946</v>
      </c>
      <c r="AL50" s="542">
        <v>75.35947712418303</v>
      </c>
      <c r="AM50" s="541">
        <f t="shared" si="15"/>
        <v>15</v>
      </c>
      <c r="AN50" s="685"/>
      <c r="AO50" s="541">
        <v>18</v>
      </c>
      <c r="AP50" s="542">
        <v>1380.9090909090924</v>
      </c>
      <c r="AQ50" s="542">
        <v>76.717171717171794</v>
      </c>
      <c r="AR50" s="541">
        <f t="shared" si="16"/>
        <v>15</v>
      </c>
      <c r="AS50" s="685"/>
      <c r="AT50" s="541">
        <v>18</v>
      </c>
      <c r="AU50" s="542">
        <v>1377.9661016949165</v>
      </c>
      <c r="AV50" s="542">
        <v>76.553672316384251</v>
      </c>
      <c r="AW50" s="541">
        <f t="shared" si="17"/>
        <v>14</v>
      </c>
      <c r="AX50" s="685"/>
      <c r="AZ50" s="357" t="e">
        <f t="shared" si="18"/>
        <v>#N/A</v>
      </c>
      <c r="BA50" s="685"/>
    </row>
    <row r="51" spans="2:53">
      <c r="B51" s="671"/>
      <c r="C51" s="275">
        <v>10</v>
      </c>
      <c r="D51" s="196" t="s">
        <v>330</v>
      </c>
      <c r="E51" s="496">
        <v>17</v>
      </c>
      <c r="F51" s="196">
        <v>1500</v>
      </c>
      <c r="G51" s="194">
        <v>88.235294117647058</v>
      </c>
      <c r="H51" s="711"/>
      <c r="I51" s="352">
        <f t="shared" si="19"/>
        <v>17</v>
      </c>
      <c r="J51" s="352">
        <f t="shared" si="20"/>
        <v>1325.0902396508416</v>
      </c>
      <c r="K51" s="194">
        <f t="shared" si="21"/>
        <v>77.946484685343634</v>
      </c>
      <c r="L51" s="645"/>
      <c r="M51" s="195">
        <f>RANK(K51, K$42:$K$71)</f>
        <v>12</v>
      </c>
      <c r="N51" s="663"/>
      <c r="O51" s="663"/>
      <c r="P51" s="541">
        <v>17</v>
      </c>
      <c r="Q51" s="542">
        <v>1324.090909090909</v>
      </c>
      <c r="R51" s="542">
        <v>77.887700534759347</v>
      </c>
      <c r="S51" s="541">
        <f t="shared" si="11"/>
        <v>10</v>
      </c>
      <c r="T51" s="685"/>
      <c r="U51" s="541">
        <v>17</v>
      </c>
      <c r="V51" s="542">
        <v>1314.1463414634143</v>
      </c>
      <c r="W51" s="542">
        <v>77.302725968436135</v>
      </c>
      <c r="X51" s="541">
        <f t="shared" si="12"/>
        <v>12</v>
      </c>
      <c r="Y51" s="685"/>
      <c r="Z51" s="541">
        <v>17</v>
      </c>
      <c r="AA51" s="542">
        <v>1311.6666666666656</v>
      </c>
      <c r="AB51" s="542">
        <v>77.156862745097982</v>
      </c>
      <c r="AC51" s="541">
        <f t="shared" si="13"/>
        <v>11</v>
      </c>
      <c r="AD51" s="685"/>
      <c r="AE51" s="541">
        <v>17</v>
      </c>
      <c r="AF51" s="542">
        <v>1332.3076923076917</v>
      </c>
      <c r="AG51" s="542">
        <v>78.371040723981864</v>
      </c>
      <c r="AH51" s="541">
        <f t="shared" si="14"/>
        <v>13</v>
      </c>
      <c r="AI51" s="685"/>
      <c r="AJ51" s="541">
        <v>17</v>
      </c>
      <c r="AK51" s="542">
        <v>1325.3333333333333</v>
      </c>
      <c r="AL51" s="542">
        <v>77.960784313725483</v>
      </c>
      <c r="AM51" s="541">
        <f t="shared" si="15"/>
        <v>13</v>
      </c>
      <c r="AN51" s="685"/>
      <c r="AO51" s="541">
        <v>17</v>
      </c>
      <c r="AP51" s="542">
        <v>1351.836734693878</v>
      </c>
      <c r="AQ51" s="542">
        <v>79.519807923169296</v>
      </c>
      <c r="AR51" s="541">
        <f t="shared" si="16"/>
        <v>12</v>
      </c>
      <c r="AS51" s="685"/>
      <c r="AT51" s="541">
        <v>17</v>
      </c>
      <c r="AU51" s="542">
        <v>1316.2500000000005</v>
      </c>
      <c r="AV51" s="542">
        <v>77.426470588235318</v>
      </c>
      <c r="AW51" s="541">
        <f t="shared" si="17"/>
        <v>12</v>
      </c>
      <c r="AX51" s="685"/>
      <c r="AZ51" s="357" t="e">
        <f t="shared" si="18"/>
        <v>#N/A</v>
      </c>
      <c r="BA51" s="685"/>
    </row>
    <row r="52" spans="2:53">
      <c r="B52" s="671"/>
      <c r="C52" s="275">
        <v>11</v>
      </c>
      <c r="D52" s="196" t="s">
        <v>729</v>
      </c>
      <c r="E52" s="496">
        <v>20</v>
      </c>
      <c r="F52" s="196">
        <v>1440</v>
      </c>
      <c r="G52" s="194">
        <v>72</v>
      </c>
      <c r="H52" s="711"/>
      <c r="I52" s="352">
        <f t="shared" si="19"/>
        <v>20</v>
      </c>
      <c r="J52" s="352">
        <f t="shared" si="20"/>
        <v>1313.4844451521767</v>
      </c>
      <c r="K52" s="194">
        <f t="shared" si="21"/>
        <v>65.674222257608832</v>
      </c>
      <c r="L52" s="645"/>
      <c r="M52" s="195">
        <f>RANK(K52, K$42:$K$71)</f>
        <v>22</v>
      </c>
      <c r="N52" s="663"/>
      <c r="O52" s="663"/>
      <c r="P52" s="541">
        <v>20</v>
      </c>
      <c r="Q52" s="542">
        <v>1336.2962962962958</v>
      </c>
      <c r="R52" s="542">
        <v>66.814814814814795</v>
      </c>
      <c r="S52" s="541">
        <f t="shared" si="11"/>
        <v>21</v>
      </c>
      <c r="T52" s="685"/>
      <c r="U52" s="541">
        <v>20</v>
      </c>
      <c r="V52" s="542">
        <v>1307.6712328767114</v>
      </c>
      <c r="W52" s="542">
        <v>65.383561643835577</v>
      </c>
      <c r="X52" s="541">
        <f t="shared" si="12"/>
        <v>22</v>
      </c>
      <c r="Y52" s="685"/>
      <c r="Z52" s="541">
        <v>20</v>
      </c>
      <c r="AA52" s="542">
        <v>1334.7368421052643</v>
      </c>
      <c r="AB52" s="542">
        <v>66.736842105263207</v>
      </c>
      <c r="AC52" s="541">
        <f t="shared" si="13"/>
        <v>20</v>
      </c>
      <c r="AD52" s="685"/>
      <c r="AE52" s="541">
        <v>20</v>
      </c>
      <c r="AF52" s="542">
        <v>1303.9285714285725</v>
      </c>
      <c r="AG52" s="542">
        <v>65.196428571428626</v>
      </c>
      <c r="AH52" s="541">
        <f t="shared" si="14"/>
        <v>21</v>
      </c>
      <c r="AI52" s="685"/>
      <c r="AJ52" s="541">
        <v>20</v>
      </c>
      <c r="AK52" s="542">
        <v>1304.3478260869554</v>
      </c>
      <c r="AL52" s="542">
        <v>65.217391304347771</v>
      </c>
      <c r="AM52" s="541">
        <f t="shared" si="15"/>
        <v>21</v>
      </c>
      <c r="AN52" s="685"/>
      <c r="AO52" s="541">
        <v>20</v>
      </c>
      <c r="AP52" s="542">
        <v>1314.9397590361441</v>
      </c>
      <c r="AQ52" s="542">
        <v>65.746987951807199</v>
      </c>
      <c r="AR52" s="541">
        <f t="shared" si="16"/>
        <v>21</v>
      </c>
      <c r="AS52" s="685"/>
      <c r="AT52" s="541">
        <v>20</v>
      </c>
      <c r="AU52" s="542">
        <v>1292.4705882352939</v>
      </c>
      <c r="AV52" s="542">
        <v>64.623529411764693</v>
      </c>
      <c r="AW52" s="541">
        <f t="shared" si="17"/>
        <v>19</v>
      </c>
      <c r="AX52" s="685"/>
      <c r="AZ52" s="357" t="e">
        <f t="shared" si="18"/>
        <v>#N/A</v>
      </c>
      <c r="BA52" s="685"/>
    </row>
    <row r="53" spans="2:53">
      <c r="B53" s="671"/>
      <c r="C53" s="275">
        <v>12</v>
      </c>
      <c r="D53" s="196" t="s">
        <v>340</v>
      </c>
      <c r="E53" s="496">
        <v>14</v>
      </c>
      <c r="F53" s="196">
        <v>1440</v>
      </c>
      <c r="G53" s="194">
        <v>102.85714285714286</v>
      </c>
      <c r="H53" s="711"/>
      <c r="I53" s="352">
        <f t="shared" si="19"/>
        <v>14.714285714285714</v>
      </c>
      <c r="J53" s="352">
        <f t="shared" si="20"/>
        <v>1329.8813684176941</v>
      </c>
      <c r="K53" s="194">
        <f t="shared" si="21"/>
        <v>90.476216512142898</v>
      </c>
      <c r="L53" s="645"/>
      <c r="M53" s="195">
        <f>RANK(K53, K$42:$K$71)</f>
        <v>5</v>
      </c>
      <c r="N53" s="663"/>
      <c r="O53" s="663"/>
      <c r="P53" s="541">
        <v>15</v>
      </c>
      <c r="Q53" s="542">
        <v>1313.2258064516141</v>
      </c>
      <c r="R53" s="542">
        <v>87.548387096774277</v>
      </c>
      <c r="S53" s="541">
        <f t="shared" si="11"/>
        <v>7</v>
      </c>
      <c r="T53" s="685"/>
      <c r="U53" s="541">
        <v>15</v>
      </c>
      <c r="V53" s="542">
        <v>1328.8888888888896</v>
      </c>
      <c r="W53" s="542">
        <v>88.592592592592638</v>
      </c>
      <c r="X53" s="541">
        <f t="shared" si="12"/>
        <v>7</v>
      </c>
      <c r="Y53" s="685"/>
      <c r="Z53" s="541">
        <v>15</v>
      </c>
      <c r="AA53" s="542">
        <v>1326.8181818181818</v>
      </c>
      <c r="AB53" s="542">
        <v>88.454545454545453</v>
      </c>
      <c r="AC53" s="541">
        <f t="shared" si="13"/>
        <v>6</v>
      </c>
      <c r="AD53" s="685"/>
      <c r="AE53" s="541">
        <v>15</v>
      </c>
      <c r="AF53" s="542">
        <v>1328.9361702127662</v>
      </c>
      <c r="AG53" s="542">
        <v>88.595744680851084</v>
      </c>
      <c r="AH53" s="541">
        <f t="shared" si="14"/>
        <v>6</v>
      </c>
      <c r="AI53" s="685"/>
      <c r="AJ53" s="541">
        <v>15</v>
      </c>
      <c r="AK53" s="542">
        <v>1339.6363636363644</v>
      </c>
      <c r="AL53" s="542">
        <v>89.309090909090955</v>
      </c>
      <c r="AM53" s="541">
        <f t="shared" si="15"/>
        <v>6</v>
      </c>
      <c r="AN53" s="685"/>
      <c r="AO53" s="541">
        <v>14</v>
      </c>
      <c r="AP53" s="542">
        <v>1333.0434782608681</v>
      </c>
      <c r="AQ53" s="542">
        <v>95.217391304347728</v>
      </c>
      <c r="AR53" s="541">
        <f t="shared" si="16"/>
        <v>5</v>
      </c>
      <c r="AS53" s="685"/>
      <c r="AT53" s="541">
        <v>14</v>
      </c>
      <c r="AU53" s="542">
        <v>1338.6206896551735</v>
      </c>
      <c r="AV53" s="542">
        <v>95.615763546798107</v>
      </c>
      <c r="AW53" s="541">
        <f t="shared" si="17"/>
        <v>3</v>
      </c>
      <c r="AX53" s="685"/>
      <c r="AZ53" s="357" t="e">
        <f t="shared" si="18"/>
        <v>#N/A</v>
      </c>
      <c r="BA53" s="685"/>
    </row>
    <row r="54" spans="2:53">
      <c r="B54" s="671"/>
      <c r="C54" s="275">
        <v>13</v>
      </c>
      <c r="D54" s="196" t="s">
        <v>730</v>
      </c>
      <c r="E54" s="496">
        <v>19</v>
      </c>
      <c r="F54" s="196">
        <v>1440</v>
      </c>
      <c r="G54" s="194">
        <v>75.78947368421052</v>
      </c>
      <c r="H54" s="711"/>
      <c r="I54" s="352">
        <f t="shared" si="19"/>
        <v>19</v>
      </c>
      <c r="J54" s="352">
        <f t="shared" si="20"/>
        <v>1317.366319103859</v>
      </c>
      <c r="K54" s="194">
        <f t="shared" si="21"/>
        <v>69.335069426518899</v>
      </c>
      <c r="L54" s="645"/>
      <c r="M54" s="195">
        <f>RANK(K54, K$42:$K$71)</f>
        <v>18</v>
      </c>
      <c r="N54" s="663"/>
      <c r="O54" s="663"/>
      <c r="P54" s="541">
        <v>19</v>
      </c>
      <c r="Q54" s="542">
        <v>1324.3902439024387</v>
      </c>
      <c r="R54" s="542">
        <v>69.704749679075718</v>
      </c>
      <c r="S54" s="541">
        <f t="shared" si="11"/>
        <v>18</v>
      </c>
      <c r="T54" s="685"/>
      <c r="U54" s="541">
        <v>19</v>
      </c>
      <c r="V54" s="542">
        <v>1324.7368421052622</v>
      </c>
      <c r="W54" s="542">
        <v>69.722991689750643</v>
      </c>
      <c r="X54" s="541">
        <f t="shared" si="12"/>
        <v>17</v>
      </c>
      <c r="Y54" s="685"/>
      <c r="Z54" s="541">
        <v>19</v>
      </c>
      <c r="AA54" s="542">
        <v>1323.5294117647043</v>
      </c>
      <c r="AB54" s="542">
        <v>69.659442724458117</v>
      </c>
      <c r="AC54" s="541">
        <f t="shared" si="13"/>
        <v>18</v>
      </c>
      <c r="AD54" s="685"/>
      <c r="AE54" s="541">
        <v>19</v>
      </c>
      <c r="AF54" s="542">
        <v>1327.5000000000016</v>
      </c>
      <c r="AG54" s="542">
        <v>69.86842105263166</v>
      </c>
      <c r="AH54" s="541">
        <f t="shared" si="14"/>
        <v>18</v>
      </c>
      <c r="AI54" s="685"/>
      <c r="AJ54" s="541">
        <v>19</v>
      </c>
      <c r="AK54" s="542">
        <v>1311.6666666666656</v>
      </c>
      <c r="AL54" s="542">
        <v>69.03508771929819</v>
      </c>
      <c r="AM54" s="541">
        <f t="shared" si="15"/>
        <v>19</v>
      </c>
      <c r="AN54" s="685"/>
      <c r="AO54" s="541">
        <v>19</v>
      </c>
      <c r="AP54" s="542">
        <v>1309.5348837209301</v>
      </c>
      <c r="AQ54" s="542">
        <v>68.922888616891058</v>
      </c>
      <c r="AR54" s="541">
        <f t="shared" si="16"/>
        <v>19</v>
      </c>
      <c r="AS54" s="685"/>
      <c r="AT54" s="541">
        <v>19</v>
      </c>
      <c r="AU54" s="542">
        <v>1300.2061855670106</v>
      </c>
      <c r="AV54" s="542">
        <v>68.43190450352688</v>
      </c>
      <c r="AW54" s="541">
        <f t="shared" si="17"/>
        <v>18</v>
      </c>
      <c r="AX54" s="685"/>
      <c r="AZ54" s="357" t="e">
        <f t="shared" si="18"/>
        <v>#N/A</v>
      </c>
      <c r="BA54" s="685"/>
    </row>
    <row r="55" spans="2:53">
      <c r="B55" s="671"/>
      <c r="C55" s="275">
        <v>14</v>
      </c>
      <c r="D55" s="196" t="s">
        <v>339</v>
      </c>
      <c r="E55" s="496">
        <v>19</v>
      </c>
      <c r="F55" s="196">
        <v>1440</v>
      </c>
      <c r="G55" s="194">
        <v>75.78947368421052</v>
      </c>
      <c r="H55" s="711"/>
      <c r="I55" s="352">
        <f t="shared" si="19"/>
        <v>19</v>
      </c>
      <c r="J55" s="352">
        <f t="shared" si="20"/>
        <v>1249.2009400705056</v>
      </c>
      <c r="K55" s="194">
        <f t="shared" si="21"/>
        <v>65.747417898447665</v>
      </c>
      <c r="L55" s="645"/>
      <c r="M55" s="195">
        <f>RANK(K55, K$42:$K$71)</f>
        <v>21</v>
      </c>
      <c r="N55" s="663"/>
      <c r="O55" s="663"/>
      <c r="P55" s="541">
        <v>19</v>
      </c>
      <c r="Q55" s="542">
        <v>1311.0810810810799</v>
      </c>
      <c r="R55" s="542">
        <v>69.004267425319995</v>
      </c>
      <c r="S55" s="541">
        <f t="shared" si="11"/>
        <v>19</v>
      </c>
      <c r="T55" s="685"/>
      <c r="U55" s="541">
        <v>19</v>
      </c>
      <c r="V55" s="542">
        <v>1319.9999999999982</v>
      </c>
      <c r="W55" s="542">
        <v>69.473684210526216</v>
      </c>
      <c r="X55" s="541">
        <f t="shared" si="12"/>
        <v>18</v>
      </c>
      <c r="Y55" s="685"/>
      <c r="Z55" s="541">
        <v>19</v>
      </c>
      <c r="AA55" s="542">
        <v>1116.5217391304386</v>
      </c>
      <c r="AB55" s="542">
        <v>58.764302059496771</v>
      </c>
      <c r="AC55" s="541">
        <f t="shared" si="13"/>
        <v>23</v>
      </c>
      <c r="AD55" s="685"/>
      <c r="AE55" s="541" t="s">
        <v>564</v>
      </c>
      <c r="AF55" s="542" t="s">
        <v>564</v>
      </c>
      <c r="AG55" s="542" t="s">
        <v>564</v>
      </c>
      <c r="AH55" s="541" t="e">
        <f t="shared" si="14"/>
        <v>#VALUE!</v>
      </c>
      <c r="AI55" s="685"/>
      <c r="AJ55" s="541" t="s">
        <v>564</v>
      </c>
      <c r="AK55" s="542" t="s">
        <v>564</v>
      </c>
      <c r="AL55" s="542" t="s">
        <v>564</v>
      </c>
      <c r="AM55" s="541" t="e">
        <f t="shared" si="15"/>
        <v>#VALUE!</v>
      </c>
      <c r="AN55" s="685"/>
      <c r="AO55" s="541" t="s">
        <v>564</v>
      </c>
      <c r="AP55" s="542" t="s">
        <v>564</v>
      </c>
      <c r="AQ55" s="542" t="s">
        <v>564</v>
      </c>
      <c r="AR55" s="541" t="e">
        <f t="shared" si="16"/>
        <v>#VALUE!</v>
      </c>
      <c r="AS55" s="685"/>
      <c r="AT55" s="541" t="s">
        <v>564</v>
      </c>
      <c r="AU55" s="542" t="s">
        <v>564</v>
      </c>
      <c r="AV55" s="542" t="s">
        <v>564</v>
      </c>
      <c r="AW55" s="541" t="e">
        <f t="shared" si="17"/>
        <v>#VALUE!</v>
      </c>
      <c r="AX55" s="685"/>
      <c r="AZ55" s="357" t="e">
        <f t="shared" si="18"/>
        <v>#N/A</v>
      </c>
      <c r="BA55" s="685"/>
    </row>
    <row r="56" spans="2:53">
      <c r="B56" s="671"/>
      <c r="C56" s="275">
        <v>15</v>
      </c>
      <c r="D56" s="196" t="s">
        <v>731</v>
      </c>
      <c r="E56" s="496">
        <v>18</v>
      </c>
      <c r="F56" s="196">
        <v>1500</v>
      </c>
      <c r="G56" s="194">
        <v>83.333333333333329</v>
      </c>
      <c r="H56" s="711"/>
      <c r="I56" s="352">
        <f t="shared" si="19"/>
        <v>18</v>
      </c>
      <c r="J56" s="352">
        <f t="shared" si="20"/>
        <v>1290.2646364016359</v>
      </c>
      <c r="K56" s="194">
        <f t="shared" si="21"/>
        <v>71.681368688979788</v>
      </c>
      <c r="L56" s="645"/>
      <c r="M56" s="193">
        <f>RANK(K56, K$42:$K$71)</f>
        <v>16</v>
      </c>
      <c r="N56" s="663"/>
      <c r="O56" s="663"/>
      <c r="P56" s="541">
        <v>18</v>
      </c>
      <c r="Q56" s="542">
        <v>1296.6101694915267</v>
      </c>
      <c r="R56" s="542">
        <v>72.033898305084819</v>
      </c>
      <c r="S56" s="541">
        <f t="shared" si="11"/>
        <v>16</v>
      </c>
      <c r="T56" s="685"/>
      <c r="U56" s="541">
        <v>18</v>
      </c>
      <c r="V56" s="542">
        <v>1291.1111111111118</v>
      </c>
      <c r="W56" s="542">
        <v>71.728395061728435</v>
      </c>
      <c r="X56" s="541">
        <f t="shared" si="12"/>
        <v>16</v>
      </c>
      <c r="Y56" s="685"/>
      <c r="Z56" s="541">
        <v>18</v>
      </c>
      <c r="AA56" s="542">
        <v>1268.5714285714296</v>
      </c>
      <c r="AB56" s="542">
        <v>70.476190476190538</v>
      </c>
      <c r="AC56" s="541">
        <f t="shared" si="13"/>
        <v>16</v>
      </c>
      <c r="AD56" s="685"/>
      <c r="AE56" s="541">
        <v>18</v>
      </c>
      <c r="AF56" s="542">
        <v>1277.4999999999982</v>
      </c>
      <c r="AG56" s="542">
        <v>70.972222222222115</v>
      </c>
      <c r="AH56" s="541">
        <f t="shared" si="14"/>
        <v>16</v>
      </c>
      <c r="AI56" s="685"/>
      <c r="AJ56" s="541">
        <v>18</v>
      </c>
      <c r="AK56" s="542">
        <v>1305.30612244898</v>
      </c>
      <c r="AL56" s="542">
        <v>72.517006802721113</v>
      </c>
      <c r="AM56" s="541">
        <f t="shared" si="15"/>
        <v>16</v>
      </c>
      <c r="AN56" s="685"/>
      <c r="AO56" s="541">
        <v>18</v>
      </c>
      <c r="AP56" s="542">
        <v>1286.6666666666681</v>
      </c>
      <c r="AQ56" s="542">
        <v>71.481481481481566</v>
      </c>
      <c r="AR56" s="541">
        <f t="shared" si="16"/>
        <v>16</v>
      </c>
      <c r="AS56" s="685"/>
      <c r="AT56" s="541">
        <v>18</v>
      </c>
      <c r="AU56" s="542">
        <v>1306.0869565217379</v>
      </c>
      <c r="AV56" s="542">
        <v>72.560386473429887</v>
      </c>
      <c r="AW56" s="541">
        <f t="shared" si="17"/>
        <v>16</v>
      </c>
      <c r="AX56" s="685"/>
      <c r="AZ56" s="357" t="e">
        <f t="shared" si="18"/>
        <v>#N/A</v>
      </c>
      <c r="BA56" s="685"/>
    </row>
    <row r="57" spans="2:53">
      <c r="B57" s="671"/>
      <c r="C57" s="275">
        <v>16</v>
      </c>
      <c r="D57" s="196" t="s">
        <v>501</v>
      </c>
      <c r="E57" s="496">
        <v>17</v>
      </c>
      <c r="F57" s="196">
        <v>1440</v>
      </c>
      <c r="G57" s="194">
        <v>84.705882352941174</v>
      </c>
      <c r="H57" s="711"/>
      <c r="I57" s="352">
        <f t="shared" si="19"/>
        <v>17</v>
      </c>
      <c r="J57" s="352">
        <f t="shared" si="20"/>
        <v>1304.322860531129</v>
      </c>
      <c r="K57" s="194">
        <f t="shared" si="21"/>
        <v>76.724874148889938</v>
      </c>
      <c r="L57" s="645"/>
      <c r="M57" s="193">
        <f>RANK(K57, K$42:$K$71)</f>
        <v>14</v>
      </c>
      <c r="N57" s="663"/>
      <c r="O57" s="663"/>
      <c r="P57" s="541">
        <v>17</v>
      </c>
      <c r="Q57" s="542">
        <v>1295.7142857142853</v>
      </c>
      <c r="R57" s="542">
        <v>76.218487394957961</v>
      </c>
      <c r="S57" s="541">
        <f t="shared" si="11"/>
        <v>14</v>
      </c>
      <c r="T57" s="685"/>
      <c r="U57" s="541">
        <v>17</v>
      </c>
      <c r="V57" s="542">
        <v>1279.024390243902</v>
      </c>
      <c r="W57" s="542">
        <v>75.236728837876583</v>
      </c>
      <c r="X57" s="541">
        <f t="shared" si="12"/>
        <v>15</v>
      </c>
      <c r="Y57" s="685"/>
      <c r="Z57" s="541">
        <v>17</v>
      </c>
      <c r="AA57" s="542">
        <v>1273.9999999999977</v>
      </c>
      <c r="AB57" s="542">
        <v>74.941176470588104</v>
      </c>
      <c r="AC57" s="541">
        <f t="shared" si="13"/>
        <v>15</v>
      </c>
      <c r="AD57" s="685"/>
      <c r="AE57" s="541">
        <v>17</v>
      </c>
      <c r="AF57" s="542">
        <v>1338.8571428571415</v>
      </c>
      <c r="AG57" s="542">
        <v>78.756302521008323</v>
      </c>
      <c r="AH57" s="541">
        <f t="shared" si="14"/>
        <v>12</v>
      </c>
      <c r="AI57" s="685"/>
      <c r="AJ57" s="541">
        <v>17</v>
      </c>
      <c r="AK57" s="542">
        <v>1296.2790697674418</v>
      </c>
      <c r="AL57" s="542">
        <v>76.251709986320108</v>
      </c>
      <c r="AM57" s="541">
        <f t="shared" si="15"/>
        <v>14</v>
      </c>
      <c r="AN57" s="685"/>
      <c r="AO57" s="541">
        <v>17</v>
      </c>
      <c r="AP57" s="542">
        <v>1331.2500000000016</v>
      </c>
      <c r="AQ57" s="542">
        <v>78.308823529411853</v>
      </c>
      <c r="AR57" s="541">
        <f t="shared" si="16"/>
        <v>13</v>
      </c>
      <c r="AS57" s="685"/>
      <c r="AT57" s="541">
        <v>17</v>
      </c>
      <c r="AU57" s="542">
        <v>1315.1351351351341</v>
      </c>
      <c r="AV57" s="542">
        <v>77.360890302066707</v>
      </c>
      <c r="AW57" s="541">
        <f t="shared" si="17"/>
        <v>13</v>
      </c>
      <c r="AX57" s="685"/>
      <c r="AZ57" s="357" t="e">
        <f t="shared" si="18"/>
        <v>#N/A</v>
      </c>
      <c r="BA57" s="685"/>
    </row>
    <row r="58" spans="2:53">
      <c r="B58" s="671"/>
      <c r="C58" s="275">
        <v>17</v>
      </c>
      <c r="D58" s="196" t="s">
        <v>580</v>
      </c>
      <c r="E58" s="496">
        <v>16</v>
      </c>
      <c r="F58" s="196">
        <v>1636</v>
      </c>
      <c r="G58" s="194">
        <v>102.25</v>
      </c>
      <c r="H58" s="711"/>
      <c r="I58" s="352">
        <f t="shared" si="19"/>
        <v>16</v>
      </c>
      <c r="J58" s="352">
        <f t="shared" si="20"/>
        <v>1421.9013305436008</v>
      </c>
      <c r="K58" s="194">
        <f t="shared" si="21"/>
        <v>88.86883315897505</v>
      </c>
      <c r="L58" s="645"/>
      <c r="M58" s="193">
        <f>RANK(K58, K$42:$K$71)</f>
        <v>6</v>
      </c>
      <c r="N58" s="663"/>
      <c r="O58" s="663"/>
      <c r="P58" s="541">
        <v>16</v>
      </c>
      <c r="Q58" s="542">
        <v>1405.909090909091</v>
      </c>
      <c r="R58" s="542">
        <v>87.869318181818187</v>
      </c>
      <c r="S58" s="541">
        <f t="shared" si="11"/>
        <v>6</v>
      </c>
      <c r="T58" s="685"/>
      <c r="U58" s="541">
        <v>16</v>
      </c>
      <c r="V58" s="542">
        <v>1431.627906976744</v>
      </c>
      <c r="W58" s="542">
        <v>89.476744186046503</v>
      </c>
      <c r="X58" s="541">
        <f t="shared" si="12"/>
        <v>6</v>
      </c>
      <c r="Y58" s="685"/>
      <c r="Z58" s="541">
        <v>16</v>
      </c>
      <c r="AA58" s="542">
        <v>1445.294117647057</v>
      </c>
      <c r="AB58" s="542">
        <v>90.33088235294106</v>
      </c>
      <c r="AC58" s="541">
        <f t="shared" si="13"/>
        <v>5</v>
      </c>
      <c r="AD58" s="685"/>
      <c r="AE58" s="541">
        <v>16</v>
      </c>
      <c r="AF58" s="542">
        <v>1429.4117647058804</v>
      </c>
      <c r="AG58" s="542">
        <v>89.338235294117524</v>
      </c>
      <c r="AH58" s="541">
        <f t="shared" si="14"/>
        <v>5</v>
      </c>
      <c r="AI58" s="685"/>
      <c r="AJ58" s="541">
        <v>16</v>
      </c>
      <c r="AK58" s="542">
        <v>1433.1818181818182</v>
      </c>
      <c r="AL58" s="542">
        <v>89.57386363636364</v>
      </c>
      <c r="AM58" s="541">
        <f t="shared" si="15"/>
        <v>5</v>
      </c>
      <c r="AN58" s="685"/>
      <c r="AO58" s="541">
        <v>16</v>
      </c>
      <c r="AP58" s="542">
        <v>1435.3846153846162</v>
      </c>
      <c r="AQ58" s="542">
        <v>89.71153846153851</v>
      </c>
      <c r="AR58" s="541">
        <f t="shared" si="16"/>
        <v>6</v>
      </c>
      <c r="AS58" s="685"/>
      <c r="AT58" s="541">
        <v>16</v>
      </c>
      <c r="AU58" s="542">
        <v>1372.5000000000005</v>
      </c>
      <c r="AV58" s="542">
        <v>85.781250000000028</v>
      </c>
      <c r="AW58" s="541">
        <f t="shared" si="17"/>
        <v>6</v>
      </c>
      <c r="AX58" s="685"/>
      <c r="AZ58" s="357" t="e">
        <f t="shared" si="18"/>
        <v>#N/A</v>
      </c>
      <c r="BA58" s="685"/>
    </row>
    <row r="59" spans="2:53">
      <c r="B59" s="671"/>
      <c r="C59" s="275">
        <v>18</v>
      </c>
      <c r="D59" s="196" t="s">
        <v>732</v>
      </c>
      <c r="E59" s="496">
        <v>16</v>
      </c>
      <c r="F59" s="196">
        <v>1500</v>
      </c>
      <c r="G59" s="194">
        <v>93.75</v>
      </c>
      <c r="H59" s="711"/>
      <c r="I59" s="352">
        <f t="shared" si="19"/>
        <v>16.285714285714285</v>
      </c>
      <c r="J59" s="352">
        <f t="shared" si="20"/>
        <v>1311.2977980551798</v>
      </c>
      <c r="K59" s="194">
        <f t="shared" si="21"/>
        <v>80.586305812205211</v>
      </c>
      <c r="L59" s="645"/>
      <c r="M59" s="193">
        <f>RANK(K59, K$42:$K$71)</f>
        <v>9</v>
      </c>
      <c r="N59" s="663"/>
      <c r="O59" s="663"/>
      <c r="P59" s="541">
        <v>17</v>
      </c>
      <c r="Q59" s="542">
        <v>1318.7500000000002</v>
      </c>
      <c r="R59" s="542">
        <v>77.573529411764724</v>
      </c>
      <c r="S59" s="541">
        <f t="shared" si="11"/>
        <v>11</v>
      </c>
      <c r="T59" s="685"/>
      <c r="U59" s="541">
        <v>17</v>
      </c>
      <c r="V59" s="542">
        <v>1289.3617021276598</v>
      </c>
      <c r="W59" s="542">
        <v>75.844806007509405</v>
      </c>
      <c r="X59" s="541">
        <f t="shared" si="12"/>
        <v>14</v>
      </c>
      <c r="Y59" s="685"/>
      <c r="Z59" s="541">
        <v>16</v>
      </c>
      <c r="AA59" s="542">
        <v>1309.9999999999989</v>
      </c>
      <c r="AB59" s="542">
        <v>81.874999999999929</v>
      </c>
      <c r="AC59" s="541">
        <f t="shared" si="13"/>
        <v>7</v>
      </c>
      <c r="AD59" s="685"/>
      <c r="AE59" s="541">
        <v>16</v>
      </c>
      <c r="AF59" s="542">
        <v>1329.2307692307686</v>
      </c>
      <c r="AG59" s="542">
        <v>83.076923076923038</v>
      </c>
      <c r="AH59" s="541">
        <f t="shared" si="14"/>
        <v>8</v>
      </c>
      <c r="AI59" s="685"/>
      <c r="AJ59" s="541">
        <v>16</v>
      </c>
      <c r="AK59" s="542">
        <v>1313.1818181818182</v>
      </c>
      <c r="AL59" s="542">
        <v>82.07386363636364</v>
      </c>
      <c r="AM59" s="541">
        <f t="shared" si="15"/>
        <v>7</v>
      </c>
      <c r="AN59" s="685"/>
      <c r="AO59" s="541">
        <v>16</v>
      </c>
      <c r="AP59" s="542">
        <v>1285.0909090909099</v>
      </c>
      <c r="AQ59" s="542">
        <v>80.31818181818187</v>
      </c>
      <c r="AR59" s="541">
        <f t="shared" si="16"/>
        <v>10</v>
      </c>
      <c r="AS59" s="685"/>
      <c r="AT59" s="541">
        <v>16</v>
      </c>
      <c r="AU59" s="542">
        <v>1333.4693877551024</v>
      </c>
      <c r="AV59" s="542">
        <v>83.341836734693899</v>
      </c>
      <c r="AW59" s="541">
        <f t="shared" si="17"/>
        <v>7</v>
      </c>
      <c r="AX59" s="685"/>
      <c r="AZ59" s="357" t="e">
        <f t="shared" si="18"/>
        <v>#N/A</v>
      </c>
      <c r="BA59" s="685"/>
    </row>
    <row r="60" spans="2:53">
      <c r="B60" s="671"/>
      <c r="C60" s="275">
        <v>19</v>
      </c>
      <c r="D60" s="196" t="s">
        <v>733</v>
      </c>
      <c r="E60" s="496">
        <v>16</v>
      </c>
      <c r="F60" s="196">
        <v>1500</v>
      </c>
      <c r="G60" s="194">
        <v>93.75</v>
      </c>
      <c r="H60" s="711"/>
      <c r="I60" s="352">
        <f t="shared" si="19"/>
        <v>15.428571428571429</v>
      </c>
      <c r="J60" s="352">
        <f t="shared" si="20"/>
        <v>1305.222607676631</v>
      </c>
      <c r="K60" s="194">
        <f t="shared" si="21"/>
        <v>84.911823283483315</v>
      </c>
      <c r="L60" s="645"/>
      <c r="M60" s="193">
        <f>RANK(K60, K$42:$K$71)</f>
        <v>7</v>
      </c>
      <c r="N60" s="663"/>
      <c r="O60" s="663"/>
      <c r="P60" s="541">
        <v>14</v>
      </c>
      <c r="Q60" s="542">
        <v>1311.0810810810799</v>
      </c>
      <c r="R60" s="542">
        <v>93.64864864864856</v>
      </c>
      <c r="S60" s="541">
        <f t="shared" si="11"/>
        <v>5</v>
      </c>
      <c r="T60" s="685"/>
      <c r="U60" s="541">
        <v>14</v>
      </c>
      <c r="V60" s="542">
        <v>1303.8805970149238</v>
      </c>
      <c r="W60" s="542">
        <v>93.134328358208833</v>
      </c>
      <c r="X60" s="541">
        <f t="shared" si="12"/>
        <v>5</v>
      </c>
      <c r="Y60" s="685"/>
      <c r="Z60" s="541">
        <v>16</v>
      </c>
      <c r="AA60" s="542">
        <v>1283.773584905661</v>
      </c>
      <c r="AB60" s="542">
        <v>80.235849056603811</v>
      </c>
      <c r="AC60" s="541">
        <f t="shared" si="13"/>
        <v>10</v>
      </c>
      <c r="AD60" s="685"/>
      <c r="AE60" s="541">
        <v>16</v>
      </c>
      <c r="AF60" s="542">
        <v>1345.3846153846162</v>
      </c>
      <c r="AG60" s="542">
        <v>84.08653846153851</v>
      </c>
      <c r="AH60" s="541">
        <f t="shared" si="14"/>
        <v>7</v>
      </c>
      <c r="AI60" s="685"/>
      <c r="AJ60" s="541">
        <v>16</v>
      </c>
      <c r="AK60" s="542">
        <v>1296.1764705882338</v>
      </c>
      <c r="AL60" s="542">
        <v>81.011029411764611</v>
      </c>
      <c r="AM60" s="541">
        <f t="shared" si="15"/>
        <v>9</v>
      </c>
      <c r="AN60" s="685"/>
      <c r="AO60" s="541">
        <v>16</v>
      </c>
      <c r="AP60" s="542">
        <v>1290.8333333333323</v>
      </c>
      <c r="AQ60" s="542">
        <v>80.677083333333272</v>
      </c>
      <c r="AR60" s="541">
        <f t="shared" si="16"/>
        <v>8</v>
      </c>
      <c r="AS60" s="685"/>
      <c r="AT60" s="541">
        <v>16</v>
      </c>
      <c r="AU60" s="542">
        <v>1305.4285714285702</v>
      </c>
      <c r="AV60" s="542">
        <v>81.589285714285637</v>
      </c>
      <c r="AW60" s="541">
        <f t="shared" si="17"/>
        <v>8</v>
      </c>
      <c r="AX60" s="685"/>
      <c r="AZ60" s="357" t="e">
        <f t="shared" si="18"/>
        <v>#N/A</v>
      </c>
      <c r="BA60" s="685"/>
    </row>
    <row r="61" spans="2:53">
      <c r="B61" s="671"/>
      <c r="C61" s="275">
        <v>20</v>
      </c>
      <c r="D61" s="196" t="s">
        <v>596</v>
      </c>
      <c r="E61" s="496">
        <v>19</v>
      </c>
      <c r="F61" s="196">
        <v>1440</v>
      </c>
      <c r="G61" s="194">
        <v>75.78947368421052</v>
      </c>
      <c r="H61" s="711"/>
      <c r="I61" s="352">
        <f t="shared" si="19"/>
        <v>19</v>
      </c>
      <c r="J61" s="352">
        <f t="shared" si="20"/>
        <v>1259.3861421706076</v>
      </c>
      <c r="K61" s="194">
        <f t="shared" si="21"/>
        <v>66.283481166874097</v>
      </c>
      <c r="L61" s="645"/>
      <c r="M61" s="193">
        <f>RANK(K61, K$42:$K$71)</f>
        <v>20</v>
      </c>
      <c r="N61" s="663"/>
      <c r="O61" s="663"/>
      <c r="P61" s="541">
        <v>19</v>
      </c>
      <c r="Q61" s="542">
        <v>1261.1764705882358</v>
      </c>
      <c r="R61" s="542">
        <v>66.377708978328201</v>
      </c>
      <c r="S61" s="541">
        <f t="shared" si="11"/>
        <v>22</v>
      </c>
      <c r="T61" s="685"/>
      <c r="U61" s="541">
        <v>19</v>
      </c>
      <c r="V61" s="542">
        <v>1302.8571428571431</v>
      </c>
      <c r="W61" s="542">
        <v>68.571428571428584</v>
      </c>
      <c r="X61" s="541">
        <f t="shared" si="12"/>
        <v>20</v>
      </c>
      <c r="Y61" s="685"/>
      <c r="Z61" s="541">
        <v>19</v>
      </c>
      <c r="AA61" s="542">
        <v>1258.421052631578</v>
      </c>
      <c r="AB61" s="542">
        <v>66.232686980609373</v>
      </c>
      <c r="AC61" s="541">
        <f t="shared" si="13"/>
        <v>21</v>
      </c>
      <c r="AD61" s="685"/>
      <c r="AE61" s="541">
        <v>19</v>
      </c>
      <c r="AF61" s="542">
        <v>1258.3783783783774</v>
      </c>
      <c r="AG61" s="542">
        <v>66.230440967283016</v>
      </c>
      <c r="AH61" s="541">
        <f t="shared" si="14"/>
        <v>20</v>
      </c>
      <c r="AI61" s="685"/>
      <c r="AJ61" s="541">
        <v>19</v>
      </c>
      <c r="AK61" s="542">
        <v>1261.2000000000005</v>
      </c>
      <c r="AL61" s="542">
        <v>66.37894736842108</v>
      </c>
      <c r="AM61" s="541">
        <f t="shared" si="15"/>
        <v>20</v>
      </c>
      <c r="AN61" s="685"/>
      <c r="AO61" s="541">
        <v>19</v>
      </c>
      <c r="AP61" s="542">
        <v>1267.2413793103458</v>
      </c>
      <c r="AQ61" s="542">
        <v>66.696914700544511</v>
      </c>
      <c r="AR61" s="541">
        <f t="shared" si="16"/>
        <v>20</v>
      </c>
      <c r="AS61" s="685"/>
      <c r="AT61" s="541">
        <v>19</v>
      </c>
      <c r="AU61" s="542">
        <v>1206.4285714285722</v>
      </c>
      <c r="AV61" s="542">
        <v>63.4962406015038</v>
      </c>
      <c r="AW61" s="541">
        <f t="shared" si="17"/>
        <v>20</v>
      </c>
      <c r="AX61" s="685"/>
      <c r="AZ61" s="357" t="e">
        <f t="shared" si="18"/>
        <v>#N/A</v>
      </c>
      <c r="BA61" s="685"/>
    </row>
    <row r="62" spans="2:53">
      <c r="B62" s="671"/>
      <c r="C62" s="275">
        <v>21</v>
      </c>
      <c r="D62" s="196" t="s">
        <v>644</v>
      </c>
      <c r="E62" s="496">
        <v>21</v>
      </c>
      <c r="F62" s="196">
        <v>1440</v>
      </c>
      <c r="G62" s="194">
        <v>68.571428571428569</v>
      </c>
      <c r="H62" s="711"/>
      <c r="I62" s="352">
        <f t="shared" si="19"/>
        <v>20.428571428571427</v>
      </c>
      <c r="J62" s="352">
        <f t="shared" si="20"/>
        <v>1035.0700954065819</v>
      </c>
      <c r="K62" s="194">
        <f t="shared" si="21"/>
        <v>50.684700105606062</v>
      </c>
      <c r="L62" s="645"/>
      <c r="M62" s="193">
        <f>RANK(K62, K$42:$K$71)</f>
        <v>26</v>
      </c>
      <c r="N62" s="663"/>
      <c r="O62" s="663"/>
      <c r="P62" s="541">
        <v>21</v>
      </c>
      <c r="Q62" s="542">
        <v>1088.5714285714275</v>
      </c>
      <c r="R62" s="542">
        <v>51.836734693877503</v>
      </c>
      <c r="S62" s="541">
        <f t="shared" si="11"/>
        <v>25</v>
      </c>
      <c r="T62" s="685"/>
      <c r="U62" s="541">
        <v>21</v>
      </c>
      <c r="V62" s="542">
        <v>1102.2857142857131</v>
      </c>
      <c r="W62" s="542">
        <v>52.489795918367292</v>
      </c>
      <c r="X62" s="541">
        <f t="shared" si="12"/>
        <v>25</v>
      </c>
      <c r="Y62" s="685"/>
      <c r="Z62" s="541">
        <v>20</v>
      </c>
      <c r="AA62" s="542">
        <v>1109.9999999999959</v>
      </c>
      <c r="AB62" s="542">
        <v>55.499999999999794</v>
      </c>
      <c r="AC62" s="541">
        <f t="shared" si="13"/>
        <v>25</v>
      </c>
      <c r="AD62" s="685"/>
      <c r="AE62" s="541">
        <v>20</v>
      </c>
      <c r="AF62" s="542">
        <v>962.39999999999714</v>
      </c>
      <c r="AG62" s="542">
        <v>48.119999999999855</v>
      </c>
      <c r="AH62" s="541">
        <f t="shared" si="14"/>
        <v>24</v>
      </c>
      <c r="AI62" s="685"/>
      <c r="AJ62" s="541">
        <v>20</v>
      </c>
      <c r="AK62" s="542">
        <v>947.64705882352814</v>
      </c>
      <c r="AL62" s="542">
        <v>47.382352941176407</v>
      </c>
      <c r="AM62" s="541">
        <f t="shared" si="15"/>
        <v>24</v>
      </c>
      <c r="AN62" s="685"/>
      <c r="AO62" s="541">
        <v>20</v>
      </c>
      <c r="AP62" s="542">
        <v>1083.1578947368414</v>
      </c>
      <c r="AQ62" s="542">
        <v>54.157894736842067</v>
      </c>
      <c r="AR62" s="541">
        <f t="shared" si="16"/>
        <v>24</v>
      </c>
      <c r="AS62" s="685"/>
      <c r="AT62" s="541">
        <v>21</v>
      </c>
      <c r="AU62" s="542">
        <v>951.42857142857054</v>
      </c>
      <c r="AV62" s="542">
        <v>45.306122448979551</v>
      </c>
      <c r="AW62" s="541">
        <f t="shared" si="17"/>
        <v>24</v>
      </c>
      <c r="AX62" s="685"/>
      <c r="AZ62" s="357" t="e">
        <f t="shared" si="18"/>
        <v>#N/A</v>
      </c>
      <c r="BA62" s="685"/>
    </row>
    <row r="63" spans="2:53">
      <c r="B63" s="671"/>
      <c r="C63" s="275">
        <v>22</v>
      </c>
      <c r="D63" s="196" t="s">
        <v>645</v>
      </c>
      <c r="E63" s="496">
        <v>19</v>
      </c>
      <c r="F63" s="196">
        <v>1440</v>
      </c>
      <c r="G63" s="194">
        <v>75.78947368421052</v>
      </c>
      <c r="H63" s="711"/>
      <c r="I63" s="352">
        <f t="shared" si="19"/>
        <v>19</v>
      </c>
      <c r="J63" s="352">
        <f t="shared" si="20"/>
        <v>1329.0572421279248</v>
      </c>
      <c r="K63" s="194">
        <f t="shared" si="21"/>
        <v>69.950381164627615</v>
      </c>
      <c r="L63" s="645"/>
      <c r="M63" s="193">
        <f>RANK(K63, K$42:$K$71)</f>
        <v>17</v>
      </c>
      <c r="N63" s="663"/>
      <c r="O63" s="663"/>
      <c r="P63" s="541">
        <v>19</v>
      </c>
      <c r="Q63" s="542">
        <v>1325.2631578947378</v>
      </c>
      <c r="R63" s="542">
        <v>69.750692520775672</v>
      </c>
      <c r="S63" s="541">
        <f t="shared" si="11"/>
        <v>17</v>
      </c>
      <c r="T63" s="685"/>
      <c r="U63" s="541">
        <v>19</v>
      </c>
      <c r="V63" s="542">
        <v>1310.6896551724146</v>
      </c>
      <c r="W63" s="542">
        <v>68.983666061706032</v>
      </c>
      <c r="X63" s="541">
        <f t="shared" si="12"/>
        <v>19</v>
      </c>
      <c r="Y63" s="685"/>
      <c r="Z63" s="541">
        <v>19</v>
      </c>
      <c r="AA63" s="542">
        <v>1327.8260869565217</v>
      </c>
      <c r="AB63" s="542">
        <v>69.885583524027467</v>
      </c>
      <c r="AC63" s="541">
        <f t="shared" si="13"/>
        <v>17</v>
      </c>
      <c r="AD63" s="685"/>
      <c r="AE63" s="541">
        <v>19</v>
      </c>
      <c r="AF63" s="542">
        <v>1328.7500000000005</v>
      </c>
      <c r="AG63" s="542">
        <v>69.934210526315809</v>
      </c>
      <c r="AH63" s="541">
        <f t="shared" si="14"/>
        <v>17</v>
      </c>
      <c r="AI63" s="685"/>
      <c r="AJ63" s="541">
        <v>19</v>
      </c>
      <c r="AK63" s="542">
        <v>1353.3333333333342</v>
      </c>
      <c r="AL63" s="542">
        <v>71.228070175438646</v>
      </c>
      <c r="AM63" s="541">
        <f t="shared" si="15"/>
        <v>17</v>
      </c>
      <c r="AN63" s="685"/>
      <c r="AO63" s="541">
        <v>19</v>
      </c>
      <c r="AP63" s="542">
        <v>1325.538461538463</v>
      </c>
      <c r="AQ63" s="542">
        <v>69.765182186234895</v>
      </c>
      <c r="AR63" s="541">
        <f t="shared" si="16"/>
        <v>17</v>
      </c>
      <c r="AS63" s="685"/>
      <c r="AT63" s="541">
        <v>19</v>
      </c>
      <c r="AU63" s="542">
        <v>1332.0000000000014</v>
      </c>
      <c r="AV63" s="542">
        <v>70.105263157894811</v>
      </c>
      <c r="AW63" s="541">
        <f t="shared" si="17"/>
        <v>17</v>
      </c>
      <c r="AX63" s="685"/>
      <c r="AZ63" s="357" t="e">
        <f t="shared" si="18"/>
        <v>#N/A</v>
      </c>
      <c r="BA63" s="685"/>
    </row>
    <row r="64" spans="2:53">
      <c r="B64" s="671"/>
      <c r="C64" s="275">
        <v>23</v>
      </c>
      <c r="D64" s="196" t="s">
        <v>669</v>
      </c>
      <c r="E64" s="496">
        <v>14</v>
      </c>
      <c r="F64" s="196">
        <v>1440</v>
      </c>
      <c r="G64" s="194">
        <v>102.85714285714286</v>
      </c>
      <c r="H64" s="711"/>
      <c r="I64" s="352">
        <f t="shared" si="19"/>
        <v>13.714285714285714</v>
      </c>
      <c r="J64" s="352">
        <f t="shared" si="20"/>
        <v>1325.7968080672774</v>
      </c>
      <c r="K64" s="194">
        <f t="shared" si="21"/>
        <v>96.768566575544597</v>
      </c>
      <c r="L64" s="645"/>
      <c r="M64" s="193">
        <f>RANK(K64, K$42:$K$71)</f>
        <v>4</v>
      </c>
      <c r="N64" s="663"/>
      <c r="O64" s="663"/>
      <c r="P64" s="541">
        <v>13</v>
      </c>
      <c r="Q64" s="542">
        <v>1328.2758620689665</v>
      </c>
      <c r="R64" s="542">
        <v>102.17506631299742</v>
      </c>
      <c r="S64" s="541">
        <f t="shared" si="11"/>
        <v>4</v>
      </c>
      <c r="T64" s="685"/>
      <c r="U64" s="541">
        <v>13</v>
      </c>
      <c r="V64" s="542">
        <v>1307.3684210526326</v>
      </c>
      <c r="W64" s="542">
        <v>100.56680161943328</v>
      </c>
      <c r="X64" s="541">
        <f t="shared" si="12"/>
        <v>4</v>
      </c>
      <c r="Y64" s="685"/>
      <c r="Z64" s="541">
        <v>14</v>
      </c>
      <c r="AA64" s="542">
        <v>1291.836734693878</v>
      </c>
      <c r="AB64" s="542">
        <v>92.274052478134152</v>
      </c>
      <c r="AC64" s="541">
        <f t="shared" si="13"/>
        <v>4</v>
      </c>
      <c r="AD64" s="685"/>
      <c r="AE64" s="541">
        <v>14</v>
      </c>
      <c r="AF64" s="542">
        <v>1338.0000000000005</v>
      </c>
      <c r="AG64" s="542">
        <v>95.571428571428598</v>
      </c>
      <c r="AH64" s="541">
        <f t="shared" si="14"/>
        <v>3</v>
      </c>
      <c r="AI64" s="685"/>
      <c r="AJ64" s="541">
        <v>14</v>
      </c>
      <c r="AK64" s="542">
        <v>1353.2142857142867</v>
      </c>
      <c r="AL64" s="542">
        <v>96.658163265306186</v>
      </c>
      <c r="AM64" s="541">
        <f t="shared" si="15"/>
        <v>3</v>
      </c>
      <c r="AN64" s="685"/>
      <c r="AO64" s="541">
        <v>14</v>
      </c>
      <c r="AP64" s="542">
        <v>1335.8823529411748</v>
      </c>
      <c r="AQ64" s="542">
        <v>95.420168067226768</v>
      </c>
      <c r="AR64" s="541">
        <f t="shared" si="16"/>
        <v>4</v>
      </c>
      <c r="AS64" s="685"/>
      <c r="AT64" s="541">
        <v>14</v>
      </c>
      <c r="AU64" s="542">
        <v>1326.0000000000011</v>
      </c>
      <c r="AV64" s="542">
        <v>94.714285714285793</v>
      </c>
      <c r="AW64" s="541">
        <f t="shared" si="17"/>
        <v>4</v>
      </c>
      <c r="AX64" s="685"/>
      <c r="AZ64" s="357" t="e">
        <f t="shared" si="18"/>
        <v>#N/A</v>
      </c>
      <c r="BA64" s="685"/>
    </row>
    <row r="65" spans="2:53">
      <c r="B65" s="671"/>
      <c r="C65" s="275">
        <v>24</v>
      </c>
      <c r="D65" s="196" t="s">
        <v>682</v>
      </c>
      <c r="E65" s="496">
        <v>21</v>
      </c>
      <c r="F65" s="196">
        <v>1385</v>
      </c>
      <c r="G65" s="194">
        <v>65.952380952380949</v>
      </c>
      <c r="H65" s="711"/>
      <c r="I65" s="352">
        <f t="shared" si="19"/>
        <v>20.285714285714285</v>
      </c>
      <c r="J65" s="352">
        <f t="shared" si="20"/>
        <v>1204.3275000417855</v>
      </c>
      <c r="K65" s="194">
        <f t="shared" si="21"/>
        <v>59.40832511546796</v>
      </c>
      <c r="L65" s="645"/>
      <c r="M65" s="193">
        <f>RANK(K65, K$42:$K$71)</f>
        <v>24</v>
      </c>
      <c r="N65" s="663"/>
      <c r="O65" s="663"/>
      <c r="P65" s="541">
        <v>20</v>
      </c>
      <c r="Q65" s="542">
        <v>1223.1818181818182</v>
      </c>
      <c r="R65" s="542">
        <v>61.159090909090914</v>
      </c>
      <c r="S65" s="541">
        <f t="shared" si="11"/>
        <v>23</v>
      </c>
      <c r="T65" s="685"/>
      <c r="U65" s="541">
        <v>20</v>
      </c>
      <c r="V65" s="542">
        <v>1208</v>
      </c>
      <c r="W65" s="542">
        <v>60.4</v>
      </c>
      <c r="X65" s="541">
        <f t="shared" si="12"/>
        <v>23</v>
      </c>
      <c r="Y65" s="685"/>
      <c r="Z65" s="541">
        <v>21</v>
      </c>
      <c r="AA65" s="542">
        <v>1184.9999999999995</v>
      </c>
      <c r="AB65" s="542">
        <v>56.428571428571409</v>
      </c>
      <c r="AC65" s="541">
        <f t="shared" si="13"/>
        <v>24</v>
      </c>
      <c r="AD65" s="685"/>
      <c r="AE65" s="541">
        <v>20</v>
      </c>
      <c r="AF65" s="542">
        <v>1213.7142857142844</v>
      </c>
      <c r="AG65" s="542">
        <v>60.685714285714219</v>
      </c>
      <c r="AH65" s="541">
        <f t="shared" si="14"/>
        <v>22</v>
      </c>
      <c r="AI65" s="685"/>
      <c r="AJ65" s="541">
        <v>20</v>
      </c>
      <c r="AK65" s="542">
        <v>1209.7297297297289</v>
      </c>
      <c r="AL65" s="542">
        <v>60.486486486486442</v>
      </c>
      <c r="AM65" s="541">
        <f t="shared" si="15"/>
        <v>22</v>
      </c>
      <c r="AN65" s="685"/>
      <c r="AO65" s="541">
        <v>21</v>
      </c>
      <c r="AP65" s="542">
        <v>1190.6666666666667</v>
      </c>
      <c r="AQ65" s="542">
        <v>56.698412698412703</v>
      </c>
      <c r="AR65" s="541">
        <f t="shared" si="16"/>
        <v>23</v>
      </c>
      <c r="AS65" s="685"/>
      <c r="AT65" s="541">
        <v>20</v>
      </c>
      <c r="AU65" s="542">
        <v>1200.0000000000005</v>
      </c>
      <c r="AV65" s="542">
        <v>60.000000000000021</v>
      </c>
      <c r="AW65" s="541">
        <f t="shared" si="17"/>
        <v>22</v>
      </c>
      <c r="AX65" s="685"/>
      <c r="AZ65" s="357" t="e">
        <f t="shared" si="18"/>
        <v>#N/A</v>
      </c>
      <c r="BA65" s="685"/>
    </row>
    <row r="66" spans="2:53">
      <c r="B66" s="671"/>
      <c r="C66" s="275">
        <v>25</v>
      </c>
      <c r="D66" s="196" t="s">
        <v>688</v>
      </c>
      <c r="E66" s="496">
        <v>14</v>
      </c>
      <c r="F66" s="196">
        <v>1440</v>
      </c>
      <c r="G66" s="194">
        <v>102.85714285714286</v>
      </c>
      <c r="H66" s="711"/>
      <c r="I66" s="352">
        <f t="shared" si="19"/>
        <v>13.714285714285714</v>
      </c>
      <c r="J66" s="352">
        <f t="shared" si="20"/>
        <v>1331.567553974168</v>
      </c>
      <c r="K66" s="194">
        <f t="shared" si="21"/>
        <v>97.20366954305824</v>
      </c>
      <c r="L66" s="645"/>
      <c r="M66" s="193">
        <f>RANK(K66, K$42:$K$71)</f>
        <v>3</v>
      </c>
      <c r="N66" s="663"/>
      <c r="O66" s="663"/>
      <c r="P66" s="541">
        <v>13</v>
      </c>
      <c r="Q66" s="542">
        <v>1356.2068965517251</v>
      </c>
      <c r="R66" s="542">
        <v>104.32360742705578</v>
      </c>
      <c r="S66" s="541">
        <f t="shared" si="11"/>
        <v>3</v>
      </c>
      <c r="T66" s="685"/>
      <c r="U66" s="541">
        <v>13</v>
      </c>
      <c r="V66" s="542">
        <v>1308.6206896551735</v>
      </c>
      <c r="W66" s="542">
        <v>100.66312997347488</v>
      </c>
      <c r="X66" s="541">
        <f t="shared" si="12"/>
        <v>3</v>
      </c>
      <c r="Y66" s="685"/>
      <c r="Z66" s="541">
        <v>14</v>
      </c>
      <c r="AA66" s="542">
        <v>1312</v>
      </c>
      <c r="AB66" s="542">
        <v>93.714285714285708</v>
      </c>
      <c r="AC66" s="541">
        <f t="shared" si="13"/>
        <v>3</v>
      </c>
      <c r="AD66" s="685"/>
      <c r="AE66" s="541">
        <v>14</v>
      </c>
      <c r="AF66" s="542">
        <v>1328.1818181818182</v>
      </c>
      <c r="AG66" s="542">
        <v>94.870129870129873</v>
      </c>
      <c r="AH66" s="541">
        <f t="shared" si="14"/>
        <v>4</v>
      </c>
      <c r="AI66" s="685"/>
      <c r="AJ66" s="541">
        <v>14</v>
      </c>
      <c r="AK66" s="542">
        <v>1337.872340425532</v>
      </c>
      <c r="AL66" s="542">
        <v>95.562310030395139</v>
      </c>
      <c r="AM66" s="541">
        <f t="shared" si="15"/>
        <v>4</v>
      </c>
      <c r="AN66" s="685"/>
      <c r="AO66" s="541">
        <v>14</v>
      </c>
      <c r="AP66" s="542">
        <v>1363.44827586207</v>
      </c>
      <c r="AQ66" s="542">
        <v>97.389162561576427</v>
      </c>
      <c r="AR66" s="541">
        <f t="shared" si="16"/>
        <v>3</v>
      </c>
      <c r="AS66" s="685"/>
      <c r="AT66" s="541">
        <v>14</v>
      </c>
      <c r="AU66" s="542">
        <v>1314.6428571428582</v>
      </c>
      <c r="AV66" s="542">
        <v>93.903061224489875</v>
      </c>
      <c r="AW66" s="541">
        <f t="shared" si="17"/>
        <v>5</v>
      </c>
      <c r="AX66" s="685"/>
      <c r="AZ66" s="357" t="e">
        <f t="shared" si="18"/>
        <v>#N/A</v>
      </c>
      <c r="BA66" s="685"/>
    </row>
    <row r="67" spans="2:53">
      <c r="B67" s="671"/>
      <c r="C67" s="275">
        <v>26</v>
      </c>
      <c r="D67" s="196" t="s">
        <v>774</v>
      </c>
      <c r="E67" s="496">
        <v>21</v>
      </c>
      <c r="F67" s="196">
        <v>1440</v>
      </c>
      <c r="G67" s="194">
        <v>68.571428571428569</v>
      </c>
      <c r="H67" s="711"/>
      <c r="I67" s="352">
        <f t="shared" si="19"/>
        <v>21</v>
      </c>
      <c r="J67" s="352">
        <f t="shared" si="20"/>
        <v>1317.6666666666656</v>
      </c>
      <c r="K67" s="194">
        <f t="shared" si="21"/>
        <v>62.746031746031697</v>
      </c>
      <c r="L67" s="645"/>
      <c r="M67" s="193">
        <f>RANK(K67, K$42:$K$71)</f>
        <v>23</v>
      </c>
      <c r="N67" s="663"/>
      <c r="O67" s="663"/>
      <c r="P67" s="541" t="s">
        <v>564</v>
      </c>
      <c r="Q67" s="542" t="s">
        <v>564</v>
      </c>
      <c r="R67" s="542" t="s">
        <v>564</v>
      </c>
      <c r="S67" s="541" t="e">
        <f t="shared" si="11"/>
        <v>#VALUE!</v>
      </c>
      <c r="T67" s="685"/>
      <c r="U67" s="541" t="s">
        <v>564</v>
      </c>
      <c r="V67" s="542" t="s">
        <v>564</v>
      </c>
      <c r="W67" s="542" t="s">
        <v>564</v>
      </c>
      <c r="X67" s="541" t="e">
        <f t="shared" si="12"/>
        <v>#VALUE!</v>
      </c>
      <c r="Y67" s="685"/>
      <c r="Z67" s="541" t="s">
        <v>564</v>
      </c>
      <c r="AA67" s="542" t="s">
        <v>564</v>
      </c>
      <c r="AB67" s="542" t="s">
        <v>564</v>
      </c>
      <c r="AC67" s="541" t="e">
        <f t="shared" si="13"/>
        <v>#VALUE!</v>
      </c>
      <c r="AD67" s="685"/>
      <c r="AE67" s="541" t="s">
        <v>564</v>
      </c>
      <c r="AF67" s="542" t="s">
        <v>564</v>
      </c>
      <c r="AG67" s="542" t="s">
        <v>564</v>
      </c>
      <c r="AH67" s="541" t="e">
        <f t="shared" si="14"/>
        <v>#VALUE!</v>
      </c>
      <c r="AI67" s="685"/>
      <c r="AJ67" s="541" t="s">
        <v>564</v>
      </c>
      <c r="AK67" s="542" t="s">
        <v>564</v>
      </c>
      <c r="AL67" s="542" t="s">
        <v>564</v>
      </c>
      <c r="AM67" s="541" t="e">
        <f t="shared" si="15"/>
        <v>#VALUE!</v>
      </c>
      <c r="AN67" s="685"/>
      <c r="AO67" s="541" t="s">
        <v>564</v>
      </c>
      <c r="AP67" s="542" t="s">
        <v>564</v>
      </c>
      <c r="AQ67" s="542" t="s">
        <v>564</v>
      </c>
      <c r="AR67" s="541" t="e">
        <f t="shared" si="16"/>
        <v>#VALUE!</v>
      </c>
      <c r="AS67" s="685"/>
      <c r="AT67" s="541">
        <v>21</v>
      </c>
      <c r="AU67" s="542">
        <v>1317.6666666666656</v>
      </c>
      <c r="AV67" s="542">
        <v>62.746031746031697</v>
      </c>
      <c r="AW67" s="541">
        <f t="shared" si="17"/>
        <v>21</v>
      </c>
      <c r="AX67" s="685"/>
      <c r="AZ67" s="357" t="e">
        <f t="shared" si="18"/>
        <v>#N/A</v>
      </c>
      <c r="BA67" s="685"/>
    </row>
    <row r="68" spans="2:53">
      <c r="B68" s="671"/>
      <c r="C68" s="275">
        <v>27</v>
      </c>
      <c r="D68" s="196"/>
      <c r="E68" s="496"/>
      <c r="F68" s="196"/>
      <c r="G68" s="194"/>
      <c r="H68" s="711"/>
      <c r="I68" s="352" t="str">
        <f t="shared" si="19"/>
        <v>-</v>
      </c>
      <c r="J68" s="352" t="str">
        <f t="shared" si="20"/>
        <v>-</v>
      </c>
      <c r="K68" s="194" t="str">
        <f t="shared" si="21"/>
        <v>-</v>
      </c>
      <c r="L68" s="645"/>
      <c r="M68" s="193" t="e">
        <f>RANK(K68, K$42:$K$71)</f>
        <v>#VALUE!</v>
      </c>
      <c r="N68" s="663"/>
      <c r="O68" s="663"/>
      <c r="P68" s="541" t="s">
        <v>564</v>
      </c>
      <c r="Q68" s="542" t="s">
        <v>564</v>
      </c>
      <c r="R68" s="542" t="s">
        <v>564</v>
      </c>
      <c r="S68" s="541" t="e">
        <f t="shared" si="11"/>
        <v>#VALUE!</v>
      </c>
      <c r="T68" s="685"/>
      <c r="U68" s="541" t="s">
        <v>564</v>
      </c>
      <c r="V68" s="542" t="s">
        <v>564</v>
      </c>
      <c r="W68" s="542" t="s">
        <v>564</v>
      </c>
      <c r="X68" s="541" t="e">
        <f t="shared" si="12"/>
        <v>#VALUE!</v>
      </c>
      <c r="Y68" s="685"/>
      <c r="Z68" s="541" t="s">
        <v>564</v>
      </c>
      <c r="AA68" s="542" t="s">
        <v>564</v>
      </c>
      <c r="AB68" s="542" t="s">
        <v>564</v>
      </c>
      <c r="AC68" s="541" t="e">
        <f t="shared" si="13"/>
        <v>#VALUE!</v>
      </c>
      <c r="AD68" s="685"/>
      <c r="AE68" s="541" t="s">
        <v>564</v>
      </c>
      <c r="AF68" s="542" t="s">
        <v>564</v>
      </c>
      <c r="AG68" s="542" t="s">
        <v>564</v>
      </c>
      <c r="AH68" s="541" t="e">
        <f t="shared" si="14"/>
        <v>#VALUE!</v>
      </c>
      <c r="AI68" s="685"/>
      <c r="AJ68" s="541" t="s">
        <v>564</v>
      </c>
      <c r="AK68" s="542" t="s">
        <v>564</v>
      </c>
      <c r="AL68" s="542" t="s">
        <v>564</v>
      </c>
      <c r="AM68" s="541" t="e">
        <f t="shared" si="15"/>
        <v>#VALUE!</v>
      </c>
      <c r="AN68" s="685"/>
      <c r="AO68" s="541" t="s">
        <v>564</v>
      </c>
      <c r="AP68" s="542" t="s">
        <v>564</v>
      </c>
      <c r="AQ68" s="542" t="s">
        <v>564</v>
      </c>
      <c r="AR68" s="541" t="e">
        <f t="shared" si="16"/>
        <v>#VALUE!</v>
      </c>
      <c r="AS68" s="685"/>
      <c r="AT68" s="541" t="s">
        <v>564</v>
      </c>
      <c r="AU68" s="542" t="s">
        <v>564</v>
      </c>
      <c r="AV68" s="542" t="s">
        <v>564</v>
      </c>
      <c r="AW68" s="541" t="e">
        <f t="shared" si="17"/>
        <v>#VALUE!</v>
      </c>
      <c r="AX68" s="685"/>
      <c r="AZ68" s="357" t="e">
        <f t="shared" si="18"/>
        <v>#N/A</v>
      </c>
      <c r="BA68" s="685"/>
    </row>
    <row r="69" spans="2:53">
      <c r="B69" s="671"/>
      <c r="C69" s="275">
        <v>28</v>
      </c>
      <c r="D69" s="196"/>
      <c r="E69" s="496"/>
      <c r="F69" s="196"/>
      <c r="G69" s="194"/>
      <c r="H69" s="711"/>
      <c r="I69" s="352" t="str">
        <f t="shared" si="19"/>
        <v>-</v>
      </c>
      <c r="J69" s="352" t="str">
        <f t="shared" si="20"/>
        <v>-</v>
      </c>
      <c r="K69" s="194" t="str">
        <f t="shared" si="21"/>
        <v>-</v>
      </c>
      <c r="L69" s="645"/>
      <c r="M69" s="193" t="e">
        <f>RANK(K69, K$42:$K$71)</f>
        <v>#VALUE!</v>
      </c>
      <c r="N69" s="663"/>
      <c r="O69" s="663"/>
      <c r="P69" s="541" t="s">
        <v>564</v>
      </c>
      <c r="Q69" s="542" t="s">
        <v>564</v>
      </c>
      <c r="R69" s="542" t="s">
        <v>564</v>
      </c>
      <c r="S69" s="541" t="e">
        <f t="shared" si="11"/>
        <v>#VALUE!</v>
      </c>
      <c r="T69" s="685"/>
      <c r="U69" s="541" t="s">
        <v>564</v>
      </c>
      <c r="V69" s="542" t="s">
        <v>564</v>
      </c>
      <c r="W69" s="542" t="s">
        <v>564</v>
      </c>
      <c r="X69" s="541" t="e">
        <f t="shared" si="12"/>
        <v>#VALUE!</v>
      </c>
      <c r="Y69" s="685"/>
      <c r="Z69" s="541" t="s">
        <v>564</v>
      </c>
      <c r="AA69" s="542" t="s">
        <v>564</v>
      </c>
      <c r="AB69" s="542" t="s">
        <v>564</v>
      </c>
      <c r="AC69" s="541" t="e">
        <f t="shared" si="13"/>
        <v>#VALUE!</v>
      </c>
      <c r="AD69" s="685"/>
      <c r="AE69" s="541" t="s">
        <v>564</v>
      </c>
      <c r="AF69" s="542" t="s">
        <v>564</v>
      </c>
      <c r="AG69" s="542" t="s">
        <v>564</v>
      </c>
      <c r="AH69" s="541" t="e">
        <f t="shared" si="14"/>
        <v>#VALUE!</v>
      </c>
      <c r="AI69" s="685"/>
      <c r="AJ69" s="541" t="s">
        <v>564</v>
      </c>
      <c r="AK69" s="542" t="s">
        <v>564</v>
      </c>
      <c r="AL69" s="542" t="s">
        <v>564</v>
      </c>
      <c r="AM69" s="541" t="e">
        <f t="shared" si="15"/>
        <v>#VALUE!</v>
      </c>
      <c r="AN69" s="685"/>
      <c r="AO69" s="541" t="s">
        <v>564</v>
      </c>
      <c r="AP69" s="542" t="s">
        <v>564</v>
      </c>
      <c r="AQ69" s="542" t="s">
        <v>564</v>
      </c>
      <c r="AR69" s="541" t="e">
        <f t="shared" si="16"/>
        <v>#VALUE!</v>
      </c>
      <c r="AS69" s="685"/>
      <c r="AT69" s="541" t="s">
        <v>564</v>
      </c>
      <c r="AU69" s="542" t="s">
        <v>564</v>
      </c>
      <c r="AV69" s="542" t="s">
        <v>564</v>
      </c>
      <c r="AW69" s="541" t="e">
        <f t="shared" si="17"/>
        <v>#VALUE!</v>
      </c>
      <c r="AX69" s="685"/>
      <c r="AZ69" s="357" t="e">
        <f t="shared" si="18"/>
        <v>#N/A</v>
      </c>
      <c r="BA69" s="685"/>
    </row>
    <row r="70" spans="2:53">
      <c r="B70" s="671"/>
      <c r="C70" s="275">
        <v>29</v>
      </c>
      <c r="D70" s="196"/>
      <c r="E70" s="496"/>
      <c r="F70" s="196"/>
      <c r="G70" s="194"/>
      <c r="H70" s="711"/>
      <c r="I70" s="352" t="str">
        <f t="shared" si="19"/>
        <v>-</v>
      </c>
      <c r="J70" s="352" t="str">
        <f t="shared" si="20"/>
        <v>-</v>
      </c>
      <c r="K70" s="194" t="str">
        <f t="shared" si="21"/>
        <v>-</v>
      </c>
      <c r="L70" s="645"/>
      <c r="M70" s="193" t="e">
        <f>RANK(K70, K$42:$K$71)</f>
        <v>#VALUE!</v>
      </c>
      <c r="N70" s="663"/>
      <c r="O70" s="663"/>
      <c r="P70" s="541" t="s">
        <v>564</v>
      </c>
      <c r="Q70" s="542" t="s">
        <v>564</v>
      </c>
      <c r="R70" s="542" t="s">
        <v>564</v>
      </c>
      <c r="S70" s="541" t="e">
        <f t="shared" si="11"/>
        <v>#VALUE!</v>
      </c>
      <c r="T70" s="685"/>
      <c r="U70" s="541" t="s">
        <v>564</v>
      </c>
      <c r="V70" s="542" t="s">
        <v>564</v>
      </c>
      <c r="W70" s="542" t="s">
        <v>564</v>
      </c>
      <c r="X70" s="541" t="e">
        <f t="shared" si="12"/>
        <v>#VALUE!</v>
      </c>
      <c r="Y70" s="685"/>
      <c r="Z70" s="541" t="s">
        <v>564</v>
      </c>
      <c r="AA70" s="542" t="s">
        <v>564</v>
      </c>
      <c r="AB70" s="542" t="s">
        <v>564</v>
      </c>
      <c r="AC70" s="541" t="e">
        <f t="shared" si="13"/>
        <v>#VALUE!</v>
      </c>
      <c r="AD70" s="685"/>
      <c r="AE70" s="541" t="s">
        <v>564</v>
      </c>
      <c r="AF70" s="542" t="s">
        <v>564</v>
      </c>
      <c r="AG70" s="542" t="s">
        <v>564</v>
      </c>
      <c r="AH70" s="541" t="e">
        <f t="shared" si="14"/>
        <v>#VALUE!</v>
      </c>
      <c r="AI70" s="685"/>
      <c r="AJ70" s="541" t="s">
        <v>564</v>
      </c>
      <c r="AK70" s="542" t="s">
        <v>564</v>
      </c>
      <c r="AL70" s="542" t="s">
        <v>564</v>
      </c>
      <c r="AM70" s="541" t="e">
        <f t="shared" si="15"/>
        <v>#VALUE!</v>
      </c>
      <c r="AN70" s="685"/>
      <c r="AO70" s="541" t="s">
        <v>564</v>
      </c>
      <c r="AP70" s="542" t="s">
        <v>564</v>
      </c>
      <c r="AQ70" s="542" t="s">
        <v>564</v>
      </c>
      <c r="AR70" s="541" t="e">
        <f t="shared" si="16"/>
        <v>#VALUE!</v>
      </c>
      <c r="AS70" s="685"/>
      <c r="AT70" s="541" t="s">
        <v>564</v>
      </c>
      <c r="AU70" s="542" t="s">
        <v>564</v>
      </c>
      <c r="AV70" s="542" t="s">
        <v>564</v>
      </c>
      <c r="AW70" s="541" t="e">
        <f t="shared" si="17"/>
        <v>#VALUE!</v>
      </c>
      <c r="AX70" s="685"/>
      <c r="AZ70" s="357" t="e">
        <f t="shared" si="18"/>
        <v>#N/A</v>
      </c>
      <c r="BA70" s="685"/>
    </row>
    <row r="71" spans="2:53">
      <c r="B71" s="671"/>
      <c r="C71" s="275">
        <v>30</v>
      </c>
      <c r="D71" s="196"/>
      <c r="E71" s="496"/>
      <c r="F71" s="196"/>
      <c r="G71" s="194"/>
      <c r="H71" s="712"/>
      <c r="I71" s="352" t="str">
        <f t="shared" si="19"/>
        <v>-</v>
      </c>
      <c r="J71" s="352" t="str">
        <f t="shared" si="20"/>
        <v>-</v>
      </c>
      <c r="K71" s="194" t="str">
        <f t="shared" si="21"/>
        <v>-</v>
      </c>
      <c r="L71" s="646"/>
      <c r="M71" s="193" t="e">
        <f>RANK(K71, K$42:$K$71)</f>
        <v>#VALUE!</v>
      </c>
      <c r="N71" s="663"/>
      <c r="O71" s="663"/>
      <c r="P71" s="541" t="s">
        <v>564</v>
      </c>
      <c r="Q71" s="542" t="s">
        <v>564</v>
      </c>
      <c r="R71" s="542" t="s">
        <v>564</v>
      </c>
      <c r="S71" s="541" t="e">
        <f t="shared" si="11"/>
        <v>#VALUE!</v>
      </c>
      <c r="T71" s="685"/>
      <c r="U71" s="541" t="s">
        <v>564</v>
      </c>
      <c r="V71" s="542" t="s">
        <v>564</v>
      </c>
      <c r="W71" s="542" t="s">
        <v>564</v>
      </c>
      <c r="X71" s="541" t="e">
        <f t="shared" si="12"/>
        <v>#VALUE!</v>
      </c>
      <c r="Y71" s="685"/>
      <c r="Z71" s="541" t="s">
        <v>564</v>
      </c>
      <c r="AA71" s="542" t="s">
        <v>564</v>
      </c>
      <c r="AB71" s="542" t="s">
        <v>564</v>
      </c>
      <c r="AC71" s="541" t="e">
        <f t="shared" si="13"/>
        <v>#VALUE!</v>
      </c>
      <c r="AD71" s="685"/>
      <c r="AE71" s="541" t="s">
        <v>564</v>
      </c>
      <c r="AF71" s="542" t="s">
        <v>564</v>
      </c>
      <c r="AG71" s="542" t="s">
        <v>564</v>
      </c>
      <c r="AH71" s="541" t="e">
        <f t="shared" si="14"/>
        <v>#VALUE!</v>
      </c>
      <c r="AI71" s="685"/>
      <c r="AJ71" s="541" t="s">
        <v>564</v>
      </c>
      <c r="AK71" s="542" t="s">
        <v>564</v>
      </c>
      <c r="AL71" s="542" t="s">
        <v>564</v>
      </c>
      <c r="AM71" s="541" t="e">
        <f t="shared" si="15"/>
        <v>#VALUE!</v>
      </c>
      <c r="AN71" s="685"/>
      <c r="AO71" s="541" t="s">
        <v>564</v>
      </c>
      <c r="AP71" s="542" t="s">
        <v>564</v>
      </c>
      <c r="AQ71" s="542" t="s">
        <v>564</v>
      </c>
      <c r="AR71" s="541" t="e">
        <f t="shared" si="16"/>
        <v>#VALUE!</v>
      </c>
      <c r="AS71" s="685"/>
      <c r="AT71" s="541" t="s">
        <v>564</v>
      </c>
      <c r="AU71" s="542" t="s">
        <v>564</v>
      </c>
      <c r="AV71" s="542" t="s">
        <v>564</v>
      </c>
      <c r="AW71" s="541" t="e">
        <f t="shared" si="17"/>
        <v>#VALUE!</v>
      </c>
      <c r="AX71" s="685"/>
      <c r="AZ71" s="357" t="e">
        <f t="shared" si="18"/>
        <v>#N/A</v>
      </c>
      <c r="BA71" s="685"/>
    </row>
    <row r="72" spans="2:53" ht="15.75">
      <c r="B72" s="689" t="s">
        <v>162</v>
      </c>
      <c r="C72" s="690"/>
      <c r="D72" s="690"/>
      <c r="E72" s="690"/>
      <c r="F72" s="690"/>
      <c r="G72" s="690"/>
      <c r="H72" s="690"/>
      <c r="I72" s="202"/>
      <c r="J72" s="197"/>
      <c r="K72" s="202"/>
      <c r="L72" s="202"/>
      <c r="M72" s="198"/>
      <c r="N72" s="664" t="s">
        <v>156</v>
      </c>
      <c r="O72" s="664" t="s">
        <v>105</v>
      </c>
      <c r="P72" s="667">
        <f>P37+7</f>
        <v>46280</v>
      </c>
      <c r="Q72" s="668"/>
      <c r="R72" s="668"/>
      <c r="S72" s="668"/>
      <c r="T72" s="669"/>
      <c r="U72" s="667">
        <f>P72+1</f>
        <v>46281</v>
      </c>
      <c r="V72" s="668"/>
      <c r="W72" s="668"/>
      <c r="X72" s="668"/>
      <c r="Y72" s="669"/>
      <c r="Z72" s="667">
        <f>U72+1</f>
        <v>46282</v>
      </c>
      <c r="AA72" s="668"/>
      <c r="AB72" s="668"/>
      <c r="AC72" s="668"/>
      <c r="AD72" s="669"/>
      <c r="AE72" s="667">
        <f>Z72+1</f>
        <v>46283</v>
      </c>
      <c r="AF72" s="668"/>
      <c r="AG72" s="668"/>
      <c r="AH72" s="668"/>
      <c r="AI72" s="669"/>
      <c r="AJ72" s="667">
        <f>AE72+1</f>
        <v>46284</v>
      </c>
      <c r="AK72" s="668"/>
      <c r="AL72" s="668"/>
      <c r="AM72" s="668"/>
      <c r="AN72" s="669"/>
      <c r="AO72" s="667">
        <f>AJ72+1</f>
        <v>46285</v>
      </c>
      <c r="AP72" s="668"/>
      <c r="AQ72" s="668"/>
      <c r="AR72" s="668"/>
      <c r="AS72" s="669"/>
      <c r="AT72" s="667">
        <f>AO72+1</f>
        <v>46286</v>
      </c>
      <c r="AU72" s="668"/>
      <c r="AV72" s="668"/>
      <c r="AW72" s="668"/>
      <c r="AX72" s="669"/>
    </row>
    <row r="73" spans="2:53" ht="15.75">
      <c r="B73" s="678"/>
      <c r="C73" s="678"/>
      <c r="D73" s="678"/>
      <c r="E73" s="678"/>
      <c r="F73" s="678"/>
      <c r="G73" s="678"/>
      <c r="H73" s="678"/>
      <c r="I73" s="199"/>
      <c r="J73" s="199"/>
      <c r="K73" s="199"/>
      <c r="L73" s="199"/>
      <c r="M73" s="200"/>
      <c r="N73" s="666"/>
      <c r="O73" s="666"/>
      <c r="P73" s="667" t="s">
        <v>317</v>
      </c>
      <c r="Q73" s="668"/>
      <c r="R73" s="668"/>
      <c r="S73" s="668"/>
      <c r="T73" s="669"/>
      <c r="U73" s="667" t="s">
        <v>318</v>
      </c>
      <c r="V73" s="668"/>
      <c r="W73" s="668"/>
      <c r="X73" s="668"/>
      <c r="Y73" s="669"/>
      <c r="Z73" s="667" t="s">
        <v>319</v>
      </c>
      <c r="AA73" s="668"/>
      <c r="AB73" s="668"/>
      <c r="AC73" s="668"/>
      <c r="AD73" s="669"/>
      <c r="AE73" s="667" t="s">
        <v>320</v>
      </c>
      <c r="AF73" s="668"/>
      <c r="AG73" s="668"/>
      <c r="AH73" s="668"/>
      <c r="AI73" s="669"/>
      <c r="AJ73" s="667" t="s">
        <v>321</v>
      </c>
      <c r="AK73" s="668"/>
      <c r="AL73" s="668"/>
      <c r="AM73" s="668"/>
      <c r="AN73" s="669"/>
      <c r="AO73" s="667" t="s">
        <v>322</v>
      </c>
      <c r="AP73" s="668"/>
      <c r="AQ73" s="668"/>
      <c r="AR73" s="668"/>
      <c r="AS73" s="669"/>
      <c r="AT73" s="667" t="s">
        <v>323</v>
      </c>
      <c r="AU73" s="668"/>
      <c r="AV73" s="668"/>
      <c r="AW73" s="668"/>
      <c r="AX73" s="669"/>
    </row>
    <row r="74" spans="2:53">
      <c r="B74" s="663" t="s">
        <v>400</v>
      </c>
      <c r="C74" s="663" t="s">
        <v>401</v>
      </c>
      <c r="D74" s="663"/>
      <c r="E74" s="663" t="s">
        <v>402</v>
      </c>
      <c r="F74" s="663"/>
      <c r="G74" s="663"/>
      <c r="H74" s="679" t="s">
        <v>403</v>
      </c>
      <c r="I74" s="647" t="s">
        <v>404</v>
      </c>
      <c r="J74" s="647"/>
      <c r="K74" s="647"/>
      <c r="L74" s="648" t="s">
        <v>403</v>
      </c>
      <c r="M74" s="654" t="s">
        <v>405</v>
      </c>
      <c r="N74" s="663"/>
      <c r="O74" s="663" t="s">
        <v>406</v>
      </c>
      <c r="P74" s="660" t="s">
        <v>407</v>
      </c>
      <c r="Q74" s="661"/>
      <c r="R74" s="661"/>
      <c r="S74" s="662"/>
      <c r="T74" s="663" t="s">
        <v>403</v>
      </c>
      <c r="U74" s="660" t="s">
        <v>407</v>
      </c>
      <c r="V74" s="661"/>
      <c r="W74" s="661"/>
      <c r="X74" s="662"/>
      <c r="Y74" s="663" t="s">
        <v>403</v>
      </c>
      <c r="Z74" s="660" t="s">
        <v>407</v>
      </c>
      <c r="AA74" s="661"/>
      <c r="AB74" s="661"/>
      <c r="AC74" s="662"/>
      <c r="AD74" s="663" t="s">
        <v>403</v>
      </c>
      <c r="AE74" s="660" t="s">
        <v>407</v>
      </c>
      <c r="AF74" s="661"/>
      <c r="AG74" s="661"/>
      <c r="AH74" s="662"/>
      <c r="AI74" s="663" t="s">
        <v>403</v>
      </c>
      <c r="AJ74" s="660" t="s">
        <v>407</v>
      </c>
      <c r="AK74" s="661"/>
      <c r="AL74" s="661"/>
      <c r="AM74" s="662"/>
      <c r="AN74" s="663" t="s">
        <v>403</v>
      </c>
      <c r="AO74" s="660" t="s">
        <v>407</v>
      </c>
      <c r="AP74" s="661"/>
      <c r="AQ74" s="661"/>
      <c r="AR74" s="662"/>
      <c r="AS74" s="663" t="s">
        <v>403</v>
      </c>
      <c r="AT74" s="660" t="s">
        <v>407</v>
      </c>
      <c r="AU74" s="661"/>
      <c r="AV74" s="661"/>
      <c r="AW74" s="662"/>
      <c r="AX74" s="663" t="s">
        <v>403</v>
      </c>
      <c r="BA74" s="663" t="s">
        <v>359</v>
      </c>
    </row>
    <row r="75" spans="2:53">
      <c r="B75" s="663"/>
      <c r="C75" s="663"/>
      <c r="D75" s="663"/>
      <c r="E75" s="663" t="s">
        <v>408</v>
      </c>
      <c r="F75" s="663"/>
      <c r="G75" s="663"/>
      <c r="H75" s="680"/>
      <c r="I75" s="647" t="s">
        <v>408</v>
      </c>
      <c r="J75" s="647"/>
      <c r="K75" s="647"/>
      <c r="L75" s="649"/>
      <c r="M75" s="655"/>
      <c r="N75" s="663"/>
      <c r="O75" s="663"/>
      <c r="P75" s="660" t="s">
        <v>409</v>
      </c>
      <c r="Q75" s="661"/>
      <c r="R75" s="661"/>
      <c r="S75" s="662"/>
      <c r="T75" s="663"/>
      <c r="U75" s="660" t="s">
        <v>409</v>
      </c>
      <c r="V75" s="661"/>
      <c r="W75" s="661"/>
      <c r="X75" s="662"/>
      <c r="Y75" s="663"/>
      <c r="Z75" s="660" t="s">
        <v>409</v>
      </c>
      <c r="AA75" s="661"/>
      <c r="AB75" s="661"/>
      <c r="AC75" s="662"/>
      <c r="AD75" s="663"/>
      <c r="AE75" s="660" t="s">
        <v>409</v>
      </c>
      <c r="AF75" s="661"/>
      <c r="AG75" s="661"/>
      <c r="AH75" s="662"/>
      <c r="AI75" s="663"/>
      <c r="AJ75" s="660" t="s">
        <v>409</v>
      </c>
      <c r="AK75" s="661"/>
      <c r="AL75" s="661"/>
      <c r="AM75" s="662"/>
      <c r="AN75" s="663"/>
      <c r="AO75" s="660" t="s">
        <v>409</v>
      </c>
      <c r="AP75" s="661"/>
      <c r="AQ75" s="661"/>
      <c r="AR75" s="662"/>
      <c r="AS75" s="663"/>
      <c r="AT75" s="660" t="s">
        <v>409</v>
      </c>
      <c r="AU75" s="661"/>
      <c r="AV75" s="661"/>
      <c r="AW75" s="662"/>
      <c r="AX75" s="663"/>
      <c r="BA75" s="663"/>
    </row>
    <row r="76" spans="2:53">
      <c r="B76" s="663"/>
      <c r="C76" s="663"/>
      <c r="D76" s="663"/>
      <c r="E76" s="274" t="s">
        <v>410</v>
      </c>
      <c r="F76" s="274" t="s">
        <v>411</v>
      </c>
      <c r="G76" s="274" t="s">
        <v>412</v>
      </c>
      <c r="H76" s="681"/>
      <c r="I76" s="273" t="s">
        <v>410</v>
      </c>
      <c r="J76" s="273" t="s">
        <v>411</v>
      </c>
      <c r="K76" s="273" t="s">
        <v>412</v>
      </c>
      <c r="L76" s="650"/>
      <c r="M76" s="656"/>
      <c r="N76" s="663"/>
      <c r="O76" s="663"/>
      <c r="P76" s="274" t="s">
        <v>410</v>
      </c>
      <c r="Q76" s="274" t="s">
        <v>411</v>
      </c>
      <c r="R76" s="274" t="s">
        <v>412</v>
      </c>
      <c r="S76" s="274" t="s">
        <v>405</v>
      </c>
      <c r="T76" s="663"/>
      <c r="U76" s="274" t="s">
        <v>410</v>
      </c>
      <c r="V76" s="274" t="s">
        <v>411</v>
      </c>
      <c r="W76" s="274" t="s">
        <v>412</v>
      </c>
      <c r="X76" s="274" t="s">
        <v>405</v>
      </c>
      <c r="Y76" s="663"/>
      <c r="Z76" s="274" t="s">
        <v>410</v>
      </c>
      <c r="AA76" s="274" t="s">
        <v>411</v>
      </c>
      <c r="AB76" s="274" t="s">
        <v>412</v>
      </c>
      <c r="AC76" s="274" t="s">
        <v>405</v>
      </c>
      <c r="AD76" s="663"/>
      <c r="AE76" s="274" t="s">
        <v>410</v>
      </c>
      <c r="AF76" s="274" t="s">
        <v>411</v>
      </c>
      <c r="AG76" s="274" t="s">
        <v>412</v>
      </c>
      <c r="AH76" s="274" t="s">
        <v>405</v>
      </c>
      <c r="AI76" s="663"/>
      <c r="AJ76" s="274" t="s">
        <v>410</v>
      </c>
      <c r="AK76" s="274" t="s">
        <v>411</v>
      </c>
      <c r="AL76" s="274" t="s">
        <v>412</v>
      </c>
      <c r="AM76" s="274" t="s">
        <v>405</v>
      </c>
      <c r="AN76" s="663"/>
      <c r="AO76" s="274" t="s">
        <v>410</v>
      </c>
      <c r="AP76" s="274" t="s">
        <v>411</v>
      </c>
      <c r="AQ76" s="274" t="s">
        <v>412</v>
      </c>
      <c r="AR76" s="274" t="s">
        <v>405</v>
      </c>
      <c r="AS76" s="663"/>
      <c r="AT76" s="274" t="s">
        <v>410</v>
      </c>
      <c r="AU76" s="274" t="s">
        <v>411</v>
      </c>
      <c r="AV76" s="274" t="s">
        <v>412</v>
      </c>
      <c r="AW76" s="274" t="s">
        <v>405</v>
      </c>
      <c r="AX76" s="663"/>
      <c r="AZ76" s="356" t="s">
        <v>360</v>
      </c>
      <c r="BA76" s="663"/>
    </row>
    <row r="77" spans="2:53">
      <c r="B77" s="663" t="s">
        <v>413</v>
      </c>
      <c r="C77" s="275">
        <v>1</v>
      </c>
      <c r="D77" s="196"/>
      <c r="E77" s="496"/>
      <c r="F77" s="196"/>
      <c r="G77" s="194"/>
      <c r="H77" s="710" t="e">
        <f>AVERAGE(G77:G106)</f>
        <v>#DIV/0!</v>
      </c>
      <c r="I77" s="352" t="str">
        <f>IFERROR(AVERAGE(P77,U77,Z77,AE77,AJ77,AO77,AT77),"-")</f>
        <v>-</v>
      </c>
      <c r="J77" s="352" t="str">
        <f>IFERROR(AVERAGE(Q77,V77,AA77,AF77,AK77,AP77,AU77),"-")</f>
        <v>-</v>
      </c>
      <c r="K77" s="194" t="str">
        <f>IFERROR(AVERAGE(R77,W77,AB77,AG77,AL77,AQ77,AV77),"-")</f>
        <v>-</v>
      </c>
      <c r="L77" s="644" t="str">
        <f>IFERROR(AVERAGE(K77:K106),"-")</f>
        <v>-</v>
      </c>
      <c r="M77" s="195" t="e">
        <f>RANK(K77, K$77:$K$106)</f>
        <v>#VALUE!</v>
      </c>
      <c r="N77" s="663"/>
      <c r="O77" s="663"/>
      <c r="P77" s="503"/>
      <c r="Q77" s="507"/>
      <c r="R77" s="507"/>
      <c r="S77" s="503"/>
      <c r="T77" s="685"/>
      <c r="U77" s="503"/>
      <c r="V77" s="507"/>
      <c r="W77" s="507"/>
      <c r="X77" s="503"/>
      <c r="Y77" s="685"/>
      <c r="Z77" s="503"/>
      <c r="AA77" s="507"/>
      <c r="AB77" s="507"/>
      <c r="AC77" s="503"/>
      <c r="AD77" s="685"/>
      <c r="AE77" s="503"/>
      <c r="AF77" s="507"/>
      <c r="AG77" s="507"/>
      <c r="AH77" s="503"/>
      <c r="AI77" s="685"/>
      <c r="AJ77" s="503"/>
      <c r="AK77" s="507"/>
      <c r="AL77" s="507"/>
      <c r="AM77" s="503"/>
      <c r="AN77" s="685"/>
      <c r="AO77" s="503"/>
      <c r="AP77" s="507"/>
      <c r="AQ77" s="507"/>
      <c r="AR77" s="503"/>
      <c r="AS77" s="685"/>
      <c r="AT77" s="503"/>
      <c r="AU77" s="507"/>
      <c r="AV77" s="507"/>
      <c r="AW77" s="503"/>
      <c r="AX77" s="685"/>
      <c r="AZ77" s="357" t="e">
        <f>RANK(AY77, AY$77:AY$106)</f>
        <v>#N/A</v>
      </c>
      <c r="BA77" s="685" t="e">
        <f>AVERAGE(AY77:AY106)</f>
        <v>#DIV/0!</v>
      </c>
    </row>
    <row r="78" spans="2:53">
      <c r="B78" s="671"/>
      <c r="C78" s="275">
        <v>2</v>
      </c>
      <c r="D78" s="196"/>
      <c r="E78" s="496"/>
      <c r="F78" s="196"/>
      <c r="G78" s="194"/>
      <c r="H78" s="711"/>
      <c r="I78" s="352" t="str">
        <f t="shared" ref="I78:I106" si="22">IFERROR(AVERAGE(P78,U78,Z78,AE78,AJ78,AO78,AT78),"-")</f>
        <v>-</v>
      </c>
      <c r="J78" s="352" t="str">
        <f t="shared" ref="J78:J106" si="23">IFERROR(AVERAGE(Q78,V78,AA78,AF78,AK78,AP78,AU78),"-")</f>
        <v>-</v>
      </c>
      <c r="K78" s="194" t="str">
        <f t="shared" ref="K78:K106" si="24">IFERROR(AVERAGE(R78,W78,AB78,AG78,AL78,AQ78,AV78),"-")</f>
        <v>-</v>
      </c>
      <c r="L78" s="645"/>
      <c r="M78" s="195" t="e">
        <f>RANK(K78, K$77:$K$106)</f>
        <v>#VALUE!</v>
      </c>
      <c r="N78" s="663"/>
      <c r="O78" s="663"/>
      <c r="P78" s="503"/>
      <c r="Q78" s="507"/>
      <c r="R78" s="507"/>
      <c r="S78" s="503"/>
      <c r="T78" s="685"/>
      <c r="U78" s="503"/>
      <c r="V78" s="507"/>
      <c r="W78" s="507"/>
      <c r="X78" s="503"/>
      <c r="Y78" s="685"/>
      <c r="Z78" s="503"/>
      <c r="AA78" s="507"/>
      <c r="AB78" s="507"/>
      <c r="AC78" s="503"/>
      <c r="AD78" s="685"/>
      <c r="AE78" s="503"/>
      <c r="AF78" s="507"/>
      <c r="AG78" s="507"/>
      <c r="AH78" s="503"/>
      <c r="AI78" s="685"/>
      <c r="AJ78" s="503"/>
      <c r="AK78" s="507"/>
      <c r="AL78" s="507"/>
      <c r="AM78" s="503"/>
      <c r="AN78" s="685"/>
      <c r="AO78" s="503"/>
      <c r="AP78" s="507"/>
      <c r="AQ78" s="507"/>
      <c r="AR78" s="503"/>
      <c r="AS78" s="685"/>
      <c r="AT78" s="503"/>
      <c r="AU78" s="507"/>
      <c r="AV78" s="507"/>
      <c r="AW78" s="503"/>
      <c r="AX78" s="685"/>
      <c r="AZ78" s="357" t="e">
        <f t="shared" ref="AZ78:AZ106" si="25">RANK(AY78, AY$77:AY$106)</f>
        <v>#N/A</v>
      </c>
      <c r="BA78" s="685"/>
    </row>
    <row r="79" spans="2:53">
      <c r="B79" s="671"/>
      <c r="C79" s="275">
        <v>3</v>
      </c>
      <c r="D79" s="196"/>
      <c r="E79" s="496"/>
      <c r="F79" s="196"/>
      <c r="G79" s="194"/>
      <c r="H79" s="711"/>
      <c r="I79" s="352" t="str">
        <f t="shared" si="22"/>
        <v>-</v>
      </c>
      <c r="J79" s="352" t="str">
        <f t="shared" si="23"/>
        <v>-</v>
      </c>
      <c r="K79" s="194" t="str">
        <f t="shared" si="24"/>
        <v>-</v>
      </c>
      <c r="L79" s="645"/>
      <c r="M79" s="195" t="e">
        <f>RANK(K79, K$77:$K$106)</f>
        <v>#VALUE!</v>
      </c>
      <c r="N79" s="663"/>
      <c r="O79" s="663"/>
      <c r="P79" s="503"/>
      <c r="Q79" s="507"/>
      <c r="R79" s="507"/>
      <c r="S79" s="503"/>
      <c r="T79" s="685"/>
      <c r="U79" s="503"/>
      <c r="V79" s="507"/>
      <c r="W79" s="507"/>
      <c r="X79" s="503"/>
      <c r="Y79" s="685"/>
      <c r="Z79" s="503"/>
      <c r="AA79" s="507"/>
      <c r="AB79" s="507"/>
      <c r="AC79" s="503"/>
      <c r="AD79" s="685"/>
      <c r="AE79" s="503"/>
      <c r="AF79" s="507"/>
      <c r="AG79" s="507"/>
      <c r="AH79" s="503"/>
      <c r="AI79" s="685"/>
      <c r="AJ79" s="503"/>
      <c r="AK79" s="507"/>
      <c r="AL79" s="507"/>
      <c r="AM79" s="503"/>
      <c r="AN79" s="685"/>
      <c r="AO79" s="503"/>
      <c r="AP79" s="507"/>
      <c r="AQ79" s="507"/>
      <c r="AR79" s="503"/>
      <c r="AS79" s="685"/>
      <c r="AT79" s="503"/>
      <c r="AU79" s="507"/>
      <c r="AV79" s="507"/>
      <c r="AW79" s="503"/>
      <c r="AX79" s="685"/>
      <c r="AZ79" s="357" t="e">
        <f t="shared" si="25"/>
        <v>#N/A</v>
      </c>
      <c r="BA79" s="685"/>
    </row>
    <row r="80" spans="2:53">
      <c r="B80" s="671"/>
      <c r="C80" s="275">
        <v>4</v>
      </c>
      <c r="D80" s="196"/>
      <c r="E80" s="496"/>
      <c r="F80" s="196"/>
      <c r="G80" s="194"/>
      <c r="H80" s="711"/>
      <c r="I80" s="352" t="str">
        <f t="shared" si="22"/>
        <v>-</v>
      </c>
      <c r="J80" s="352" t="str">
        <f t="shared" si="23"/>
        <v>-</v>
      </c>
      <c r="K80" s="194" t="str">
        <f t="shared" si="24"/>
        <v>-</v>
      </c>
      <c r="L80" s="645"/>
      <c r="M80" s="195" t="e">
        <f>RANK(K80, K$77:$K$106)</f>
        <v>#VALUE!</v>
      </c>
      <c r="N80" s="663"/>
      <c r="O80" s="663"/>
      <c r="P80" s="503"/>
      <c r="Q80" s="507"/>
      <c r="R80" s="507"/>
      <c r="S80" s="503"/>
      <c r="T80" s="685"/>
      <c r="U80" s="503"/>
      <c r="V80" s="507"/>
      <c r="W80" s="507"/>
      <c r="X80" s="503"/>
      <c r="Y80" s="685"/>
      <c r="Z80" s="503"/>
      <c r="AA80" s="507"/>
      <c r="AB80" s="507"/>
      <c r="AC80" s="503"/>
      <c r="AD80" s="685"/>
      <c r="AE80" s="503"/>
      <c r="AF80" s="507"/>
      <c r="AG80" s="507"/>
      <c r="AH80" s="503"/>
      <c r="AI80" s="685"/>
      <c r="AJ80" s="503"/>
      <c r="AK80" s="507"/>
      <c r="AL80" s="507"/>
      <c r="AM80" s="503"/>
      <c r="AN80" s="685"/>
      <c r="AO80" s="503"/>
      <c r="AP80" s="507"/>
      <c r="AQ80" s="507"/>
      <c r="AR80" s="503"/>
      <c r="AS80" s="685"/>
      <c r="AT80" s="503"/>
      <c r="AU80" s="507"/>
      <c r="AV80" s="507"/>
      <c r="AW80" s="503"/>
      <c r="AX80" s="685"/>
      <c r="AZ80" s="357" t="e">
        <f t="shared" si="25"/>
        <v>#N/A</v>
      </c>
      <c r="BA80" s="685"/>
    </row>
    <row r="81" spans="2:53">
      <c r="B81" s="671"/>
      <c r="C81" s="275">
        <v>5</v>
      </c>
      <c r="D81" s="196"/>
      <c r="E81" s="496"/>
      <c r="F81" s="196"/>
      <c r="G81" s="194"/>
      <c r="H81" s="711"/>
      <c r="I81" s="352" t="str">
        <f t="shared" si="22"/>
        <v>-</v>
      </c>
      <c r="J81" s="352" t="str">
        <f t="shared" si="23"/>
        <v>-</v>
      </c>
      <c r="K81" s="194" t="str">
        <f t="shared" si="24"/>
        <v>-</v>
      </c>
      <c r="L81" s="645"/>
      <c r="M81" s="195" t="e">
        <f>RANK(K81, K$77:$K$106)</f>
        <v>#VALUE!</v>
      </c>
      <c r="N81" s="663"/>
      <c r="O81" s="663"/>
      <c r="P81" s="503"/>
      <c r="Q81" s="507"/>
      <c r="R81" s="507"/>
      <c r="S81" s="503"/>
      <c r="T81" s="685"/>
      <c r="U81" s="503"/>
      <c r="V81" s="507"/>
      <c r="W81" s="507"/>
      <c r="X81" s="503"/>
      <c r="Y81" s="685"/>
      <c r="Z81" s="503"/>
      <c r="AA81" s="507"/>
      <c r="AB81" s="507"/>
      <c r="AC81" s="503"/>
      <c r="AD81" s="685"/>
      <c r="AE81" s="503"/>
      <c r="AF81" s="507"/>
      <c r="AG81" s="507"/>
      <c r="AH81" s="503"/>
      <c r="AI81" s="685"/>
      <c r="AJ81" s="503"/>
      <c r="AK81" s="507"/>
      <c r="AL81" s="507"/>
      <c r="AM81" s="503"/>
      <c r="AN81" s="685"/>
      <c r="AO81" s="503"/>
      <c r="AP81" s="507"/>
      <c r="AQ81" s="507"/>
      <c r="AR81" s="503"/>
      <c r="AS81" s="685"/>
      <c r="AT81" s="503"/>
      <c r="AU81" s="507"/>
      <c r="AV81" s="507"/>
      <c r="AW81" s="503"/>
      <c r="AX81" s="685"/>
      <c r="AZ81" s="357" t="e">
        <f t="shared" si="25"/>
        <v>#N/A</v>
      </c>
      <c r="BA81" s="685"/>
    </row>
    <row r="82" spans="2:53">
      <c r="B82" s="671"/>
      <c r="C82" s="275">
        <v>6</v>
      </c>
      <c r="D82" s="196"/>
      <c r="E82" s="496"/>
      <c r="F82" s="196"/>
      <c r="G82" s="194"/>
      <c r="H82" s="711"/>
      <c r="I82" s="352" t="str">
        <f t="shared" si="22"/>
        <v>-</v>
      </c>
      <c r="J82" s="352" t="str">
        <f t="shared" si="23"/>
        <v>-</v>
      </c>
      <c r="K82" s="194" t="str">
        <f t="shared" si="24"/>
        <v>-</v>
      </c>
      <c r="L82" s="645"/>
      <c r="M82" s="195" t="e">
        <f>RANK(K82, K$77:$K$106)</f>
        <v>#VALUE!</v>
      </c>
      <c r="N82" s="663"/>
      <c r="O82" s="663"/>
      <c r="P82" s="503"/>
      <c r="Q82" s="507"/>
      <c r="R82" s="507"/>
      <c r="S82" s="503"/>
      <c r="T82" s="685"/>
      <c r="U82" s="503"/>
      <c r="V82" s="507"/>
      <c r="W82" s="507"/>
      <c r="X82" s="503"/>
      <c r="Y82" s="685"/>
      <c r="Z82" s="503"/>
      <c r="AA82" s="507"/>
      <c r="AB82" s="507"/>
      <c r="AC82" s="503"/>
      <c r="AD82" s="685"/>
      <c r="AE82" s="503"/>
      <c r="AF82" s="507"/>
      <c r="AG82" s="507"/>
      <c r="AH82" s="503"/>
      <c r="AI82" s="685"/>
      <c r="AJ82" s="503"/>
      <c r="AK82" s="507"/>
      <c r="AL82" s="507"/>
      <c r="AM82" s="503"/>
      <c r="AN82" s="685"/>
      <c r="AO82" s="503"/>
      <c r="AP82" s="507"/>
      <c r="AQ82" s="507"/>
      <c r="AR82" s="503"/>
      <c r="AS82" s="685"/>
      <c r="AT82" s="503"/>
      <c r="AU82" s="507"/>
      <c r="AV82" s="507"/>
      <c r="AW82" s="503"/>
      <c r="AX82" s="685"/>
      <c r="AZ82" s="357" t="e">
        <f t="shared" si="25"/>
        <v>#N/A</v>
      </c>
      <c r="BA82" s="685"/>
    </row>
    <row r="83" spans="2:53">
      <c r="B83" s="671"/>
      <c r="C83" s="275">
        <v>7</v>
      </c>
      <c r="D83" s="196"/>
      <c r="E83" s="496"/>
      <c r="F83" s="196"/>
      <c r="G83" s="194"/>
      <c r="H83" s="711"/>
      <c r="I83" s="352" t="str">
        <f t="shared" si="22"/>
        <v>-</v>
      </c>
      <c r="J83" s="352" t="str">
        <f t="shared" si="23"/>
        <v>-</v>
      </c>
      <c r="K83" s="194" t="str">
        <f t="shared" si="24"/>
        <v>-</v>
      </c>
      <c r="L83" s="645"/>
      <c r="M83" s="195" t="e">
        <f>RANK(K83, K$77:$K$106)</f>
        <v>#VALUE!</v>
      </c>
      <c r="N83" s="663"/>
      <c r="O83" s="663"/>
      <c r="P83" s="503"/>
      <c r="Q83" s="507"/>
      <c r="R83" s="507"/>
      <c r="S83" s="503"/>
      <c r="T83" s="685"/>
      <c r="U83" s="503"/>
      <c r="V83" s="507"/>
      <c r="W83" s="507"/>
      <c r="X83" s="503"/>
      <c r="Y83" s="685"/>
      <c r="Z83" s="503"/>
      <c r="AA83" s="507"/>
      <c r="AB83" s="507"/>
      <c r="AC83" s="503"/>
      <c r="AD83" s="685"/>
      <c r="AE83" s="503"/>
      <c r="AF83" s="507"/>
      <c r="AG83" s="507"/>
      <c r="AH83" s="503"/>
      <c r="AI83" s="685"/>
      <c r="AJ83" s="503"/>
      <c r="AK83" s="507"/>
      <c r="AL83" s="507"/>
      <c r="AM83" s="503"/>
      <c r="AN83" s="685"/>
      <c r="AO83" s="503"/>
      <c r="AP83" s="507"/>
      <c r="AQ83" s="507"/>
      <c r="AR83" s="503"/>
      <c r="AS83" s="685"/>
      <c r="AT83" s="503"/>
      <c r="AU83" s="507"/>
      <c r="AV83" s="507"/>
      <c r="AW83" s="503"/>
      <c r="AX83" s="685"/>
      <c r="AZ83" s="357" t="e">
        <f t="shared" si="25"/>
        <v>#N/A</v>
      </c>
      <c r="BA83" s="685"/>
    </row>
    <row r="84" spans="2:53">
      <c r="B84" s="671"/>
      <c r="C84" s="275">
        <v>8</v>
      </c>
      <c r="D84" s="196"/>
      <c r="E84" s="496"/>
      <c r="F84" s="196"/>
      <c r="G84" s="194"/>
      <c r="H84" s="711"/>
      <c r="I84" s="352" t="str">
        <f t="shared" si="22"/>
        <v>-</v>
      </c>
      <c r="J84" s="352" t="str">
        <f t="shared" si="23"/>
        <v>-</v>
      </c>
      <c r="K84" s="194" t="str">
        <f t="shared" si="24"/>
        <v>-</v>
      </c>
      <c r="L84" s="645"/>
      <c r="M84" s="195" t="e">
        <f>RANK(K84, K$77:$K$106)</f>
        <v>#VALUE!</v>
      </c>
      <c r="N84" s="663"/>
      <c r="O84" s="663"/>
      <c r="P84" s="503"/>
      <c r="Q84" s="507"/>
      <c r="R84" s="507"/>
      <c r="S84" s="503"/>
      <c r="T84" s="685"/>
      <c r="U84" s="503"/>
      <c r="V84" s="507"/>
      <c r="W84" s="507"/>
      <c r="X84" s="503"/>
      <c r="Y84" s="685"/>
      <c r="Z84" s="503"/>
      <c r="AA84" s="507"/>
      <c r="AB84" s="507"/>
      <c r="AC84" s="503"/>
      <c r="AD84" s="685"/>
      <c r="AE84" s="503"/>
      <c r="AF84" s="507"/>
      <c r="AG84" s="507"/>
      <c r="AH84" s="503"/>
      <c r="AI84" s="685"/>
      <c r="AJ84" s="503"/>
      <c r="AK84" s="507"/>
      <c r="AL84" s="507"/>
      <c r="AM84" s="503"/>
      <c r="AN84" s="685"/>
      <c r="AO84" s="503"/>
      <c r="AP84" s="507"/>
      <c r="AQ84" s="507"/>
      <c r="AR84" s="503"/>
      <c r="AS84" s="685"/>
      <c r="AT84" s="503"/>
      <c r="AU84" s="507"/>
      <c r="AV84" s="507"/>
      <c r="AW84" s="503"/>
      <c r="AX84" s="685"/>
      <c r="AZ84" s="357" t="e">
        <f t="shared" si="25"/>
        <v>#N/A</v>
      </c>
      <c r="BA84" s="685"/>
    </row>
    <row r="85" spans="2:53">
      <c r="B85" s="671"/>
      <c r="C85" s="275">
        <v>9</v>
      </c>
      <c r="D85" s="196"/>
      <c r="E85" s="496"/>
      <c r="F85" s="196"/>
      <c r="G85" s="194"/>
      <c r="H85" s="711"/>
      <c r="I85" s="352" t="str">
        <f t="shared" si="22"/>
        <v>-</v>
      </c>
      <c r="J85" s="352" t="str">
        <f t="shared" si="23"/>
        <v>-</v>
      </c>
      <c r="K85" s="194" t="str">
        <f t="shared" si="24"/>
        <v>-</v>
      </c>
      <c r="L85" s="645"/>
      <c r="M85" s="195" t="e">
        <f>RANK(K85, K$77:$K$106)</f>
        <v>#VALUE!</v>
      </c>
      <c r="N85" s="663"/>
      <c r="O85" s="663"/>
      <c r="P85" s="503"/>
      <c r="Q85" s="507"/>
      <c r="R85" s="507"/>
      <c r="S85" s="503"/>
      <c r="T85" s="685"/>
      <c r="U85" s="503"/>
      <c r="V85" s="507"/>
      <c r="W85" s="507"/>
      <c r="X85" s="503"/>
      <c r="Y85" s="685"/>
      <c r="Z85" s="503"/>
      <c r="AA85" s="507"/>
      <c r="AB85" s="507"/>
      <c r="AC85" s="503"/>
      <c r="AD85" s="685"/>
      <c r="AE85" s="503"/>
      <c r="AF85" s="507"/>
      <c r="AG85" s="507"/>
      <c r="AH85" s="503"/>
      <c r="AI85" s="685"/>
      <c r="AJ85" s="503"/>
      <c r="AK85" s="507"/>
      <c r="AL85" s="507"/>
      <c r="AM85" s="503"/>
      <c r="AN85" s="685"/>
      <c r="AO85" s="503"/>
      <c r="AP85" s="507"/>
      <c r="AQ85" s="507"/>
      <c r="AR85" s="503"/>
      <c r="AS85" s="685"/>
      <c r="AT85" s="503"/>
      <c r="AU85" s="507"/>
      <c r="AV85" s="507"/>
      <c r="AW85" s="503"/>
      <c r="AX85" s="685"/>
      <c r="AZ85" s="357" t="e">
        <f t="shared" si="25"/>
        <v>#N/A</v>
      </c>
      <c r="BA85" s="685"/>
    </row>
    <row r="86" spans="2:53">
      <c r="B86" s="671"/>
      <c r="C86" s="275">
        <v>10</v>
      </c>
      <c r="D86" s="196"/>
      <c r="E86" s="496"/>
      <c r="F86" s="196"/>
      <c r="G86" s="194"/>
      <c r="H86" s="711"/>
      <c r="I86" s="352" t="str">
        <f t="shared" si="22"/>
        <v>-</v>
      </c>
      <c r="J86" s="352" t="str">
        <f t="shared" si="23"/>
        <v>-</v>
      </c>
      <c r="K86" s="194" t="str">
        <f t="shared" si="24"/>
        <v>-</v>
      </c>
      <c r="L86" s="645"/>
      <c r="M86" s="195" t="e">
        <f>RANK(K86, K$77:$K$106)</f>
        <v>#VALUE!</v>
      </c>
      <c r="N86" s="663"/>
      <c r="O86" s="663"/>
      <c r="P86" s="503"/>
      <c r="Q86" s="507"/>
      <c r="R86" s="507"/>
      <c r="S86" s="503"/>
      <c r="T86" s="685"/>
      <c r="U86" s="503"/>
      <c r="V86" s="507"/>
      <c r="W86" s="507"/>
      <c r="X86" s="503"/>
      <c r="Y86" s="685"/>
      <c r="Z86" s="503"/>
      <c r="AA86" s="507"/>
      <c r="AB86" s="507"/>
      <c r="AC86" s="503"/>
      <c r="AD86" s="685"/>
      <c r="AE86" s="503"/>
      <c r="AF86" s="507"/>
      <c r="AG86" s="507"/>
      <c r="AH86" s="503"/>
      <c r="AI86" s="685"/>
      <c r="AJ86" s="503"/>
      <c r="AK86" s="507"/>
      <c r="AL86" s="507"/>
      <c r="AM86" s="503"/>
      <c r="AN86" s="685"/>
      <c r="AO86" s="503"/>
      <c r="AP86" s="507"/>
      <c r="AQ86" s="507"/>
      <c r="AR86" s="503"/>
      <c r="AS86" s="685"/>
      <c r="AT86" s="503"/>
      <c r="AU86" s="507"/>
      <c r="AV86" s="507"/>
      <c r="AW86" s="503"/>
      <c r="AX86" s="685"/>
      <c r="AZ86" s="357" t="e">
        <f t="shared" si="25"/>
        <v>#N/A</v>
      </c>
      <c r="BA86" s="685"/>
    </row>
    <row r="87" spans="2:53">
      <c r="B87" s="671"/>
      <c r="C87" s="275">
        <v>11</v>
      </c>
      <c r="D87" s="196"/>
      <c r="E87" s="496"/>
      <c r="F87" s="196"/>
      <c r="G87" s="194"/>
      <c r="H87" s="711"/>
      <c r="I87" s="352" t="str">
        <f t="shared" si="22"/>
        <v>-</v>
      </c>
      <c r="J87" s="352" t="str">
        <f t="shared" si="23"/>
        <v>-</v>
      </c>
      <c r="K87" s="194" t="str">
        <f t="shared" si="24"/>
        <v>-</v>
      </c>
      <c r="L87" s="645"/>
      <c r="M87" s="195" t="e">
        <f>RANK(K87, K$77:$K$106)</f>
        <v>#VALUE!</v>
      </c>
      <c r="N87" s="663"/>
      <c r="O87" s="663"/>
      <c r="P87" s="503"/>
      <c r="Q87" s="507"/>
      <c r="R87" s="507"/>
      <c r="S87" s="503"/>
      <c r="T87" s="685"/>
      <c r="U87" s="503"/>
      <c r="V87" s="507"/>
      <c r="W87" s="507"/>
      <c r="X87" s="503"/>
      <c r="Y87" s="685"/>
      <c r="Z87" s="503"/>
      <c r="AA87" s="507"/>
      <c r="AB87" s="507"/>
      <c r="AC87" s="503"/>
      <c r="AD87" s="685"/>
      <c r="AE87" s="503"/>
      <c r="AF87" s="507"/>
      <c r="AG87" s="507"/>
      <c r="AH87" s="503"/>
      <c r="AI87" s="685"/>
      <c r="AJ87" s="503"/>
      <c r="AK87" s="507"/>
      <c r="AL87" s="507"/>
      <c r="AM87" s="503"/>
      <c r="AN87" s="685"/>
      <c r="AO87" s="503"/>
      <c r="AP87" s="507"/>
      <c r="AQ87" s="507"/>
      <c r="AR87" s="503"/>
      <c r="AS87" s="685"/>
      <c r="AT87" s="503"/>
      <c r="AU87" s="507"/>
      <c r="AV87" s="507"/>
      <c r="AW87" s="503"/>
      <c r="AX87" s="685"/>
      <c r="AZ87" s="357" t="e">
        <f t="shared" si="25"/>
        <v>#N/A</v>
      </c>
      <c r="BA87" s="685"/>
    </row>
    <row r="88" spans="2:53">
      <c r="B88" s="671"/>
      <c r="C88" s="275">
        <v>12</v>
      </c>
      <c r="D88" s="196"/>
      <c r="E88" s="496"/>
      <c r="F88" s="196"/>
      <c r="G88" s="194"/>
      <c r="H88" s="711"/>
      <c r="I88" s="352" t="str">
        <f t="shared" si="22"/>
        <v>-</v>
      </c>
      <c r="J88" s="352" t="str">
        <f t="shared" si="23"/>
        <v>-</v>
      </c>
      <c r="K88" s="194" t="str">
        <f t="shared" si="24"/>
        <v>-</v>
      </c>
      <c r="L88" s="645"/>
      <c r="M88" s="195" t="e">
        <f>RANK(K88, K$77:$K$106)</f>
        <v>#VALUE!</v>
      </c>
      <c r="N88" s="663"/>
      <c r="O88" s="663"/>
      <c r="P88" s="503"/>
      <c r="Q88" s="507"/>
      <c r="R88" s="507"/>
      <c r="S88" s="503"/>
      <c r="T88" s="685"/>
      <c r="U88" s="503"/>
      <c r="V88" s="507"/>
      <c r="W88" s="507"/>
      <c r="X88" s="503"/>
      <c r="Y88" s="685"/>
      <c r="Z88" s="503"/>
      <c r="AA88" s="507"/>
      <c r="AB88" s="507"/>
      <c r="AC88" s="503"/>
      <c r="AD88" s="685"/>
      <c r="AE88" s="503"/>
      <c r="AF88" s="507"/>
      <c r="AG88" s="507"/>
      <c r="AH88" s="503"/>
      <c r="AI88" s="685"/>
      <c r="AJ88" s="503"/>
      <c r="AK88" s="507"/>
      <c r="AL88" s="507"/>
      <c r="AM88" s="503"/>
      <c r="AN88" s="685"/>
      <c r="AO88" s="503"/>
      <c r="AP88" s="507"/>
      <c r="AQ88" s="507"/>
      <c r="AR88" s="503"/>
      <c r="AS88" s="685"/>
      <c r="AT88" s="503"/>
      <c r="AU88" s="507"/>
      <c r="AV88" s="507"/>
      <c r="AW88" s="503"/>
      <c r="AX88" s="685"/>
      <c r="AZ88" s="357" t="e">
        <f t="shared" si="25"/>
        <v>#N/A</v>
      </c>
      <c r="BA88" s="685"/>
    </row>
    <row r="89" spans="2:53">
      <c r="B89" s="671"/>
      <c r="C89" s="275">
        <v>13</v>
      </c>
      <c r="D89" s="196"/>
      <c r="E89" s="496"/>
      <c r="F89" s="196"/>
      <c r="G89" s="194"/>
      <c r="H89" s="711"/>
      <c r="I89" s="352" t="str">
        <f t="shared" si="22"/>
        <v>-</v>
      </c>
      <c r="J89" s="352" t="str">
        <f t="shared" si="23"/>
        <v>-</v>
      </c>
      <c r="K89" s="194" t="str">
        <f t="shared" si="24"/>
        <v>-</v>
      </c>
      <c r="L89" s="645"/>
      <c r="M89" s="195" t="e">
        <f>RANK(K89, K$77:$K$106)</f>
        <v>#VALUE!</v>
      </c>
      <c r="N89" s="663"/>
      <c r="O89" s="663"/>
      <c r="P89" s="503"/>
      <c r="Q89" s="507"/>
      <c r="R89" s="507"/>
      <c r="S89" s="503"/>
      <c r="T89" s="685"/>
      <c r="U89" s="503"/>
      <c r="V89" s="507"/>
      <c r="W89" s="507"/>
      <c r="X89" s="503"/>
      <c r="Y89" s="685"/>
      <c r="Z89" s="503"/>
      <c r="AA89" s="507"/>
      <c r="AB89" s="507"/>
      <c r="AC89" s="503"/>
      <c r="AD89" s="685"/>
      <c r="AE89" s="503"/>
      <c r="AF89" s="507"/>
      <c r="AG89" s="507"/>
      <c r="AH89" s="503"/>
      <c r="AI89" s="685"/>
      <c r="AJ89" s="503"/>
      <c r="AK89" s="507"/>
      <c r="AL89" s="507"/>
      <c r="AM89" s="503"/>
      <c r="AN89" s="685"/>
      <c r="AO89" s="503"/>
      <c r="AP89" s="507"/>
      <c r="AQ89" s="507"/>
      <c r="AR89" s="503"/>
      <c r="AS89" s="685"/>
      <c r="AT89" s="503"/>
      <c r="AU89" s="507"/>
      <c r="AV89" s="507"/>
      <c r="AW89" s="503"/>
      <c r="AX89" s="685"/>
      <c r="AZ89" s="357" t="e">
        <f t="shared" si="25"/>
        <v>#N/A</v>
      </c>
      <c r="BA89" s="685"/>
    </row>
    <row r="90" spans="2:53">
      <c r="B90" s="671"/>
      <c r="C90" s="275">
        <v>14</v>
      </c>
      <c r="D90" s="196"/>
      <c r="E90" s="496"/>
      <c r="F90" s="196"/>
      <c r="G90" s="194"/>
      <c r="H90" s="711"/>
      <c r="I90" s="352" t="str">
        <f t="shared" si="22"/>
        <v>-</v>
      </c>
      <c r="J90" s="352" t="str">
        <f t="shared" si="23"/>
        <v>-</v>
      </c>
      <c r="K90" s="194" t="str">
        <f t="shared" si="24"/>
        <v>-</v>
      </c>
      <c r="L90" s="645"/>
      <c r="M90" s="195" t="e">
        <f>RANK(K90, K$77:$K$106)</f>
        <v>#VALUE!</v>
      </c>
      <c r="N90" s="663"/>
      <c r="O90" s="663"/>
      <c r="P90" s="503"/>
      <c r="Q90" s="507"/>
      <c r="R90" s="507"/>
      <c r="S90" s="503"/>
      <c r="T90" s="685"/>
      <c r="U90" s="503"/>
      <c r="V90" s="507"/>
      <c r="W90" s="507"/>
      <c r="X90" s="503"/>
      <c r="Y90" s="685"/>
      <c r="Z90" s="503"/>
      <c r="AA90" s="507"/>
      <c r="AB90" s="507"/>
      <c r="AC90" s="503"/>
      <c r="AD90" s="685"/>
      <c r="AE90" s="503"/>
      <c r="AF90" s="507"/>
      <c r="AG90" s="507"/>
      <c r="AH90" s="503"/>
      <c r="AI90" s="685"/>
      <c r="AJ90" s="503"/>
      <c r="AK90" s="507"/>
      <c r="AL90" s="507"/>
      <c r="AM90" s="503"/>
      <c r="AN90" s="685"/>
      <c r="AO90" s="503"/>
      <c r="AP90" s="507"/>
      <c r="AQ90" s="507"/>
      <c r="AR90" s="503"/>
      <c r="AS90" s="685"/>
      <c r="AT90" s="503"/>
      <c r="AU90" s="507"/>
      <c r="AV90" s="507"/>
      <c r="AW90" s="503"/>
      <c r="AX90" s="685"/>
      <c r="AZ90" s="357" t="e">
        <f t="shared" si="25"/>
        <v>#N/A</v>
      </c>
      <c r="BA90" s="685"/>
    </row>
    <row r="91" spans="2:53">
      <c r="B91" s="671"/>
      <c r="C91" s="275">
        <v>15</v>
      </c>
      <c r="D91" s="196"/>
      <c r="E91" s="496"/>
      <c r="F91" s="196"/>
      <c r="G91" s="194"/>
      <c r="H91" s="711"/>
      <c r="I91" s="352" t="str">
        <f t="shared" si="22"/>
        <v>-</v>
      </c>
      <c r="J91" s="352" t="str">
        <f t="shared" si="23"/>
        <v>-</v>
      </c>
      <c r="K91" s="194" t="str">
        <f t="shared" si="24"/>
        <v>-</v>
      </c>
      <c r="L91" s="645"/>
      <c r="M91" s="195" t="e">
        <f>RANK(K91, K$77:$K$106)</f>
        <v>#VALUE!</v>
      </c>
      <c r="N91" s="663"/>
      <c r="O91" s="663"/>
      <c r="P91" s="503"/>
      <c r="Q91" s="507"/>
      <c r="R91" s="507"/>
      <c r="S91" s="503"/>
      <c r="T91" s="685"/>
      <c r="U91" s="503"/>
      <c r="V91" s="507"/>
      <c r="W91" s="507"/>
      <c r="X91" s="503"/>
      <c r="Y91" s="685"/>
      <c r="Z91" s="503"/>
      <c r="AA91" s="507"/>
      <c r="AB91" s="507"/>
      <c r="AC91" s="503"/>
      <c r="AD91" s="685"/>
      <c r="AE91" s="503"/>
      <c r="AF91" s="507"/>
      <c r="AG91" s="507"/>
      <c r="AH91" s="503"/>
      <c r="AI91" s="685"/>
      <c r="AJ91" s="503"/>
      <c r="AK91" s="507"/>
      <c r="AL91" s="507"/>
      <c r="AM91" s="503"/>
      <c r="AN91" s="685"/>
      <c r="AO91" s="503"/>
      <c r="AP91" s="507"/>
      <c r="AQ91" s="507"/>
      <c r="AR91" s="503"/>
      <c r="AS91" s="685"/>
      <c r="AT91" s="503"/>
      <c r="AU91" s="507"/>
      <c r="AV91" s="507"/>
      <c r="AW91" s="503"/>
      <c r="AX91" s="685"/>
      <c r="AZ91" s="357" t="e">
        <f t="shared" si="25"/>
        <v>#N/A</v>
      </c>
      <c r="BA91" s="685"/>
    </row>
    <row r="92" spans="2:53">
      <c r="B92" s="671"/>
      <c r="C92" s="275">
        <v>16</v>
      </c>
      <c r="D92" s="196"/>
      <c r="E92" s="496"/>
      <c r="F92" s="196"/>
      <c r="G92" s="194"/>
      <c r="H92" s="711"/>
      <c r="I92" s="352" t="str">
        <f t="shared" si="22"/>
        <v>-</v>
      </c>
      <c r="J92" s="352" t="str">
        <f t="shared" si="23"/>
        <v>-</v>
      </c>
      <c r="K92" s="194" t="str">
        <f t="shared" si="24"/>
        <v>-</v>
      </c>
      <c r="L92" s="645"/>
      <c r="M92" s="195" t="e">
        <f>RANK(K92, K$77:$K$106)</f>
        <v>#VALUE!</v>
      </c>
      <c r="N92" s="663"/>
      <c r="O92" s="663"/>
      <c r="P92" s="503"/>
      <c r="Q92" s="507"/>
      <c r="R92" s="507"/>
      <c r="S92" s="503"/>
      <c r="T92" s="685"/>
      <c r="U92" s="503"/>
      <c r="V92" s="507"/>
      <c r="W92" s="507"/>
      <c r="X92" s="503"/>
      <c r="Y92" s="685"/>
      <c r="Z92" s="503"/>
      <c r="AA92" s="507"/>
      <c r="AB92" s="507"/>
      <c r="AC92" s="503"/>
      <c r="AD92" s="685"/>
      <c r="AE92" s="503"/>
      <c r="AF92" s="507"/>
      <c r="AG92" s="507"/>
      <c r="AH92" s="503"/>
      <c r="AI92" s="685"/>
      <c r="AJ92" s="503"/>
      <c r="AK92" s="507"/>
      <c r="AL92" s="507"/>
      <c r="AM92" s="503"/>
      <c r="AN92" s="685"/>
      <c r="AO92" s="503"/>
      <c r="AP92" s="507"/>
      <c r="AQ92" s="507"/>
      <c r="AR92" s="503"/>
      <c r="AS92" s="685"/>
      <c r="AT92" s="503"/>
      <c r="AU92" s="507"/>
      <c r="AV92" s="507"/>
      <c r="AW92" s="503"/>
      <c r="AX92" s="685"/>
      <c r="AZ92" s="357" t="e">
        <f t="shared" si="25"/>
        <v>#N/A</v>
      </c>
      <c r="BA92" s="685"/>
    </row>
    <row r="93" spans="2:53">
      <c r="B93" s="671"/>
      <c r="C93" s="275">
        <v>17</v>
      </c>
      <c r="D93" s="196"/>
      <c r="E93" s="496"/>
      <c r="F93" s="196"/>
      <c r="G93" s="194"/>
      <c r="H93" s="711"/>
      <c r="I93" s="352" t="str">
        <f t="shared" si="22"/>
        <v>-</v>
      </c>
      <c r="J93" s="352" t="str">
        <f t="shared" si="23"/>
        <v>-</v>
      </c>
      <c r="K93" s="194" t="str">
        <f t="shared" si="24"/>
        <v>-</v>
      </c>
      <c r="L93" s="645"/>
      <c r="M93" s="195" t="e">
        <f>RANK(K93, K$77:$K$106)</f>
        <v>#VALUE!</v>
      </c>
      <c r="N93" s="663"/>
      <c r="O93" s="663"/>
      <c r="P93" s="503"/>
      <c r="Q93" s="507"/>
      <c r="R93" s="507"/>
      <c r="S93" s="503"/>
      <c r="T93" s="685"/>
      <c r="U93" s="503"/>
      <c r="V93" s="507"/>
      <c r="W93" s="507"/>
      <c r="X93" s="503"/>
      <c r="Y93" s="685"/>
      <c r="Z93" s="503"/>
      <c r="AA93" s="507"/>
      <c r="AB93" s="507"/>
      <c r="AC93" s="503"/>
      <c r="AD93" s="685"/>
      <c r="AE93" s="503"/>
      <c r="AF93" s="507"/>
      <c r="AG93" s="507"/>
      <c r="AH93" s="503"/>
      <c r="AI93" s="685"/>
      <c r="AJ93" s="503"/>
      <c r="AK93" s="507"/>
      <c r="AL93" s="507"/>
      <c r="AM93" s="503"/>
      <c r="AN93" s="685"/>
      <c r="AO93" s="503"/>
      <c r="AP93" s="507"/>
      <c r="AQ93" s="507"/>
      <c r="AR93" s="503"/>
      <c r="AS93" s="685"/>
      <c r="AT93" s="503"/>
      <c r="AU93" s="507"/>
      <c r="AV93" s="507"/>
      <c r="AW93" s="503"/>
      <c r="AX93" s="685"/>
      <c r="AZ93" s="357" t="e">
        <f t="shared" si="25"/>
        <v>#N/A</v>
      </c>
      <c r="BA93" s="685"/>
    </row>
    <row r="94" spans="2:53">
      <c r="B94" s="671"/>
      <c r="C94" s="275">
        <v>18</v>
      </c>
      <c r="D94" s="196"/>
      <c r="E94" s="496"/>
      <c r="F94" s="196"/>
      <c r="G94" s="194"/>
      <c r="H94" s="711"/>
      <c r="I94" s="352" t="str">
        <f t="shared" si="22"/>
        <v>-</v>
      </c>
      <c r="J94" s="352" t="str">
        <f t="shared" si="23"/>
        <v>-</v>
      </c>
      <c r="K94" s="194" t="str">
        <f t="shared" si="24"/>
        <v>-</v>
      </c>
      <c r="L94" s="645"/>
      <c r="M94" s="195" t="e">
        <f>RANK(K94, K$77:$K$106)</f>
        <v>#VALUE!</v>
      </c>
      <c r="N94" s="663"/>
      <c r="O94" s="663"/>
      <c r="P94" s="503"/>
      <c r="Q94" s="507"/>
      <c r="R94" s="507"/>
      <c r="S94" s="503"/>
      <c r="T94" s="685"/>
      <c r="U94" s="503"/>
      <c r="V94" s="507"/>
      <c r="W94" s="507"/>
      <c r="X94" s="503"/>
      <c r="Y94" s="685"/>
      <c r="Z94" s="503"/>
      <c r="AA94" s="507"/>
      <c r="AB94" s="507"/>
      <c r="AC94" s="503"/>
      <c r="AD94" s="685"/>
      <c r="AE94" s="503"/>
      <c r="AF94" s="507"/>
      <c r="AG94" s="507"/>
      <c r="AH94" s="503"/>
      <c r="AI94" s="685"/>
      <c r="AJ94" s="503"/>
      <c r="AK94" s="507"/>
      <c r="AL94" s="507"/>
      <c r="AM94" s="503"/>
      <c r="AN94" s="685"/>
      <c r="AO94" s="503"/>
      <c r="AP94" s="507"/>
      <c r="AQ94" s="507"/>
      <c r="AR94" s="503"/>
      <c r="AS94" s="685"/>
      <c r="AT94" s="503"/>
      <c r="AU94" s="507"/>
      <c r="AV94" s="507"/>
      <c r="AW94" s="503"/>
      <c r="AX94" s="685"/>
      <c r="AZ94" s="357" t="e">
        <f t="shared" si="25"/>
        <v>#N/A</v>
      </c>
      <c r="BA94" s="685"/>
    </row>
    <row r="95" spans="2:53">
      <c r="B95" s="671"/>
      <c r="C95" s="275">
        <v>19</v>
      </c>
      <c r="D95" s="196"/>
      <c r="E95" s="496"/>
      <c r="F95" s="196"/>
      <c r="G95" s="194"/>
      <c r="H95" s="711"/>
      <c r="I95" s="352" t="str">
        <f t="shared" si="22"/>
        <v>-</v>
      </c>
      <c r="J95" s="352" t="str">
        <f t="shared" si="23"/>
        <v>-</v>
      </c>
      <c r="K95" s="194" t="str">
        <f t="shared" si="24"/>
        <v>-</v>
      </c>
      <c r="L95" s="645"/>
      <c r="M95" s="195" t="e">
        <f>RANK(K95, K$77:$K$106)</f>
        <v>#VALUE!</v>
      </c>
      <c r="N95" s="663"/>
      <c r="O95" s="663"/>
      <c r="P95" s="503"/>
      <c r="Q95" s="507"/>
      <c r="R95" s="507"/>
      <c r="S95" s="503"/>
      <c r="T95" s="685"/>
      <c r="U95" s="503"/>
      <c r="V95" s="507"/>
      <c r="W95" s="507"/>
      <c r="X95" s="503"/>
      <c r="Y95" s="685"/>
      <c r="Z95" s="503"/>
      <c r="AA95" s="507"/>
      <c r="AB95" s="507"/>
      <c r="AC95" s="503"/>
      <c r="AD95" s="685"/>
      <c r="AE95" s="503"/>
      <c r="AF95" s="507"/>
      <c r="AG95" s="507"/>
      <c r="AH95" s="503"/>
      <c r="AI95" s="685"/>
      <c r="AJ95" s="503"/>
      <c r="AK95" s="507"/>
      <c r="AL95" s="507"/>
      <c r="AM95" s="503"/>
      <c r="AN95" s="685"/>
      <c r="AO95" s="503"/>
      <c r="AP95" s="507"/>
      <c r="AQ95" s="507"/>
      <c r="AR95" s="503"/>
      <c r="AS95" s="685"/>
      <c r="AT95" s="503"/>
      <c r="AU95" s="507"/>
      <c r="AV95" s="507"/>
      <c r="AW95" s="503"/>
      <c r="AX95" s="685"/>
      <c r="AZ95" s="357" t="e">
        <f t="shared" si="25"/>
        <v>#N/A</v>
      </c>
      <c r="BA95" s="685"/>
    </row>
    <row r="96" spans="2:53">
      <c r="B96" s="671"/>
      <c r="C96" s="275">
        <v>20</v>
      </c>
      <c r="D96" s="196"/>
      <c r="E96" s="496"/>
      <c r="F96" s="196"/>
      <c r="G96" s="194"/>
      <c r="H96" s="711"/>
      <c r="I96" s="352" t="str">
        <f t="shared" si="22"/>
        <v>-</v>
      </c>
      <c r="J96" s="352" t="str">
        <f t="shared" si="23"/>
        <v>-</v>
      </c>
      <c r="K96" s="194" t="str">
        <f t="shared" si="24"/>
        <v>-</v>
      </c>
      <c r="L96" s="645"/>
      <c r="M96" s="195" t="e">
        <f>RANK(K96, K$77:$K$106)</f>
        <v>#VALUE!</v>
      </c>
      <c r="N96" s="663"/>
      <c r="O96" s="663"/>
      <c r="P96" s="503"/>
      <c r="Q96" s="507"/>
      <c r="R96" s="507"/>
      <c r="S96" s="503"/>
      <c r="T96" s="685"/>
      <c r="U96" s="503"/>
      <c r="V96" s="507"/>
      <c r="W96" s="507"/>
      <c r="X96" s="503"/>
      <c r="Y96" s="685"/>
      <c r="Z96" s="503"/>
      <c r="AA96" s="507"/>
      <c r="AB96" s="507"/>
      <c r="AC96" s="503"/>
      <c r="AD96" s="685"/>
      <c r="AE96" s="503"/>
      <c r="AF96" s="507"/>
      <c r="AG96" s="507"/>
      <c r="AH96" s="503"/>
      <c r="AI96" s="685"/>
      <c r="AJ96" s="503"/>
      <c r="AK96" s="507"/>
      <c r="AL96" s="507"/>
      <c r="AM96" s="503"/>
      <c r="AN96" s="685"/>
      <c r="AO96" s="503"/>
      <c r="AP96" s="507"/>
      <c r="AQ96" s="507"/>
      <c r="AR96" s="503"/>
      <c r="AS96" s="685"/>
      <c r="AT96" s="503"/>
      <c r="AU96" s="507"/>
      <c r="AV96" s="507"/>
      <c r="AW96" s="503"/>
      <c r="AX96" s="685"/>
      <c r="AZ96" s="357" t="e">
        <f t="shared" si="25"/>
        <v>#N/A</v>
      </c>
      <c r="BA96" s="685"/>
    </row>
    <row r="97" spans="2:53">
      <c r="B97" s="671"/>
      <c r="C97" s="275">
        <v>21</v>
      </c>
      <c r="D97" s="196"/>
      <c r="E97" s="496"/>
      <c r="F97" s="196"/>
      <c r="G97" s="194"/>
      <c r="H97" s="711"/>
      <c r="I97" s="352" t="str">
        <f t="shared" si="22"/>
        <v>-</v>
      </c>
      <c r="J97" s="352" t="str">
        <f t="shared" si="23"/>
        <v>-</v>
      </c>
      <c r="K97" s="194" t="str">
        <f t="shared" si="24"/>
        <v>-</v>
      </c>
      <c r="L97" s="645"/>
      <c r="M97" s="195" t="e">
        <f>RANK(K97, K$77:$K$106)</f>
        <v>#VALUE!</v>
      </c>
      <c r="N97" s="663"/>
      <c r="O97" s="663"/>
      <c r="P97" s="503"/>
      <c r="Q97" s="507"/>
      <c r="R97" s="507"/>
      <c r="S97" s="503"/>
      <c r="T97" s="685"/>
      <c r="U97" s="503"/>
      <c r="V97" s="507"/>
      <c r="W97" s="507"/>
      <c r="X97" s="503"/>
      <c r="Y97" s="685"/>
      <c r="Z97" s="503"/>
      <c r="AA97" s="507"/>
      <c r="AB97" s="507"/>
      <c r="AC97" s="503"/>
      <c r="AD97" s="685"/>
      <c r="AE97" s="503"/>
      <c r="AF97" s="507"/>
      <c r="AG97" s="507"/>
      <c r="AH97" s="503"/>
      <c r="AI97" s="685"/>
      <c r="AJ97" s="503"/>
      <c r="AK97" s="507"/>
      <c r="AL97" s="507"/>
      <c r="AM97" s="503"/>
      <c r="AN97" s="685"/>
      <c r="AO97" s="503"/>
      <c r="AP97" s="507"/>
      <c r="AQ97" s="507"/>
      <c r="AR97" s="503"/>
      <c r="AS97" s="685"/>
      <c r="AT97" s="503"/>
      <c r="AU97" s="507"/>
      <c r="AV97" s="507"/>
      <c r="AW97" s="503"/>
      <c r="AX97" s="685"/>
      <c r="AZ97" s="357" t="e">
        <f t="shared" si="25"/>
        <v>#N/A</v>
      </c>
      <c r="BA97" s="685"/>
    </row>
    <row r="98" spans="2:53">
      <c r="B98" s="671"/>
      <c r="C98" s="275">
        <v>22</v>
      </c>
      <c r="D98" s="196"/>
      <c r="E98" s="496"/>
      <c r="F98" s="196"/>
      <c r="G98" s="194"/>
      <c r="H98" s="711"/>
      <c r="I98" s="352" t="str">
        <f t="shared" si="22"/>
        <v>-</v>
      </c>
      <c r="J98" s="352" t="str">
        <f t="shared" si="23"/>
        <v>-</v>
      </c>
      <c r="K98" s="194" t="str">
        <f t="shared" si="24"/>
        <v>-</v>
      </c>
      <c r="L98" s="645"/>
      <c r="M98" s="195" t="e">
        <f>RANK(K98, K$77:$K$106)</f>
        <v>#VALUE!</v>
      </c>
      <c r="N98" s="663"/>
      <c r="O98" s="663"/>
      <c r="P98" s="503"/>
      <c r="Q98" s="507"/>
      <c r="R98" s="507"/>
      <c r="S98" s="503"/>
      <c r="T98" s="685"/>
      <c r="U98" s="503"/>
      <c r="V98" s="507"/>
      <c r="W98" s="507"/>
      <c r="X98" s="503"/>
      <c r="Y98" s="685"/>
      <c r="Z98" s="503"/>
      <c r="AA98" s="507"/>
      <c r="AB98" s="507"/>
      <c r="AC98" s="503"/>
      <c r="AD98" s="685"/>
      <c r="AE98" s="503"/>
      <c r="AF98" s="507"/>
      <c r="AG98" s="507"/>
      <c r="AH98" s="503"/>
      <c r="AI98" s="685"/>
      <c r="AJ98" s="503"/>
      <c r="AK98" s="507"/>
      <c r="AL98" s="507"/>
      <c r="AM98" s="503"/>
      <c r="AN98" s="685"/>
      <c r="AO98" s="503"/>
      <c r="AP98" s="507"/>
      <c r="AQ98" s="507"/>
      <c r="AR98" s="503"/>
      <c r="AS98" s="685"/>
      <c r="AT98" s="503"/>
      <c r="AU98" s="507"/>
      <c r="AV98" s="507"/>
      <c r="AW98" s="503"/>
      <c r="AX98" s="685"/>
      <c r="AZ98" s="357" t="e">
        <f t="shared" si="25"/>
        <v>#N/A</v>
      </c>
      <c r="BA98" s="685"/>
    </row>
    <row r="99" spans="2:53">
      <c r="B99" s="671"/>
      <c r="C99" s="275">
        <v>23</v>
      </c>
      <c r="D99" s="196"/>
      <c r="E99" s="496"/>
      <c r="F99" s="196"/>
      <c r="G99" s="194"/>
      <c r="H99" s="711"/>
      <c r="I99" s="352" t="str">
        <f t="shared" si="22"/>
        <v>-</v>
      </c>
      <c r="J99" s="352" t="str">
        <f t="shared" si="23"/>
        <v>-</v>
      </c>
      <c r="K99" s="194" t="str">
        <f t="shared" si="24"/>
        <v>-</v>
      </c>
      <c r="L99" s="645"/>
      <c r="M99" s="195" t="e">
        <f>RANK(K99, K$77:$K$106)</f>
        <v>#VALUE!</v>
      </c>
      <c r="N99" s="663"/>
      <c r="O99" s="663"/>
      <c r="P99" s="503"/>
      <c r="Q99" s="507"/>
      <c r="R99" s="507"/>
      <c r="S99" s="503"/>
      <c r="T99" s="685"/>
      <c r="U99" s="503"/>
      <c r="V99" s="507"/>
      <c r="W99" s="507"/>
      <c r="X99" s="503"/>
      <c r="Y99" s="685"/>
      <c r="Z99" s="503"/>
      <c r="AA99" s="507"/>
      <c r="AB99" s="507"/>
      <c r="AC99" s="503"/>
      <c r="AD99" s="685"/>
      <c r="AE99" s="503"/>
      <c r="AF99" s="507"/>
      <c r="AG99" s="507"/>
      <c r="AH99" s="503"/>
      <c r="AI99" s="685"/>
      <c r="AJ99" s="503"/>
      <c r="AK99" s="507"/>
      <c r="AL99" s="507"/>
      <c r="AM99" s="503"/>
      <c r="AN99" s="685"/>
      <c r="AO99" s="503"/>
      <c r="AP99" s="507"/>
      <c r="AQ99" s="507"/>
      <c r="AR99" s="503"/>
      <c r="AS99" s="685"/>
      <c r="AT99" s="503"/>
      <c r="AU99" s="507"/>
      <c r="AV99" s="507"/>
      <c r="AW99" s="503"/>
      <c r="AX99" s="685"/>
      <c r="AZ99" s="357" t="e">
        <f t="shared" si="25"/>
        <v>#N/A</v>
      </c>
      <c r="BA99" s="685"/>
    </row>
    <row r="100" spans="2:53">
      <c r="B100" s="671"/>
      <c r="C100" s="275">
        <v>24</v>
      </c>
      <c r="D100" s="196"/>
      <c r="E100" s="496"/>
      <c r="F100" s="196"/>
      <c r="G100" s="194"/>
      <c r="H100" s="711"/>
      <c r="I100" s="352" t="str">
        <f t="shared" si="22"/>
        <v>-</v>
      </c>
      <c r="J100" s="352" t="str">
        <f t="shared" si="23"/>
        <v>-</v>
      </c>
      <c r="K100" s="194" t="str">
        <f t="shared" si="24"/>
        <v>-</v>
      </c>
      <c r="L100" s="645"/>
      <c r="M100" s="195" t="e">
        <f>RANK(K100, K$77:$K$106)</f>
        <v>#VALUE!</v>
      </c>
      <c r="N100" s="663"/>
      <c r="O100" s="663"/>
      <c r="P100" s="503"/>
      <c r="Q100" s="507"/>
      <c r="R100" s="507"/>
      <c r="S100" s="503"/>
      <c r="T100" s="685"/>
      <c r="U100" s="503"/>
      <c r="V100" s="507"/>
      <c r="W100" s="507"/>
      <c r="X100" s="503"/>
      <c r="Y100" s="685"/>
      <c r="Z100" s="503"/>
      <c r="AA100" s="507"/>
      <c r="AB100" s="507"/>
      <c r="AC100" s="503"/>
      <c r="AD100" s="685"/>
      <c r="AE100" s="503"/>
      <c r="AF100" s="507"/>
      <c r="AG100" s="507"/>
      <c r="AH100" s="503"/>
      <c r="AI100" s="685"/>
      <c r="AJ100" s="503"/>
      <c r="AK100" s="507"/>
      <c r="AL100" s="507"/>
      <c r="AM100" s="503"/>
      <c r="AN100" s="685"/>
      <c r="AO100" s="503"/>
      <c r="AP100" s="507"/>
      <c r="AQ100" s="507"/>
      <c r="AR100" s="503"/>
      <c r="AS100" s="685"/>
      <c r="AT100" s="503"/>
      <c r="AU100" s="507"/>
      <c r="AV100" s="507"/>
      <c r="AW100" s="503"/>
      <c r="AX100" s="685"/>
      <c r="AZ100" s="357" t="e">
        <f t="shared" si="25"/>
        <v>#N/A</v>
      </c>
      <c r="BA100" s="685"/>
    </row>
    <row r="101" spans="2:53">
      <c r="B101" s="671"/>
      <c r="C101" s="275">
        <v>25</v>
      </c>
      <c r="D101" s="196"/>
      <c r="E101" s="496"/>
      <c r="F101" s="196"/>
      <c r="G101" s="194"/>
      <c r="H101" s="711"/>
      <c r="I101" s="352" t="str">
        <f t="shared" si="22"/>
        <v>-</v>
      </c>
      <c r="J101" s="352" t="str">
        <f t="shared" si="23"/>
        <v>-</v>
      </c>
      <c r="K101" s="194" t="str">
        <f t="shared" si="24"/>
        <v>-</v>
      </c>
      <c r="L101" s="645"/>
      <c r="M101" s="195" t="e">
        <f>RANK(K101, K$77:$K$106)</f>
        <v>#VALUE!</v>
      </c>
      <c r="N101" s="663"/>
      <c r="O101" s="663"/>
      <c r="P101" s="503"/>
      <c r="Q101" s="507"/>
      <c r="R101" s="507"/>
      <c r="S101" s="503"/>
      <c r="T101" s="685"/>
      <c r="U101" s="503"/>
      <c r="V101" s="507"/>
      <c r="W101" s="507"/>
      <c r="X101" s="503"/>
      <c r="Y101" s="685"/>
      <c r="Z101" s="503"/>
      <c r="AA101" s="507"/>
      <c r="AB101" s="507"/>
      <c r="AC101" s="503"/>
      <c r="AD101" s="685"/>
      <c r="AE101" s="503"/>
      <c r="AF101" s="507"/>
      <c r="AG101" s="507"/>
      <c r="AH101" s="503"/>
      <c r="AI101" s="685"/>
      <c r="AJ101" s="503"/>
      <c r="AK101" s="507"/>
      <c r="AL101" s="507"/>
      <c r="AM101" s="503"/>
      <c r="AN101" s="685"/>
      <c r="AO101" s="503"/>
      <c r="AP101" s="507"/>
      <c r="AQ101" s="507"/>
      <c r="AR101" s="503"/>
      <c r="AS101" s="685"/>
      <c r="AT101" s="503"/>
      <c r="AU101" s="507"/>
      <c r="AV101" s="507"/>
      <c r="AW101" s="503"/>
      <c r="AX101" s="685"/>
      <c r="AZ101" s="357" t="e">
        <f t="shared" si="25"/>
        <v>#N/A</v>
      </c>
      <c r="BA101" s="685"/>
    </row>
    <row r="102" spans="2:53">
      <c r="B102" s="671"/>
      <c r="C102" s="275">
        <v>26</v>
      </c>
      <c r="D102" s="196"/>
      <c r="E102" s="496"/>
      <c r="F102" s="196"/>
      <c r="G102" s="194"/>
      <c r="H102" s="711"/>
      <c r="I102" s="352" t="str">
        <f t="shared" si="22"/>
        <v>-</v>
      </c>
      <c r="J102" s="352" t="str">
        <f t="shared" si="23"/>
        <v>-</v>
      </c>
      <c r="K102" s="194" t="str">
        <f t="shared" si="24"/>
        <v>-</v>
      </c>
      <c r="L102" s="645"/>
      <c r="M102" s="195" t="e">
        <f>RANK(K102, K$77:$K$106)</f>
        <v>#VALUE!</v>
      </c>
      <c r="N102" s="663"/>
      <c r="O102" s="663"/>
      <c r="P102" s="503"/>
      <c r="Q102" s="507"/>
      <c r="R102" s="507"/>
      <c r="S102" s="503"/>
      <c r="T102" s="685"/>
      <c r="U102" s="503"/>
      <c r="V102" s="507"/>
      <c r="W102" s="507"/>
      <c r="X102" s="503"/>
      <c r="Y102" s="685"/>
      <c r="Z102" s="503"/>
      <c r="AA102" s="507"/>
      <c r="AB102" s="507"/>
      <c r="AC102" s="503"/>
      <c r="AD102" s="685"/>
      <c r="AE102" s="503"/>
      <c r="AF102" s="507"/>
      <c r="AG102" s="507"/>
      <c r="AH102" s="503"/>
      <c r="AI102" s="685"/>
      <c r="AJ102" s="503"/>
      <c r="AK102" s="507"/>
      <c r="AL102" s="507"/>
      <c r="AM102" s="503"/>
      <c r="AN102" s="685"/>
      <c r="AO102" s="503"/>
      <c r="AP102" s="507"/>
      <c r="AQ102" s="507"/>
      <c r="AR102" s="503"/>
      <c r="AS102" s="685"/>
      <c r="AT102" s="503"/>
      <c r="AU102" s="507"/>
      <c r="AV102" s="507"/>
      <c r="AW102" s="503"/>
      <c r="AX102" s="685"/>
      <c r="AZ102" s="357" t="e">
        <f t="shared" si="25"/>
        <v>#N/A</v>
      </c>
      <c r="BA102" s="685"/>
    </row>
    <row r="103" spans="2:53">
      <c r="B103" s="671"/>
      <c r="C103" s="275">
        <v>27</v>
      </c>
      <c r="D103" s="196"/>
      <c r="E103" s="496"/>
      <c r="F103" s="196"/>
      <c r="G103" s="194"/>
      <c r="H103" s="711"/>
      <c r="I103" s="352" t="str">
        <f t="shared" si="22"/>
        <v>-</v>
      </c>
      <c r="J103" s="352" t="str">
        <f t="shared" si="23"/>
        <v>-</v>
      </c>
      <c r="K103" s="194" t="str">
        <f t="shared" si="24"/>
        <v>-</v>
      </c>
      <c r="L103" s="645"/>
      <c r="M103" s="195" t="e">
        <f>RANK(K103, K$77:$K$106)</f>
        <v>#VALUE!</v>
      </c>
      <c r="N103" s="663"/>
      <c r="O103" s="663"/>
      <c r="P103" s="503"/>
      <c r="Q103" s="507"/>
      <c r="R103" s="507"/>
      <c r="S103" s="503"/>
      <c r="T103" s="685"/>
      <c r="U103" s="503"/>
      <c r="V103" s="507"/>
      <c r="W103" s="507"/>
      <c r="X103" s="503"/>
      <c r="Y103" s="685"/>
      <c r="Z103" s="503"/>
      <c r="AA103" s="507"/>
      <c r="AB103" s="507"/>
      <c r="AC103" s="503"/>
      <c r="AD103" s="685"/>
      <c r="AE103" s="503"/>
      <c r="AF103" s="507"/>
      <c r="AG103" s="507"/>
      <c r="AH103" s="503"/>
      <c r="AI103" s="685"/>
      <c r="AJ103" s="503"/>
      <c r="AK103" s="507"/>
      <c r="AL103" s="507"/>
      <c r="AM103" s="503"/>
      <c r="AN103" s="685"/>
      <c r="AO103" s="503"/>
      <c r="AP103" s="507"/>
      <c r="AQ103" s="507"/>
      <c r="AR103" s="503"/>
      <c r="AS103" s="685"/>
      <c r="AT103" s="503"/>
      <c r="AU103" s="507"/>
      <c r="AV103" s="507"/>
      <c r="AW103" s="503"/>
      <c r="AX103" s="685"/>
      <c r="AZ103" s="357" t="e">
        <f t="shared" si="25"/>
        <v>#N/A</v>
      </c>
      <c r="BA103" s="685"/>
    </row>
    <row r="104" spans="2:53">
      <c r="B104" s="671"/>
      <c r="C104" s="275">
        <v>28</v>
      </c>
      <c r="D104" s="196"/>
      <c r="E104" s="496"/>
      <c r="F104" s="196"/>
      <c r="G104" s="194"/>
      <c r="H104" s="711"/>
      <c r="I104" s="352" t="str">
        <f t="shared" si="22"/>
        <v>-</v>
      </c>
      <c r="J104" s="352" t="str">
        <f t="shared" si="23"/>
        <v>-</v>
      </c>
      <c r="K104" s="194" t="str">
        <f t="shared" si="24"/>
        <v>-</v>
      </c>
      <c r="L104" s="645"/>
      <c r="M104" s="195" t="e">
        <f>RANK(K104, K$77:$K$106)</f>
        <v>#VALUE!</v>
      </c>
      <c r="N104" s="663"/>
      <c r="O104" s="663"/>
      <c r="P104" s="503"/>
      <c r="Q104" s="507"/>
      <c r="R104" s="507"/>
      <c r="S104" s="503"/>
      <c r="T104" s="685"/>
      <c r="U104" s="503"/>
      <c r="V104" s="507"/>
      <c r="W104" s="507"/>
      <c r="X104" s="503"/>
      <c r="Y104" s="685"/>
      <c r="Z104" s="503"/>
      <c r="AA104" s="507"/>
      <c r="AB104" s="507"/>
      <c r="AC104" s="503"/>
      <c r="AD104" s="685"/>
      <c r="AE104" s="503"/>
      <c r="AF104" s="507"/>
      <c r="AG104" s="507"/>
      <c r="AH104" s="503"/>
      <c r="AI104" s="685"/>
      <c r="AJ104" s="503"/>
      <c r="AK104" s="507"/>
      <c r="AL104" s="507"/>
      <c r="AM104" s="503"/>
      <c r="AN104" s="685"/>
      <c r="AO104" s="503"/>
      <c r="AP104" s="507"/>
      <c r="AQ104" s="507"/>
      <c r="AR104" s="503"/>
      <c r="AS104" s="685"/>
      <c r="AT104" s="503"/>
      <c r="AU104" s="507"/>
      <c r="AV104" s="507"/>
      <c r="AW104" s="503"/>
      <c r="AX104" s="685"/>
      <c r="AZ104" s="357" t="e">
        <f t="shared" si="25"/>
        <v>#N/A</v>
      </c>
      <c r="BA104" s="685"/>
    </row>
    <row r="105" spans="2:53">
      <c r="B105" s="671"/>
      <c r="C105" s="275">
        <v>29</v>
      </c>
      <c r="D105" s="196"/>
      <c r="E105" s="496"/>
      <c r="F105" s="196"/>
      <c r="G105" s="194"/>
      <c r="H105" s="711"/>
      <c r="I105" s="352" t="str">
        <f t="shared" si="22"/>
        <v>-</v>
      </c>
      <c r="J105" s="352" t="str">
        <f t="shared" si="23"/>
        <v>-</v>
      </c>
      <c r="K105" s="194" t="str">
        <f t="shared" si="24"/>
        <v>-</v>
      </c>
      <c r="L105" s="645"/>
      <c r="M105" s="195" t="e">
        <f>RANK(K105, K$77:$K$106)</f>
        <v>#VALUE!</v>
      </c>
      <c r="N105" s="663"/>
      <c r="O105" s="663"/>
      <c r="P105" s="503"/>
      <c r="Q105" s="507"/>
      <c r="R105" s="507"/>
      <c r="S105" s="503"/>
      <c r="T105" s="685"/>
      <c r="U105" s="503"/>
      <c r="V105" s="507"/>
      <c r="W105" s="507"/>
      <c r="X105" s="503"/>
      <c r="Y105" s="685"/>
      <c r="Z105" s="503"/>
      <c r="AA105" s="507"/>
      <c r="AB105" s="507"/>
      <c r="AC105" s="503"/>
      <c r="AD105" s="685"/>
      <c r="AE105" s="503"/>
      <c r="AF105" s="507"/>
      <c r="AG105" s="507"/>
      <c r="AH105" s="503"/>
      <c r="AI105" s="685"/>
      <c r="AJ105" s="503"/>
      <c r="AK105" s="507"/>
      <c r="AL105" s="507"/>
      <c r="AM105" s="503"/>
      <c r="AN105" s="685"/>
      <c r="AO105" s="503"/>
      <c r="AP105" s="507"/>
      <c r="AQ105" s="507"/>
      <c r="AR105" s="503"/>
      <c r="AS105" s="685"/>
      <c r="AT105" s="503"/>
      <c r="AU105" s="507"/>
      <c r="AV105" s="507"/>
      <c r="AW105" s="503"/>
      <c r="AX105" s="685"/>
      <c r="AZ105" s="357" t="e">
        <f t="shared" si="25"/>
        <v>#N/A</v>
      </c>
      <c r="BA105" s="685"/>
    </row>
    <row r="106" spans="2:53">
      <c r="B106" s="671"/>
      <c r="C106" s="275">
        <v>30</v>
      </c>
      <c r="D106" s="196"/>
      <c r="E106" s="496"/>
      <c r="F106" s="196"/>
      <c r="G106" s="194"/>
      <c r="H106" s="712"/>
      <c r="I106" s="352" t="str">
        <f t="shared" si="22"/>
        <v>-</v>
      </c>
      <c r="J106" s="352" t="str">
        <f t="shared" si="23"/>
        <v>-</v>
      </c>
      <c r="K106" s="194" t="str">
        <f t="shared" si="24"/>
        <v>-</v>
      </c>
      <c r="L106" s="646"/>
      <c r="M106" s="195" t="e">
        <f>RANK(K106, K$77:$K$106)</f>
        <v>#VALUE!</v>
      </c>
      <c r="N106" s="663"/>
      <c r="O106" s="663"/>
      <c r="P106" s="503"/>
      <c r="Q106" s="507"/>
      <c r="R106" s="507"/>
      <c r="S106" s="503"/>
      <c r="T106" s="685"/>
      <c r="U106" s="503"/>
      <c r="V106" s="507"/>
      <c r="W106" s="507"/>
      <c r="X106" s="503"/>
      <c r="Y106" s="685"/>
      <c r="Z106" s="503"/>
      <c r="AA106" s="507"/>
      <c r="AB106" s="507"/>
      <c r="AC106" s="503"/>
      <c r="AD106" s="685"/>
      <c r="AE106" s="503"/>
      <c r="AF106" s="507"/>
      <c r="AG106" s="507"/>
      <c r="AH106" s="503"/>
      <c r="AI106" s="685"/>
      <c r="AJ106" s="503"/>
      <c r="AK106" s="507"/>
      <c r="AL106" s="507"/>
      <c r="AM106" s="503"/>
      <c r="AN106" s="685"/>
      <c r="AO106" s="503"/>
      <c r="AP106" s="507"/>
      <c r="AQ106" s="507"/>
      <c r="AR106" s="503"/>
      <c r="AS106" s="685"/>
      <c r="AT106" s="503"/>
      <c r="AU106" s="507"/>
      <c r="AV106" s="507"/>
      <c r="AW106" s="503"/>
      <c r="AX106" s="685"/>
      <c r="AZ106" s="357" t="e">
        <f t="shared" si="25"/>
        <v>#N/A</v>
      </c>
      <c r="BA106" s="685"/>
    </row>
    <row r="107" spans="2:53" ht="15.75">
      <c r="B107" s="675" t="s">
        <v>162</v>
      </c>
      <c r="C107" s="676"/>
      <c r="D107" s="676"/>
      <c r="E107" s="676"/>
      <c r="F107" s="676"/>
      <c r="G107" s="676"/>
      <c r="H107" s="677"/>
      <c r="I107" s="202"/>
      <c r="J107" s="202"/>
      <c r="K107" s="202"/>
      <c r="L107" s="202"/>
      <c r="M107" s="201"/>
      <c r="N107" s="664" t="s">
        <v>156</v>
      </c>
      <c r="O107" s="664" t="s">
        <v>105</v>
      </c>
      <c r="P107" s="667">
        <f>P72+7</f>
        <v>46287</v>
      </c>
      <c r="Q107" s="668"/>
      <c r="R107" s="668"/>
      <c r="S107" s="668"/>
      <c r="T107" s="669"/>
      <c r="U107" s="667">
        <f>P107+1</f>
        <v>46288</v>
      </c>
      <c r="V107" s="668"/>
      <c r="W107" s="668"/>
      <c r="X107" s="668"/>
      <c r="Y107" s="669"/>
      <c r="Z107" s="667">
        <f>U107+1</f>
        <v>46289</v>
      </c>
      <c r="AA107" s="668"/>
      <c r="AB107" s="668"/>
      <c r="AC107" s="668"/>
      <c r="AD107" s="669"/>
      <c r="AE107" s="667">
        <f>Z107+1</f>
        <v>46290</v>
      </c>
      <c r="AF107" s="668"/>
      <c r="AG107" s="668"/>
      <c r="AH107" s="668"/>
      <c r="AI107" s="669"/>
      <c r="AJ107" s="667">
        <f>AE107+1</f>
        <v>46291</v>
      </c>
      <c r="AK107" s="668"/>
      <c r="AL107" s="668"/>
      <c r="AM107" s="668"/>
      <c r="AN107" s="669"/>
      <c r="AO107" s="667">
        <f>AJ107+1</f>
        <v>46292</v>
      </c>
      <c r="AP107" s="668"/>
      <c r="AQ107" s="668"/>
      <c r="AR107" s="668"/>
      <c r="AS107" s="669"/>
      <c r="AT107" s="667">
        <f>AO107+1</f>
        <v>46293</v>
      </c>
      <c r="AU107" s="668"/>
      <c r="AV107" s="668"/>
      <c r="AW107" s="668"/>
      <c r="AX107" s="669"/>
    </row>
    <row r="108" spans="2:53" ht="15.75">
      <c r="B108" s="678"/>
      <c r="C108" s="678"/>
      <c r="D108" s="678"/>
      <c r="E108" s="678"/>
      <c r="F108" s="678"/>
      <c r="G108" s="678"/>
      <c r="H108" s="678"/>
      <c r="I108" s="199"/>
      <c r="J108" s="199"/>
      <c r="K108" s="199"/>
      <c r="L108" s="199"/>
      <c r="M108" s="200"/>
      <c r="N108" s="666"/>
      <c r="O108" s="666"/>
      <c r="P108" s="667" t="s">
        <v>317</v>
      </c>
      <c r="Q108" s="668"/>
      <c r="R108" s="668"/>
      <c r="S108" s="668"/>
      <c r="T108" s="669"/>
      <c r="U108" s="667" t="s">
        <v>318</v>
      </c>
      <c r="V108" s="668"/>
      <c r="W108" s="668"/>
      <c r="X108" s="668"/>
      <c r="Y108" s="669"/>
      <c r="Z108" s="667" t="s">
        <v>319</v>
      </c>
      <c r="AA108" s="668"/>
      <c r="AB108" s="668"/>
      <c r="AC108" s="668"/>
      <c r="AD108" s="669"/>
      <c r="AE108" s="667" t="s">
        <v>320</v>
      </c>
      <c r="AF108" s="668"/>
      <c r="AG108" s="668"/>
      <c r="AH108" s="668"/>
      <c r="AI108" s="669"/>
      <c r="AJ108" s="667" t="s">
        <v>321</v>
      </c>
      <c r="AK108" s="668"/>
      <c r="AL108" s="668"/>
      <c r="AM108" s="668"/>
      <c r="AN108" s="669"/>
      <c r="AO108" s="667" t="s">
        <v>322</v>
      </c>
      <c r="AP108" s="668"/>
      <c r="AQ108" s="668"/>
      <c r="AR108" s="668"/>
      <c r="AS108" s="669"/>
      <c r="AT108" s="667" t="s">
        <v>323</v>
      </c>
      <c r="AU108" s="668"/>
      <c r="AV108" s="668"/>
      <c r="AW108" s="668"/>
      <c r="AX108" s="669"/>
    </row>
    <row r="109" spans="2:53">
      <c r="B109" s="663" t="s">
        <v>400</v>
      </c>
      <c r="C109" s="663" t="s">
        <v>401</v>
      </c>
      <c r="D109" s="663"/>
      <c r="E109" s="663" t="s">
        <v>402</v>
      </c>
      <c r="F109" s="663"/>
      <c r="G109" s="663"/>
      <c r="H109" s="679" t="s">
        <v>403</v>
      </c>
      <c r="I109" s="647" t="s">
        <v>404</v>
      </c>
      <c r="J109" s="647"/>
      <c r="K109" s="647"/>
      <c r="L109" s="648" t="s">
        <v>403</v>
      </c>
      <c r="M109" s="654" t="s">
        <v>405</v>
      </c>
      <c r="N109" s="663"/>
      <c r="O109" s="663" t="s">
        <v>406</v>
      </c>
      <c r="P109" s="660" t="s">
        <v>407</v>
      </c>
      <c r="Q109" s="661"/>
      <c r="R109" s="661"/>
      <c r="S109" s="662"/>
      <c r="T109" s="664" t="s">
        <v>403</v>
      </c>
      <c r="U109" s="660" t="s">
        <v>407</v>
      </c>
      <c r="V109" s="661"/>
      <c r="W109" s="661"/>
      <c r="X109" s="662"/>
      <c r="Y109" s="664" t="s">
        <v>403</v>
      </c>
      <c r="Z109" s="660" t="s">
        <v>407</v>
      </c>
      <c r="AA109" s="661"/>
      <c r="AB109" s="661"/>
      <c r="AC109" s="662"/>
      <c r="AD109" s="664" t="s">
        <v>403</v>
      </c>
      <c r="AE109" s="660" t="s">
        <v>407</v>
      </c>
      <c r="AF109" s="661"/>
      <c r="AG109" s="661"/>
      <c r="AH109" s="662"/>
      <c r="AI109" s="664" t="s">
        <v>403</v>
      </c>
      <c r="AJ109" s="660" t="s">
        <v>407</v>
      </c>
      <c r="AK109" s="661"/>
      <c r="AL109" s="661"/>
      <c r="AM109" s="662"/>
      <c r="AN109" s="664" t="s">
        <v>403</v>
      </c>
      <c r="AO109" s="660" t="s">
        <v>407</v>
      </c>
      <c r="AP109" s="661"/>
      <c r="AQ109" s="661"/>
      <c r="AR109" s="662"/>
      <c r="AS109" s="664" t="s">
        <v>403</v>
      </c>
      <c r="AT109" s="660" t="s">
        <v>407</v>
      </c>
      <c r="AU109" s="661"/>
      <c r="AV109" s="661"/>
      <c r="AW109" s="662"/>
      <c r="AX109" s="663" t="s">
        <v>403</v>
      </c>
      <c r="BA109" s="663" t="s">
        <v>359</v>
      </c>
    </row>
    <row r="110" spans="2:53">
      <c r="B110" s="663"/>
      <c r="C110" s="663"/>
      <c r="D110" s="663"/>
      <c r="E110" s="663" t="s">
        <v>408</v>
      </c>
      <c r="F110" s="663"/>
      <c r="G110" s="663"/>
      <c r="H110" s="680"/>
      <c r="I110" s="647" t="s">
        <v>408</v>
      </c>
      <c r="J110" s="647"/>
      <c r="K110" s="647"/>
      <c r="L110" s="649"/>
      <c r="M110" s="655"/>
      <c r="N110" s="663"/>
      <c r="O110" s="663"/>
      <c r="P110" s="660" t="s">
        <v>409</v>
      </c>
      <c r="Q110" s="661"/>
      <c r="R110" s="661"/>
      <c r="S110" s="662"/>
      <c r="T110" s="665"/>
      <c r="U110" s="660" t="s">
        <v>409</v>
      </c>
      <c r="V110" s="661"/>
      <c r="W110" s="661"/>
      <c r="X110" s="662"/>
      <c r="Y110" s="665"/>
      <c r="Z110" s="660" t="s">
        <v>409</v>
      </c>
      <c r="AA110" s="661"/>
      <c r="AB110" s="661"/>
      <c r="AC110" s="662"/>
      <c r="AD110" s="665"/>
      <c r="AE110" s="660" t="s">
        <v>409</v>
      </c>
      <c r="AF110" s="661"/>
      <c r="AG110" s="661"/>
      <c r="AH110" s="662"/>
      <c r="AI110" s="665"/>
      <c r="AJ110" s="660" t="s">
        <v>409</v>
      </c>
      <c r="AK110" s="661"/>
      <c r="AL110" s="661"/>
      <c r="AM110" s="662"/>
      <c r="AN110" s="665"/>
      <c r="AO110" s="660" t="s">
        <v>409</v>
      </c>
      <c r="AP110" s="661"/>
      <c r="AQ110" s="661"/>
      <c r="AR110" s="662"/>
      <c r="AS110" s="665"/>
      <c r="AT110" s="660" t="s">
        <v>409</v>
      </c>
      <c r="AU110" s="661"/>
      <c r="AV110" s="661"/>
      <c r="AW110" s="662"/>
      <c r="AX110" s="663"/>
      <c r="BA110" s="663"/>
    </row>
    <row r="111" spans="2:53">
      <c r="B111" s="663"/>
      <c r="C111" s="663"/>
      <c r="D111" s="663"/>
      <c r="E111" s="274" t="s">
        <v>410</v>
      </c>
      <c r="F111" s="274" t="s">
        <v>411</v>
      </c>
      <c r="G111" s="274" t="s">
        <v>412</v>
      </c>
      <c r="H111" s="681"/>
      <c r="I111" s="273" t="s">
        <v>410</v>
      </c>
      <c r="J111" s="273" t="s">
        <v>411</v>
      </c>
      <c r="K111" s="273" t="s">
        <v>412</v>
      </c>
      <c r="L111" s="650"/>
      <c r="M111" s="656"/>
      <c r="N111" s="663"/>
      <c r="O111" s="663"/>
      <c r="P111" s="434" t="s">
        <v>410</v>
      </c>
      <c r="Q111" s="434" t="s">
        <v>411</v>
      </c>
      <c r="R111" s="434" t="s">
        <v>412</v>
      </c>
      <c r="S111" s="434" t="s">
        <v>405</v>
      </c>
      <c r="T111" s="666"/>
      <c r="U111" s="434" t="s">
        <v>410</v>
      </c>
      <c r="V111" s="434" t="s">
        <v>411</v>
      </c>
      <c r="W111" s="434" t="s">
        <v>412</v>
      </c>
      <c r="X111" s="434" t="s">
        <v>405</v>
      </c>
      <c r="Y111" s="666"/>
      <c r="Z111" s="434" t="s">
        <v>410</v>
      </c>
      <c r="AA111" s="434" t="s">
        <v>411</v>
      </c>
      <c r="AB111" s="434" t="s">
        <v>412</v>
      </c>
      <c r="AC111" s="434" t="s">
        <v>405</v>
      </c>
      <c r="AD111" s="666"/>
      <c r="AE111" s="434" t="s">
        <v>410</v>
      </c>
      <c r="AF111" s="434" t="s">
        <v>411</v>
      </c>
      <c r="AG111" s="434" t="s">
        <v>412</v>
      </c>
      <c r="AH111" s="434" t="s">
        <v>405</v>
      </c>
      <c r="AI111" s="666"/>
      <c r="AJ111" s="434" t="s">
        <v>410</v>
      </c>
      <c r="AK111" s="434" t="s">
        <v>411</v>
      </c>
      <c r="AL111" s="434" t="s">
        <v>412</v>
      </c>
      <c r="AM111" s="434" t="s">
        <v>405</v>
      </c>
      <c r="AN111" s="666"/>
      <c r="AO111" s="434" t="s">
        <v>410</v>
      </c>
      <c r="AP111" s="434" t="s">
        <v>411</v>
      </c>
      <c r="AQ111" s="434" t="s">
        <v>412</v>
      </c>
      <c r="AR111" s="434" t="s">
        <v>405</v>
      </c>
      <c r="AS111" s="666"/>
      <c r="AT111" s="274" t="s">
        <v>410</v>
      </c>
      <c r="AU111" s="274" t="s">
        <v>411</v>
      </c>
      <c r="AV111" s="274" t="s">
        <v>412</v>
      </c>
      <c r="AW111" s="274" t="s">
        <v>405</v>
      </c>
      <c r="AX111" s="663"/>
      <c r="AZ111" s="356" t="s">
        <v>360</v>
      </c>
      <c r="BA111" s="663"/>
    </row>
    <row r="112" spans="2:53">
      <c r="B112" s="663" t="s">
        <v>413</v>
      </c>
      <c r="C112" s="275">
        <v>1</v>
      </c>
      <c r="D112" s="196"/>
      <c r="E112" s="481"/>
      <c r="F112" s="196"/>
      <c r="G112" s="194"/>
      <c r="H112" s="710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44" t="str">
        <f>IFERROR(AVERAGE(K112:K141),"-")</f>
        <v>-</v>
      </c>
      <c r="M112" s="195" t="e">
        <f>RANK(K112, K$112:$K$141)</f>
        <v>#VALUE!</v>
      </c>
      <c r="N112" s="663"/>
      <c r="O112" s="663"/>
      <c r="P112" s="508"/>
      <c r="Q112" s="509"/>
      <c r="R112" s="509"/>
      <c r="S112" s="508"/>
      <c r="T112" s="685"/>
      <c r="U112" s="508"/>
      <c r="V112" s="509"/>
      <c r="W112" s="509"/>
      <c r="X112" s="508"/>
      <c r="Y112" s="685"/>
      <c r="Z112" s="508"/>
      <c r="AA112" s="509"/>
      <c r="AB112" s="509"/>
      <c r="AC112" s="508"/>
      <c r="AD112" s="685"/>
      <c r="AE112" s="508"/>
      <c r="AF112" s="509"/>
      <c r="AG112" s="509"/>
      <c r="AH112" s="508"/>
      <c r="AI112" s="685"/>
      <c r="AJ112" s="508"/>
      <c r="AK112" s="509"/>
      <c r="AL112" s="509"/>
      <c r="AM112" s="508"/>
      <c r="AN112" s="685"/>
      <c r="AO112" s="508"/>
      <c r="AP112" s="509"/>
      <c r="AQ112" s="509"/>
      <c r="AR112" s="508"/>
      <c r="AS112" s="685"/>
      <c r="AT112" s="508"/>
      <c r="AU112" s="509"/>
      <c r="AV112" s="509"/>
      <c r="AW112" s="508"/>
      <c r="AX112" s="685"/>
      <c r="AZ112" s="357" t="e">
        <f>RANK(AY112, AY$112:AY$141)</f>
        <v>#N/A</v>
      </c>
      <c r="BA112" s="685" t="e">
        <f>AVERAGE(AY112:AY141)</f>
        <v>#DIV/0!</v>
      </c>
    </row>
    <row r="113" spans="2:53">
      <c r="B113" s="671"/>
      <c r="C113" s="275">
        <v>2</v>
      </c>
      <c r="D113" s="196"/>
      <c r="E113" s="481"/>
      <c r="F113" s="196"/>
      <c r="G113" s="194"/>
      <c r="H113" s="711"/>
      <c r="I113" s="352" t="str">
        <f t="shared" ref="I113:I141" si="26">IFERROR(AVERAGE(P113,U113,Z113,AE113,AJ113,AO113,AT113),"-")</f>
        <v>-</v>
      </c>
      <c r="J113" s="352" t="str">
        <f t="shared" ref="J113:J141" si="27">IFERROR(AVERAGE(Q113,V113,AA113,AF113,AK113,AP113,AU113),"-")</f>
        <v>-</v>
      </c>
      <c r="K113" s="194" t="str">
        <f t="shared" ref="K113:K141" si="28">IFERROR(AVERAGE(R113,W113,AB113,AG113,AL113,AQ113,AV113),"-")</f>
        <v>-</v>
      </c>
      <c r="L113" s="645"/>
      <c r="M113" s="195" t="e">
        <f>RANK(K113, K$112:$K$141)</f>
        <v>#VALUE!</v>
      </c>
      <c r="N113" s="663"/>
      <c r="O113" s="663"/>
      <c r="P113" s="508"/>
      <c r="Q113" s="509"/>
      <c r="R113" s="509"/>
      <c r="S113" s="508"/>
      <c r="T113" s="685"/>
      <c r="U113" s="508"/>
      <c r="V113" s="509"/>
      <c r="W113" s="509"/>
      <c r="X113" s="508"/>
      <c r="Y113" s="685"/>
      <c r="Z113" s="508"/>
      <c r="AA113" s="509"/>
      <c r="AB113" s="509"/>
      <c r="AC113" s="508"/>
      <c r="AD113" s="685"/>
      <c r="AE113" s="508"/>
      <c r="AF113" s="509"/>
      <c r="AG113" s="509"/>
      <c r="AH113" s="508"/>
      <c r="AI113" s="685"/>
      <c r="AJ113" s="508"/>
      <c r="AK113" s="509"/>
      <c r="AL113" s="509"/>
      <c r="AM113" s="508"/>
      <c r="AN113" s="685"/>
      <c r="AO113" s="508"/>
      <c r="AP113" s="509"/>
      <c r="AQ113" s="509"/>
      <c r="AR113" s="508"/>
      <c r="AS113" s="685"/>
      <c r="AT113" s="508"/>
      <c r="AU113" s="509"/>
      <c r="AV113" s="509"/>
      <c r="AW113" s="508"/>
      <c r="AX113" s="685"/>
      <c r="AZ113" s="357" t="e">
        <f t="shared" ref="AZ113:AZ141" si="29">RANK(AY113, AY$112:AY$141)</f>
        <v>#N/A</v>
      </c>
      <c r="BA113" s="685"/>
    </row>
    <row r="114" spans="2:53">
      <c r="B114" s="671"/>
      <c r="C114" s="275">
        <v>3</v>
      </c>
      <c r="D114" s="196"/>
      <c r="E114" s="481"/>
      <c r="F114" s="196"/>
      <c r="G114" s="194"/>
      <c r="H114" s="711"/>
      <c r="I114" s="352" t="str">
        <f t="shared" si="26"/>
        <v>-</v>
      </c>
      <c r="J114" s="352" t="str">
        <f t="shared" si="27"/>
        <v>-</v>
      </c>
      <c r="K114" s="194" t="str">
        <f t="shared" si="28"/>
        <v>-</v>
      </c>
      <c r="L114" s="645"/>
      <c r="M114" s="195" t="e">
        <f>RANK(K114, K$112:$K$141)</f>
        <v>#VALUE!</v>
      </c>
      <c r="N114" s="663"/>
      <c r="O114" s="663"/>
      <c r="P114" s="508"/>
      <c r="Q114" s="509"/>
      <c r="R114" s="509"/>
      <c r="S114" s="508"/>
      <c r="T114" s="685"/>
      <c r="U114" s="508"/>
      <c r="V114" s="509"/>
      <c r="W114" s="509"/>
      <c r="X114" s="508"/>
      <c r="Y114" s="685"/>
      <c r="Z114" s="508"/>
      <c r="AA114" s="509"/>
      <c r="AB114" s="509"/>
      <c r="AC114" s="508"/>
      <c r="AD114" s="685"/>
      <c r="AE114" s="508"/>
      <c r="AF114" s="509"/>
      <c r="AG114" s="509"/>
      <c r="AH114" s="508"/>
      <c r="AI114" s="685"/>
      <c r="AJ114" s="508"/>
      <c r="AK114" s="509"/>
      <c r="AL114" s="509"/>
      <c r="AM114" s="508"/>
      <c r="AN114" s="685"/>
      <c r="AO114" s="508"/>
      <c r="AP114" s="509"/>
      <c r="AQ114" s="509"/>
      <c r="AR114" s="508"/>
      <c r="AS114" s="685"/>
      <c r="AT114" s="508"/>
      <c r="AU114" s="509"/>
      <c r="AV114" s="509"/>
      <c r="AW114" s="508"/>
      <c r="AX114" s="685"/>
      <c r="AZ114" s="357" t="e">
        <f t="shared" si="29"/>
        <v>#N/A</v>
      </c>
      <c r="BA114" s="685"/>
    </row>
    <row r="115" spans="2:53">
      <c r="B115" s="671"/>
      <c r="C115" s="275">
        <v>4</v>
      </c>
      <c r="D115" s="196"/>
      <c r="E115" s="481"/>
      <c r="F115" s="196"/>
      <c r="G115" s="194"/>
      <c r="H115" s="711"/>
      <c r="I115" s="352" t="str">
        <f t="shared" si="26"/>
        <v>-</v>
      </c>
      <c r="J115" s="352" t="str">
        <f t="shared" si="27"/>
        <v>-</v>
      </c>
      <c r="K115" s="194" t="str">
        <f t="shared" si="28"/>
        <v>-</v>
      </c>
      <c r="L115" s="645"/>
      <c r="M115" s="195" t="e">
        <f>RANK(K115, K$112:$K$141)</f>
        <v>#VALUE!</v>
      </c>
      <c r="N115" s="663"/>
      <c r="O115" s="663"/>
      <c r="P115" s="508"/>
      <c r="Q115" s="509"/>
      <c r="R115" s="509"/>
      <c r="S115" s="508"/>
      <c r="T115" s="685"/>
      <c r="U115" s="508"/>
      <c r="V115" s="509"/>
      <c r="W115" s="509"/>
      <c r="X115" s="508"/>
      <c r="Y115" s="685"/>
      <c r="Z115" s="508"/>
      <c r="AA115" s="509"/>
      <c r="AB115" s="509"/>
      <c r="AC115" s="508"/>
      <c r="AD115" s="685"/>
      <c r="AE115" s="508"/>
      <c r="AF115" s="509"/>
      <c r="AG115" s="509"/>
      <c r="AH115" s="508"/>
      <c r="AI115" s="685"/>
      <c r="AJ115" s="508"/>
      <c r="AK115" s="509"/>
      <c r="AL115" s="509"/>
      <c r="AM115" s="508"/>
      <c r="AN115" s="685"/>
      <c r="AO115" s="508"/>
      <c r="AP115" s="509"/>
      <c r="AQ115" s="509"/>
      <c r="AR115" s="508"/>
      <c r="AS115" s="685"/>
      <c r="AT115" s="508"/>
      <c r="AU115" s="509"/>
      <c r="AV115" s="509"/>
      <c r="AW115" s="508"/>
      <c r="AX115" s="685"/>
      <c r="AZ115" s="357" t="e">
        <f t="shared" si="29"/>
        <v>#N/A</v>
      </c>
      <c r="BA115" s="685"/>
    </row>
    <row r="116" spans="2:53">
      <c r="B116" s="671"/>
      <c r="C116" s="275">
        <v>5</v>
      </c>
      <c r="D116" s="196"/>
      <c r="E116" s="481"/>
      <c r="F116" s="196"/>
      <c r="G116" s="194"/>
      <c r="H116" s="711"/>
      <c r="I116" s="352" t="str">
        <f t="shared" si="26"/>
        <v>-</v>
      </c>
      <c r="J116" s="352" t="str">
        <f t="shared" si="27"/>
        <v>-</v>
      </c>
      <c r="K116" s="194" t="str">
        <f t="shared" si="28"/>
        <v>-</v>
      </c>
      <c r="L116" s="645"/>
      <c r="M116" s="195" t="e">
        <f>RANK(K116, K$112:$K$141)</f>
        <v>#VALUE!</v>
      </c>
      <c r="N116" s="663"/>
      <c r="O116" s="663"/>
      <c r="P116" s="508"/>
      <c r="Q116" s="509"/>
      <c r="R116" s="509"/>
      <c r="S116" s="508"/>
      <c r="T116" s="685"/>
      <c r="U116" s="508"/>
      <c r="V116" s="509"/>
      <c r="W116" s="509"/>
      <c r="X116" s="508"/>
      <c r="Y116" s="685"/>
      <c r="Z116" s="508"/>
      <c r="AA116" s="509"/>
      <c r="AB116" s="509"/>
      <c r="AC116" s="508"/>
      <c r="AD116" s="685"/>
      <c r="AE116" s="508"/>
      <c r="AF116" s="509"/>
      <c r="AG116" s="509"/>
      <c r="AH116" s="508"/>
      <c r="AI116" s="685"/>
      <c r="AJ116" s="508"/>
      <c r="AK116" s="509"/>
      <c r="AL116" s="509"/>
      <c r="AM116" s="508"/>
      <c r="AN116" s="685"/>
      <c r="AO116" s="508"/>
      <c r="AP116" s="509"/>
      <c r="AQ116" s="509"/>
      <c r="AR116" s="508"/>
      <c r="AS116" s="685"/>
      <c r="AT116" s="508"/>
      <c r="AU116" s="509"/>
      <c r="AV116" s="509"/>
      <c r="AW116" s="508"/>
      <c r="AX116" s="685"/>
      <c r="AZ116" s="357" t="e">
        <f t="shared" si="29"/>
        <v>#N/A</v>
      </c>
      <c r="BA116" s="685"/>
    </row>
    <row r="117" spans="2:53">
      <c r="B117" s="671"/>
      <c r="C117" s="275">
        <v>6</v>
      </c>
      <c r="D117" s="196"/>
      <c r="E117" s="481"/>
      <c r="F117" s="196"/>
      <c r="G117" s="194"/>
      <c r="H117" s="711"/>
      <c r="I117" s="352" t="str">
        <f t="shared" si="26"/>
        <v>-</v>
      </c>
      <c r="J117" s="352" t="str">
        <f t="shared" si="27"/>
        <v>-</v>
      </c>
      <c r="K117" s="194" t="str">
        <f t="shared" si="28"/>
        <v>-</v>
      </c>
      <c r="L117" s="645"/>
      <c r="M117" s="195" t="e">
        <f>RANK(K117, K$112:$K$141)</f>
        <v>#VALUE!</v>
      </c>
      <c r="N117" s="663"/>
      <c r="O117" s="663"/>
      <c r="P117" s="508"/>
      <c r="Q117" s="509"/>
      <c r="R117" s="509"/>
      <c r="S117" s="508"/>
      <c r="T117" s="685"/>
      <c r="U117" s="508"/>
      <c r="V117" s="509"/>
      <c r="W117" s="509"/>
      <c r="X117" s="508"/>
      <c r="Y117" s="685"/>
      <c r="Z117" s="508"/>
      <c r="AA117" s="509"/>
      <c r="AB117" s="509"/>
      <c r="AC117" s="508"/>
      <c r="AD117" s="685"/>
      <c r="AE117" s="508"/>
      <c r="AF117" s="509"/>
      <c r="AG117" s="509"/>
      <c r="AH117" s="508"/>
      <c r="AI117" s="685"/>
      <c r="AJ117" s="508"/>
      <c r="AK117" s="509"/>
      <c r="AL117" s="509"/>
      <c r="AM117" s="508"/>
      <c r="AN117" s="685"/>
      <c r="AO117" s="508"/>
      <c r="AP117" s="509"/>
      <c r="AQ117" s="509"/>
      <c r="AR117" s="508"/>
      <c r="AS117" s="685"/>
      <c r="AT117" s="508"/>
      <c r="AU117" s="509"/>
      <c r="AV117" s="509"/>
      <c r="AW117" s="508"/>
      <c r="AX117" s="685"/>
      <c r="AZ117" s="357" t="e">
        <f t="shared" si="29"/>
        <v>#N/A</v>
      </c>
      <c r="BA117" s="685"/>
    </row>
    <row r="118" spans="2:53">
      <c r="B118" s="671"/>
      <c r="C118" s="275">
        <v>7</v>
      </c>
      <c r="D118" s="196"/>
      <c r="E118" s="481"/>
      <c r="F118" s="196"/>
      <c r="G118" s="194"/>
      <c r="H118" s="711"/>
      <c r="I118" s="352" t="str">
        <f t="shared" si="26"/>
        <v>-</v>
      </c>
      <c r="J118" s="352" t="str">
        <f t="shared" si="27"/>
        <v>-</v>
      </c>
      <c r="K118" s="194" t="str">
        <f t="shared" si="28"/>
        <v>-</v>
      </c>
      <c r="L118" s="645"/>
      <c r="M118" s="195" t="e">
        <f>RANK(K118, K$112:$K$141)</f>
        <v>#VALUE!</v>
      </c>
      <c r="N118" s="663"/>
      <c r="O118" s="663"/>
      <c r="P118" s="508"/>
      <c r="Q118" s="509"/>
      <c r="R118" s="509"/>
      <c r="S118" s="508"/>
      <c r="T118" s="685"/>
      <c r="U118" s="508"/>
      <c r="V118" s="509"/>
      <c r="W118" s="509"/>
      <c r="X118" s="508"/>
      <c r="Y118" s="685"/>
      <c r="Z118" s="508"/>
      <c r="AA118" s="509"/>
      <c r="AB118" s="509"/>
      <c r="AC118" s="508"/>
      <c r="AD118" s="685"/>
      <c r="AE118" s="508"/>
      <c r="AF118" s="509"/>
      <c r="AG118" s="509"/>
      <c r="AH118" s="508"/>
      <c r="AI118" s="685"/>
      <c r="AJ118" s="508"/>
      <c r="AK118" s="509"/>
      <c r="AL118" s="509"/>
      <c r="AM118" s="508"/>
      <c r="AN118" s="685"/>
      <c r="AO118" s="508"/>
      <c r="AP118" s="509"/>
      <c r="AQ118" s="509"/>
      <c r="AR118" s="508"/>
      <c r="AS118" s="685"/>
      <c r="AT118" s="508"/>
      <c r="AU118" s="509"/>
      <c r="AV118" s="509"/>
      <c r="AW118" s="508"/>
      <c r="AX118" s="685"/>
      <c r="AZ118" s="357" t="e">
        <f t="shared" si="29"/>
        <v>#N/A</v>
      </c>
      <c r="BA118" s="685"/>
    </row>
    <row r="119" spans="2:53">
      <c r="B119" s="671"/>
      <c r="C119" s="275">
        <v>8</v>
      </c>
      <c r="D119" s="196"/>
      <c r="E119" s="481"/>
      <c r="F119" s="196"/>
      <c r="G119" s="194"/>
      <c r="H119" s="711"/>
      <c r="I119" s="352" t="str">
        <f t="shared" si="26"/>
        <v>-</v>
      </c>
      <c r="J119" s="352" t="str">
        <f t="shared" si="27"/>
        <v>-</v>
      </c>
      <c r="K119" s="194" t="str">
        <f t="shared" si="28"/>
        <v>-</v>
      </c>
      <c r="L119" s="645"/>
      <c r="M119" s="195" t="e">
        <f>RANK(K119, K$112:$K$141)</f>
        <v>#VALUE!</v>
      </c>
      <c r="N119" s="663"/>
      <c r="O119" s="663"/>
      <c r="P119" s="508"/>
      <c r="Q119" s="509"/>
      <c r="R119" s="509"/>
      <c r="S119" s="508"/>
      <c r="T119" s="685"/>
      <c r="U119" s="508"/>
      <c r="V119" s="509"/>
      <c r="W119" s="509"/>
      <c r="X119" s="508"/>
      <c r="Y119" s="685"/>
      <c r="Z119" s="508"/>
      <c r="AA119" s="509"/>
      <c r="AB119" s="509"/>
      <c r="AC119" s="508"/>
      <c r="AD119" s="685"/>
      <c r="AE119" s="508"/>
      <c r="AF119" s="509"/>
      <c r="AG119" s="509"/>
      <c r="AH119" s="508"/>
      <c r="AI119" s="685"/>
      <c r="AJ119" s="508"/>
      <c r="AK119" s="509"/>
      <c r="AL119" s="509"/>
      <c r="AM119" s="508"/>
      <c r="AN119" s="685"/>
      <c r="AO119" s="508"/>
      <c r="AP119" s="509"/>
      <c r="AQ119" s="509"/>
      <c r="AR119" s="508"/>
      <c r="AS119" s="685"/>
      <c r="AT119" s="508"/>
      <c r="AU119" s="509"/>
      <c r="AV119" s="509"/>
      <c r="AW119" s="508"/>
      <c r="AX119" s="685"/>
      <c r="AZ119" s="357" t="e">
        <f t="shared" si="29"/>
        <v>#N/A</v>
      </c>
      <c r="BA119" s="685"/>
    </row>
    <row r="120" spans="2:53">
      <c r="B120" s="671"/>
      <c r="C120" s="275">
        <v>9</v>
      </c>
      <c r="D120" s="196"/>
      <c r="E120" s="481"/>
      <c r="F120" s="196"/>
      <c r="G120" s="194"/>
      <c r="H120" s="711"/>
      <c r="I120" s="352" t="str">
        <f t="shared" si="26"/>
        <v>-</v>
      </c>
      <c r="J120" s="352" t="str">
        <f t="shared" si="27"/>
        <v>-</v>
      </c>
      <c r="K120" s="194" t="str">
        <f t="shared" si="28"/>
        <v>-</v>
      </c>
      <c r="L120" s="645"/>
      <c r="M120" s="195" t="e">
        <f>RANK(K120, K$112:$K$141)</f>
        <v>#VALUE!</v>
      </c>
      <c r="N120" s="663"/>
      <c r="O120" s="663"/>
      <c r="P120" s="508"/>
      <c r="Q120" s="509"/>
      <c r="R120" s="509"/>
      <c r="S120" s="508"/>
      <c r="T120" s="685"/>
      <c r="U120" s="508"/>
      <c r="V120" s="509"/>
      <c r="W120" s="509"/>
      <c r="X120" s="508"/>
      <c r="Y120" s="685"/>
      <c r="Z120" s="508"/>
      <c r="AA120" s="509"/>
      <c r="AB120" s="509"/>
      <c r="AC120" s="508"/>
      <c r="AD120" s="685"/>
      <c r="AE120" s="508"/>
      <c r="AF120" s="509"/>
      <c r="AG120" s="509"/>
      <c r="AH120" s="508"/>
      <c r="AI120" s="685"/>
      <c r="AJ120" s="508"/>
      <c r="AK120" s="509"/>
      <c r="AL120" s="509"/>
      <c r="AM120" s="508"/>
      <c r="AN120" s="685"/>
      <c r="AO120" s="508"/>
      <c r="AP120" s="509"/>
      <c r="AQ120" s="509"/>
      <c r="AR120" s="508"/>
      <c r="AS120" s="685"/>
      <c r="AT120" s="508"/>
      <c r="AU120" s="509"/>
      <c r="AV120" s="509"/>
      <c r="AW120" s="508"/>
      <c r="AX120" s="685"/>
      <c r="AZ120" s="357" t="e">
        <f t="shared" si="29"/>
        <v>#N/A</v>
      </c>
      <c r="BA120" s="685"/>
    </row>
    <row r="121" spans="2:53">
      <c r="B121" s="671"/>
      <c r="C121" s="275">
        <v>10</v>
      </c>
      <c r="D121" s="196"/>
      <c r="E121" s="481"/>
      <c r="F121" s="196"/>
      <c r="G121" s="194"/>
      <c r="H121" s="711"/>
      <c r="I121" s="352" t="str">
        <f t="shared" si="26"/>
        <v>-</v>
      </c>
      <c r="J121" s="352" t="str">
        <f t="shared" si="27"/>
        <v>-</v>
      </c>
      <c r="K121" s="194" t="str">
        <f t="shared" si="28"/>
        <v>-</v>
      </c>
      <c r="L121" s="645"/>
      <c r="M121" s="195" t="e">
        <f>RANK(K121, K$112:$K$141)</f>
        <v>#VALUE!</v>
      </c>
      <c r="N121" s="663"/>
      <c r="O121" s="663"/>
      <c r="P121" s="508"/>
      <c r="Q121" s="509"/>
      <c r="R121" s="509"/>
      <c r="S121" s="508"/>
      <c r="T121" s="685"/>
      <c r="U121" s="508"/>
      <c r="V121" s="509"/>
      <c r="W121" s="509"/>
      <c r="X121" s="508"/>
      <c r="Y121" s="685"/>
      <c r="Z121" s="508"/>
      <c r="AA121" s="509"/>
      <c r="AB121" s="509"/>
      <c r="AC121" s="508"/>
      <c r="AD121" s="685"/>
      <c r="AE121" s="508"/>
      <c r="AF121" s="509"/>
      <c r="AG121" s="509"/>
      <c r="AH121" s="508"/>
      <c r="AI121" s="685"/>
      <c r="AJ121" s="508"/>
      <c r="AK121" s="509"/>
      <c r="AL121" s="509"/>
      <c r="AM121" s="508"/>
      <c r="AN121" s="685"/>
      <c r="AO121" s="508"/>
      <c r="AP121" s="509"/>
      <c r="AQ121" s="509"/>
      <c r="AR121" s="508"/>
      <c r="AS121" s="685"/>
      <c r="AT121" s="508"/>
      <c r="AU121" s="509"/>
      <c r="AV121" s="509"/>
      <c r="AW121" s="508"/>
      <c r="AX121" s="685"/>
      <c r="AZ121" s="357" t="e">
        <f t="shared" si="29"/>
        <v>#N/A</v>
      </c>
      <c r="BA121" s="685"/>
    </row>
    <row r="122" spans="2:53">
      <c r="B122" s="671"/>
      <c r="C122" s="275">
        <v>11</v>
      </c>
      <c r="D122" s="196"/>
      <c r="E122" s="481"/>
      <c r="F122" s="196"/>
      <c r="G122" s="194"/>
      <c r="H122" s="711"/>
      <c r="I122" s="352" t="str">
        <f t="shared" si="26"/>
        <v>-</v>
      </c>
      <c r="J122" s="352" t="str">
        <f t="shared" si="27"/>
        <v>-</v>
      </c>
      <c r="K122" s="194" t="str">
        <f t="shared" si="28"/>
        <v>-</v>
      </c>
      <c r="L122" s="645"/>
      <c r="M122" s="195" t="e">
        <f>RANK(K122, K$112:$K$141)</f>
        <v>#VALUE!</v>
      </c>
      <c r="N122" s="663"/>
      <c r="O122" s="663"/>
      <c r="P122" s="508"/>
      <c r="Q122" s="509"/>
      <c r="R122" s="509"/>
      <c r="S122" s="508"/>
      <c r="T122" s="685"/>
      <c r="U122" s="508"/>
      <c r="V122" s="509"/>
      <c r="W122" s="509"/>
      <c r="X122" s="508"/>
      <c r="Y122" s="685"/>
      <c r="Z122" s="508"/>
      <c r="AA122" s="509"/>
      <c r="AB122" s="509"/>
      <c r="AC122" s="508"/>
      <c r="AD122" s="685"/>
      <c r="AE122" s="508"/>
      <c r="AF122" s="509"/>
      <c r="AG122" s="509"/>
      <c r="AH122" s="508"/>
      <c r="AI122" s="685"/>
      <c r="AJ122" s="508"/>
      <c r="AK122" s="509"/>
      <c r="AL122" s="509"/>
      <c r="AM122" s="508"/>
      <c r="AN122" s="685"/>
      <c r="AO122" s="508"/>
      <c r="AP122" s="509"/>
      <c r="AQ122" s="509"/>
      <c r="AR122" s="508"/>
      <c r="AS122" s="685"/>
      <c r="AT122" s="508"/>
      <c r="AU122" s="509"/>
      <c r="AV122" s="509"/>
      <c r="AW122" s="508"/>
      <c r="AX122" s="685"/>
      <c r="AZ122" s="357" t="e">
        <f t="shared" si="29"/>
        <v>#N/A</v>
      </c>
      <c r="BA122" s="685"/>
    </row>
    <row r="123" spans="2:53">
      <c r="B123" s="671"/>
      <c r="C123" s="275">
        <v>12</v>
      </c>
      <c r="D123" s="196"/>
      <c r="E123" s="481"/>
      <c r="F123" s="196"/>
      <c r="G123" s="194"/>
      <c r="H123" s="711"/>
      <c r="I123" s="352" t="str">
        <f t="shared" si="26"/>
        <v>-</v>
      </c>
      <c r="J123" s="352" t="str">
        <f t="shared" si="27"/>
        <v>-</v>
      </c>
      <c r="K123" s="194" t="str">
        <f t="shared" si="28"/>
        <v>-</v>
      </c>
      <c r="L123" s="645"/>
      <c r="M123" s="195" t="e">
        <f>RANK(K123, K$112:$K$141)</f>
        <v>#VALUE!</v>
      </c>
      <c r="N123" s="663"/>
      <c r="O123" s="663"/>
      <c r="P123" s="508"/>
      <c r="Q123" s="509"/>
      <c r="R123" s="509"/>
      <c r="S123" s="508"/>
      <c r="T123" s="685"/>
      <c r="U123" s="508"/>
      <c r="V123" s="509"/>
      <c r="W123" s="509"/>
      <c r="X123" s="508"/>
      <c r="Y123" s="685"/>
      <c r="Z123" s="508"/>
      <c r="AA123" s="509"/>
      <c r="AB123" s="509"/>
      <c r="AC123" s="508"/>
      <c r="AD123" s="685"/>
      <c r="AE123" s="508"/>
      <c r="AF123" s="509"/>
      <c r="AG123" s="509"/>
      <c r="AH123" s="508"/>
      <c r="AI123" s="685"/>
      <c r="AJ123" s="508"/>
      <c r="AK123" s="509"/>
      <c r="AL123" s="509"/>
      <c r="AM123" s="508"/>
      <c r="AN123" s="685"/>
      <c r="AO123" s="508"/>
      <c r="AP123" s="509"/>
      <c r="AQ123" s="509"/>
      <c r="AR123" s="508"/>
      <c r="AS123" s="685"/>
      <c r="AT123" s="508"/>
      <c r="AU123" s="509"/>
      <c r="AV123" s="509"/>
      <c r="AW123" s="508"/>
      <c r="AX123" s="685"/>
      <c r="AZ123" s="357" t="e">
        <f t="shared" si="29"/>
        <v>#N/A</v>
      </c>
      <c r="BA123" s="685"/>
    </row>
    <row r="124" spans="2:53">
      <c r="B124" s="671"/>
      <c r="C124" s="275">
        <v>13</v>
      </c>
      <c r="D124" s="196"/>
      <c r="E124" s="481"/>
      <c r="F124" s="196"/>
      <c r="G124" s="194"/>
      <c r="H124" s="711"/>
      <c r="I124" s="352" t="str">
        <f t="shared" si="26"/>
        <v>-</v>
      </c>
      <c r="J124" s="352" t="str">
        <f t="shared" si="27"/>
        <v>-</v>
      </c>
      <c r="K124" s="194" t="str">
        <f t="shared" si="28"/>
        <v>-</v>
      </c>
      <c r="L124" s="645"/>
      <c r="M124" s="195" t="e">
        <f>RANK(K124, K$112:$K$141)</f>
        <v>#VALUE!</v>
      </c>
      <c r="N124" s="663"/>
      <c r="O124" s="663"/>
      <c r="P124" s="508"/>
      <c r="Q124" s="509"/>
      <c r="R124" s="509"/>
      <c r="S124" s="508"/>
      <c r="T124" s="685"/>
      <c r="U124" s="508"/>
      <c r="V124" s="509"/>
      <c r="W124" s="509"/>
      <c r="X124" s="508"/>
      <c r="Y124" s="685"/>
      <c r="Z124" s="508"/>
      <c r="AA124" s="509"/>
      <c r="AB124" s="509"/>
      <c r="AC124" s="508"/>
      <c r="AD124" s="685"/>
      <c r="AE124" s="508"/>
      <c r="AF124" s="509"/>
      <c r="AG124" s="509"/>
      <c r="AH124" s="508"/>
      <c r="AI124" s="685"/>
      <c r="AJ124" s="508"/>
      <c r="AK124" s="509"/>
      <c r="AL124" s="509"/>
      <c r="AM124" s="508"/>
      <c r="AN124" s="685"/>
      <c r="AO124" s="508"/>
      <c r="AP124" s="509"/>
      <c r="AQ124" s="509"/>
      <c r="AR124" s="508"/>
      <c r="AS124" s="685"/>
      <c r="AT124" s="508"/>
      <c r="AU124" s="509"/>
      <c r="AV124" s="509"/>
      <c r="AW124" s="508"/>
      <c r="AX124" s="685"/>
      <c r="AZ124" s="357" t="e">
        <f t="shared" si="29"/>
        <v>#N/A</v>
      </c>
      <c r="BA124" s="685"/>
    </row>
    <row r="125" spans="2:53">
      <c r="B125" s="671"/>
      <c r="C125" s="275">
        <v>14</v>
      </c>
      <c r="D125" s="196"/>
      <c r="E125" s="481"/>
      <c r="F125" s="196"/>
      <c r="G125" s="194"/>
      <c r="H125" s="711"/>
      <c r="I125" s="352" t="str">
        <f t="shared" si="26"/>
        <v>-</v>
      </c>
      <c r="J125" s="352" t="str">
        <f t="shared" si="27"/>
        <v>-</v>
      </c>
      <c r="K125" s="194" t="str">
        <f t="shared" si="28"/>
        <v>-</v>
      </c>
      <c r="L125" s="645"/>
      <c r="M125" s="195" t="e">
        <f>RANK(K125, K$112:$K$141)</f>
        <v>#VALUE!</v>
      </c>
      <c r="N125" s="663"/>
      <c r="O125" s="663"/>
      <c r="P125" s="508"/>
      <c r="Q125" s="509"/>
      <c r="R125" s="509"/>
      <c r="S125" s="508"/>
      <c r="T125" s="685"/>
      <c r="U125" s="508"/>
      <c r="V125" s="509"/>
      <c r="W125" s="509"/>
      <c r="X125" s="508"/>
      <c r="Y125" s="685"/>
      <c r="Z125" s="508"/>
      <c r="AA125" s="509"/>
      <c r="AB125" s="509"/>
      <c r="AC125" s="508"/>
      <c r="AD125" s="685"/>
      <c r="AE125" s="508"/>
      <c r="AF125" s="509"/>
      <c r="AG125" s="509"/>
      <c r="AH125" s="508"/>
      <c r="AI125" s="685"/>
      <c r="AJ125" s="508"/>
      <c r="AK125" s="509"/>
      <c r="AL125" s="509"/>
      <c r="AM125" s="508"/>
      <c r="AN125" s="685"/>
      <c r="AO125" s="508"/>
      <c r="AP125" s="509"/>
      <c r="AQ125" s="509"/>
      <c r="AR125" s="508"/>
      <c r="AS125" s="685"/>
      <c r="AT125" s="508"/>
      <c r="AU125" s="509"/>
      <c r="AV125" s="509"/>
      <c r="AW125" s="508"/>
      <c r="AX125" s="685"/>
      <c r="AZ125" s="357" t="e">
        <f t="shared" si="29"/>
        <v>#N/A</v>
      </c>
      <c r="BA125" s="685"/>
    </row>
    <row r="126" spans="2:53">
      <c r="B126" s="671"/>
      <c r="C126" s="275">
        <v>15</v>
      </c>
      <c r="D126" s="196"/>
      <c r="E126" s="481"/>
      <c r="F126" s="196"/>
      <c r="G126" s="194"/>
      <c r="H126" s="711"/>
      <c r="I126" s="352" t="str">
        <f t="shared" si="26"/>
        <v>-</v>
      </c>
      <c r="J126" s="352" t="str">
        <f t="shared" si="27"/>
        <v>-</v>
      </c>
      <c r="K126" s="194" t="str">
        <f t="shared" si="28"/>
        <v>-</v>
      </c>
      <c r="L126" s="645"/>
      <c r="M126" s="195" t="e">
        <f>RANK(K126, K$112:$K$141)</f>
        <v>#VALUE!</v>
      </c>
      <c r="N126" s="663"/>
      <c r="O126" s="663"/>
      <c r="P126" s="508"/>
      <c r="Q126" s="509"/>
      <c r="R126" s="509"/>
      <c r="S126" s="508"/>
      <c r="T126" s="685"/>
      <c r="U126" s="508"/>
      <c r="V126" s="509"/>
      <c r="W126" s="509"/>
      <c r="X126" s="508"/>
      <c r="Y126" s="685"/>
      <c r="Z126" s="508"/>
      <c r="AA126" s="509"/>
      <c r="AB126" s="509"/>
      <c r="AC126" s="508"/>
      <c r="AD126" s="685"/>
      <c r="AE126" s="508"/>
      <c r="AF126" s="509"/>
      <c r="AG126" s="509"/>
      <c r="AH126" s="508"/>
      <c r="AI126" s="685"/>
      <c r="AJ126" s="508"/>
      <c r="AK126" s="509"/>
      <c r="AL126" s="509"/>
      <c r="AM126" s="508"/>
      <c r="AN126" s="685"/>
      <c r="AO126" s="508"/>
      <c r="AP126" s="509"/>
      <c r="AQ126" s="509"/>
      <c r="AR126" s="508"/>
      <c r="AS126" s="685"/>
      <c r="AT126" s="508"/>
      <c r="AU126" s="509"/>
      <c r="AV126" s="509"/>
      <c r="AW126" s="508"/>
      <c r="AX126" s="685"/>
      <c r="AZ126" s="357" t="e">
        <f t="shared" si="29"/>
        <v>#N/A</v>
      </c>
      <c r="BA126" s="685"/>
    </row>
    <row r="127" spans="2:53">
      <c r="B127" s="671"/>
      <c r="C127" s="275">
        <v>16</v>
      </c>
      <c r="D127" s="196"/>
      <c r="E127" s="481"/>
      <c r="F127" s="196"/>
      <c r="G127" s="194"/>
      <c r="H127" s="711"/>
      <c r="I127" s="352" t="str">
        <f t="shared" si="26"/>
        <v>-</v>
      </c>
      <c r="J127" s="352" t="str">
        <f t="shared" si="27"/>
        <v>-</v>
      </c>
      <c r="K127" s="194" t="str">
        <f t="shared" si="28"/>
        <v>-</v>
      </c>
      <c r="L127" s="645"/>
      <c r="M127" s="195" t="e">
        <f>RANK(K127, K$112:$K$141)</f>
        <v>#VALUE!</v>
      </c>
      <c r="N127" s="663"/>
      <c r="O127" s="663"/>
      <c r="P127" s="508"/>
      <c r="Q127" s="509"/>
      <c r="R127" s="509"/>
      <c r="S127" s="508"/>
      <c r="T127" s="685"/>
      <c r="U127" s="508"/>
      <c r="V127" s="509"/>
      <c r="W127" s="509"/>
      <c r="X127" s="508"/>
      <c r="Y127" s="685"/>
      <c r="Z127" s="508"/>
      <c r="AA127" s="509"/>
      <c r="AB127" s="509"/>
      <c r="AC127" s="508"/>
      <c r="AD127" s="685"/>
      <c r="AE127" s="508"/>
      <c r="AF127" s="509"/>
      <c r="AG127" s="509"/>
      <c r="AH127" s="508"/>
      <c r="AI127" s="685"/>
      <c r="AJ127" s="508"/>
      <c r="AK127" s="509"/>
      <c r="AL127" s="509"/>
      <c r="AM127" s="508"/>
      <c r="AN127" s="685"/>
      <c r="AO127" s="508"/>
      <c r="AP127" s="509"/>
      <c r="AQ127" s="509"/>
      <c r="AR127" s="508"/>
      <c r="AS127" s="685"/>
      <c r="AT127" s="508"/>
      <c r="AU127" s="509"/>
      <c r="AV127" s="509"/>
      <c r="AW127" s="508"/>
      <c r="AX127" s="685"/>
      <c r="AZ127" s="357" t="e">
        <f t="shared" si="29"/>
        <v>#N/A</v>
      </c>
      <c r="BA127" s="685"/>
    </row>
    <row r="128" spans="2:53">
      <c r="B128" s="671"/>
      <c r="C128" s="275">
        <v>17</v>
      </c>
      <c r="D128" s="196"/>
      <c r="E128" s="481"/>
      <c r="F128" s="196"/>
      <c r="G128" s="194"/>
      <c r="H128" s="711"/>
      <c r="I128" s="352" t="str">
        <f t="shared" si="26"/>
        <v>-</v>
      </c>
      <c r="J128" s="352" t="str">
        <f t="shared" si="27"/>
        <v>-</v>
      </c>
      <c r="K128" s="194" t="str">
        <f t="shared" si="28"/>
        <v>-</v>
      </c>
      <c r="L128" s="645"/>
      <c r="M128" s="195" t="e">
        <f>RANK(K128, K$112:$K$141)</f>
        <v>#VALUE!</v>
      </c>
      <c r="N128" s="663"/>
      <c r="O128" s="663"/>
      <c r="P128" s="508"/>
      <c r="Q128" s="509"/>
      <c r="R128" s="509"/>
      <c r="S128" s="508"/>
      <c r="T128" s="685"/>
      <c r="U128" s="508"/>
      <c r="V128" s="509"/>
      <c r="W128" s="509"/>
      <c r="X128" s="508"/>
      <c r="Y128" s="685"/>
      <c r="Z128" s="508"/>
      <c r="AA128" s="509"/>
      <c r="AB128" s="509"/>
      <c r="AC128" s="508"/>
      <c r="AD128" s="685"/>
      <c r="AE128" s="508"/>
      <c r="AF128" s="509"/>
      <c r="AG128" s="509"/>
      <c r="AH128" s="508"/>
      <c r="AI128" s="685"/>
      <c r="AJ128" s="508"/>
      <c r="AK128" s="509"/>
      <c r="AL128" s="509"/>
      <c r="AM128" s="508"/>
      <c r="AN128" s="685"/>
      <c r="AO128" s="508"/>
      <c r="AP128" s="509"/>
      <c r="AQ128" s="509"/>
      <c r="AR128" s="508"/>
      <c r="AS128" s="685"/>
      <c r="AT128" s="508"/>
      <c r="AU128" s="509"/>
      <c r="AV128" s="509"/>
      <c r="AW128" s="508"/>
      <c r="AX128" s="685"/>
      <c r="AZ128" s="357" t="e">
        <f t="shared" si="29"/>
        <v>#N/A</v>
      </c>
      <c r="BA128" s="685"/>
    </row>
    <row r="129" spans="2:53">
      <c r="B129" s="671"/>
      <c r="C129" s="275">
        <v>18</v>
      </c>
      <c r="D129" s="196"/>
      <c r="E129" s="481"/>
      <c r="F129" s="196"/>
      <c r="G129" s="194"/>
      <c r="H129" s="711"/>
      <c r="I129" s="352" t="str">
        <f t="shared" si="26"/>
        <v>-</v>
      </c>
      <c r="J129" s="352" t="str">
        <f t="shared" si="27"/>
        <v>-</v>
      </c>
      <c r="K129" s="194" t="str">
        <f t="shared" si="28"/>
        <v>-</v>
      </c>
      <c r="L129" s="645"/>
      <c r="M129" s="195" t="e">
        <f>RANK(K129, K$112:$K$141)</f>
        <v>#VALUE!</v>
      </c>
      <c r="N129" s="663"/>
      <c r="O129" s="663"/>
      <c r="P129" s="508"/>
      <c r="Q129" s="509"/>
      <c r="R129" s="509"/>
      <c r="S129" s="508"/>
      <c r="T129" s="685"/>
      <c r="U129" s="508"/>
      <c r="V129" s="509"/>
      <c r="W129" s="509"/>
      <c r="X129" s="508"/>
      <c r="Y129" s="685"/>
      <c r="Z129" s="508"/>
      <c r="AA129" s="509"/>
      <c r="AB129" s="509"/>
      <c r="AC129" s="508"/>
      <c r="AD129" s="685"/>
      <c r="AE129" s="508"/>
      <c r="AF129" s="509"/>
      <c r="AG129" s="509"/>
      <c r="AH129" s="508"/>
      <c r="AI129" s="685"/>
      <c r="AJ129" s="508"/>
      <c r="AK129" s="509"/>
      <c r="AL129" s="509"/>
      <c r="AM129" s="508"/>
      <c r="AN129" s="685"/>
      <c r="AO129" s="508"/>
      <c r="AP129" s="509"/>
      <c r="AQ129" s="509"/>
      <c r="AR129" s="508"/>
      <c r="AS129" s="685"/>
      <c r="AT129" s="508"/>
      <c r="AU129" s="509"/>
      <c r="AV129" s="509"/>
      <c r="AW129" s="508"/>
      <c r="AX129" s="685"/>
      <c r="AZ129" s="357" t="e">
        <f t="shared" si="29"/>
        <v>#N/A</v>
      </c>
      <c r="BA129" s="685"/>
    </row>
    <row r="130" spans="2:53">
      <c r="B130" s="671"/>
      <c r="C130" s="275">
        <v>19</v>
      </c>
      <c r="D130" s="196"/>
      <c r="E130" s="481"/>
      <c r="F130" s="196"/>
      <c r="G130" s="194"/>
      <c r="H130" s="711"/>
      <c r="I130" s="352" t="str">
        <f t="shared" si="26"/>
        <v>-</v>
      </c>
      <c r="J130" s="352" t="str">
        <f t="shared" si="27"/>
        <v>-</v>
      </c>
      <c r="K130" s="194" t="str">
        <f t="shared" si="28"/>
        <v>-</v>
      </c>
      <c r="L130" s="645"/>
      <c r="M130" s="195" t="e">
        <f>RANK(K130, K$112:$K$141)</f>
        <v>#VALUE!</v>
      </c>
      <c r="N130" s="663"/>
      <c r="O130" s="663"/>
      <c r="P130" s="508"/>
      <c r="Q130" s="509"/>
      <c r="R130" s="509"/>
      <c r="S130" s="508"/>
      <c r="T130" s="685"/>
      <c r="U130" s="508"/>
      <c r="V130" s="509"/>
      <c r="W130" s="509"/>
      <c r="X130" s="508"/>
      <c r="Y130" s="685"/>
      <c r="Z130" s="508"/>
      <c r="AA130" s="509"/>
      <c r="AB130" s="509"/>
      <c r="AC130" s="508"/>
      <c r="AD130" s="685"/>
      <c r="AE130" s="508"/>
      <c r="AF130" s="509"/>
      <c r="AG130" s="509"/>
      <c r="AH130" s="508"/>
      <c r="AI130" s="685"/>
      <c r="AJ130" s="508"/>
      <c r="AK130" s="509"/>
      <c r="AL130" s="509"/>
      <c r="AM130" s="508"/>
      <c r="AN130" s="685"/>
      <c r="AO130" s="508"/>
      <c r="AP130" s="509"/>
      <c r="AQ130" s="509"/>
      <c r="AR130" s="508"/>
      <c r="AS130" s="685"/>
      <c r="AT130" s="508"/>
      <c r="AU130" s="509"/>
      <c r="AV130" s="509"/>
      <c r="AW130" s="508"/>
      <c r="AX130" s="685"/>
      <c r="AZ130" s="357" t="e">
        <f t="shared" si="29"/>
        <v>#N/A</v>
      </c>
      <c r="BA130" s="685"/>
    </row>
    <row r="131" spans="2:53">
      <c r="B131" s="671"/>
      <c r="C131" s="275">
        <v>20</v>
      </c>
      <c r="D131" s="196"/>
      <c r="E131" s="481"/>
      <c r="F131" s="196"/>
      <c r="G131" s="194"/>
      <c r="H131" s="711"/>
      <c r="I131" s="352" t="str">
        <f t="shared" si="26"/>
        <v>-</v>
      </c>
      <c r="J131" s="352" t="str">
        <f t="shared" si="27"/>
        <v>-</v>
      </c>
      <c r="K131" s="194" t="str">
        <f t="shared" si="28"/>
        <v>-</v>
      </c>
      <c r="L131" s="645"/>
      <c r="M131" s="195" t="e">
        <f>RANK(K131, K$112:$K$141)</f>
        <v>#VALUE!</v>
      </c>
      <c r="N131" s="663"/>
      <c r="O131" s="663"/>
      <c r="P131" s="508"/>
      <c r="Q131" s="509"/>
      <c r="R131" s="509"/>
      <c r="S131" s="508"/>
      <c r="T131" s="685"/>
      <c r="U131" s="508"/>
      <c r="V131" s="509"/>
      <c r="W131" s="509"/>
      <c r="X131" s="508"/>
      <c r="Y131" s="685"/>
      <c r="Z131" s="508"/>
      <c r="AA131" s="509"/>
      <c r="AB131" s="509"/>
      <c r="AC131" s="508"/>
      <c r="AD131" s="685"/>
      <c r="AE131" s="508"/>
      <c r="AF131" s="509"/>
      <c r="AG131" s="509"/>
      <c r="AH131" s="508"/>
      <c r="AI131" s="685"/>
      <c r="AJ131" s="508"/>
      <c r="AK131" s="509"/>
      <c r="AL131" s="509"/>
      <c r="AM131" s="508"/>
      <c r="AN131" s="685"/>
      <c r="AO131" s="508"/>
      <c r="AP131" s="509"/>
      <c r="AQ131" s="509"/>
      <c r="AR131" s="508"/>
      <c r="AS131" s="685"/>
      <c r="AT131" s="508"/>
      <c r="AU131" s="509"/>
      <c r="AV131" s="509"/>
      <c r="AW131" s="508"/>
      <c r="AX131" s="685"/>
      <c r="AZ131" s="357" t="e">
        <f t="shared" si="29"/>
        <v>#N/A</v>
      </c>
      <c r="BA131" s="685"/>
    </row>
    <row r="132" spans="2:53">
      <c r="B132" s="671"/>
      <c r="C132" s="275">
        <v>21</v>
      </c>
      <c r="D132" s="196"/>
      <c r="E132" s="481"/>
      <c r="F132" s="196"/>
      <c r="G132" s="194"/>
      <c r="H132" s="711"/>
      <c r="I132" s="352" t="str">
        <f t="shared" si="26"/>
        <v>-</v>
      </c>
      <c r="J132" s="352" t="str">
        <f t="shared" si="27"/>
        <v>-</v>
      </c>
      <c r="K132" s="194" t="str">
        <f t="shared" si="28"/>
        <v>-</v>
      </c>
      <c r="L132" s="645"/>
      <c r="M132" s="195" t="e">
        <f>RANK(K132, K$112:$K$141)</f>
        <v>#VALUE!</v>
      </c>
      <c r="N132" s="663"/>
      <c r="O132" s="663"/>
      <c r="P132" s="508"/>
      <c r="Q132" s="509"/>
      <c r="R132" s="509"/>
      <c r="S132" s="508"/>
      <c r="T132" s="685"/>
      <c r="U132" s="508"/>
      <c r="V132" s="509"/>
      <c r="W132" s="509"/>
      <c r="X132" s="508"/>
      <c r="Y132" s="685"/>
      <c r="Z132" s="508"/>
      <c r="AA132" s="509"/>
      <c r="AB132" s="509"/>
      <c r="AC132" s="508"/>
      <c r="AD132" s="685"/>
      <c r="AE132" s="508"/>
      <c r="AF132" s="509"/>
      <c r="AG132" s="509"/>
      <c r="AH132" s="508"/>
      <c r="AI132" s="685"/>
      <c r="AJ132" s="508"/>
      <c r="AK132" s="509"/>
      <c r="AL132" s="509"/>
      <c r="AM132" s="508"/>
      <c r="AN132" s="685"/>
      <c r="AO132" s="508"/>
      <c r="AP132" s="509"/>
      <c r="AQ132" s="509"/>
      <c r="AR132" s="508"/>
      <c r="AS132" s="685"/>
      <c r="AT132" s="508"/>
      <c r="AU132" s="509"/>
      <c r="AV132" s="509"/>
      <c r="AW132" s="508"/>
      <c r="AX132" s="685"/>
      <c r="AZ132" s="357" t="e">
        <f t="shared" si="29"/>
        <v>#N/A</v>
      </c>
      <c r="BA132" s="685"/>
    </row>
    <row r="133" spans="2:53">
      <c r="B133" s="671"/>
      <c r="C133" s="275">
        <v>22</v>
      </c>
      <c r="D133" s="196"/>
      <c r="E133" s="481"/>
      <c r="F133" s="196"/>
      <c r="G133" s="194"/>
      <c r="H133" s="711"/>
      <c r="I133" s="352" t="str">
        <f t="shared" si="26"/>
        <v>-</v>
      </c>
      <c r="J133" s="352" t="str">
        <f t="shared" si="27"/>
        <v>-</v>
      </c>
      <c r="K133" s="194" t="str">
        <f t="shared" si="28"/>
        <v>-</v>
      </c>
      <c r="L133" s="645"/>
      <c r="M133" s="195" t="e">
        <f>RANK(K133, K$112:$K$141)</f>
        <v>#VALUE!</v>
      </c>
      <c r="N133" s="663"/>
      <c r="O133" s="663"/>
      <c r="P133" s="508"/>
      <c r="Q133" s="509"/>
      <c r="R133" s="509"/>
      <c r="S133" s="508"/>
      <c r="T133" s="685"/>
      <c r="U133" s="508"/>
      <c r="V133" s="509"/>
      <c r="W133" s="509"/>
      <c r="X133" s="508"/>
      <c r="Y133" s="685"/>
      <c r="Z133" s="508"/>
      <c r="AA133" s="509"/>
      <c r="AB133" s="509"/>
      <c r="AC133" s="508"/>
      <c r="AD133" s="685"/>
      <c r="AE133" s="508"/>
      <c r="AF133" s="509"/>
      <c r="AG133" s="509"/>
      <c r="AH133" s="508"/>
      <c r="AI133" s="685"/>
      <c r="AJ133" s="508"/>
      <c r="AK133" s="509"/>
      <c r="AL133" s="509"/>
      <c r="AM133" s="508"/>
      <c r="AN133" s="685"/>
      <c r="AO133" s="508"/>
      <c r="AP133" s="509"/>
      <c r="AQ133" s="509"/>
      <c r="AR133" s="508"/>
      <c r="AS133" s="685"/>
      <c r="AT133" s="508"/>
      <c r="AU133" s="509"/>
      <c r="AV133" s="509"/>
      <c r="AW133" s="508"/>
      <c r="AX133" s="685"/>
      <c r="AZ133" s="357" t="e">
        <f t="shared" si="29"/>
        <v>#N/A</v>
      </c>
      <c r="BA133" s="685"/>
    </row>
    <row r="134" spans="2:53">
      <c r="B134" s="671"/>
      <c r="C134" s="275">
        <v>23</v>
      </c>
      <c r="D134" s="196"/>
      <c r="E134" s="481"/>
      <c r="F134" s="196"/>
      <c r="G134" s="194"/>
      <c r="H134" s="711"/>
      <c r="I134" s="352" t="str">
        <f t="shared" si="26"/>
        <v>-</v>
      </c>
      <c r="J134" s="352" t="str">
        <f t="shared" si="27"/>
        <v>-</v>
      </c>
      <c r="K134" s="194" t="str">
        <f t="shared" si="28"/>
        <v>-</v>
      </c>
      <c r="L134" s="645"/>
      <c r="M134" s="195" t="e">
        <f>RANK(K134, K$112:$K$141)</f>
        <v>#VALUE!</v>
      </c>
      <c r="N134" s="663"/>
      <c r="O134" s="663"/>
      <c r="P134" s="508"/>
      <c r="Q134" s="509"/>
      <c r="R134" s="509"/>
      <c r="S134" s="508"/>
      <c r="T134" s="685"/>
      <c r="U134" s="508"/>
      <c r="V134" s="509"/>
      <c r="W134" s="509"/>
      <c r="X134" s="508"/>
      <c r="Y134" s="685"/>
      <c r="Z134" s="508"/>
      <c r="AA134" s="509"/>
      <c r="AB134" s="509"/>
      <c r="AC134" s="508"/>
      <c r="AD134" s="685"/>
      <c r="AE134" s="508"/>
      <c r="AF134" s="509"/>
      <c r="AG134" s="509"/>
      <c r="AH134" s="508"/>
      <c r="AI134" s="685"/>
      <c r="AJ134" s="508"/>
      <c r="AK134" s="509"/>
      <c r="AL134" s="509"/>
      <c r="AM134" s="508"/>
      <c r="AN134" s="685"/>
      <c r="AO134" s="508"/>
      <c r="AP134" s="509"/>
      <c r="AQ134" s="509"/>
      <c r="AR134" s="508"/>
      <c r="AS134" s="685"/>
      <c r="AT134" s="508"/>
      <c r="AU134" s="509"/>
      <c r="AV134" s="509"/>
      <c r="AW134" s="508"/>
      <c r="AX134" s="685"/>
      <c r="AZ134" s="357" t="e">
        <f t="shared" si="29"/>
        <v>#N/A</v>
      </c>
      <c r="BA134" s="685"/>
    </row>
    <row r="135" spans="2:53">
      <c r="B135" s="671"/>
      <c r="C135" s="275">
        <v>24</v>
      </c>
      <c r="D135" s="196"/>
      <c r="E135" s="481"/>
      <c r="F135" s="196"/>
      <c r="G135" s="194"/>
      <c r="H135" s="711"/>
      <c r="I135" s="352" t="str">
        <f t="shared" si="26"/>
        <v>-</v>
      </c>
      <c r="J135" s="352" t="str">
        <f t="shared" si="27"/>
        <v>-</v>
      </c>
      <c r="K135" s="194" t="str">
        <f t="shared" si="28"/>
        <v>-</v>
      </c>
      <c r="L135" s="645"/>
      <c r="M135" s="195" t="e">
        <f>RANK(K135, K$112:$K$141)</f>
        <v>#VALUE!</v>
      </c>
      <c r="N135" s="663"/>
      <c r="O135" s="663"/>
      <c r="P135" s="508"/>
      <c r="Q135" s="509"/>
      <c r="R135" s="509"/>
      <c r="S135" s="508"/>
      <c r="T135" s="685"/>
      <c r="U135" s="508"/>
      <c r="V135" s="509"/>
      <c r="W135" s="509"/>
      <c r="X135" s="508"/>
      <c r="Y135" s="685"/>
      <c r="Z135" s="508"/>
      <c r="AA135" s="509"/>
      <c r="AB135" s="509"/>
      <c r="AC135" s="508"/>
      <c r="AD135" s="685"/>
      <c r="AE135" s="508"/>
      <c r="AF135" s="509"/>
      <c r="AG135" s="509"/>
      <c r="AH135" s="508"/>
      <c r="AI135" s="685"/>
      <c r="AJ135" s="508"/>
      <c r="AK135" s="509"/>
      <c r="AL135" s="509"/>
      <c r="AM135" s="508"/>
      <c r="AN135" s="685"/>
      <c r="AO135" s="508"/>
      <c r="AP135" s="509"/>
      <c r="AQ135" s="509"/>
      <c r="AR135" s="508"/>
      <c r="AS135" s="685"/>
      <c r="AT135" s="508"/>
      <c r="AU135" s="509"/>
      <c r="AV135" s="509"/>
      <c r="AW135" s="508"/>
      <c r="AX135" s="685"/>
      <c r="AZ135" s="357" t="e">
        <f t="shared" si="29"/>
        <v>#N/A</v>
      </c>
      <c r="BA135" s="685"/>
    </row>
    <row r="136" spans="2:53">
      <c r="B136" s="671"/>
      <c r="C136" s="275">
        <v>25</v>
      </c>
      <c r="D136" s="196"/>
      <c r="E136" s="481"/>
      <c r="F136" s="196"/>
      <c r="G136" s="194"/>
      <c r="H136" s="711"/>
      <c r="I136" s="352" t="str">
        <f t="shared" si="26"/>
        <v>-</v>
      </c>
      <c r="J136" s="352" t="str">
        <f t="shared" si="27"/>
        <v>-</v>
      </c>
      <c r="K136" s="194" t="str">
        <f t="shared" si="28"/>
        <v>-</v>
      </c>
      <c r="L136" s="645"/>
      <c r="M136" s="195" t="e">
        <f>RANK(K136, K$112:$K$141)</f>
        <v>#VALUE!</v>
      </c>
      <c r="N136" s="663"/>
      <c r="O136" s="663"/>
      <c r="P136" s="508"/>
      <c r="Q136" s="509"/>
      <c r="R136" s="509"/>
      <c r="S136" s="508"/>
      <c r="T136" s="685"/>
      <c r="U136" s="508"/>
      <c r="V136" s="509"/>
      <c r="W136" s="509"/>
      <c r="X136" s="508"/>
      <c r="Y136" s="685"/>
      <c r="Z136" s="508"/>
      <c r="AA136" s="509"/>
      <c r="AB136" s="509"/>
      <c r="AC136" s="508"/>
      <c r="AD136" s="685"/>
      <c r="AE136" s="508"/>
      <c r="AF136" s="509"/>
      <c r="AG136" s="509"/>
      <c r="AH136" s="508"/>
      <c r="AI136" s="685"/>
      <c r="AJ136" s="508"/>
      <c r="AK136" s="509"/>
      <c r="AL136" s="509"/>
      <c r="AM136" s="508"/>
      <c r="AN136" s="685"/>
      <c r="AO136" s="508"/>
      <c r="AP136" s="509"/>
      <c r="AQ136" s="509"/>
      <c r="AR136" s="508"/>
      <c r="AS136" s="685"/>
      <c r="AT136" s="508"/>
      <c r="AU136" s="509"/>
      <c r="AV136" s="509"/>
      <c r="AW136" s="508"/>
      <c r="AX136" s="685"/>
      <c r="AZ136" s="357" t="e">
        <f t="shared" si="29"/>
        <v>#N/A</v>
      </c>
      <c r="BA136" s="685"/>
    </row>
    <row r="137" spans="2:53">
      <c r="B137" s="671"/>
      <c r="C137" s="275">
        <v>26</v>
      </c>
      <c r="D137" s="196"/>
      <c r="E137" s="481"/>
      <c r="F137" s="196"/>
      <c r="G137" s="194"/>
      <c r="H137" s="711"/>
      <c r="I137" s="352" t="str">
        <f t="shared" si="26"/>
        <v>-</v>
      </c>
      <c r="J137" s="352" t="str">
        <f t="shared" si="27"/>
        <v>-</v>
      </c>
      <c r="K137" s="194" t="str">
        <f t="shared" si="28"/>
        <v>-</v>
      </c>
      <c r="L137" s="645"/>
      <c r="M137" s="195" t="e">
        <f>RANK(K137, K$112:$K$141)</f>
        <v>#VALUE!</v>
      </c>
      <c r="N137" s="663"/>
      <c r="O137" s="663"/>
      <c r="P137" s="508"/>
      <c r="Q137" s="509"/>
      <c r="R137" s="509"/>
      <c r="S137" s="508"/>
      <c r="T137" s="685"/>
      <c r="U137" s="508"/>
      <c r="V137" s="509"/>
      <c r="W137" s="509"/>
      <c r="X137" s="508"/>
      <c r="Y137" s="685"/>
      <c r="Z137" s="508"/>
      <c r="AA137" s="509"/>
      <c r="AB137" s="509"/>
      <c r="AC137" s="508"/>
      <c r="AD137" s="685"/>
      <c r="AE137" s="508"/>
      <c r="AF137" s="509"/>
      <c r="AG137" s="509"/>
      <c r="AH137" s="508"/>
      <c r="AI137" s="685"/>
      <c r="AJ137" s="508"/>
      <c r="AK137" s="509"/>
      <c r="AL137" s="509"/>
      <c r="AM137" s="508"/>
      <c r="AN137" s="685"/>
      <c r="AO137" s="508"/>
      <c r="AP137" s="509"/>
      <c r="AQ137" s="509"/>
      <c r="AR137" s="508"/>
      <c r="AS137" s="685"/>
      <c r="AT137" s="508"/>
      <c r="AU137" s="509"/>
      <c r="AV137" s="509"/>
      <c r="AW137" s="508"/>
      <c r="AX137" s="685"/>
      <c r="AZ137" s="357" t="e">
        <f t="shared" si="29"/>
        <v>#N/A</v>
      </c>
      <c r="BA137" s="685"/>
    </row>
    <row r="138" spans="2:53">
      <c r="B138" s="671"/>
      <c r="C138" s="275">
        <v>27</v>
      </c>
      <c r="D138" s="196"/>
      <c r="E138" s="481"/>
      <c r="F138" s="196"/>
      <c r="G138" s="194"/>
      <c r="H138" s="711"/>
      <c r="I138" s="352" t="str">
        <f t="shared" si="26"/>
        <v>-</v>
      </c>
      <c r="J138" s="352" t="str">
        <f t="shared" si="27"/>
        <v>-</v>
      </c>
      <c r="K138" s="194" t="str">
        <f t="shared" si="28"/>
        <v>-</v>
      </c>
      <c r="L138" s="645"/>
      <c r="M138" s="195" t="e">
        <f>RANK(K138, K$112:$K$141)</f>
        <v>#VALUE!</v>
      </c>
      <c r="N138" s="663"/>
      <c r="O138" s="663"/>
      <c r="P138" s="508"/>
      <c r="Q138" s="509"/>
      <c r="R138" s="509"/>
      <c r="S138" s="508"/>
      <c r="T138" s="685"/>
      <c r="U138" s="508"/>
      <c r="V138" s="509"/>
      <c r="W138" s="509"/>
      <c r="X138" s="508"/>
      <c r="Y138" s="685"/>
      <c r="Z138" s="508"/>
      <c r="AA138" s="509"/>
      <c r="AB138" s="509"/>
      <c r="AC138" s="508"/>
      <c r="AD138" s="685"/>
      <c r="AE138" s="508"/>
      <c r="AF138" s="509"/>
      <c r="AG138" s="509"/>
      <c r="AH138" s="508"/>
      <c r="AI138" s="685"/>
      <c r="AJ138" s="508"/>
      <c r="AK138" s="509"/>
      <c r="AL138" s="509"/>
      <c r="AM138" s="508"/>
      <c r="AN138" s="685"/>
      <c r="AO138" s="508"/>
      <c r="AP138" s="509"/>
      <c r="AQ138" s="509"/>
      <c r="AR138" s="508"/>
      <c r="AS138" s="685"/>
      <c r="AT138" s="508"/>
      <c r="AU138" s="509"/>
      <c r="AV138" s="509"/>
      <c r="AW138" s="508"/>
      <c r="AX138" s="685"/>
      <c r="AZ138" s="357" t="e">
        <f t="shared" si="29"/>
        <v>#N/A</v>
      </c>
      <c r="BA138" s="685"/>
    </row>
    <row r="139" spans="2:53">
      <c r="B139" s="671"/>
      <c r="C139" s="275">
        <v>28</v>
      </c>
      <c r="D139" s="196"/>
      <c r="E139" s="481"/>
      <c r="F139" s="196"/>
      <c r="G139" s="194"/>
      <c r="H139" s="711"/>
      <c r="I139" s="352" t="str">
        <f t="shared" si="26"/>
        <v>-</v>
      </c>
      <c r="J139" s="352" t="str">
        <f t="shared" si="27"/>
        <v>-</v>
      </c>
      <c r="K139" s="194" t="str">
        <f t="shared" si="28"/>
        <v>-</v>
      </c>
      <c r="L139" s="645"/>
      <c r="M139" s="195" t="e">
        <f>RANK(K139, K$112:$K$141)</f>
        <v>#VALUE!</v>
      </c>
      <c r="N139" s="663"/>
      <c r="O139" s="663"/>
      <c r="P139" s="508"/>
      <c r="Q139" s="509"/>
      <c r="R139" s="509"/>
      <c r="S139" s="508"/>
      <c r="T139" s="685"/>
      <c r="U139" s="508"/>
      <c r="V139" s="509"/>
      <c r="W139" s="509"/>
      <c r="X139" s="508"/>
      <c r="Y139" s="685"/>
      <c r="Z139" s="508"/>
      <c r="AA139" s="509"/>
      <c r="AB139" s="509"/>
      <c r="AC139" s="508"/>
      <c r="AD139" s="685"/>
      <c r="AE139" s="508"/>
      <c r="AF139" s="509"/>
      <c r="AG139" s="509"/>
      <c r="AH139" s="508"/>
      <c r="AI139" s="685"/>
      <c r="AJ139" s="508"/>
      <c r="AK139" s="509"/>
      <c r="AL139" s="509"/>
      <c r="AM139" s="508"/>
      <c r="AN139" s="685"/>
      <c r="AO139" s="508"/>
      <c r="AP139" s="509"/>
      <c r="AQ139" s="509"/>
      <c r="AR139" s="508"/>
      <c r="AS139" s="685"/>
      <c r="AT139" s="508"/>
      <c r="AU139" s="509"/>
      <c r="AV139" s="509"/>
      <c r="AW139" s="508"/>
      <c r="AX139" s="685"/>
      <c r="AZ139" s="357" t="e">
        <f t="shared" si="29"/>
        <v>#N/A</v>
      </c>
      <c r="BA139" s="685"/>
    </row>
    <row r="140" spans="2:53">
      <c r="B140" s="671"/>
      <c r="C140" s="275">
        <v>29</v>
      </c>
      <c r="D140" s="196"/>
      <c r="E140" s="481"/>
      <c r="F140" s="196"/>
      <c r="G140" s="194"/>
      <c r="H140" s="711"/>
      <c r="I140" s="352" t="str">
        <f t="shared" si="26"/>
        <v>-</v>
      </c>
      <c r="J140" s="352" t="str">
        <f t="shared" si="27"/>
        <v>-</v>
      </c>
      <c r="K140" s="194" t="str">
        <f t="shared" si="28"/>
        <v>-</v>
      </c>
      <c r="L140" s="645"/>
      <c r="M140" s="195" t="e">
        <f>RANK(K140, K$112:$K$141)</f>
        <v>#VALUE!</v>
      </c>
      <c r="N140" s="663"/>
      <c r="O140" s="663"/>
      <c r="P140" s="508"/>
      <c r="Q140" s="509"/>
      <c r="R140" s="509"/>
      <c r="S140" s="508"/>
      <c r="T140" s="685"/>
      <c r="U140" s="508"/>
      <c r="V140" s="509"/>
      <c r="W140" s="509"/>
      <c r="X140" s="508"/>
      <c r="Y140" s="685"/>
      <c r="Z140" s="508"/>
      <c r="AA140" s="509"/>
      <c r="AB140" s="509"/>
      <c r="AC140" s="508"/>
      <c r="AD140" s="685"/>
      <c r="AE140" s="508"/>
      <c r="AF140" s="509"/>
      <c r="AG140" s="509"/>
      <c r="AH140" s="508"/>
      <c r="AI140" s="685"/>
      <c r="AJ140" s="508"/>
      <c r="AK140" s="509"/>
      <c r="AL140" s="509"/>
      <c r="AM140" s="508"/>
      <c r="AN140" s="685"/>
      <c r="AO140" s="508"/>
      <c r="AP140" s="509"/>
      <c r="AQ140" s="509"/>
      <c r="AR140" s="508"/>
      <c r="AS140" s="685"/>
      <c r="AT140" s="508"/>
      <c r="AU140" s="509"/>
      <c r="AV140" s="509"/>
      <c r="AW140" s="508"/>
      <c r="AX140" s="685"/>
      <c r="AZ140" s="357" t="e">
        <f t="shared" si="29"/>
        <v>#N/A</v>
      </c>
      <c r="BA140" s="685"/>
    </row>
    <row r="141" spans="2:53">
      <c r="B141" s="671"/>
      <c r="C141" s="275">
        <v>30</v>
      </c>
      <c r="D141" s="196"/>
      <c r="E141" s="481"/>
      <c r="F141" s="196"/>
      <c r="G141" s="194"/>
      <c r="H141" s="712"/>
      <c r="I141" s="352" t="str">
        <f t="shared" si="26"/>
        <v>-</v>
      </c>
      <c r="J141" s="352" t="str">
        <f t="shared" si="27"/>
        <v>-</v>
      </c>
      <c r="K141" s="194" t="str">
        <f t="shared" si="28"/>
        <v>-</v>
      </c>
      <c r="L141" s="646"/>
      <c r="M141" s="195" t="e">
        <f>RANK(K141, K$112:$K$141)</f>
        <v>#VALUE!</v>
      </c>
      <c r="N141" s="663"/>
      <c r="O141" s="663"/>
      <c r="P141" s="508"/>
      <c r="Q141" s="509"/>
      <c r="R141" s="509"/>
      <c r="S141" s="508"/>
      <c r="T141" s="685"/>
      <c r="U141" s="508"/>
      <c r="V141" s="509"/>
      <c r="W141" s="509"/>
      <c r="X141" s="508"/>
      <c r="Y141" s="685"/>
      <c r="Z141" s="508"/>
      <c r="AA141" s="509"/>
      <c r="AB141" s="509"/>
      <c r="AC141" s="508"/>
      <c r="AD141" s="685"/>
      <c r="AE141" s="508"/>
      <c r="AF141" s="509"/>
      <c r="AG141" s="509"/>
      <c r="AH141" s="508"/>
      <c r="AI141" s="685"/>
      <c r="AJ141" s="508"/>
      <c r="AK141" s="509"/>
      <c r="AL141" s="509"/>
      <c r="AM141" s="508"/>
      <c r="AN141" s="685"/>
      <c r="AO141" s="508"/>
      <c r="AP141" s="509"/>
      <c r="AQ141" s="509"/>
      <c r="AR141" s="508"/>
      <c r="AS141" s="685"/>
      <c r="AT141" s="508"/>
      <c r="AU141" s="509"/>
      <c r="AV141" s="509"/>
      <c r="AW141" s="508"/>
      <c r="AX141" s="685"/>
      <c r="AZ141" s="357" t="e">
        <f t="shared" si="29"/>
        <v>#N/A</v>
      </c>
      <c r="BA141" s="685"/>
    </row>
    <row r="142" spans="2:53" ht="15.75">
      <c r="B142" s="675" t="s">
        <v>162</v>
      </c>
      <c r="C142" s="676"/>
      <c r="D142" s="676"/>
      <c r="E142" s="676"/>
      <c r="F142" s="676"/>
      <c r="G142" s="676"/>
      <c r="H142" s="677"/>
      <c r="I142" s="202"/>
      <c r="J142" s="202"/>
      <c r="K142" s="202"/>
      <c r="L142" s="202"/>
      <c r="M142" s="201"/>
      <c r="N142" s="664" t="s">
        <v>156</v>
      </c>
      <c r="O142" s="664" t="s">
        <v>105</v>
      </c>
      <c r="P142" s="667">
        <f>P107+7</f>
        <v>46294</v>
      </c>
      <c r="Q142" s="668"/>
      <c r="R142" s="668"/>
      <c r="S142" s="668"/>
      <c r="T142" s="669"/>
      <c r="U142" s="667">
        <f>P142+1</f>
        <v>46295</v>
      </c>
      <c r="V142" s="668"/>
      <c r="W142" s="668"/>
      <c r="X142" s="668"/>
      <c r="Y142" s="669"/>
      <c r="Z142" s="667">
        <f>U142+1</f>
        <v>46296</v>
      </c>
      <c r="AA142" s="668"/>
      <c r="AB142" s="668"/>
      <c r="AC142" s="668"/>
      <c r="AD142" s="669"/>
      <c r="AE142" s="667">
        <f>Z142+1</f>
        <v>46297</v>
      </c>
      <c r="AF142" s="668"/>
      <c r="AG142" s="668"/>
      <c r="AH142" s="668"/>
      <c r="AI142" s="669"/>
      <c r="AJ142" s="667">
        <f>AE142+1</f>
        <v>46298</v>
      </c>
      <c r="AK142" s="668"/>
      <c r="AL142" s="668"/>
      <c r="AM142" s="668"/>
      <c r="AN142" s="669"/>
      <c r="AO142" s="667">
        <f>AJ142+1</f>
        <v>46299</v>
      </c>
      <c r="AP142" s="668"/>
      <c r="AQ142" s="668"/>
      <c r="AR142" s="668"/>
      <c r="AS142" s="669"/>
      <c r="AT142" s="667">
        <f>AO142+1</f>
        <v>46300</v>
      </c>
      <c r="AU142" s="668"/>
      <c r="AV142" s="668"/>
      <c r="AW142" s="668"/>
      <c r="AX142" s="669"/>
    </row>
    <row r="143" spans="2:53" ht="15.75">
      <c r="B143" s="678"/>
      <c r="C143" s="678"/>
      <c r="D143" s="678"/>
      <c r="E143" s="678"/>
      <c r="F143" s="678"/>
      <c r="G143" s="678"/>
      <c r="H143" s="678"/>
      <c r="I143" s="199"/>
      <c r="J143" s="199"/>
      <c r="K143" s="199"/>
      <c r="L143" s="199"/>
      <c r="M143" s="200"/>
      <c r="N143" s="666"/>
      <c r="O143" s="666"/>
      <c r="P143" s="667" t="s">
        <v>317</v>
      </c>
      <c r="Q143" s="668"/>
      <c r="R143" s="668"/>
      <c r="S143" s="668"/>
      <c r="T143" s="669"/>
      <c r="U143" s="667" t="s">
        <v>318</v>
      </c>
      <c r="V143" s="668"/>
      <c r="W143" s="668"/>
      <c r="X143" s="668"/>
      <c r="Y143" s="669"/>
      <c r="Z143" s="667" t="s">
        <v>319</v>
      </c>
      <c r="AA143" s="668"/>
      <c r="AB143" s="668"/>
      <c r="AC143" s="668"/>
      <c r="AD143" s="669"/>
      <c r="AE143" s="667" t="s">
        <v>320</v>
      </c>
      <c r="AF143" s="668"/>
      <c r="AG143" s="668"/>
      <c r="AH143" s="668"/>
      <c r="AI143" s="669"/>
      <c r="AJ143" s="667" t="s">
        <v>321</v>
      </c>
      <c r="AK143" s="668"/>
      <c r="AL143" s="668"/>
      <c r="AM143" s="668"/>
      <c r="AN143" s="669"/>
      <c r="AO143" s="667" t="s">
        <v>322</v>
      </c>
      <c r="AP143" s="668"/>
      <c r="AQ143" s="668"/>
      <c r="AR143" s="668"/>
      <c r="AS143" s="669"/>
      <c r="AT143" s="667" t="s">
        <v>323</v>
      </c>
      <c r="AU143" s="668"/>
      <c r="AV143" s="668"/>
      <c r="AW143" s="668"/>
      <c r="AX143" s="669"/>
    </row>
    <row r="144" spans="2:53">
      <c r="B144" s="663" t="s">
        <v>400</v>
      </c>
      <c r="C144" s="663" t="s">
        <v>401</v>
      </c>
      <c r="D144" s="663"/>
      <c r="E144" s="663" t="s">
        <v>402</v>
      </c>
      <c r="F144" s="663"/>
      <c r="G144" s="663"/>
      <c r="H144" s="679" t="s">
        <v>403</v>
      </c>
      <c r="I144" s="647" t="s">
        <v>404</v>
      </c>
      <c r="J144" s="647"/>
      <c r="K144" s="647"/>
      <c r="L144" s="648" t="s">
        <v>403</v>
      </c>
      <c r="M144" s="654" t="s">
        <v>405</v>
      </c>
      <c r="N144" s="663"/>
      <c r="O144" s="663" t="s">
        <v>406</v>
      </c>
      <c r="P144" s="660" t="s">
        <v>407</v>
      </c>
      <c r="Q144" s="661"/>
      <c r="R144" s="661"/>
      <c r="S144" s="662"/>
      <c r="T144" s="663" t="s">
        <v>403</v>
      </c>
      <c r="U144" s="660" t="s">
        <v>407</v>
      </c>
      <c r="V144" s="661"/>
      <c r="W144" s="661"/>
      <c r="X144" s="662"/>
      <c r="Y144" s="663" t="s">
        <v>403</v>
      </c>
      <c r="Z144" s="660" t="s">
        <v>407</v>
      </c>
      <c r="AA144" s="661"/>
      <c r="AB144" s="661"/>
      <c r="AC144" s="662"/>
      <c r="AD144" s="663" t="s">
        <v>403</v>
      </c>
      <c r="AE144" s="660" t="s">
        <v>407</v>
      </c>
      <c r="AF144" s="661"/>
      <c r="AG144" s="661"/>
      <c r="AH144" s="662"/>
      <c r="AI144" s="663" t="s">
        <v>403</v>
      </c>
      <c r="AJ144" s="660" t="s">
        <v>407</v>
      </c>
      <c r="AK144" s="661"/>
      <c r="AL144" s="661"/>
      <c r="AM144" s="662"/>
      <c r="AN144" s="663" t="s">
        <v>403</v>
      </c>
      <c r="AO144" s="660" t="s">
        <v>407</v>
      </c>
      <c r="AP144" s="661"/>
      <c r="AQ144" s="661"/>
      <c r="AR144" s="662"/>
      <c r="AS144" s="663" t="s">
        <v>403</v>
      </c>
      <c r="AT144" s="660" t="s">
        <v>407</v>
      </c>
      <c r="AU144" s="661"/>
      <c r="AV144" s="661"/>
      <c r="AW144" s="662"/>
      <c r="AX144" s="663" t="s">
        <v>403</v>
      </c>
      <c r="BA144" s="663" t="s">
        <v>359</v>
      </c>
    </row>
    <row r="145" spans="2:53">
      <c r="B145" s="663"/>
      <c r="C145" s="663"/>
      <c r="D145" s="663"/>
      <c r="E145" s="663" t="s">
        <v>408</v>
      </c>
      <c r="F145" s="663"/>
      <c r="G145" s="663"/>
      <c r="H145" s="680"/>
      <c r="I145" s="647" t="s">
        <v>408</v>
      </c>
      <c r="J145" s="647"/>
      <c r="K145" s="647"/>
      <c r="L145" s="649"/>
      <c r="M145" s="655"/>
      <c r="N145" s="663"/>
      <c r="O145" s="663"/>
      <c r="P145" s="660" t="s">
        <v>409</v>
      </c>
      <c r="Q145" s="661"/>
      <c r="R145" s="661"/>
      <c r="S145" s="662"/>
      <c r="T145" s="663"/>
      <c r="U145" s="660" t="s">
        <v>409</v>
      </c>
      <c r="V145" s="661"/>
      <c r="W145" s="661"/>
      <c r="X145" s="662"/>
      <c r="Y145" s="663"/>
      <c r="Z145" s="660" t="s">
        <v>409</v>
      </c>
      <c r="AA145" s="661"/>
      <c r="AB145" s="661"/>
      <c r="AC145" s="662"/>
      <c r="AD145" s="663"/>
      <c r="AE145" s="660" t="s">
        <v>409</v>
      </c>
      <c r="AF145" s="661"/>
      <c r="AG145" s="661"/>
      <c r="AH145" s="662"/>
      <c r="AI145" s="663"/>
      <c r="AJ145" s="660" t="s">
        <v>409</v>
      </c>
      <c r="AK145" s="661"/>
      <c r="AL145" s="661"/>
      <c r="AM145" s="662"/>
      <c r="AN145" s="663"/>
      <c r="AO145" s="660" t="s">
        <v>409</v>
      </c>
      <c r="AP145" s="661"/>
      <c r="AQ145" s="661"/>
      <c r="AR145" s="662"/>
      <c r="AS145" s="663"/>
      <c r="AT145" s="660" t="s">
        <v>409</v>
      </c>
      <c r="AU145" s="661"/>
      <c r="AV145" s="661"/>
      <c r="AW145" s="662"/>
      <c r="AX145" s="663"/>
      <c r="BA145" s="663"/>
    </row>
    <row r="146" spans="2:53">
      <c r="B146" s="663"/>
      <c r="C146" s="663"/>
      <c r="D146" s="663"/>
      <c r="E146" s="271" t="s">
        <v>410</v>
      </c>
      <c r="F146" s="271" t="s">
        <v>411</v>
      </c>
      <c r="G146" s="271" t="s">
        <v>412</v>
      </c>
      <c r="H146" s="681"/>
      <c r="I146" s="272" t="s">
        <v>410</v>
      </c>
      <c r="J146" s="272" t="s">
        <v>411</v>
      </c>
      <c r="K146" s="272" t="s">
        <v>412</v>
      </c>
      <c r="L146" s="650"/>
      <c r="M146" s="656"/>
      <c r="N146" s="663"/>
      <c r="O146" s="663"/>
      <c r="P146" s="271" t="s">
        <v>410</v>
      </c>
      <c r="Q146" s="271" t="s">
        <v>411</v>
      </c>
      <c r="R146" s="271" t="s">
        <v>412</v>
      </c>
      <c r="S146" s="271" t="s">
        <v>405</v>
      </c>
      <c r="T146" s="663"/>
      <c r="U146" s="271" t="s">
        <v>410</v>
      </c>
      <c r="V146" s="271" t="s">
        <v>411</v>
      </c>
      <c r="W146" s="271" t="s">
        <v>412</v>
      </c>
      <c r="X146" s="271" t="s">
        <v>405</v>
      </c>
      <c r="Y146" s="663"/>
      <c r="Z146" s="271" t="s">
        <v>410</v>
      </c>
      <c r="AA146" s="271" t="s">
        <v>411</v>
      </c>
      <c r="AB146" s="271" t="s">
        <v>412</v>
      </c>
      <c r="AC146" s="271" t="s">
        <v>405</v>
      </c>
      <c r="AD146" s="663"/>
      <c r="AE146" s="271" t="s">
        <v>410</v>
      </c>
      <c r="AF146" s="271" t="s">
        <v>411</v>
      </c>
      <c r="AG146" s="271" t="s">
        <v>412</v>
      </c>
      <c r="AH146" s="271" t="s">
        <v>405</v>
      </c>
      <c r="AI146" s="663"/>
      <c r="AJ146" s="271" t="s">
        <v>410</v>
      </c>
      <c r="AK146" s="271" t="s">
        <v>411</v>
      </c>
      <c r="AL146" s="271" t="s">
        <v>412</v>
      </c>
      <c r="AM146" s="271" t="s">
        <v>405</v>
      </c>
      <c r="AN146" s="663"/>
      <c r="AO146" s="271" t="s">
        <v>410</v>
      </c>
      <c r="AP146" s="271" t="s">
        <v>411</v>
      </c>
      <c r="AQ146" s="271" t="s">
        <v>412</v>
      </c>
      <c r="AR146" s="271" t="s">
        <v>405</v>
      </c>
      <c r="AS146" s="663"/>
      <c r="AT146" s="271" t="s">
        <v>410</v>
      </c>
      <c r="AU146" s="271" t="s">
        <v>411</v>
      </c>
      <c r="AV146" s="271" t="s">
        <v>412</v>
      </c>
      <c r="AW146" s="271" t="s">
        <v>405</v>
      </c>
      <c r="AX146" s="663"/>
      <c r="AZ146" s="356" t="s">
        <v>360</v>
      </c>
      <c r="BA146" s="663"/>
    </row>
    <row r="147" spans="2:53">
      <c r="B147" s="663" t="s">
        <v>413</v>
      </c>
      <c r="C147" s="270">
        <v>1</v>
      </c>
      <c r="D147" s="196"/>
      <c r="E147" s="481"/>
      <c r="F147" s="196"/>
      <c r="G147" s="194"/>
      <c r="H147" s="710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44" t="str">
        <f>IFERROR(AVERAGE(K147:K176),"-")</f>
        <v>-</v>
      </c>
      <c r="M147" s="195" t="e">
        <f>RANK(K147, K$147:$K$176)</f>
        <v>#VALUE!</v>
      </c>
      <c r="N147" s="663"/>
      <c r="O147" s="663"/>
      <c r="P147" s="510"/>
      <c r="Q147" s="511"/>
      <c r="R147" s="511"/>
      <c r="S147" s="510"/>
      <c r="T147" s="685"/>
      <c r="U147" s="510"/>
      <c r="V147" s="511"/>
      <c r="W147" s="511"/>
      <c r="X147" s="510"/>
      <c r="Y147" s="685"/>
      <c r="Z147" s="510"/>
      <c r="AA147" s="511"/>
      <c r="AB147" s="511"/>
      <c r="AC147" s="510"/>
      <c r="AD147" s="685"/>
      <c r="AE147" s="510"/>
      <c r="AF147" s="511"/>
      <c r="AG147" s="511"/>
      <c r="AH147" s="510"/>
      <c r="AI147" s="685"/>
      <c r="AJ147" s="510"/>
      <c r="AK147" s="511"/>
      <c r="AL147" s="511"/>
      <c r="AM147" s="510"/>
      <c r="AN147" s="685"/>
      <c r="AO147" s="510"/>
      <c r="AP147" s="511"/>
      <c r="AQ147" s="511"/>
      <c r="AR147" s="510"/>
      <c r="AS147" s="685"/>
      <c r="AT147" s="510"/>
      <c r="AU147" s="511"/>
      <c r="AV147" s="511"/>
      <c r="AW147" s="510"/>
      <c r="AX147" s="685"/>
      <c r="AZ147" s="357" t="e">
        <f>RANK(AY147, AY$147:AY$176)</f>
        <v>#N/A</v>
      </c>
      <c r="BA147" s="685" t="e">
        <f>AVERAGE(AY147:AY176)</f>
        <v>#DIV/0!</v>
      </c>
    </row>
    <row r="148" spans="2:53">
      <c r="B148" s="671"/>
      <c r="C148" s="270">
        <v>2</v>
      </c>
      <c r="D148" s="196"/>
      <c r="E148" s="481"/>
      <c r="F148" s="196"/>
      <c r="G148" s="194"/>
      <c r="H148" s="711"/>
      <c r="I148" s="352" t="str">
        <f t="shared" ref="I148:I176" si="30">IFERROR(AVERAGE(P148,U148,Z148,AE148,AJ148,AO148,AT148),"-")</f>
        <v>-</v>
      </c>
      <c r="J148" s="352" t="str">
        <f t="shared" ref="J148:J176" si="31">IFERROR(AVERAGE(Q148,V148,AA148,AF148,AK148,AP148,AU148),"-")</f>
        <v>-</v>
      </c>
      <c r="K148" s="194" t="str">
        <f t="shared" ref="K148:K176" si="32">IFERROR(AVERAGE(R148,W148,AB148,AG148,AL148,AQ148,AV148),"-")</f>
        <v>-</v>
      </c>
      <c r="L148" s="645"/>
      <c r="M148" s="195" t="e">
        <f>RANK(K148, K$147:$K$176)</f>
        <v>#VALUE!</v>
      </c>
      <c r="N148" s="663"/>
      <c r="O148" s="663"/>
      <c r="P148" s="510"/>
      <c r="Q148" s="511"/>
      <c r="R148" s="511"/>
      <c r="S148" s="510"/>
      <c r="T148" s="685"/>
      <c r="U148" s="510"/>
      <c r="V148" s="511"/>
      <c r="W148" s="511"/>
      <c r="X148" s="510"/>
      <c r="Y148" s="685"/>
      <c r="Z148" s="510"/>
      <c r="AA148" s="511"/>
      <c r="AB148" s="511"/>
      <c r="AC148" s="510"/>
      <c r="AD148" s="685"/>
      <c r="AE148" s="510"/>
      <c r="AF148" s="511"/>
      <c r="AG148" s="511"/>
      <c r="AH148" s="510"/>
      <c r="AI148" s="685"/>
      <c r="AJ148" s="510"/>
      <c r="AK148" s="511"/>
      <c r="AL148" s="511"/>
      <c r="AM148" s="510"/>
      <c r="AN148" s="685"/>
      <c r="AO148" s="510"/>
      <c r="AP148" s="511"/>
      <c r="AQ148" s="511"/>
      <c r="AR148" s="510"/>
      <c r="AS148" s="685"/>
      <c r="AT148" s="510"/>
      <c r="AU148" s="511"/>
      <c r="AV148" s="511"/>
      <c r="AW148" s="510"/>
      <c r="AX148" s="685"/>
      <c r="AZ148" s="357" t="e">
        <f t="shared" ref="AZ148:AZ176" si="33">RANK(AY148, AY$147:AY$176)</f>
        <v>#N/A</v>
      </c>
      <c r="BA148" s="685"/>
    </row>
    <row r="149" spans="2:53">
      <c r="B149" s="671"/>
      <c r="C149" s="270">
        <v>3</v>
      </c>
      <c r="D149" s="196"/>
      <c r="E149" s="481"/>
      <c r="F149" s="196"/>
      <c r="G149" s="194"/>
      <c r="H149" s="711"/>
      <c r="I149" s="352" t="str">
        <f t="shared" si="30"/>
        <v>-</v>
      </c>
      <c r="J149" s="352" t="str">
        <f t="shared" si="31"/>
        <v>-</v>
      </c>
      <c r="K149" s="194" t="str">
        <f t="shared" si="32"/>
        <v>-</v>
      </c>
      <c r="L149" s="645"/>
      <c r="M149" s="195" t="e">
        <f>RANK(K149, K$147:$K$176)</f>
        <v>#VALUE!</v>
      </c>
      <c r="N149" s="663"/>
      <c r="O149" s="663"/>
      <c r="P149" s="510"/>
      <c r="Q149" s="511"/>
      <c r="R149" s="511"/>
      <c r="S149" s="510"/>
      <c r="T149" s="685"/>
      <c r="U149" s="510"/>
      <c r="V149" s="511"/>
      <c r="W149" s="511"/>
      <c r="X149" s="510"/>
      <c r="Y149" s="685"/>
      <c r="Z149" s="510"/>
      <c r="AA149" s="511"/>
      <c r="AB149" s="511"/>
      <c r="AC149" s="510"/>
      <c r="AD149" s="685"/>
      <c r="AE149" s="510"/>
      <c r="AF149" s="511"/>
      <c r="AG149" s="511"/>
      <c r="AH149" s="510"/>
      <c r="AI149" s="685"/>
      <c r="AJ149" s="510"/>
      <c r="AK149" s="511"/>
      <c r="AL149" s="511"/>
      <c r="AM149" s="510"/>
      <c r="AN149" s="685"/>
      <c r="AO149" s="510"/>
      <c r="AP149" s="511"/>
      <c r="AQ149" s="511"/>
      <c r="AR149" s="510"/>
      <c r="AS149" s="685"/>
      <c r="AT149" s="510"/>
      <c r="AU149" s="511"/>
      <c r="AV149" s="511"/>
      <c r="AW149" s="510"/>
      <c r="AX149" s="685"/>
      <c r="AZ149" s="357" t="e">
        <f t="shared" si="33"/>
        <v>#N/A</v>
      </c>
      <c r="BA149" s="685"/>
    </row>
    <row r="150" spans="2:53">
      <c r="B150" s="671"/>
      <c r="C150" s="270">
        <v>4</v>
      </c>
      <c r="D150" s="196"/>
      <c r="E150" s="481"/>
      <c r="F150" s="196"/>
      <c r="G150" s="194"/>
      <c r="H150" s="711"/>
      <c r="I150" s="352" t="str">
        <f t="shared" si="30"/>
        <v>-</v>
      </c>
      <c r="J150" s="352" t="str">
        <f t="shared" si="31"/>
        <v>-</v>
      </c>
      <c r="K150" s="194" t="str">
        <f t="shared" si="32"/>
        <v>-</v>
      </c>
      <c r="L150" s="645"/>
      <c r="M150" s="195" t="e">
        <f>RANK(K150, K$147:$K$176)</f>
        <v>#VALUE!</v>
      </c>
      <c r="N150" s="663"/>
      <c r="O150" s="663"/>
      <c r="P150" s="510"/>
      <c r="Q150" s="511"/>
      <c r="R150" s="511"/>
      <c r="S150" s="510"/>
      <c r="T150" s="685"/>
      <c r="U150" s="510"/>
      <c r="V150" s="511"/>
      <c r="W150" s="511"/>
      <c r="X150" s="510"/>
      <c r="Y150" s="685"/>
      <c r="Z150" s="510"/>
      <c r="AA150" s="511"/>
      <c r="AB150" s="511"/>
      <c r="AC150" s="510"/>
      <c r="AD150" s="685"/>
      <c r="AE150" s="510"/>
      <c r="AF150" s="511"/>
      <c r="AG150" s="511"/>
      <c r="AH150" s="510"/>
      <c r="AI150" s="685"/>
      <c r="AJ150" s="510"/>
      <c r="AK150" s="511"/>
      <c r="AL150" s="511"/>
      <c r="AM150" s="510"/>
      <c r="AN150" s="685"/>
      <c r="AO150" s="510"/>
      <c r="AP150" s="511"/>
      <c r="AQ150" s="511"/>
      <c r="AR150" s="510"/>
      <c r="AS150" s="685"/>
      <c r="AT150" s="510"/>
      <c r="AU150" s="511"/>
      <c r="AV150" s="511"/>
      <c r="AW150" s="510"/>
      <c r="AX150" s="685"/>
      <c r="AZ150" s="357" t="e">
        <f t="shared" si="33"/>
        <v>#N/A</v>
      </c>
      <c r="BA150" s="685"/>
    </row>
    <row r="151" spans="2:53">
      <c r="B151" s="671"/>
      <c r="C151" s="270">
        <v>5</v>
      </c>
      <c r="D151" s="196"/>
      <c r="E151" s="481"/>
      <c r="F151" s="196"/>
      <c r="G151" s="194"/>
      <c r="H151" s="711"/>
      <c r="I151" s="352" t="str">
        <f t="shared" si="30"/>
        <v>-</v>
      </c>
      <c r="J151" s="352" t="str">
        <f t="shared" si="31"/>
        <v>-</v>
      </c>
      <c r="K151" s="194" t="str">
        <f t="shared" si="32"/>
        <v>-</v>
      </c>
      <c r="L151" s="645"/>
      <c r="M151" s="195" t="e">
        <f>RANK(K151, K$147:$K$176)</f>
        <v>#VALUE!</v>
      </c>
      <c r="N151" s="663"/>
      <c r="O151" s="663"/>
      <c r="P151" s="510"/>
      <c r="Q151" s="511"/>
      <c r="R151" s="511"/>
      <c r="S151" s="510"/>
      <c r="T151" s="685"/>
      <c r="U151" s="510"/>
      <c r="V151" s="511"/>
      <c r="W151" s="511"/>
      <c r="X151" s="510"/>
      <c r="Y151" s="685"/>
      <c r="Z151" s="510"/>
      <c r="AA151" s="511"/>
      <c r="AB151" s="511"/>
      <c r="AC151" s="510"/>
      <c r="AD151" s="685"/>
      <c r="AE151" s="510"/>
      <c r="AF151" s="511"/>
      <c r="AG151" s="511"/>
      <c r="AH151" s="510"/>
      <c r="AI151" s="685"/>
      <c r="AJ151" s="510"/>
      <c r="AK151" s="511"/>
      <c r="AL151" s="511"/>
      <c r="AM151" s="510"/>
      <c r="AN151" s="685"/>
      <c r="AO151" s="510"/>
      <c r="AP151" s="511"/>
      <c r="AQ151" s="511"/>
      <c r="AR151" s="510"/>
      <c r="AS151" s="685"/>
      <c r="AT151" s="510"/>
      <c r="AU151" s="511"/>
      <c r="AV151" s="511"/>
      <c r="AW151" s="510"/>
      <c r="AX151" s="685"/>
      <c r="AZ151" s="357" t="e">
        <f t="shared" si="33"/>
        <v>#N/A</v>
      </c>
      <c r="BA151" s="685"/>
    </row>
    <row r="152" spans="2:53">
      <c r="B152" s="671"/>
      <c r="C152" s="270">
        <v>6</v>
      </c>
      <c r="D152" s="196"/>
      <c r="E152" s="481"/>
      <c r="F152" s="196"/>
      <c r="G152" s="194"/>
      <c r="H152" s="711"/>
      <c r="I152" s="352" t="str">
        <f t="shared" si="30"/>
        <v>-</v>
      </c>
      <c r="J152" s="352" t="str">
        <f t="shared" si="31"/>
        <v>-</v>
      </c>
      <c r="K152" s="194" t="str">
        <f t="shared" si="32"/>
        <v>-</v>
      </c>
      <c r="L152" s="645"/>
      <c r="M152" s="195" t="e">
        <f>RANK(K152, K$147:$K$176)</f>
        <v>#VALUE!</v>
      </c>
      <c r="N152" s="663"/>
      <c r="O152" s="663"/>
      <c r="P152" s="510"/>
      <c r="Q152" s="511"/>
      <c r="R152" s="511"/>
      <c r="S152" s="510"/>
      <c r="T152" s="685"/>
      <c r="U152" s="510"/>
      <c r="V152" s="511"/>
      <c r="W152" s="511"/>
      <c r="X152" s="510"/>
      <c r="Y152" s="685"/>
      <c r="Z152" s="510"/>
      <c r="AA152" s="511"/>
      <c r="AB152" s="511"/>
      <c r="AC152" s="510"/>
      <c r="AD152" s="685"/>
      <c r="AE152" s="510"/>
      <c r="AF152" s="511"/>
      <c r="AG152" s="511"/>
      <c r="AH152" s="510"/>
      <c r="AI152" s="685"/>
      <c r="AJ152" s="510"/>
      <c r="AK152" s="511"/>
      <c r="AL152" s="511"/>
      <c r="AM152" s="510"/>
      <c r="AN152" s="685"/>
      <c r="AO152" s="510"/>
      <c r="AP152" s="511"/>
      <c r="AQ152" s="511"/>
      <c r="AR152" s="510"/>
      <c r="AS152" s="685"/>
      <c r="AT152" s="510"/>
      <c r="AU152" s="511"/>
      <c r="AV152" s="511"/>
      <c r="AW152" s="510"/>
      <c r="AX152" s="685"/>
      <c r="AZ152" s="357" t="e">
        <f t="shared" si="33"/>
        <v>#N/A</v>
      </c>
      <c r="BA152" s="685"/>
    </row>
    <row r="153" spans="2:53">
      <c r="B153" s="671"/>
      <c r="C153" s="270">
        <v>7</v>
      </c>
      <c r="D153" s="196"/>
      <c r="E153" s="481"/>
      <c r="F153" s="196"/>
      <c r="G153" s="194"/>
      <c r="H153" s="711"/>
      <c r="I153" s="352" t="str">
        <f t="shared" si="30"/>
        <v>-</v>
      </c>
      <c r="J153" s="352" t="str">
        <f t="shared" si="31"/>
        <v>-</v>
      </c>
      <c r="K153" s="194" t="str">
        <f t="shared" si="32"/>
        <v>-</v>
      </c>
      <c r="L153" s="645"/>
      <c r="M153" s="195" t="e">
        <f>RANK(K153, K$147:$K$176)</f>
        <v>#VALUE!</v>
      </c>
      <c r="N153" s="663"/>
      <c r="O153" s="663"/>
      <c r="P153" s="510"/>
      <c r="Q153" s="511"/>
      <c r="R153" s="511"/>
      <c r="S153" s="510"/>
      <c r="T153" s="685"/>
      <c r="U153" s="510"/>
      <c r="V153" s="511"/>
      <c r="W153" s="511"/>
      <c r="X153" s="510"/>
      <c r="Y153" s="685"/>
      <c r="Z153" s="510"/>
      <c r="AA153" s="511"/>
      <c r="AB153" s="511"/>
      <c r="AC153" s="510"/>
      <c r="AD153" s="685"/>
      <c r="AE153" s="510"/>
      <c r="AF153" s="511"/>
      <c r="AG153" s="511"/>
      <c r="AH153" s="510"/>
      <c r="AI153" s="685"/>
      <c r="AJ153" s="510"/>
      <c r="AK153" s="511"/>
      <c r="AL153" s="511"/>
      <c r="AM153" s="510"/>
      <c r="AN153" s="685"/>
      <c r="AO153" s="510"/>
      <c r="AP153" s="511"/>
      <c r="AQ153" s="511"/>
      <c r="AR153" s="510"/>
      <c r="AS153" s="685"/>
      <c r="AT153" s="510"/>
      <c r="AU153" s="511"/>
      <c r="AV153" s="511"/>
      <c r="AW153" s="510"/>
      <c r="AX153" s="685"/>
      <c r="AZ153" s="357" t="e">
        <f t="shared" si="33"/>
        <v>#N/A</v>
      </c>
      <c r="BA153" s="685"/>
    </row>
    <row r="154" spans="2:53">
      <c r="B154" s="671"/>
      <c r="C154" s="270">
        <v>8</v>
      </c>
      <c r="D154" s="196"/>
      <c r="E154" s="481"/>
      <c r="F154" s="196"/>
      <c r="G154" s="194"/>
      <c r="H154" s="711"/>
      <c r="I154" s="352" t="str">
        <f t="shared" si="30"/>
        <v>-</v>
      </c>
      <c r="J154" s="352" t="str">
        <f t="shared" si="31"/>
        <v>-</v>
      </c>
      <c r="K154" s="194" t="str">
        <f t="shared" si="32"/>
        <v>-</v>
      </c>
      <c r="L154" s="645"/>
      <c r="M154" s="195" t="e">
        <f>RANK(K154, K$147:$K$176)</f>
        <v>#VALUE!</v>
      </c>
      <c r="N154" s="663"/>
      <c r="O154" s="663"/>
      <c r="P154" s="510"/>
      <c r="Q154" s="511"/>
      <c r="R154" s="511"/>
      <c r="S154" s="510"/>
      <c r="T154" s="685"/>
      <c r="U154" s="510"/>
      <c r="V154" s="511"/>
      <c r="W154" s="511"/>
      <c r="X154" s="510"/>
      <c r="Y154" s="685"/>
      <c r="Z154" s="510"/>
      <c r="AA154" s="511"/>
      <c r="AB154" s="511"/>
      <c r="AC154" s="510"/>
      <c r="AD154" s="685"/>
      <c r="AE154" s="510"/>
      <c r="AF154" s="511"/>
      <c r="AG154" s="511"/>
      <c r="AH154" s="510"/>
      <c r="AI154" s="685"/>
      <c r="AJ154" s="510"/>
      <c r="AK154" s="511"/>
      <c r="AL154" s="511"/>
      <c r="AM154" s="510"/>
      <c r="AN154" s="685"/>
      <c r="AO154" s="510"/>
      <c r="AP154" s="511"/>
      <c r="AQ154" s="511"/>
      <c r="AR154" s="510"/>
      <c r="AS154" s="685"/>
      <c r="AT154" s="510"/>
      <c r="AU154" s="511"/>
      <c r="AV154" s="511"/>
      <c r="AW154" s="510"/>
      <c r="AX154" s="685"/>
      <c r="AZ154" s="357" t="e">
        <f t="shared" si="33"/>
        <v>#N/A</v>
      </c>
      <c r="BA154" s="685"/>
    </row>
    <row r="155" spans="2:53">
      <c r="B155" s="671"/>
      <c r="C155" s="270">
        <v>9</v>
      </c>
      <c r="D155" s="196"/>
      <c r="E155" s="481"/>
      <c r="F155" s="196"/>
      <c r="G155" s="194"/>
      <c r="H155" s="711"/>
      <c r="I155" s="352" t="str">
        <f t="shared" si="30"/>
        <v>-</v>
      </c>
      <c r="J155" s="352" t="str">
        <f t="shared" si="31"/>
        <v>-</v>
      </c>
      <c r="K155" s="194" t="str">
        <f t="shared" si="32"/>
        <v>-</v>
      </c>
      <c r="L155" s="645"/>
      <c r="M155" s="195" t="e">
        <f>RANK(K155, K$147:$K$176)</f>
        <v>#VALUE!</v>
      </c>
      <c r="N155" s="663"/>
      <c r="O155" s="663"/>
      <c r="P155" s="510"/>
      <c r="Q155" s="511"/>
      <c r="R155" s="511"/>
      <c r="S155" s="510"/>
      <c r="T155" s="685"/>
      <c r="U155" s="510"/>
      <c r="V155" s="511"/>
      <c r="W155" s="511"/>
      <c r="X155" s="510"/>
      <c r="Y155" s="685"/>
      <c r="Z155" s="510"/>
      <c r="AA155" s="511"/>
      <c r="AB155" s="511"/>
      <c r="AC155" s="510"/>
      <c r="AD155" s="685"/>
      <c r="AE155" s="510"/>
      <c r="AF155" s="511"/>
      <c r="AG155" s="511"/>
      <c r="AH155" s="510"/>
      <c r="AI155" s="685"/>
      <c r="AJ155" s="510"/>
      <c r="AK155" s="511"/>
      <c r="AL155" s="511"/>
      <c r="AM155" s="510"/>
      <c r="AN155" s="685"/>
      <c r="AO155" s="510"/>
      <c r="AP155" s="511"/>
      <c r="AQ155" s="511"/>
      <c r="AR155" s="510"/>
      <c r="AS155" s="685"/>
      <c r="AT155" s="510"/>
      <c r="AU155" s="511"/>
      <c r="AV155" s="511"/>
      <c r="AW155" s="510"/>
      <c r="AX155" s="685"/>
      <c r="AZ155" s="357" t="e">
        <f t="shared" si="33"/>
        <v>#N/A</v>
      </c>
      <c r="BA155" s="685"/>
    </row>
    <row r="156" spans="2:53">
      <c r="B156" s="671"/>
      <c r="C156" s="270">
        <v>10</v>
      </c>
      <c r="D156" s="196"/>
      <c r="E156" s="481"/>
      <c r="F156" s="196"/>
      <c r="G156" s="194"/>
      <c r="H156" s="711"/>
      <c r="I156" s="352" t="str">
        <f t="shared" si="30"/>
        <v>-</v>
      </c>
      <c r="J156" s="352" t="str">
        <f t="shared" si="31"/>
        <v>-</v>
      </c>
      <c r="K156" s="194" t="str">
        <f t="shared" si="32"/>
        <v>-</v>
      </c>
      <c r="L156" s="645"/>
      <c r="M156" s="195" t="e">
        <f>RANK(K156, K$147:$K$176)</f>
        <v>#VALUE!</v>
      </c>
      <c r="N156" s="663"/>
      <c r="O156" s="663"/>
      <c r="P156" s="510"/>
      <c r="Q156" s="511"/>
      <c r="R156" s="511"/>
      <c r="S156" s="510"/>
      <c r="T156" s="685"/>
      <c r="U156" s="510"/>
      <c r="V156" s="511"/>
      <c r="W156" s="511"/>
      <c r="X156" s="510"/>
      <c r="Y156" s="685"/>
      <c r="Z156" s="510"/>
      <c r="AA156" s="511"/>
      <c r="AB156" s="511"/>
      <c r="AC156" s="510"/>
      <c r="AD156" s="685"/>
      <c r="AE156" s="510"/>
      <c r="AF156" s="511"/>
      <c r="AG156" s="511"/>
      <c r="AH156" s="510"/>
      <c r="AI156" s="685"/>
      <c r="AJ156" s="510"/>
      <c r="AK156" s="511"/>
      <c r="AL156" s="511"/>
      <c r="AM156" s="510"/>
      <c r="AN156" s="685"/>
      <c r="AO156" s="510"/>
      <c r="AP156" s="511"/>
      <c r="AQ156" s="511"/>
      <c r="AR156" s="510"/>
      <c r="AS156" s="685"/>
      <c r="AT156" s="510"/>
      <c r="AU156" s="511"/>
      <c r="AV156" s="511"/>
      <c r="AW156" s="510"/>
      <c r="AX156" s="685"/>
      <c r="AZ156" s="357" t="e">
        <f t="shared" si="33"/>
        <v>#N/A</v>
      </c>
      <c r="BA156" s="685"/>
    </row>
    <row r="157" spans="2:53">
      <c r="B157" s="671"/>
      <c r="C157" s="270">
        <v>11</v>
      </c>
      <c r="D157" s="196"/>
      <c r="E157" s="481"/>
      <c r="F157" s="196"/>
      <c r="G157" s="194"/>
      <c r="H157" s="711"/>
      <c r="I157" s="352" t="str">
        <f t="shared" si="30"/>
        <v>-</v>
      </c>
      <c r="J157" s="352" t="str">
        <f t="shared" si="31"/>
        <v>-</v>
      </c>
      <c r="K157" s="194" t="str">
        <f t="shared" si="32"/>
        <v>-</v>
      </c>
      <c r="L157" s="645"/>
      <c r="M157" s="195" t="e">
        <f>RANK(K157, K$147:$K$176)</f>
        <v>#VALUE!</v>
      </c>
      <c r="N157" s="663"/>
      <c r="O157" s="663"/>
      <c r="P157" s="510"/>
      <c r="Q157" s="511"/>
      <c r="R157" s="511"/>
      <c r="S157" s="510"/>
      <c r="T157" s="685"/>
      <c r="U157" s="510"/>
      <c r="V157" s="511"/>
      <c r="W157" s="511"/>
      <c r="X157" s="510"/>
      <c r="Y157" s="685"/>
      <c r="Z157" s="510"/>
      <c r="AA157" s="511"/>
      <c r="AB157" s="511"/>
      <c r="AC157" s="510"/>
      <c r="AD157" s="685"/>
      <c r="AE157" s="510"/>
      <c r="AF157" s="511"/>
      <c r="AG157" s="511"/>
      <c r="AH157" s="510"/>
      <c r="AI157" s="685"/>
      <c r="AJ157" s="510"/>
      <c r="AK157" s="511"/>
      <c r="AL157" s="511"/>
      <c r="AM157" s="510"/>
      <c r="AN157" s="685"/>
      <c r="AO157" s="510"/>
      <c r="AP157" s="511"/>
      <c r="AQ157" s="511"/>
      <c r="AR157" s="510"/>
      <c r="AS157" s="685"/>
      <c r="AT157" s="510"/>
      <c r="AU157" s="511"/>
      <c r="AV157" s="511"/>
      <c r="AW157" s="510"/>
      <c r="AX157" s="685"/>
      <c r="AZ157" s="357" t="e">
        <f t="shared" si="33"/>
        <v>#N/A</v>
      </c>
      <c r="BA157" s="685"/>
    </row>
    <row r="158" spans="2:53">
      <c r="B158" s="671"/>
      <c r="C158" s="270">
        <v>12</v>
      </c>
      <c r="D158" s="196"/>
      <c r="E158" s="481"/>
      <c r="F158" s="196"/>
      <c r="G158" s="194"/>
      <c r="H158" s="711"/>
      <c r="I158" s="352" t="str">
        <f t="shared" si="30"/>
        <v>-</v>
      </c>
      <c r="J158" s="352" t="str">
        <f t="shared" si="31"/>
        <v>-</v>
      </c>
      <c r="K158" s="194" t="str">
        <f t="shared" si="32"/>
        <v>-</v>
      </c>
      <c r="L158" s="645"/>
      <c r="M158" s="195" t="e">
        <f>RANK(K158, K$147:$K$176)</f>
        <v>#VALUE!</v>
      </c>
      <c r="N158" s="663"/>
      <c r="O158" s="663"/>
      <c r="P158" s="510"/>
      <c r="Q158" s="511"/>
      <c r="R158" s="511"/>
      <c r="S158" s="510"/>
      <c r="T158" s="685"/>
      <c r="U158" s="510"/>
      <c r="V158" s="511"/>
      <c r="W158" s="511"/>
      <c r="X158" s="510"/>
      <c r="Y158" s="685"/>
      <c r="Z158" s="510"/>
      <c r="AA158" s="511"/>
      <c r="AB158" s="511"/>
      <c r="AC158" s="510"/>
      <c r="AD158" s="685"/>
      <c r="AE158" s="510"/>
      <c r="AF158" s="511"/>
      <c r="AG158" s="511"/>
      <c r="AH158" s="510"/>
      <c r="AI158" s="685"/>
      <c r="AJ158" s="510"/>
      <c r="AK158" s="511"/>
      <c r="AL158" s="511"/>
      <c r="AM158" s="510"/>
      <c r="AN158" s="685"/>
      <c r="AO158" s="510"/>
      <c r="AP158" s="511"/>
      <c r="AQ158" s="511"/>
      <c r="AR158" s="510"/>
      <c r="AS158" s="685"/>
      <c r="AT158" s="510"/>
      <c r="AU158" s="511"/>
      <c r="AV158" s="511"/>
      <c r="AW158" s="510"/>
      <c r="AX158" s="685"/>
      <c r="AZ158" s="357" t="e">
        <f t="shared" si="33"/>
        <v>#N/A</v>
      </c>
      <c r="BA158" s="685"/>
    </row>
    <row r="159" spans="2:53">
      <c r="B159" s="671"/>
      <c r="C159" s="270">
        <v>13</v>
      </c>
      <c r="D159" s="196"/>
      <c r="E159" s="481"/>
      <c r="F159" s="196"/>
      <c r="G159" s="194"/>
      <c r="H159" s="711"/>
      <c r="I159" s="352" t="str">
        <f t="shared" si="30"/>
        <v>-</v>
      </c>
      <c r="J159" s="352" t="str">
        <f t="shared" si="31"/>
        <v>-</v>
      </c>
      <c r="K159" s="194" t="str">
        <f t="shared" si="32"/>
        <v>-</v>
      </c>
      <c r="L159" s="645"/>
      <c r="M159" s="195" t="e">
        <f>RANK(K159, K$147:$K$176)</f>
        <v>#VALUE!</v>
      </c>
      <c r="N159" s="663"/>
      <c r="O159" s="663"/>
      <c r="P159" s="510"/>
      <c r="Q159" s="511"/>
      <c r="R159" s="511"/>
      <c r="S159" s="510"/>
      <c r="T159" s="685"/>
      <c r="U159" s="510"/>
      <c r="V159" s="511"/>
      <c r="W159" s="511"/>
      <c r="X159" s="510"/>
      <c r="Y159" s="685"/>
      <c r="Z159" s="510"/>
      <c r="AA159" s="511"/>
      <c r="AB159" s="511"/>
      <c r="AC159" s="510"/>
      <c r="AD159" s="685"/>
      <c r="AE159" s="510"/>
      <c r="AF159" s="511"/>
      <c r="AG159" s="511"/>
      <c r="AH159" s="510"/>
      <c r="AI159" s="685"/>
      <c r="AJ159" s="510"/>
      <c r="AK159" s="511"/>
      <c r="AL159" s="511"/>
      <c r="AM159" s="510"/>
      <c r="AN159" s="685"/>
      <c r="AO159" s="510"/>
      <c r="AP159" s="511"/>
      <c r="AQ159" s="511"/>
      <c r="AR159" s="510"/>
      <c r="AS159" s="685"/>
      <c r="AT159" s="510"/>
      <c r="AU159" s="511"/>
      <c r="AV159" s="511"/>
      <c r="AW159" s="510"/>
      <c r="AX159" s="685"/>
      <c r="AZ159" s="357" t="e">
        <f t="shared" si="33"/>
        <v>#N/A</v>
      </c>
      <c r="BA159" s="685"/>
    </row>
    <row r="160" spans="2:53">
      <c r="B160" s="671"/>
      <c r="C160" s="270">
        <v>14</v>
      </c>
      <c r="D160" s="196"/>
      <c r="E160" s="481"/>
      <c r="F160" s="196"/>
      <c r="G160" s="194"/>
      <c r="H160" s="711"/>
      <c r="I160" s="352" t="str">
        <f t="shared" si="30"/>
        <v>-</v>
      </c>
      <c r="J160" s="352" t="str">
        <f t="shared" si="31"/>
        <v>-</v>
      </c>
      <c r="K160" s="194" t="str">
        <f t="shared" si="32"/>
        <v>-</v>
      </c>
      <c r="L160" s="645"/>
      <c r="M160" s="195" t="e">
        <f>RANK(K160, K$147:$K$176)</f>
        <v>#VALUE!</v>
      </c>
      <c r="N160" s="663"/>
      <c r="O160" s="663"/>
      <c r="P160" s="510"/>
      <c r="Q160" s="511"/>
      <c r="R160" s="511"/>
      <c r="S160" s="510"/>
      <c r="T160" s="685"/>
      <c r="U160" s="510"/>
      <c r="V160" s="511"/>
      <c r="W160" s="511"/>
      <c r="X160" s="510"/>
      <c r="Y160" s="685"/>
      <c r="Z160" s="510"/>
      <c r="AA160" s="511"/>
      <c r="AB160" s="511"/>
      <c r="AC160" s="510"/>
      <c r="AD160" s="685"/>
      <c r="AE160" s="510"/>
      <c r="AF160" s="511"/>
      <c r="AG160" s="511"/>
      <c r="AH160" s="510"/>
      <c r="AI160" s="685"/>
      <c r="AJ160" s="510"/>
      <c r="AK160" s="511"/>
      <c r="AL160" s="511"/>
      <c r="AM160" s="510"/>
      <c r="AN160" s="685"/>
      <c r="AO160" s="510"/>
      <c r="AP160" s="511"/>
      <c r="AQ160" s="511"/>
      <c r="AR160" s="510"/>
      <c r="AS160" s="685"/>
      <c r="AT160" s="510"/>
      <c r="AU160" s="511"/>
      <c r="AV160" s="511"/>
      <c r="AW160" s="510"/>
      <c r="AX160" s="685"/>
      <c r="AZ160" s="357" t="e">
        <f t="shared" si="33"/>
        <v>#N/A</v>
      </c>
      <c r="BA160" s="685"/>
    </row>
    <row r="161" spans="2:53">
      <c r="B161" s="671"/>
      <c r="C161" s="270">
        <v>15</v>
      </c>
      <c r="D161" s="196"/>
      <c r="E161" s="481"/>
      <c r="F161" s="196"/>
      <c r="G161" s="194"/>
      <c r="H161" s="711"/>
      <c r="I161" s="352" t="str">
        <f t="shared" si="30"/>
        <v>-</v>
      </c>
      <c r="J161" s="352" t="str">
        <f t="shared" si="31"/>
        <v>-</v>
      </c>
      <c r="K161" s="194" t="str">
        <f t="shared" si="32"/>
        <v>-</v>
      </c>
      <c r="L161" s="645"/>
      <c r="M161" s="193" t="e">
        <f>RANK(K161, K$147:$K$176)</f>
        <v>#VALUE!</v>
      </c>
      <c r="N161" s="663"/>
      <c r="O161" s="663"/>
      <c r="P161" s="510"/>
      <c r="Q161" s="511"/>
      <c r="R161" s="511"/>
      <c r="S161" s="510"/>
      <c r="T161" s="685"/>
      <c r="U161" s="510"/>
      <c r="V161" s="511"/>
      <c r="W161" s="511"/>
      <c r="X161" s="510"/>
      <c r="Y161" s="685"/>
      <c r="Z161" s="510"/>
      <c r="AA161" s="511"/>
      <c r="AB161" s="511"/>
      <c r="AC161" s="510"/>
      <c r="AD161" s="685"/>
      <c r="AE161" s="510"/>
      <c r="AF161" s="511"/>
      <c r="AG161" s="511"/>
      <c r="AH161" s="510"/>
      <c r="AI161" s="685"/>
      <c r="AJ161" s="510"/>
      <c r="AK161" s="511"/>
      <c r="AL161" s="511"/>
      <c r="AM161" s="510"/>
      <c r="AN161" s="685"/>
      <c r="AO161" s="510"/>
      <c r="AP161" s="511"/>
      <c r="AQ161" s="511"/>
      <c r="AR161" s="510"/>
      <c r="AS161" s="685"/>
      <c r="AT161" s="510"/>
      <c r="AU161" s="511"/>
      <c r="AV161" s="511"/>
      <c r="AW161" s="510"/>
      <c r="AX161" s="685"/>
      <c r="AZ161" s="357" t="e">
        <f t="shared" si="33"/>
        <v>#N/A</v>
      </c>
      <c r="BA161" s="685"/>
    </row>
    <row r="162" spans="2:53">
      <c r="B162" s="671"/>
      <c r="C162" s="270">
        <v>16</v>
      </c>
      <c r="D162" s="196"/>
      <c r="E162" s="481"/>
      <c r="F162" s="196"/>
      <c r="G162" s="194"/>
      <c r="H162" s="711"/>
      <c r="I162" s="352" t="str">
        <f t="shared" si="30"/>
        <v>-</v>
      </c>
      <c r="J162" s="352" t="str">
        <f t="shared" si="31"/>
        <v>-</v>
      </c>
      <c r="K162" s="194" t="str">
        <f t="shared" si="32"/>
        <v>-</v>
      </c>
      <c r="L162" s="645"/>
      <c r="M162" s="193" t="e">
        <f>RANK(K162, K$147:$K$176)</f>
        <v>#VALUE!</v>
      </c>
      <c r="N162" s="663"/>
      <c r="O162" s="663"/>
      <c r="P162" s="510"/>
      <c r="Q162" s="511"/>
      <c r="R162" s="511"/>
      <c r="S162" s="510"/>
      <c r="T162" s="685"/>
      <c r="U162" s="510"/>
      <c r="V162" s="511"/>
      <c r="W162" s="511"/>
      <c r="X162" s="510"/>
      <c r="Y162" s="685"/>
      <c r="Z162" s="510"/>
      <c r="AA162" s="511"/>
      <c r="AB162" s="511"/>
      <c r="AC162" s="510"/>
      <c r="AD162" s="685"/>
      <c r="AE162" s="510"/>
      <c r="AF162" s="511"/>
      <c r="AG162" s="511"/>
      <c r="AH162" s="510"/>
      <c r="AI162" s="685"/>
      <c r="AJ162" s="510"/>
      <c r="AK162" s="511"/>
      <c r="AL162" s="511"/>
      <c r="AM162" s="510"/>
      <c r="AN162" s="685"/>
      <c r="AO162" s="510"/>
      <c r="AP162" s="511"/>
      <c r="AQ162" s="511"/>
      <c r="AR162" s="510"/>
      <c r="AS162" s="685"/>
      <c r="AT162" s="510"/>
      <c r="AU162" s="511"/>
      <c r="AV162" s="511"/>
      <c r="AW162" s="510"/>
      <c r="AX162" s="685"/>
      <c r="AZ162" s="357" t="e">
        <f t="shared" si="33"/>
        <v>#N/A</v>
      </c>
      <c r="BA162" s="685"/>
    </row>
    <row r="163" spans="2:53">
      <c r="B163" s="671"/>
      <c r="C163" s="270">
        <v>17</v>
      </c>
      <c r="D163" s="196"/>
      <c r="E163" s="481"/>
      <c r="F163" s="196"/>
      <c r="G163" s="194"/>
      <c r="H163" s="711"/>
      <c r="I163" s="352" t="str">
        <f t="shared" si="30"/>
        <v>-</v>
      </c>
      <c r="J163" s="352" t="str">
        <f t="shared" si="31"/>
        <v>-</v>
      </c>
      <c r="K163" s="194" t="str">
        <f t="shared" si="32"/>
        <v>-</v>
      </c>
      <c r="L163" s="645"/>
      <c r="M163" s="193" t="e">
        <f>RANK(K163, K$147:$K$176)</f>
        <v>#VALUE!</v>
      </c>
      <c r="N163" s="663"/>
      <c r="O163" s="663"/>
      <c r="P163" s="510"/>
      <c r="Q163" s="511"/>
      <c r="R163" s="511"/>
      <c r="S163" s="510"/>
      <c r="T163" s="685"/>
      <c r="U163" s="510"/>
      <c r="V163" s="511"/>
      <c r="W163" s="511"/>
      <c r="X163" s="510"/>
      <c r="Y163" s="685"/>
      <c r="Z163" s="510"/>
      <c r="AA163" s="511"/>
      <c r="AB163" s="511"/>
      <c r="AC163" s="510"/>
      <c r="AD163" s="685"/>
      <c r="AE163" s="510"/>
      <c r="AF163" s="511"/>
      <c r="AG163" s="511"/>
      <c r="AH163" s="510"/>
      <c r="AI163" s="685"/>
      <c r="AJ163" s="510"/>
      <c r="AK163" s="511"/>
      <c r="AL163" s="511"/>
      <c r="AM163" s="510"/>
      <c r="AN163" s="685"/>
      <c r="AO163" s="510"/>
      <c r="AP163" s="511"/>
      <c r="AQ163" s="511"/>
      <c r="AR163" s="510"/>
      <c r="AS163" s="685"/>
      <c r="AT163" s="510"/>
      <c r="AU163" s="511"/>
      <c r="AV163" s="511"/>
      <c r="AW163" s="510"/>
      <c r="AX163" s="685"/>
      <c r="AZ163" s="357" t="e">
        <f t="shared" si="33"/>
        <v>#N/A</v>
      </c>
      <c r="BA163" s="685"/>
    </row>
    <row r="164" spans="2:53">
      <c r="B164" s="671"/>
      <c r="C164" s="270">
        <v>18</v>
      </c>
      <c r="D164" s="196"/>
      <c r="E164" s="481"/>
      <c r="F164" s="196"/>
      <c r="G164" s="194"/>
      <c r="H164" s="711"/>
      <c r="I164" s="352" t="str">
        <f t="shared" si="30"/>
        <v>-</v>
      </c>
      <c r="J164" s="352" t="str">
        <f t="shared" si="31"/>
        <v>-</v>
      </c>
      <c r="K164" s="194" t="str">
        <f t="shared" si="32"/>
        <v>-</v>
      </c>
      <c r="L164" s="645"/>
      <c r="M164" s="193" t="e">
        <f>RANK(K164, K$147:$K$176)</f>
        <v>#VALUE!</v>
      </c>
      <c r="N164" s="663"/>
      <c r="O164" s="663"/>
      <c r="P164" s="510"/>
      <c r="Q164" s="511"/>
      <c r="R164" s="511"/>
      <c r="S164" s="510"/>
      <c r="T164" s="685"/>
      <c r="U164" s="510"/>
      <c r="V164" s="511"/>
      <c r="W164" s="511"/>
      <c r="X164" s="510"/>
      <c r="Y164" s="685"/>
      <c r="Z164" s="510"/>
      <c r="AA164" s="511"/>
      <c r="AB164" s="511"/>
      <c r="AC164" s="510"/>
      <c r="AD164" s="685"/>
      <c r="AE164" s="510"/>
      <c r="AF164" s="511"/>
      <c r="AG164" s="511"/>
      <c r="AH164" s="510"/>
      <c r="AI164" s="685"/>
      <c r="AJ164" s="510"/>
      <c r="AK164" s="511"/>
      <c r="AL164" s="511"/>
      <c r="AM164" s="510"/>
      <c r="AN164" s="685"/>
      <c r="AO164" s="510"/>
      <c r="AP164" s="511"/>
      <c r="AQ164" s="511"/>
      <c r="AR164" s="510"/>
      <c r="AS164" s="685"/>
      <c r="AT164" s="510"/>
      <c r="AU164" s="511"/>
      <c r="AV164" s="511"/>
      <c r="AW164" s="510"/>
      <c r="AX164" s="685"/>
      <c r="AZ164" s="357" t="e">
        <f t="shared" si="33"/>
        <v>#N/A</v>
      </c>
      <c r="BA164" s="685"/>
    </row>
    <row r="165" spans="2:53">
      <c r="B165" s="671"/>
      <c r="C165" s="270">
        <v>19</v>
      </c>
      <c r="D165" s="196"/>
      <c r="E165" s="481"/>
      <c r="F165" s="196"/>
      <c r="G165" s="194"/>
      <c r="H165" s="711"/>
      <c r="I165" s="352" t="str">
        <f t="shared" si="30"/>
        <v>-</v>
      </c>
      <c r="J165" s="352" t="str">
        <f t="shared" si="31"/>
        <v>-</v>
      </c>
      <c r="K165" s="194" t="str">
        <f t="shared" si="32"/>
        <v>-</v>
      </c>
      <c r="L165" s="645"/>
      <c r="M165" s="193" t="e">
        <f>RANK(K165, K$147:$K$176)</f>
        <v>#VALUE!</v>
      </c>
      <c r="N165" s="663"/>
      <c r="O165" s="663"/>
      <c r="P165" s="510"/>
      <c r="Q165" s="511"/>
      <c r="R165" s="511"/>
      <c r="S165" s="510"/>
      <c r="T165" s="685"/>
      <c r="U165" s="510"/>
      <c r="V165" s="511"/>
      <c r="W165" s="511"/>
      <c r="X165" s="510"/>
      <c r="Y165" s="685"/>
      <c r="Z165" s="510"/>
      <c r="AA165" s="511"/>
      <c r="AB165" s="511"/>
      <c r="AC165" s="510"/>
      <c r="AD165" s="685"/>
      <c r="AE165" s="510"/>
      <c r="AF165" s="511"/>
      <c r="AG165" s="511"/>
      <c r="AH165" s="510"/>
      <c r="AI165" s="685"/>
      <c r="AJ165" s="510"/>
      <c r="AK165" s="511"/>
      <c r="AL165" s="511"/>
      <c r="AM165" s="510"/>
      <c r="AN165" s="685"/>
      <c r="AO165" s="510"/>
      <c r="AP165" s="511"/>
      <c r="AQ165" s="511"/>
      <c r="AR165" s="510"/>
      <c r="AS165" s="685"/>
      <c r="AT165" s="510"/>
      <c r="AU165" s="511"/>
      <c r="AV165" s="511"/>
      <c r="AW165" s="510"/>
      <c r="AX165" s="685"/>
      <c r="AZ165" s="357" t="e">
        <f t="shared" si="33"/>
        <v>#N/A</v>
      </c>
      <c r="BA165" s="685"/>
    </row>
    <row r="166" spans="2:53">
      <c r="B166" s="671"/>
      <c r="C166" s="270">
        <v>20</v>
      </c>
      <c r="D166" s="196"/>
      <c r="E166" s="481"/>
      <c r="F166" s="196"/>
      <c r="G166" s="194"/>
      <c r="H166" s="711"/>
      <c r="I166" s="352" t="str">
        <f t="shared" si="30"/>
        <v>-</v>
      </c>
      <c r="J166" s="352" t="str">
        <f t="shared" si="31"/>
        <v>-</v>
      </c>
      <c r="K166" s="194" t="str">
        <f t="shared" si="32"/>
        <v>-</v>
      </c>
      <c r="L166" s="645"/>
      <c r="M166" s="193" t="e">
        <f>RANK(K166, K$147:$K$176)</f>
        <v>#VALUE!</v>
      </c>
      <c r="N166" s="663"/>
      <c r="O166" s="663"/>
      <c r="P166" s="510"/>
      <c r="Q166" s="511"/>
      <c r="R166" s="511"/>
      <c r="S166" s="510"/>
      <c r="T166" s="685"/>
      <c r="U166" s="510"/>
      <c r="V166" s="511"/>
      <c r="W166" s="511"/>
      <c r="X166" s="510"/>
      <c r="Y166" s="685"/>
      <c r="Z166" s="510"/>
      <c r="AA166" s="511"/>
      <c r="AB166" s="511"/>
      <c r="AC166" s="510"/>
      <c r="AD166" s="685"/>
      <c r="AE166" s="510"/>
      <c r="AF166" s="511"/>
      <c r="AG166" s="511"/>
      <c r="AH166" s="510"/>
      <c r="AI166" s="685"/>
      <c r="AJ166" s="510"/>
      <c r="AK166" s="511"/>
      <c r="AL166" s="511"/>
      <c r="AM166" s="510"/>
      <c r="AN166" s="685"/>
      <c r="AO166" s="510"/>
      <c r="AP166" s="511"/>
      <c r="AQ166" s="511"/>
      <c r="AR166" s="510"/>
      <c r="AS166" s="685"/>
      <c r="AT166" s="510"/>
      <c r="AU166" s="511"/>
      <c r="AV166" s="511"/>
      <c r="AW166" s="510"/>
      <c r="AX166" s="685"/>
      <c r="AZ166" s="357" t="e">
        <f t="shared" si="33"/>
        <v>#N/A</v>
      </c>
      <c r="BA166" s="685"/>
    </row>
    <row r="167" spans="2:53">
      <c r="B167" s="671"/>
      <c r="C167" s="270">
        <v>21</v>
      </c>
      <c r="D167" s="196"/>
      <c r="E167" s="481"/>
      <c r="F167" s="196"/>
      <c r="G167" s="194"/>
      <c r="H167" s="711"/>
      <c r="I167" s="352" t="str">
        <f t="shared" si="30"/>
        <v>-</v>
      </c>
      <c r="J167" s="352" t="str">
        <f t="shared" si="31"/>
        <v>-</v>
      </c>
      <c r="K167" s="194" t="str">
        <f t="shared" si="32"/>
        <v>-</v>
      </c>
      <c r="L167" s="645"/>
      <c r="M167" s="193" t="e">
        <f>RANK(K167, K$147:$K$176)</f>
        <v>#VALUE!</v>
      </c>
      <c r="N167" s="663"/>
      <c r="O167" s="663"/>
      <c r="P167" s="510"/>
      <c r="Q167" s="511"/>
      <c r="R167" s="511"/>
      <c r="S167" s="510"/>
      <c r="T167" s="685"/>
      <c r="U167" s="510"/>
      <c r="V167" s="511"/>
      <c r="W167" s="511"/>
      <c r="X167" s="510"/>
      <c r="Y167" s="685"/>
      <c r="Z167" s="510"/>
      <c r="AA167" s="511"/>
      <c r="AB167" s="511"/>
      <c r="AC167" s="510"/>
      <c r="AD167" s="685"/>
      <c r="AE167" s="510"/>
      <c r="AF167" s="511"/>
      <c r="AG167" s="511"/>
      <c r="AH167" s="510"/>
      <c r="AI167" s="685"/>
      <c r="AJ167" s="510"/>
      <c r="AK167" s="511"/>
      <c r="AL167" s="511"/>
      <c r="AM167" s="510"/>
      <c r="AN167" s="685"/>
      <c r="AO167" s="510"/>
      <c r="AP167" s="511"/>
      <c r="AQ167" s="511"/>
      <c r="AR167" s="510"/>
      <c r="AS167" s="685"/>
      <c r="AT167" s="510"/>
      <c r="AU167" s="511"/>
      <c r="AV167" s="511"/>
      <c r="AW167" s="510"/>
      <c r="AX167" s="685"/>
      <c r="AZ167" s="357" t="e">
        <f t="shared" si="33"/>
        <v>#N/A</v>
      </c>
      <c r="BA167" s="685"/>
    </row>
    <row r="168" spans="2:53">
      <c r="B168" s="671"/>
      <c r="C168" s="270">
        <v>22</v>
      </c>
      <c r="D168" s="196"/>
      <c r="E168" s="481"/>
      <c r="F168" s="196"/>
      <c r="G168" s="194"/>
      <c r="H168" s="711"/>
      <c r="I168" s="352" t="str">
        <f t="shared" si="30"/>
        <v>-</v>
      </c>
      <c r="J168" s="352" t="str">
        <f t="shared" si="31"/>
        <v>-</v>
      </c>
      <c r="K168" s="194" t="str">
        <f t="shared" si="32"/>
        <v>-</v>
      </c>
      <c r="L168" s="645"/>
      <c r="M168" s="193" t="e">
        <f>RANK(K168, K$147:$K$176)</f>
        <v>#VALUE!</v>
      </c>
      <c r="N168" s="663"/>
      <c r="O168" s="663"/>
      <c r="P168" s="510"/>
      <c r="Q168" s="511"/>
      <c r="R168" s="511"/>
      <c r="S168" s="510"/>
      <c r="T168" s="685"/>
      <c r="U168" s="510"/>
      <c r="V168" s="511"/>
      <c r="W168" s="511"/>
      <c r="X168" s="510"/>
      <c r="Y168" s="685"/>
      <c r="Z168" s="510"/>
      <c r="AA168" s="511"/>
      <c r="AB168" s="511"/>
      <c r="AC168" s="510"/>
      <c r="AD168" s="685"/>
      <c r="AE168" s="510"/>
      <c r="AF168" s="511"/>
      <c r="AG168" s="511"/>
      <c r="AH168" s="510"/>
      <c r="AI168" s="685"/>
      <c r="AJ168" s="510"/>
      <c r="AK168" s="511"/>
      <c r="AL168" s="511"/>
      <c r="AM168" s="510"/>
      <c r="AN168" s="685"/>
      <c r="AO168" s="510"/>
      <c r="AP168" s="511"/>
      <c r="AQ168" s="511"/>
      <c r="AR168" s="510"/>
      <c r="AS168" s="685"/>
      <c r="AT168" s="510"/>
      <c r="AU168" s="511"/>
      <c r="AV168" s="511"/>
      <c r="AW168" s="510"/>
      <c r="AX168" s="685"/>
      <c r="AZ168" s="357" t="e">
        <f t="shared" si="33"/>
        <v>#N/A</v>
      </c>
      <c r="BA168" s="685"/>
    </row>
    <row r="169" spans="2:53">
      <c r="B169" s="671"/>
      <c r="C169" s="270">
        <v>23</v>
      </c>
      <c r="D169" s="196"/>
      <c r="E169" s="481"/>
      <c r="F169" s="196"/>
      <c r="G169" s="194"/>
      <c r="H169" s="711"/>
      <c r="I169" s="352" t="str">
        <f t="shared" si="30"/>
        <v>-</v>
      </c>
      <c r="J169" s="352" t="str">
        <f t="shared" si="31"/>
        <v>-</v>
      </c>
      <c r="K169" s="194" t="str">
        <f t="shared" si="32"/>
        <v>-</v>
      </c>
      <c r="L169" s="645"/>
      <c r="M169" s="193" t="e">
        <f>RANK(K169, K$147:$K$176)</f>
        <v>#VALUE!</v>
      </c>
      <c r="N169" s="663"/>
      <c r="O169" s="663"/>
      <c r="P169" s="510"/>
      <c r="Q169" s="511"/>
      <c r="R169" s="511"/>
      <c r="S169" s="510"/>
      <c r="T169" s="685"/>
      <c r="U169" s="510"/>
      <c r="V169" s="511"/>
      <c r="W169" s="511"/>
      <c r="X169" s="510"/>
      <c r="Y169" s="685"/>
      <c r="Z169" s="510"/>
      <c r="AA169" s="511"/>
      <c r="AB169" s="511"/>
      <c r="AC169" s="510"/>
      <c r="AD169" s="685"/>
      <c r="AE169" s="510"/>
      <c r="AF169" s="511"/>
      <c r="AG169" s="511"/>
      <c r="AH169" s="510"/>
      <c r="AI169" s="685"/>
      <c r="AJ169" s="510"/>
      <c r="AK169" s="511"/>
      <c r="AL169" s="511"/>
      <c r="AM169" s="510"/>
      <c r="AN169" s="685"/>
      <c r="AO169" s="510"/>
      <c r="AP169" s="511"/>
      <c r="AQ169" s="511"/>
      <c r="AR169" s="510"/>
      <c r="AS169" s="685"/>
      <c r="AT169" s="510"/>
      <c r="AU169" s="511"/>
      <c r="AV169" s="511"/>
      <c r="AW169" s="510"/>
      <c r="AX169" s="685"/>
      <c r="AZ169" s="357" t="e">
        <f t="shared" si="33"/>
        <v>#N/A</v>
      </c>
      <c r="BA169" s="685"/>
    </row>
    <row r="170" spans="2:53">
      <c r="B170" s="671"/>
      <c r="C170" s="270">
        <v>24</v>
      </c>
      <c r="D170" s="196"/>
      <c r="E170" s="481"/>
      <c r="F170" s="196"/>
      <c r="G170" s="194"/>
      <c r="H170" s="711"/>
      <c r="I170" s="352" t="str">
        <f t="shared" si="30"/>
        <v>-</v>
      </c>
      <c r="J170" s="352" t="str">
        <f t="shared" si="31"/>
        <v>-</v>
      </c>
      <c r="K170" s="194" t="str">
        <f t="shared" si="32"/>
        <v>-</v>
      </c>
      <c r="L170" s="645"/>
      <c r="M170" s="193" t="e">
        <f>RANK(K170, K$147:$K$176)</f>
        <v>#VALUE!</v>
      </c>
      <c r="N170" s="663"/>
      <c r="O170" s="663"/>
      <c r="P170" s="510"/>
      <c r="Q170" s="511"/>
      <c r="R170" s="511"/>
      <c r="S170" s="510"/>
      <c r="T170" s="685"/>
      <c r="U170" s="510"/>
      <c r="V170" s="511"/>
      <c r="W170" s="511"/>
      <c r="X170" s="510"/>
      <c r="Y170" s="685"/>
      <c r="Z170" s="510"/>
      <c r="AA170" s="511"/>
      <c r="AB170" s="511"/>
      <c r="AC170" s="510"/>
      <c r="AD170" s="685"/>
      <c r="AE170" s="510"/>
      <c r="AF170" s="511"/>
      <c r="AG170" s="511"/>
      <c r="AH170" s="510"/>
      <c r="AI170" s="685"/>
      <c r="AJ170" s="510"/>
      <c r="AK170" s="511"/>
      <c r="AL170" s="511"/>
      <c r="AM170" s="510"/>
      <c r="AN170" s="685"/>
      <c r="AO170" s="510"/>
      <c r="AP170" s="511"/>
      <c r="AQ170" s="511"/>
      <c r="AR170" s="510"/>
      <c r="AS170" s="685"/>
      <c r="AT170" s="510"/>
      <c r="AU170" s="511"/>
      <c r="AV170" s="511"/>
      <c r="AW170" s="510"/>
      <c r="AX170" s="685"/>
      <c r="AZ170" s="357" t="e">
        <f t="shared" si="33"/>
        <v>#N/A</v>
      </c>
      <c r="BA170" s="685"/>
    </row>
    <row r="171" spans="2:53">
      <c r="B171" s="671"/>
      <c r="C171" s="270">
        <v>25</v>
      </c>
      <c r="D171" s="196"/>
      <c r="E171" s="481"/>
      <c r="F171" s="196"/>
      <c r="G171" s="194"/>
      <c r="H171" s="711"/>
      <c r="I171" s="352" t="str">
        <f t="shared" si="30"/>
        <v>-</v>
      </c>
      <c r="J171" s="352" t="str">
        <f t="shared" si="31"/>
        <v>-</v>
      </c>
      <c r="K171" s="194" t="str">
        <f t="shared" si="32"/>
        <v>-</v>
      </c>
      <c r="L171" s="645"/>
      <c r="M171" s="193" t="e">
        <f>RANK(K171, K$147:$K$176)</f>
        <v>#VALUE!</v>
      </c>
      <c r="N171" s="663"/>
      <c r="O171" s="663"/>
      <c r="P171" s="510"/>
      <c r="Q171" s="511"/>
      <c r="R171" s="511"/>
      <c r="S171" s="510"/>
      <c r="T171" s="685"/>
      <c r="U171" s="510"/>
      <c r="V171" s="511"/>
      <c r="W171" s="511"/>
      <c r="X171" s="510"/>
      <c r="Y171" s="685"/>
      <c r="Z171" s="510"/>
      <c r="AA171" s="511"/>
      <c r="AB171" s="511"/>
      <c r="AC171" s="510"/>
      <c r="AD171" s="685"/>
      <c r="AE171" s="510"/>
      <c r="AF171" s="511"/>
      <c r="AG171" s="511"/>
      <c r="AH171" s="510"/>
      <c r="AI171" s="685"/>
      <c r="AJ171" s="510"/>
      <c r="AK171" s="511"/>
      <c r="AL171" s="511"/>
      <c r="AM171" s="510"/>
      <c r="AN171" s="685"/>
      <c r="AO171" s="510"/>
      <c r="AP171" s="511"/>
      <c r="AQ171" s="511"/>
      <c r="AR171" s="510"/>
      <c r="AS171" s="685"/>
      <c r="AT171" s="510"/>
      <c r="AU171" s="511"/>
      <c r="AV171" s="511"/>
      <c r="AW171" s="510"/>
      <c r="AX171" s="685"/>
      <c r="AZ171" s="357" t="e">
        <f t="shared" si="33"/>
        <v>#N/A</v>
      </c>
      <c r="BA171" s="685"/>
    </row>
    <row r="172" spans="2:53">
      <c r="B172" s="671"/>
      <c r="C172" s="270">
        <v>26</v>
      </c>
      <c r="D172" s="196"/>
      <c r="E172" s="481"/>
      <c r="F172" s="196"/>
      <c r="G172" s="194"/>
      <c r="H172" s="711"/>
      <c r="I172" s="352" t="str">
        <f t="shared" si="30"/>
        <v>-</v>
      </c>
      <c r="J172" s="352" t="str">
        <f t="shared" si="31"/>
        <v>-</v>
      </c>
      <c r="K172" s="194" t="str">
        <f t="shared" si="32"/>
        <v>-</v>
      </c>
      <c r="L172" s="645"/>
      <c r="M172" s="193" t="e">
        <f>RANK(K172, K$147:$K$176)</f>
        <v>#VALUE!</v>
      </c>
      <c r="N172" s="663"/>
      <c r="O172" s="663"/>
      <c r="P172" s="510"/>
      <c r="Q172" s="511"/>
      <c r="R172" s="511"/>
      <c r="S172" s="510"/>
      <c r="T172" s="685"/>
      <c r="U172" s="510"/>
      <c r="V172" s="511"/>
      <c r="W172" s="511"/>
      <c r="X172" s="510"/>
      <c r="Y172" s="685"/>
      <c r="Z172" s="510"/>
      <c r="AA172" s="511"/>
      <c r="AB172" s="511"/>
      <c r="AC172" s="510"/>
      <c r="AD172" s="685"/>
      <c r="AE172" s="510"/>
      <c r="AF172" s="511"/>
      <c r="AG172" s="511"/>
      <c r="AH172" s="510"/>
      <c r="AI172" s="685"/>
      <c r="AJ172" s="510"/>
      <c r="AK172" s="511"/>
      <c r="AL172" s="511"/>
      <c r="AM172" s="510"/>
      <c r="AN172" s="685"/>
      <c r="AO172" s="510"/>
      <c r="AP172" s="511"/>
      <c r="AQ172" s="511"/>
      <c r="AR172" s="510"/>
      <c r="AS172" s="685"/>
      <c r="AT172" s="510"/>
      <c r="AU172" s="511"/>
      <c r="AV172" s="511"/>
      <c r="AW172" s="510"/>
      <c r="AX172" s="685"/>
      <c r="AZ172" s="357" t="e">
        <f t="shared" si="33"/>
        <v>#N/A</v>
      </c>
      <c r="BA172" s="685"/>
    </row>
    <row r="173" spans="2:53">
      <c r="B173" s="671"/>
      <c r="C173" s="270">
        <v>27</v>
      </c>
      <c r="D173" s="196"/>
      <c r="E173" s="481"/>
      <c r="F173" s="196"/>
      <c r="G173" s="194"/>
      <c r="H173" s="711"/>
      <c r="I173" s="352" t="str">
        <f t="shared" si="30"/>
        <v>-</v>
      </c>
      <c r="J173" s="352" t="str">
        <f t="shared" si="31"/>
        <v>-</v>
      </c>
      <c r="K173" s="194" t="str">
        <f t="shared" si="32"/>
        <v>-</v>
      </c>
      <c r="L173" s="645"/>
      <c r="M173" s="193" t="e">
        <f>RANK(K173, K$147:$K$176)</f>
        <v>#VALUE!</v>
      </c>
      <c r="N173" s="663"/>
      <c r="O173" s="663"/>
      <c r="P173" s="510"/>
      <c r="Q173" s="511"/>
      <c r="R173" s="511"/>
      <c r="S173" s="510"/>
      <c r="T173" s="685"/>
      <c r="U173" s="510"/>
      <c r="V173" s="511"/>
      <c r="W173" s="511"/>
      <c r="X173" s="510"/>
      <c r="Y173" s="685"/>
      <c r="Z173" s="510"/>
      <c r="AA173" s="511"/>
      <c r="AB173" s="511"/>
      <c r="AC173" s="510"/>
      <c r="AD173" s="685"/>
      <c r="AE173" s="510"/>
      <c r="AF173" s="511"/>
      <c r="AG173" s="511"/>
      <c r="AH173" s="510"/>
      <c r="AI173" s="685"/>
      <c r="AJ173" s="510"/>
      <c r="AK173" s="511"/>
      <c r="AL173" s="511"/>
      <c r="AM173" s="510"/>
      <c r="AN173" s="685"/>
      <c r="AO173" s="510"/>
      <c r="AP173" s="511"/>
      <c r="AQ173" s="511"/>
      <c r="AR173" s="510"/>
      <c r="AS173" s="685"/>
      <c r="AT173" s="510"/>
      <c r="AU173" s="511"/>
      <c r="AV173" s="511"/>
      <c r="AW173" s="510"/>
      <c r="AX173" s="685"/>
      <c r="AZ173" s="357" t="e">
        <f t="shared" si="33"/>
        <v>#N/A</v>
      </c>
      <c r="BA173" s="685"/>
    </row>
    <row r="174" spans="2:53">
      <c r="B174" s="671"/>
      <c r="C174" s="270">
        <v>28</v>
      </c>
      <c r="D174" s="196"/>
      <c r="E174" s="481"/>
      <c r="F174" s="196"/>
      <c r="G174" s="194"/>
      <c r="H174" s="711"/>
      <c r="I174" s="352" t="str">
        <f t="shared" si="30"/>
        <v>-</v>
      </c>
      <c r="J174" s="352" t="str">
        <f t="shared" si="31"/>
        <v>-</v>
      </c>
      <c r="K174" s="194" t="str">
        <f t="shared" si="32"/>
        <v>-</v>
      </c>
      <c r="L174" s="645"/>
      <c r="M174" s="193" t="e">
        <f>RANK(K174, K$147:$K$176)</f>
        <v>#VALUE!</v>
      </c>
      <c r="N174" s="663"/>
      <c r="O174" s="663"/>
      <c r="P174" s="510"/>
      <c r="Q174" s="511"/>
      <c r="R174" s="511"/>
      <c r="S174" s="510"/>
      <c r="T174" s="685"/>
      <c r="U174" s="510"/>
      <c r="V174" s="511"/>
      <c r="W174" s="511"/>
      <c r="X174" s="510"/>
      <c r="Y174" s="685"/>
      <c r="Z174" s="510"/>
      <c r="AA174" s="511"/>
      <c r="AB174" s="511"/>
      <c r="AC174" s="510"/>
      <c r="AD174" s="685"/>
      <c r="AE174" s="510"/>
      <c r="AF174" s="511"/>
      <c r="AG174" s="511"/>
      <c r="AH174" s="510"/>
      <c r="AI174" s="685"/>
      <c r="AJ174" s="510"/>
      <c r="AK174" s="511"/>
      <c r="AL174" s="511"/>
      <c r="AM174" s="510"/>
      <c r="AN174" s="685"/>
      <c r="AO174" s="510"/>
      <c r="AP174" s="511"/>
      <c r="AQ174" s="511"/>
      <c r="AR174" s="510"/>
      <c r="AS174" s="685"/>
      <c r="AT174" s="510"/>
      <c r="AU174" s="511"/>
      <c r="AV174" s="511"/>
      <c r="AW174" s="510"/>
      <c r="AX174" s="685"/>
      <c r="AZ174" s="357" t="e">
        <f t="shared" si="33"/>
        <v>#N/A</v>
      </c>
      <c r="BA174" s="685"/>
    </row>
    <row r="175" spans="2:53">
      <c r="B175" s="671"/>
      <c r="C175" s="270">
        <v>29</v>
      </c>
      <c r="D175" s="196"/>
      <c r="E175" s="481"/>
      <c r="F175" s="196"/>
      <c r="G175" s="194"/>
      <c r="H175" s="711"/>
      <c r="I175" s="352" t="str">
        <f t="shared" si="30"/>
        <v>-</v>
      </c>
      <c r="J175" s="352" t="str">
        <f t="shared" si="31"/>
        <v>-</v>
      </c>
      <c r="K175" s="194" t="str">
        <f t="shared" si="32"/>
        <v>-</v>
      </c>
      <c r="L175" s="645"/>
      <c r="M175" s="193" t="e">
        <f>RANK(K175, K$147:$K$176)</f>
        <v>#VALUE!</v>
      </c>
      <c r="N175" s="663"/>
      <c r="O175" s="663"/>
      <c r="P175" s="510"/>
      <c r="Q175" s="511"/>
      <c r="R175" s="511"/>
      <c r="S175" s="510"/>
      <c r="T175" s="685"/>
      <c r="U175" s="510"/>
      <c r="V175" s="511"/>
      <c r="W175" s="511"/>
      <c r="X175" s="510"/>
      <c r="Y175" s="685"/>
      <c r="Z175" s="510"/>
      <c r="AA175" s="511"/>
      <c r="AB175" s="511"/>
      <c r="AC175" s="510"/>
      <c r="AD175" s="685"/>
      <c r="AE175" s="510"/>
      <c r="AF175" s="511"/>
      <c r="AG175" s="511"/>
      <c r="AH175" s="510"/>
      <c r="AI175" s="685"/>
      <c r="AJ175" s="510"/>
      <c r="AK175" s="511"/>
      <c r="AL175" s="511"/>
      <c r="AM175" s="510"/>
      <c r="AN175" s="685"/>
      <c r="AO175" s="510"/>
      <c r="AP175" s="511"/>
      <c r="AQ175" s="511"/>
      <c r="AR175" s="510"/>
      <c r="AS175" s="685"/>
      <c r="AT175" s="510"/>
      <c r="AU175" s="511"/>
      <c r="AV175" s="511"/>
      <c r="AW175" s="510"/>
      <c r="AX175" s="685"/>
      <c r="AZ175" s="357" t="e">
        <f t="shared" si="33"/>
        <v>#N/A</v>
      </c>
      <c r="BA175" s="685"/>
    </row>
    <row r="176" spans="2:53">
      <c r="B176" s="671"/>
      <c r="C176" s="270">
        <v>30</v>
      </c>
      <c r="D176" s="196"/>
      <c r="E176" s="481"/>
      <c r="F176" s="196"/>
      <c r="G176" s="194"/>
      <c r="H176" s="712"/>
      <c r="I176" s="352" t="str">
        <f t="shared" si="30"/>
        <v>-</v>
      </c>
      <c r="J176" s="352" t="str">
        <f t="shared" si="31"/>
        <v>-</v>
      </c>
      <c r="K176" s="194" t="str">
        <f t="shared" si="32"/>
        <v>-</v>
      </c>
      <c r="L176" s="646"/>
      <c r="M176" s="193" t="e">
        <f>RANK(K176, K$147:$K$176)</f>
        <v>#VALUE!</v>
      </c>
      <c r="N176" s="663"/>
      <c r="O176" s="663"/>
      <c r="P176" s="510"/>
      <c r="Q176" s="511"/>
      <c r="R176" s="511"/>
      <c r="S176" s="510"/>
      <c r="T176" s="685"/>
      <c r="U176" s="510"/>
      <c r="V176" s="511"/>
      <c r="W176" s="511"/>
      <c r="X176" s="510"/>
      <c r="Y176" s="685"/>
      <c r="Z176" s="510"/>
      <c r="AA176" s="511"/>
      <c r="AB176" s="511"/>
      <c r="AC176" s="510"/>
      <c r="AD176" s="685"/>
      <c r="AE176" s="510"/>
      <c r="AF176" s="511"/>
      <c r="AG176" s="511"/>
      <c r="AH176" s="510"/>
      <c r="AI176" s="685"/>
      <c r="AJ176" s="510"/>
      <c r="AK176" s="511"/>
      <c r="AL176" s="511"/>
      <c r="AM176" s="510"/>
      <c r="AN176" s="685"/>
      <c r="AO176" s="510"/>
      <c r="AP176" s="511"/>
      <c r="AQ176" s="511"/>
      <c r="AR176" s="510"/>
      <c r="AS176" s="685"/>
      <c r="AT176" s="510"/>
      <c r="AU176" s="511"/>
      <c r="AV176" s="511"/>
      <c r="AW176" s="510"/>
      <c r="AX176" s="685"/>
      <c r="AZ176" s="357" t="e">
        <f t="shared" si="33"/>
        <v>#N/A</v>
      </c>
      <c r="BA176" s="685"/>
    </row>
    <row r="177" spans="2:53" ht="15.75">
      <c r="B177" s="675" t="s">
        <v>162</v>
      </c>
      <c r="C177" s="676"/>
      <c r="D177" s="676"/>
      <c r="E177" s="676"/>
      <c r="F177" s="676"/>
      <c r="G177" s="676"/>
      <c r="H177" s="677"/>
      <c r="I177" s="202"/>
      <c r="J177" s="202"/>
      <c r="K177" s="202"/>
      <c r="L177" s="202"/>
      <c r="M177" s="201"/>
      <c r="N177" s="664" t="s">
        <v>156</v>
      </c>
      <c r="O177" s="664" t="s">
        <v>105</v>
      </c>
      <c r="P177" s="663" t="s">
        <v>564</v>
      </c>
      <c r="Q177" s="722" t="s">
        <v>564</v>
      </c>
      <c r="R177" s="722" t="s">
        <v>564</v>
      </c>
      <c r="S177" s="671"/>
      <c r="T177" s="685"/>
      <c r="U177" s="660" t="s">
        <v>564</v>
      </c>
      <c r="V177" s="723" t="s">
        <v>564</v>
      </c>
      <c r="W177" s="723" t="s">
        <v>564</v>
      </c>
      <c r="X177" s="661"/>
      <c r="Y177" s="724"/>
      <c r="Z177" s="660" t="s">
        <v>564</v>
      </c>
      <c r="AA177" s="723" t="s">
        <v>564</v>
      </c>
      <c r="AB177" s="723" t="s">
        <v>564</v>
      </c>
      <c r="AC177" s="661"/>
      <c r="AD177" s="724"/>
      <c r="AE177" s="660" t="s">
        <v>564</v>
      </c>
      <c r="AF177" s="723" t="s">
        <v>564</v>
      </c>
      <c r="AG177" s="723" t="s">
        <v>564</v>
      </c>
      <c r="AH177" s="661"/>
      <c r="AI177" s="724"/>
      <c r="AJ177" s="660" t="s">
        <v>564</v>
      </c>
      <c r="AK177" s="723" t="s">
        <v>564</v>
      </c>
      <c r="AL177" s="723" t="s">
        <v>564</v>
      </c>
      <c r="AM177" s="661"/>
      <c r="AN177" s="724"/>
      <c r="AO177" s="660" t="s">
        <v>564</v>
      </c>
      <c r="AP177" s="723" t="s">
        <v>564</v>
      </c>
      <c r="AQ177" s="723" t="s">
        <v>564</v>
      </c>
      <c r="AR177" s="661"/>
      <c r="AS177" s="724"/>
      <c r="AT177" s="660" t="s">
        <v>564</v>
      </c>
      <c r="AU177" s="723" t="s">
        <v>564</v>
      </c>
      <c r="AV177" s="723" t="s">
        <v>564</v>
      </c>
      <c r="AW177" s="661"/>
      <c r="AX177" s="724"/>
    </row>
    <row r="178" spans="2:53" ht="15.75">
      <c r="B178" s="678"/>
      <c r="C178" s="678"/>
      <c r="D178" s="678"/>
      <c r="E178" s="678"/>
      <c r="F178" s="678"/>
      <c r="G178" s="678"/>
      <c r="H178" s="678"/>
      <c r="I178" s="199"/>
      <c r="J178" s="199"/>
      <c r="K178" s="199"/>
      <c r="L178" s="199"/>
      <c r="M178" s="200"/>
      <c r="N178" s="666"/>
      <c r="O178" s="666"/>
      <c r="P178" s="663" t="s">
        <v>564</v>
      </c>
      <c r="Q178" s="722" t="s">
        <v>564</v>
      </c>
      <c r="R178" s="722" t="s">
        <v>564</v>
      </c>
      <c r="S178" s="671"/>
      <c r="T178" s="685"/>
      <c r="U178" s="663" t="s">
        <v>564</v>
      </c>
      <c r="V178" s="722" t="s">
        <v>564</v>
      </c>
      <c r="W178" s="722" t="s">
        <v>564</v>
      </c>
      <c r="X178" s="671"/>
      <c r="Y178" s="685"/>
      <c r="Z178" s="663" t="s">
        <v>564</v>
      </c>
      <c r="AA178" s="722" t="s">
        <v>564</v>
      </c>
      <c r="AB178" s="722" t="s">
        <v>564</v>
      </c>
      <c r="AC178" s="671"/>
      <c r="AD178" s="685"/>
      <c r="AE178" s="663" t="s">
        <v>564</v>
      </c>
      <c r="AF178" s="722" t="s">
        <v>564</v>
      </c>
      <c r="AG178" s="722" t="s">
        <v>564</v>
      </c>
      <c r="AH178" s="671"/>
      <c r="AI178" s="685"/>
      <c r="AJ178" s="663" t="s">
        <v>564</v>
      </c>
      <c r="AK178" s="722" t="s">
        <v>564</v>
      </c>
      <c r="AL178" s="722" t="s">
        <v>564</v>
      </c>
      <c r="AM178" s="671"/>
      <c r="AN178" s="685"/>
      <c r="AO178" s="663" t="s">
        <v>564</v>
      </c>
      <c r="AP178" s="722" t="s">
        <v>564</v>
      </c>
      <c r="AQ178" s="722" t="s">
        <v>564</v>
      </c>
      <c r="AR178" s="671"/>
      <c r="AS178" s="685"/>
      <c r="AT178" s="663" t="s">
        <v>564</v>
      </c>
      <c r="AU178" s="722" t="s">
        <v>564</v>
      </c>
      <c r="AV178" s="722" t="s">
        <v>564</v>
      </c>
      <c r="AW178" s="671"/>
      <c r="AX178" s="685"/>
    </row>
    <row r="179" spans="2:53">
      <c r="B179" s="663" t="s">
        <v>154</v>
      </c>
      <c r="C179" s="663" t="s">
        <v>372</v>
      </c>
      <c r="D179" s="663"/>
      <c r="E179" s="663" t="s">
        <v>363</v>
      </c>
      <c r="F179" s="663"/>
      <c r="G179" s="663"/>
      <c r="H179" s="679" t="s">
        <v>359</v>
      </c>
      <c r="I179" s="647" t="s">
        <v>364</v>
      </c>
      <c r="J179" s="647"/>
      <c r="K179" s="647"/>
      <c r="L179" s="648" t="s">
        <v>359</v>
      </c>
      <c r="M179" s="654" t="s">
        <v>360</v>
      </c>
      <c r="N179" s="663"/>
      <c r="O179" s="663" t="s">
        <v>365</v>
      </c>
      <c r="P179" s="660" t="s">
        <v>361</v>
      </c>
      <c r="Q179" s="661"/>
      <c r="R179" s="661"/>
      <c r="S179" s="662"/>
      <c r="T179" s="663" t="s">
        <v>359</v>
      </c>
      <c r="U179" s="660" t="s">
        <v>361</v>
      </c>
      <c r="V179" s="661"/>
      <c r="W179" s="661"/>
      <c r="X179" s="662"/>
      <c r="Y179" s="663" t="s">
        <v>359</v>
      </c>
      <c r="Z179" s="660" t="s">
        <v>361</v>
      </c>
      <c r="AA179" s="661"/>
      <c r="AB179" s="661"/>
      <c r="AC179" s="662"/>
      <c r="AD179" s="663" t="s">
        <v>359</v>
      </c>
      <c r="AE179" s="660" t="s">
        <v>361</v>
      </c>
      <c r="AF179" s="661"/>
      <c r="AG179" s="661"/>
      <c r="AH179" s="662"/>
      <c r="AI179" s="663" t="s">
        <v>359</v>
      </c>
      <c r="AJ179" s="660" t="s">
        <v>361</v>
      </c>
      <c r="AK179" s="661"/>
      <c r="AL179" s="661"/>
      <c r="AM179" s="662"/>
      <c r="AN179" s="663" t="s">
        <v>359</v>
      </c>
      <c r="AO179" s="660" t="s">
        <v>361</v>
      </c>
      <c r="AP179" s="661"/>
      <c r="AQ179" s="661"/>
      <c r="AR179" s="662"/>
      <c r="AS179" s="663" t="s">
        <v>359</v>
      </c>
      <c r="AT179" s="660" t="s">
        <v>361</v>
      </c>
      <c r="AU179" s="661"/>
      <c r="AV179" s="661"/>
      <c r="AW179" s="662"/>
      <c r="AX179" s="663" t="s">
        <v>359</v>
      </c>
      <c r="BA179" s="663" t="s">
        <v>359</v>
      </c>
    </row>
    <row r="180" spans="2:53">
      <c r="B180" s="663"/>
      <c r="C180" s="663"/>
      <c r="D180" s="663"/>
      <c r="E180" s="663" t="s">
        <v>366</v>
      </c>
      <c r="F180" s="663"/>
      <c r="G180" s="663"/>
      <c r="H180" s="680"/>
      <c r="I180" s="647" t="s">
        <v>366</v>
      </c>
      <c r="J180" s="647"/>
      <c r="K180" s="647"/>
      <c r="L180" s="649"/>
      <c r="M180" s="655"/>
      <c r="N180" s="663"/>
      <c r="O180" s="663"/>
      <c r="P180" s="660" t="s">
        <v>367</v>
      </c>
      <c r="Q180" s="661"/>
      <c r="R180" s="661"/>
      <c r="S180" s="662"/>
      <c r="T180" s="663"/>
      <c r="U180" s="660" t="s">
        <v>367</v>
      </c>
      <c r="V180" s="661"/>
      <c r="W180" s="661"/>
      <c r="X180" s="662"/>
      <c r="Y180" s="663"/>
      <c r="Z180" s="660" t="s">
        <v>367</v>
      </c>
      <c r="AA180" s="661"/>
      <c r="AB180" s="661"/>
      <c r="AC180" s="662"/>
      <c r="AD180" s="663"/>
      <c r="AE180" s="660" t="s">
        <v>367</v>
      </c>
      <c r="AF180" s="661"/>
      <c r="AG180" s="661"/>
      <c r="AH180" s="662"/>
      <c r="AI180" s="663"/>
      <c r="AJ180" s="660" t="s">
        <v>367</v>
      </c>
      <c r="AK180" s="661"/>
      <c r="AL180" s="661"/>
      <c r="AM180" s="662"/>
      <c r="AN180" s="663"/>
      <c r="AO180" s="660" t="s">
        <v>367</v>
      </c>
      <c r="AP180" s="661"/>
      <c r="AQ180" s="661"/>
      <c r="AR180" s="662"/>
      <c r="AS180" s="663"/>
      <c r="AT180" s="660" t="s">
        <v>367</v>
      </c>
      <c r="AU180" s="661"/>
      <c r="AV180" s="661"/>
      <c r="AW180" s="662"/>
      <c r="AX180" s="663"/>
      <c r="BA180" s="663"/>
    </row>
    <row r="181" spans="2:53">
      <c r="B181" s="663"/>
      <c r="C181" s="663"/>
      <c r="D181" s="663"/>
      <c r="E181" s="296" t="s">
        <v>368</v>
      </c>
      <c r="F181" s="296" t="s">
        <v>369</v>
      </c>
      <c r="G181" s="296" t="s">
        <v>370</v>
      </c>
      <c r="H181" s="681"/>
      <c r="I181" s="297" t="s">
        <v>368</v>
      </c>
      <c r="J181" s="297" t="s">
        <v>369</v>
      </c>
      <c r="K181" s="297" t="s">
        <v>370</v>
      </c>
      <c r="L181" s="650"/>
      <c r="M181" s="656"/>
      <c r="N181" s="663"/>
      <c r="O181" s="663"/>
      <c r="P181" s="296" t="s">
        <v>368</v>
      </c>
      <c r="Q181" s="296" t="s">
        <v>369</v>
      </c>
      <c r="R181" s="296" t="s">
        <v>370</v>
      </c>
      <c r="S181" s="296" t="s">
        <v>360</v>
      </c>
      <c r="T181" s="663"/>
      <c r="U181" s="296" t="s">
        <v>368</v>
      </c>
      <c r="V181" s="296" t="s">
        <v>369</v>
      </c>
      <c r="W181" s="296" t="s">
        <v>370</v>
      </c>
      <c r="X181" s="296" t="s">
        <v>360</v>
      </c>
      <c r="Y181" s="663"/>
      <c r="Z181" s="296" t="s">
        <v>368</v>
      </c>
      <c r="AA181" s="296" t="s">
        <v>369</v>
      </c>
      <c r="AB181" s="296" t="s">
        <v>370</v>
      </c>
      <c r="AC181" s="296" t="s">
        <v>360</v>
      </c>
      <c r="AD181" s="663"/>
      <c r="AE181" s="296" t="s">
        <v>368</v>
      </c>
      <c r="AF181" s="296" t="s">
        <v>369</v>
      </c>
      <c r="AG181" s="296" t="s">
        <v>370</v>
      </c>
      <c r="AH181" s="296" t="s">
        <v>360</v>
      </c>
      <c r="AI181" s="663"/>
      <c r="AJ181" s="296" t="s">
        <v>368</v>
      </c>
      <c r="AK181" s="296" t="s">
        <v>369</v>
      </c>
      <c r="AL181" s="296" t="s">
        <v>370</v>
      </c>
      <c r="AM181" s="296" t="s">
        <v>360</v>
      </c>
      <c r="AN181" s="663"/>
      <c r="AO181" s="296" t="s">
        <v>368</v>
      </c>
      <c r="AP181" s="296" t="s">
        <v>369</v>
      </c>
      <c r="AQ181" s="296" t="s">
        <v>370</v>
      </c>
      <c r="AR181" s="296" t="s">
        <v>360</v>
      </c>
      <c r="AS181" s="663"/>
      <c r="AT181" s="296" t="s">
        <v>368</v>
      </c>
      <c r="AU181" s="296" t="s">
        <v>369</v>
      </c>
      <c r="AV181" s="296" t="s">
        <v>370</v>
      </c>
      <c r="AW181" s="296" t="s">
        <v>360</v>
      </c>
      <c r="AX181" s="663"/>
      <c r="AZ181" s="356" t="s">
        <v>360</v>
      </c>
      <c r="BA181" s="663"/>
    </row>
    <row r="182" spans="2:53">
      <c r="B182" s="663" t="s">
        <v>134</v>
      </c>
      <c r="C182" s="295">
        <v>1</v>
      </c>
      <c r="D182" s="196"/>
      <c r="E182" s="481"/>
      <c r="F182" s="196"/>
      <c r="G182" s="194"/>
      <c r="H182" s="710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44" t="str">
        <f>IFERROR(AVERAGE(K182:K211),"-")</f>
        <v>-</v>
      </c>
      <c r="M182" s="195" t="e">
        <f>RANK(K182, K$147:$K$176)</f>
        <v>#VALUE!</v>
      </c>
      <c r="N182" s="663"/>
      <c r="O182" s="663"/>
      <c r="P182" s="474"/>
      <c r="Q182" s="476"/>
      <c r="R182" s="476"/>
      <c r="S182" s="474"/>
      <c r="T182" s="685"/>
      <c r="U182" s="474"/>
      <c r="V182" s="476"/>
      <c r="W182" s="476"/>
      <c r="X182" s="474"/>
      <c r="Y182" s="685"/>
      <c r="Z182" s="474"/>
      <c r="AA182" s="476"/>
      <c r="AB182" s="476"/>
      <c r="AC182" s="474"/>
      <c r="AD182" s="685"/>
      <c r="AE182" s="474"/>
      <c r="AF182" s="476"/>
      <c r="AG182" s="476"/>
      <c r="AH182" s="474"/>
      <c r="AI182" s="685"/>
      <c r="AJ182" s="474"/>
      <c r="AK182" s="476"/>
      <c r="AL182" s="476"/>
      <c r="AM182" s="474"/>
      <c r="AN182" s="685"/>
      <c r="AO182" s="474"/>
      <c r="AP182" s="476"/>
      <c r="AQ182" s="476"/>
      <c r="AR182" s="474"/>
      <c r="AS182" s="685"/>
      <c r="AT182" s="474"/>
      <c r="AU182" s="476"/>
      <c r="AV182" s="476"/>
      <c r="AW182" s="474"/>
      <c r="AX182" s="685"/>
      <c r="AZ182" s="357" t="e">
        <f>RANK(AY182, AY$182:AY$211)</f>
        <v>#N/A</v>
      </c>
      <c r="BA182" s="685" t="e">
        <f>AVERAGE(AY182:AY211)</f>
        <v>#DIV/0!</v>
      </c>
    </row>
    <row r="183" spans="2:53">
      <c r="B183" s="671"/>
      <c r="C183" s="295">
        <v>2</v>
      </c>
      <c r="D183" s="196"/>
      <c r="E183" s="481"/>
      <c r="F183" s="196"/>
      <c r="G183" s="194"/>
      <c r="H183" s="711"/>
      <c r="I183" s="352" t="str">
        <f t="shared" ref="I183:I211" si="34">IFERROR(AVERAGE(P183,U183,Z183,AE183,AJ183,AO183,AT183),"-")</f>
        <v>-</v>
      </c>
      <c r="J183" s="352" t="str">
        <f t="shared" ref="J183:J211" si="35">IFERROR(AVERAGE(Q183,V183,AA183,AF183,AK183,AP183,AU183),"-")</f>
        <v>-</v>
      </c>
      <c r="K183" s="194" t="str">
        <f t="shared" ref="K183:K211" si="36">IFERROR(AVERAGE(R183,W183,AB183,AG183,AL183,AQ183,AV183),"-")</f>
        <v>-</v>
      </c>
      <c r="L183" s="645"/>
      <c r="M183" s="195" t="e">
        <f>RANK(K183, K$147:$K$176)</f>
        <v>#VALUE!</v>
      </c>
      <c r="N183" s="663"/>
      <c r="O183" s="663"/>
      <c r="P183" s="474"/>
      <c r="Q183" s="476"/>
      <c r="R183" s="476"/>
      <c r="S183" s="474"/>
      <c r="T183" s="685"/>
      <c r="U183" s="474"/>
      <c r="V183" s="476"/>
      <c r="W183" s="476"/>
      <c r="X183" s="474"/>
      <c r="Y183" s="685"/>
      <c r="Z183" s="474"/>
      <c r="AA183" s="476"/>
      <c r="AB183" s="476"/>
      <c r="AC183" s="474"/>
      <c r="AD183" s="685"/>
      <c r="AE183" s="474"/>
      <c r="AF183" s="476"/>
      <c r="AG183" s="476"/>
      <c r="AH183" s="474"/>
      <c r="AI183" s="685"/>
      <c r="AJ183" s="474"/>
      <c r="AK183" s="476"/>
      <c r="AL183" s="476"/>
      <c r="AM183" s="474"/>
      <c r="AN183" s="685"/>
      <c r="AO183" s="474"/>
      <c r="AP183" s="476"/>
      <c r="AQ183" s="476"/>
      <c r="AR183" s="474"/>
      <c r="AS183" s="685"/>
      <c r="AT183" s="474"/>
      <c r="AU183" s="476"/>
      <c r="AV183" s="476"/>
      <c r="AW183" s="474"/>
      <c r="AX183" s="685"/>
      <c r="AZ183" s="357" t="e">
        <f t="shared" ref="AZ183:AZ211" si="37">RANK(AY183, AY$182:AY$211)</f>
        <v>#N/A</v>
      </c>
      <c r="BA183" s="685"/>
    </row>
    <row r="184" spans="2:53">
      <c r="B184" s="671"/>
      <c r="C184" s="295">
        <v>3</v>
      </c>
      <c r="D184" s="196"/>
      <c r="E184" s="481"/>
      <c r="F184" s="196"/>
      <c r="G184" s="194"/>
      <c r="H184" s="711"/>
      <c r="I184" s="352" t="str">
        <f t="shared" si="34"/>
        <v>-</v>
      </c>
      <c r="J184" s="352" t="str">
        <f t="shared" si="35"/>
        <v>-</v>
      </c>
      <c r="K184" s="194" t="str">
        <f t="shared" si="36"/>
        <v>-</v>
      </c>
      <c r="L184" s="645"/>
      <c r="M184" s="195" t="e">
        <f>RANK(K184, K$147:$K$176)</f>
        <v>#VALUE!</v>
      </c>
      <c r="N184" s="663"/>
      <c r="O184" s="663"/>
      <c r="P184" s="474"/>
      <c r="Q184" s="476"/>
      <c r="R184" s="476"/>
      <c r="S184" s="474"/>
      <c r="T184" s="685"/>
      <c r="U184" s="474"/>
      <c r="V184" s="476"/>
      <c r="W184" s="476"/>
      <c r="X184" s="474"/>
      <c r="Y184" s="685"/>
      <c r="Z184" s="474"/>
      <c r="AA184" s="476"/>
      <c r="AB184" s="476"/>
      <c r="AC184" s="474"/>
      <c r="AD184" s="685"/>
      <c r="AE184" s="474"/>
      <c r="AF184" s="476"/>
      <c r="AG184" s="476"/>
      <c r="AH184" s="474"/>
      <c r="AI184" s="685"/>
      <c r="AJ184" s="474"/>
      <c r="AK184" s="476"/>
      <c r="AL184" s="476"/>
      <c r="AM184" s="474"/>
      <c r="AN184" s="685"/>
      <c r="AO184" s="474"/>
      <c r="AP184" s="476"/>
      <c r="AQ184" s="476"/>
      <c r="AR184" s="474"/>
      <c r="AS184" s="685"/>
      <c r="AT184" s="474"/>
      <c r="AU184" s="476"/>
      <c r="AV184" s="476"/>
      <c r="AW184" s="474"/>
      <c r="AX184" s="685"/>
      <c r="AZ184" s="357" t="e">
        <f t="shared" si="37"/>
        <v>#N/A</v>
      </c>
      <c r="BA184" s="685"/>
    </row>
    <row r="185" spans="2:53">
      <c r="B185" s="671"/>
      <c r="C185" s="295">
        <v>4</v>
      </c>
      <c r="D185" s="196"/>
      <c r="E185" s="481"/>
      <c r="F185" s="196"/>
      <c r="G185" s="194"/>
      <c r="H185" s="711"/>
      <c r="I185" s="352" t="str">
        <f t="shared" si="34"/>
        <v>-</v>
      </c>
      <c r="J185" s="352" t="str">
        <f t="shared" si="35"/>
        <v>-</v>
      </c>
      <c r="K185" s="194" t="str">
        <f t="shared" si="36"/>
        <v>-</v>
      </c>
      <c r="L185" s="645"/>
      <c r="M185" s="195" t="e">
        <f>RANK(K185, K$147:$K$176)</f>
        <v>#VALUE!</v>
      </c>
      <c r="N185" s="663"/>
      <c r="O185" s="663"/>
      <c r="P185" s="474"/>
      <c r="Q185" s="476"/>
      <c r="R185" s="476"/>
      <c r="S185" s="474"/>
      <c r="T185" s="685"/>
      <c r="U185" s="474"/>
      <c r="V185" s="476"/>
      <c r="W185" s="476"/>
      <c r="X185" s="474"/>
      <c r="Y185" s="685"/>
      <c r="Z185" s="474"/>
      <c r="AA185" s="476"/>
      <c r="AB185" s="476"/>
      <c r="AC185" s="474"/>
      <c r="AD185" s="685"/>
      <c r="AE185" s="474"/>
      <c r="AF185" s="476"/>
      <c r="AG185" s="476"/>
      <c r="AH185" s="474"/>
      <c r="AI185" s="685"/>
      <c r="AJ185" s="474"/>
      <c r="AK185" s="476"/>
      <c r="AL185" s="476"/>
      <c r="AM185" s="474"/>
      <c r="AN185" s="685"/>
      <c r="AO185" s="474"/>
      <c r="AP185" s="476"/>
      <c r="AQ185" s="476"/>
      <c r="AR185" s="474"/>
      <c r="AS185" s="685"/>
      <c r="AT185" s="474"/>
      <c r="AU185" s="476"/>
      <c r="AV185" s="476"/>
      <c r="AW185" s="474"/>
      <c r="AX185" s="685"/>
      <c r="AZ185" s="357" t="e">
        <f t="shared" si="37"/>
        <v>#N/A</v>
      </c>
      <c r="BA185" s="685"/>
    </row>
    <row r="186" spans="2:53">
      <c r="B186" s="671"/>
      <c r="C186" s="295">
        <v>5</v>
      </c>
      <c r="D186" s="196"/>
      <c r="E186" s="481"/>
      <c r="F186" s="196"/>
      <c r="G186" s="194"/>
      <c r="H186" s="711"/>
      <c r="I186" s="352" t="str">
        <f t="shared" si="34"/>
        <v>-</v>
      </c>
      <c r="J186" s="352" t="str">
        <f t="shared" si="35"/>
        <v>-</v>
      </c>
      <c r="K186" s="194" t="str">
        <f t="shared" si="36"/>
        <v>-</v>
      </c>
      <c r="L186" s="645"/>
      <c r="M186" s="195" t="e">
        <f>RANK(K186, K$147:$K$176)</f>
        <v>#VALUE!</v>
      </c>
      <c r="N186" s="663"/>
      <c r="O186" s="663"/>
      <c r="P186" s="474"/>
      <c r="Q186" s="476"/>
      <c r="R186" s="476"/>
      <c r="S186" s="474"/>
      <c r="T186" s="685"/>
      <c r="U186" s="474"/>
      <c r="V186" s="476"/>
      <c r="W186" s="476"/>
      <c r="X186" s="474"/>
      <c r="Y186" s="685"/>
      <c r="Z186" s="474"/>
      <c r="AA186" s="476"/>
      <c r="AB186" s="476"/>
      <c r="AC186" s="474"/>
      <c r="AD186" s="685"/>
      <c r="AE186" s="474"/>
      <c r="AF186" s="476"/>
      <c r="AG186" s="476"/>
      <c r="AH186" s="474"/>
      <c r="AI186" s="685"/>
      <c r="AJ186" s="474"/>
      <c r="AK186" s="476"/>
      <c r="AL186" s="476"/>
      <c r="AM186" s="474"/>
      <c r="AN186" s="685"/>
      <c r="AO186" s="474"/>
      <c r="AP186" s="476"/>
      <c r="AQ186" s="476"/>
      <c r="AR186" s="474"/>
      <c r="AS186" s="685"/>
      <c r="AT186" s="474"/>
      <c r="AU186" s="476"/>
      <c r="AV186" s="476"/>
      <c r="AW186" s="474"/>
      <c r="AX186" s="685"/>
      <c r="AZ186" s="357" t="e">
        <f t="shared" si="37"/>
        <v>#N/A</v>
      </c>
      <c r="BA186" s="685"/>
    </row>
    <row r="187" spans="2:53">
      <c r="B187" s="671"/>
      <c r="C187" s="295">
        <v>6</v>
      </c>
      <c r="D187" s="196"/>
      <c r="E187" s="481"/>
      <c r="F187" s="196"/>
      <c r="G187" s="194"/>
      <c r="H187" s="711"/>
      <c r="I187" s="352" t="str">
        <f t="shared" si="34"/>
        <v>-</v>
      </c>
      <c r="J187" s="352" t="str">
        <f t="shared" si="35"/>
        <v>-</v>
      </c>
      <c r="K187" s="194" t="str">
        <f t="shared" si="36"/>
        <v>-</v>
      </c>
      <c r="L187" s="645"/>
      <c r="M187" s="195" t="e">
        <f>RANK(K187, K$147:$K$176)</f>
        <v>#VALUE!</v>
      </c>
      <c r="N187" s="663"/>
      <c r="O187" s="663"/>
      <c r="P187" s="474"/>
      <c r="Q187" s="476"/>
      <c r="R187" s="476"/>
      <c r="S187" s="474"/>
      <c r="T187" s="685"/>
      <c r="U187" s="474"/>
      <c r="V187" s="476"/>
      <c r="W187" s="476"/>
      <c r="X187" s="474"/>
      <c r="Y187" s="685"/>
      <c r="Z187" s="474"/>
      <c r="AA187" s="476"/>
      <c r="AB187" s="476"/>
      <c r="AC187" s="474"/>
      <c r="AD187" s="685"/>
      <c r="AE187" s="474"/>
      <c r="AF187" s="476"/>
      <c r="AG187" s="476"/>
      <c r="AH187" s="474"/>
      <c r="AI187" s="685"/>
      <c r="AJ187" s="474"/>
      <c r="AK187" s="476"/>
      <c r="AL187" s="476"/>
      <c r="AM187" s="474"/>
      <c r="AN187" s="685"/>
      <c r="AO187" s="474"/>
      <c r="AP187" s="476"/>
      <c r="AQ187" s="476"/>
      <c r="AR187" s="474"/>
      <c r="AS187" s="685"/>
      <c r="AT187" s="474"/>
      <c r="AU187" s="476"/>
      <c r="AV187" s="476"/>
      <c r="AW187" s="474"/>
      <c r="AX187" s="685"/>
      <c r="AZ187" s="357" t="e">
        <f t="shared" si="37"/>
        <v>#N/A</v>
      </c>
      <c r="BA187" s="685"/>
    </row>
    <row r="188" spans="2:53">
      <c r="B188" s="671"/>
      <c r="C188" s="295">
        <v>7</v>
      </c>
      <c r="D188" s="196"/>
      <c r="E188" s="481"/>
      <c r="F188" s="196"/>
      <c r="G188" s="194"/>
      <c r="H188" s="711"/>
      <c r="I188" s="352" t="str">
        <f t="shared" si="34"/>
        <v>-</v>
      </c>
      <c r="J188" s="352" t="str">
        <f t="shared" si="35"/>
        <v>-</v>
      </c>
      <c r="K188" s="194" t="str">
        <f t="shared" si="36"/>
        <v>-</v>
      </c>
      <c r="L188" s="645"/>
      <c r="M188" s="195" t="e">
        <f>RANK(K188, K$147:$K$176)</f>
        <v>#VALUE!</v>
      </c>
      <c r="N188" s="663"/>
      <c r="O188" s="663"/>
      <c r="P188" s="474"/>
      <c r="Q188" s="476"/>
      <c r="R188" s="476"/>
      <c r="S188" s="474"/>
      <c r="T188" s="685"/>
      <c r="U188" s="474"/>
      <c r="V188" s="476"/>
      <c r="W188" s="476"/>
      <c r="X188" s="474"/>
      <c r="Y188" s="685"/>
      <c r="Z188" s="474"/>
      <c r="AA188" s="476"/>
      <c r="AB188" s="476"/>
      <c r="AC188" s="474"/>
      <c r="AD188" s="685"/>
      <c r="AE188" s="474"/>
      <c r="AF188" s="476"/>
      <c r="AG188" s="476"/>
      <c r="AH188" s="474"/>
      <c r="AI188" s="685"/>
      <c r="AJ188" s="474"/>
      <c r="AK188" s="476"/>
      <c r="AL188" s="476"/>
      <c r="AM188" s="474"/>
      <c r="AN188" s="685"/>
      <c r="AO188" s="474"/>
      <c r="AP188" s="476"/>
      <c r="AQ188" s="476"/>
      <c r="AR188" s="474"/>
      <c r="AS188" s="685"/>
      <c r="AT188" s="474"/>
      <c r="AU188" s="476"/>
      <c r="AV188" s="476"/>
      <c r="AW188" s="474"/>
      <c r="AX188" s="685"/>
      <c r="AZ188" s="357" t="e">
        <f t="shared" si="37"/>
        <v>#N/A</v>
      </c>
      <c r="BA188" s="685"/>
    </row>
    <row r="189" spans="2:53">
      <c r="B189" s="671"/>
      <c r="C189" s="295">
        <v>8</v>
      </c>
      <c r="D189" s="196"/>
      <c r="E189" s="481"/>
      <c r="F189" s="196"/>
      <c r="G189" s="194"/>
      <c r="H189" s="711"/>
      <c r="I189" s="352" t="str">
        <f t="shared" si="34"/>
        <v>-</v>
      </c>
      <c r="J189" s="352" t="str">
        <f t="shared" si="35"/>
        <v>-</v>
      </c>
      <c r="K189" s="194" t="str">
        <f t="shared" si="36"/>
        <v>-</v>
      </c>
      <c r="L189" s="645"/>
      <c r="M189" s="195" t="e">
        <f>RANK(K189, K$147:$K$176)</f>
        <v>#VALUE!</v>
      </c>
      <c r="N189" s="663"/>
      <c r="O189" s="663"/>
      <c r="P189" s="474"/>
      <c r="Q189" s="476"/>
      <c r="R189" s="476"/>
      <c r="S189" s="474"/>
      <c r="T189" s="685"/>
      <c r="U189" s="474"/>
      <c r="V189" s="476"/>
      <c r="W189" s="476"/>
      <c r="X189" s="474"/>
      <c r="Y189" s="685"/>
      <c r="Z189" s="474"/>
      <c r="AA189" s="476"/>
      <c r="AB189" s="476"/>
      <c r="AC189" s="474"/>
      <c r="AD189" s="685"/>
      <c r="AE189" s="474"/>
      <c r="AF189" s="476"/>
      <c r="AG189" s="476"/>
      <c r="AH189" s="474"/>
      <c r="AI189" s="685"/>
      <c r="AJ189" s="474"/>
      <c r="AK189" s="476"/>
      <c r="AL189" s="476"/>
      <c r="AM189" s="474"/>
      <c r="AN189" s="685"/>
      <c r="AO189" s="474"/>
      <c r="AP189" s="476"/>
      <c r="AQ189" s="476"/>
      <c r="AR189" s="474"/>
      <c r="AS189" s="685"/>
      <c r="AT189" s="474"/>
      <c r="AU189" s="476"/>
      <c r="AV189" s="476"/>
      <c r="AW189" s="474"/>
      <c r="AX189" s="685"/>
      <c r="AZ189" s="357" t="e">
        <f t="shared" si="37"/>
        <v>#N/A</v>
      </c>
      <c r="BA189" s="685"/>
    </row>
    <row r="190" spans="2:53">
      <c r="B190" s="671"/>
      <c r="C190" s="295">
        <v>9</v>
      </c>
      <c r="D190" s="196"/>
      <c r="E190" s="481"/>
      <c r="F190" s="196"/>
      <c r="G190" s="194"/>
      <c r="H190" s="711"/>
      <c r="I190" s="352" t="str">
        <f t="shared" si="34"/>
        <v>-</v>
      </c>
      <c r="J190" s="352" t="str">
        <f t="shared" si="35"/>
        <v>-</v>
      </c>
      <c r="K190" s="194" t="str">
        <f t="shared" si="36"/>
        <v>-</v>
      </c>
      <c r="L190" s="645"/>
      <c r="M190" s="195" t="e">
        <f>RANK(K190, K$147:$K$176)</f>
        <v>#VALUE!</v>
      </c>
      <c r="N190" s="663"/>
      <c r="O190" s="663"/>
      <c r="P190" s="474"/>
      <c r="Q190" s="476"/>
      <c r="R190" s="476"/>
      <c r="S190" s="474"/>
      <c r="T190" s="685"/>
      <c r="U190" s="474"/>
      <c r="V190" s="476"/>
      <c r="W190" s="476"/>
      <c r="X190" s="474"/>
      <c r="Y190" s="685"/>
      <c r="Z190" s="474"/>
      <c r="AA190" s="476"/>
      <c r="AB190" s="476"/>
      <c r="AC190" s="474"/>
      <c r="AD190" s="685"/>
      <c r="AE190" s="474"/>
      <c r="AF190" s="476"/>
      <c r="AG190" s="476"/>
      <c r="AH190" s="474"/>
      <c r="AI190" s="685"/>
      <c r="AJ190" s="474"/>
      <c r="AK190" s="476"/>
      <c r="AL190" s="476"/>
      <c r="AM190" s="474"/>
      <c r="AN190" s="685"/>
      <c r="AO190" s="474"/>
      <c r="AP190" s="476"/>
      <c r="AQ190" s="476"/>
      <c r="AR190" s="474"/>
      <c r="AS190" s="685"/>
      <c r="AT190" s="474"/>
      <c r="AU190" s="476"/>
      <c r="AV190" s="476"/>
      <c r="AW190" s="474"/>
      <c r="AX190" s="685"/>
      <c r="AZ190" s="357" t="e">
        <f t="shared" si="37"/>
        <v>#N/A</v>
      </c>
      <c r="BA190" s="685"/>
    </row>
    <row r="191" spans="2:53">
      <c r="B191" s="671"/>
      <c r="C191" s="295">
        <v>10</v>
      </c>
      <c r="D191" s="196"/>
      <c r="E191" s="481"/>
      <c r="F191" s="196"/>
      <c r="G191" s="194"/>
      <c r="H191" s="711"/>
      <c r="I191" s="352" t="str">
        <f t="shared" si="34"/>
        <v>-</v>
      </c>
      <c r="J191" s="352" t="str">
        <f t="shared" si="35"/>
        <v>-</v>
      </c>
      <c r="K191" s="194" t="str">
        <f t="shared" si="36"/>
        <v>-</v>
      </c>
      <c r="L191" s="645"/>
      <c r="M191" s="195" t="e">
        <f>RANK(K191, K$147:$K$176)</f>
        <v>#VALUE!</v>
      </c>
      <c r="N191" s="663"/>
      <c r="O191" s="663"/>
      <c r="P191" s="474"/>
      <c r="Q191" s="476"/>
      <c r="R191" s="476"/>
      <c r="S191" s="474"/>
      <c r="T191" s="685"/>
      <c r="U191" s="474"/>
      <c r="V191" s="476"/>
      <c r="W191" s="476"/>
      <c r="X191" s="474"/>
      <c r="Y191" s="685"/>
      <c r="Z191" s="474"/>
      <c r="AA191" s="476"/>
      <c r="AB191" s="476"/>
      <c r="AC191" s="474"/>
      <c r="AD191" s="685"/>
      <c r="AE191" s="474"/>
      <c r="AF191" s="476"/>
      <c r="AG191" s="476"/>
      <c r="AH191" s="474"/>
      <c r="AI191" s="685"/>
      <c r="AJ191" s="474"/>
      <c r="AK191" s="476"/>
      <c r="AL191" s="476"/>
      <c r="AM191" s="474"/>
      <c r="AN191" s="685"/>
      <c r="AO191" s="474"/>
      <c r="AP191" s="476"/>
      <c r="AQ191" s="476"/>
      <c r="AR191" s="474"/>
      <c r="AS191" s="685"/>
      <c r="AT191" s="474"/>
      <c r="AU191" s="476"/>
      <c r="AV191" s="476"/>
      <c r="AW191" s="474"/>
      <c r="AX191" s="685"/>
      <c r="AZ191" s="357" t="e">
        <f t="shared" si="37"/>
        <v>#N/A</v>
      </c>
      <c r="BA191" s="685"/>
    </row>
    <row r="192" spans="2:53">
      <c r="B192" s="671"/>
      <c r="C192" s="295">
        <v>11</v>
      </c>
      <c r="D192" s="196"/>
      <c r="E192" s="481"/>
      <c r="F192" s="196"/>
      <c r="G192" s="194"/>
      <c r="H192" s="711"/>
      <c r="I192" s="352" t="str">
        <f t="shared" si="34"/>
        <v>-</v>
      </c>
      <c r="J192" s="352" t="str">
        <f t="shared" si="35"/>
        <v>-</v>
      </c>
      <c r="K192" s="194" t="str">
        <f t="shared" si="36"/>
        <v>-</v>
      </c>
      <c r="L192" s="645"/>
      <c r="M192" s="195" t="e">
        <f>RANK(K192, K$147:$K$176)</f>
        <v>#VALUE!</v>
      </c>
      <c r="N192" s="663"/>
      <c r="O192" s="663"/>
      <c r="P192" s="474"/>
      <c r="Q192" s="476"/>
      <c r="R192" s="476"/>
      <c r="S192" s="474"/>
      <c r="T192" s="685"/>
      <c r="U192" s="474"/>
      <c r="V192" s="476"/>
      <c r="W192" s="476"/>
      <c r="X192" s="474"/>
      <c r="Y192" s="685"/>
      <c r="Z192" s="474"/>
      <c r="AA192" s="476"/>
      <c r="AB192" s="476"/>
      <c r="AC192" s="474"/>
      <c r="AD192" s="685"/>
      <c r="AE192" s="474"/>
      <c r="AF192" s="476"/>
      <c r="AG192" s="476"/>
      <c r="AH192" s="474"/>
      <c r="AI192" s="685"/>
      <c r="AJ192" s="474"/>
      <c r="AK192" s="476"/>
      <c r="AL192" s="476"/>
      <c r="AM192" s="474"/>
      <c r="AN192" s="685"/>
      <c r="AO192" s="474"/>
      <c r="AP192" s="476"/>
      <c r="AQ192" s="476"/>
      <c r="AR192" s="474"/>
      <c r="AS192" s="685"/>
      <c r="AT192" s="474"/>
      <c r="AU192" s="476"/>
      <c r="AV192" s="476"/>
      <c r="AW192" s="474"/>
      <c r="AX192" s="685"/>
      <c r="AZ192" s="357" t="e">
        <f t="shared" si="37"/>
        <v>#N/A</v>
      </c>
      <c r="BA192" s="685"/>
    </row>
    <row r="193" spans="2:53">
      <c r="B193" s="671"/>
      <c r="C193" s="295">
        <v>12</v>
      </c>
      <c r="D193" s="196"/>
      <c r="E193" s="481"/>
      <c r="F193" s="196"/>
      <c r="G193" s="194"/>
      <c r="H193" s="711"/>
      <c r="I193" s="352" t="str">
        <f t="shared" si="34"/>
        <v>-</v>
      </c>
      <c r="J193" s="352" t="str">
        <f t="shared" si="35"/>
        <v>-</v>
      </c>
      <c r="K193" s="194" t="str">
        <f t="shared" si="36"/>
        <v>-</v>
      </c>
      <c r="L193" s="645"/>
      <c r="M193" s="195" t="e">
        <f>RANK(K193, K$147:$K$176)</f>
        <v>#VALUE!</v>
      </c>
      <c r="N193" s="663"/>
      <c r="O193" s="663"/>
      <c r="P193" s="474"/>
      <c r="Q193" s="476"/>
      <c r="R193" s="476"/>
      <c r="S193" s="474"/>
      <c r="T193" s="685"/>
      <c r="U193" s="474"/>
      <c r="V193" s="476"/>
      <c r="W193" s="476"/>
      <c r="X193" s="474"/>
      <c r="Y193" s="685"/>
      <c r="Z193" s="474"/>
      <c r="AA193" s="476"/>
      <c r="AB193" s="476"/>
      <c r="AC193" s="474"/>
      <c r="AD193" s="685"/>
      <c r="AE193" s="474"/>
      <c r="AF193" s="476"/>
      <c r="AG193" s="476"/>
      <c r="AH193" s="474"/>
      <c r="AI193" s="685"/>
      <c r="AJ193" s="474"/>
      <c r="AK193" s="476"/>
      <c r="AL193" s="476"/>
      <c r="AM193" s="474"/>
      <c r="AN193" s="685"/>
      <c r="AO193" s="474"/>
      <c r="AP193" s="476"/>
      <c r="AQ193" s="476"/>
      <c r="AR193" s="474"/>
      <c r="AS193" s="685"/>
      <c r="AT193" s="474"/>
      <c r="AU193" s="476"/>
      <c r="AV193" s="476"/>
      <c r="AW193" s="474"/>
      <c r="AX193" s="685"/>
      <c r="AZ193" s="357" t="e">
        <f t="shared" si="37"/>
        <v>#N/A</v>
      </c>
      <c r="BA193" s="685"/>
    </row>
    <row r="194" spans="2:53">
      <c r="B194" s="671"/>
      <c r="C194" s="295">
        <v>13</v>
      </c>
      <c r="D194" s="196"/>
      <c r="E194" s="481"/>
      <c r="F194" s="196"/>
      <c r="G194" s="194"/>
      <c r="H194" s="711"/>
      <c r="I194" s="352" t="str">
        <f t="shared" si="34"/>
        <v>-</v>
      </c>
      <c r="J194" s="352" t="str">
        <f t="shared" si="35"/>
        <v>-</v>
      </c>
      <c r="K194" s="194" t="str">
        <f t="shared" si="36"/>
        <v>-</v>
      </c>
      <c r="L194" s="645"/>
      <c r="M194" s="195" t="e">
        <f>RANK(K194, K$147:$K$176)</f>
        <v>#VALUE!</v>
      </c>
      <c r="N194" s="663"/>
      <c r="O194" s="663"/>
      <c r="P194" s="474"/>
      <c r="Q194" s="476"/>
      <c r="R194" s="476"/>
      <c r="S194" s="474"/>
      <c r="T194" s="685"/>
      <c r="U194" s="474"/>
      <c r="V194" s="476"/>
      <c r="W194" s="476"/>
      <c r="X194" s="474"/>
      <c r="Y194" s="685"/>
      <c r="Z194" s="474"/>
      <c r="AA194" s="476"/>
      <c r="AB194" s="476"/>
      <c r="AC194" s="474"/>
      <c r="AD194" s="685"/>
      <c r="AE194" s="474"/>
      <c r="AF194" s="476"/>
      <c r="AG194" s="476"/>
      <c r="AH194" s="474"/>
      <c r="AI194" s="685"/>
      <c r="AJ194" s="474"/>
      <c r="AK194" s="476"/>
      <c r="AL194" s="476"/>
      <c r="AM194" s="474"/>
      <c r="AN194" s="685"/>
      <c r="AO194" s="474"/>
      <c r="AP194" s="476"/>
      <c r="AQ194" s="476"/>
      <c r="AR194" s="474"/>
      <c r="AS194" s="685"/>
      <c r="AT194" s="474"/>
      <c r="AU194" s="476"/>
      <c r="AV194" s="476"/>
      <c r="AW194" s="474"/>
      <c r="AX194" s="685"/>
      <c r="AZ194" s="357" t="e">
        <f t="shared" si="37"/>
        <v>#N/A</v>
      </c>
      <c r="BA194" s="685"/>
    </row>
    <row r="195" spans="2:53">
      <c r="B195" s="671"/>
      <c r="C195" s="295">
        <v>14</v>
      </c>
      <c r="D195" s="196"/>
      <c r="E195" s="481"/>
      <c r="F195" s="196"/>
      <c r="G195" s="194"/>
      <c r="H195" s="711"/>
      <c r="I195" s="352" t="str">
        <f t="shared" si="34"/>
        <v>-</v>
      </c>
      <c r="J195" s="352" t="str">
        <f t="shared" si="35"/>
        <v>-</v>
      </c>
      <c r="K195" s="194" t="str">
        <f t="shared" si="36"/>
        <v>-</v>
      </c>
      <c r="L195" s="645"/>
      <c r="M195" s="195" t="e">
        <f>RANK(K195, K$147:$K$176)</f>
        <v>#VALUE!</v>
      </c>
      <c r="N195" s="663"/>
      <c r="O195" s="663"/>
      <c r="P195" s="474"/>
      <c r="Q195" s="476"/>
      <c r="R195" s="476"/>
      <c r="S195" s="474"/>
      <c r="T195" s="685"/>
      <c r="U195" s="474"/>
      <c r="V195" s="476"/>
      <c r="W195" s="476"/>
      <c r="X195" s="474"/>
      <c r="Y195" s="685"/>
      <c r="Z195" s="474"/>
      <c r="AA195" s="476"/>
      <c r="AB195" s="476"/>
      <c r="AC195" s="474"/>
      <c r="AD195" s="685"/>
      <c r="AE195" s="474"/>
      <c r="AF195" s="476"/>
      <c r="AG195" s="476"/>
      <c r="AH195" s="474"/>
      <c r="AI195" s="685"/>
      <c r="AJ195" s="474"/>
      <c r="AK195" s="476"/>
      <c r="AL195" s="476"/>
      <c r="AM195" s="474"/>
      <c r="AN195" s="685"/>
      <c r="AO195" s="474"/>
      <c r="AP195" s="476"/>
      <c r="AQ195" s="476"/>
      <c r="AR195" s="474"/>
      <c r="AS195" s="685"/>
      <c r="AT195" s="474"/>
      <c r="AU195" s="476"/>
      <c r="AV195" s="476"/>
      <c r="AW195" s="474"/>
      <c r="AX195" s="685"/>
      <c r="AZ195" s="357" t="e">
        <f t="shared" si="37"/>
        <v>#N/A</v>
      </c>
      <c r="BA195" s="685"/>
    </row>
    <row r="196" spans="2:53">
      <c r="B196" s="671"/>
      <c r="C196" s="295">
        <v>15</v>
      </c>
      <c r="D196" s="196"/>
      <c r="E196" s="481"/>
      <c r="F196" s="196"/>
      <c r="G196" s="194"/>
      <c r="H196" s="711"/>
      <c r="I196" s="352" t="str">
        <f t="shared" si="34"/>
        <v>-</v>
      </c>
      <c r="J196" s="352" t="str">
        <f t="shared" si="35"/>
        <v>-</v>
      </c>
      <c r="K196" s="194" t="str">
        <f t="shared" si="36"/>
        <v>-</v>
      </c>
      <c r="L196" s="645"/>
      <c r="M196" s="193" t="e">
        <f>RANK(K196, K$147:$K$176)</f>
        <v>#VALUE!</v>
      </c>
      <c r="N196" s="663"/>
      <c r="O196" s="663"/>
      <c r="P196" s="474"/>
      <c r="Q196" s="476"/>
      <c r="R196" s="476"/>
      <c r="S196" s="474"/>
      <c r="T196" s="685"/>
      <c r="U196" s="474"/>
      <c r="V196" s="476"/>
      <c r="W196" s="476"/>
      <c r="X196" s="474"/>
      <c r="Y196" s="685"/>
      <c r="Z196" s="474"/>
      <c r="AA196" s="476"/>
      <c r="AB196" s="476"/>
      <c r="AC196" s="474"/>
      <c r="AD196" s="685"/>
      <c r="AE196" s="474"/>
      <c r="AF196" s="476"/>
      <c r="AG196" s="476"/>
      <c r="AH196" s="474"/>
      <c r="AI196" s="685"/>
      <c r="AJ196" s="474"/>
      <c r="AK196" s="476"/>
      <c r="AL196" s="476"/>
      <c r="AM196" s="474"/>
      <c r="AN196" s="685"/>
      <c r="AO196" s="474"/>
      <c r="AP196" s="476"/>
      <c r="AQ196" s="476"/>
      <c r="AR196" s="474"/>
      <c r="AS196" s="685"/>
      <c r="AT196" s="474"/>
      <c r="AU196" s="476"/>
      <c r="AV196" s="476"/>
      <c r="AW196" s="474"/>
      <c r="AX196" s="685"/>
      <c r="AZ196" s="357" t="e">
        <f t="shared" si="37"/>
        <v>#N/A</v>
      </c>
      <c r="BA196" s="685"/>
    </row>
    <row r="197" spans="2:53">
      <c r="B197" s="671"/>
      <c r="C197" s="295">
        <v>16</v>
      </c>
      <c r="D197" s="196"/>
      <c r="E197" s="481"/>
      <c r="F197" s="196"/>
      <c r="G197" s="194"/>
      <c r="H197" s="711"/>
      <c r="I197" s="352" t="str">
        <f t="shared" si="34"/>
        <v>-</v>
      </c>
      <c r="J197" s="352" t="str">
        <f t="shared" si="35"/>
        <v>-</v>
      </c>
      <c r="K197" s="194" t="str">
        <f t="shared" si="36"/>
        <v>-</v>
      </c>
      <c r="L197" s="645"/>
      <c r="M197" s="193" t="e">
        <f>RANK(K197, K$147:$K$176)</f>
        <v>#VALUE!</v>
      </c>
      <c r="N197" s="663"/>
      <c r="O197" s="663"/>
      <c r="P197" s="474"/>
      <c r="Q197" s="476"/>
      <c r="R197" s="476"/>
      <c r="S197" s="474"/>
      <c r="T197" s="685"/>
      <c r="U197" s="474"/>
      <c r="V197" s="476"/>
      <c r="W197" s="476"/>
      <c r="X197" s="474"/>
      <c r="Y197" s="685"/>
      <c r="Z197" s="474"/>
      <c r="AA197" s="476"/>
      <c r="AB197" s="476"/>
      <c r="AC197" s="474"/>
      <c r="AD197" s="685"/>
      <c r="AE197" s="474"/>
      <c r="AF197" s="476"/>
      <c r="AG197" s="476"/>
      <c r="AH197" s="474"/>
      <c r="AI197" s="685"/>
      <c r="AJ197" s="474"/>
      <c r="AK197" s="476"/>
      <c r="AL197" s="476"/>
      <c r="AM197" s="474"/>
      <c r="AN197" s="685"/>
      <c r="AO197" s="474"/>
      <c r="AP197" s="476"/>
      <c r="AQ197" s="476"/>
      <c r="AR197" s="474"/>
      <c r="AS197" s="685"/>
      <c r="AT197" s="474"/>
      <c r="AU197" s="476"/>
      <c r="AV197" s="476"/>
      <c r="AW197" s="474"/>
      <c r="AX197" s="685"/>
      <c r="AZ197" s="357" t="e">
        <f t="shared" si="37"/>
        <v>#N/A</v>
      </c>
      <c r="BA197" s="685"/>
    </row>
    <row r="198" spans="2:53">
      <c r="B198" s="671"/>
      <c r="C198" s="295">
        <v>17</v>
      </c>
      <c r="D198" s="196"/>
      <c r="E198" s="481"/>
      <c r="F198" s="196"/>
      <c r="G198" s="194"/>
      <c r="H198" s="711"/>
      <c r="I198" s="352" t="str">
        <f t="shared" si="34"/>
        <v>-</v>
      </c>
      <c r="J198" s="352" t="str">
        <f t="shared" si="35"/>
        <v>-</v>
      </c>
      <c r="K198" s="194" t="str">
        <f t="shared" si="36"/>
        <v>-</v>
      </c>
      <c r="L198" s="645"/>
      <c r="M198" s="193" t="e">
        <f>RANK(K198, K$147:$K$176)</f>
        <v>#VALUE!</v>
      </c>
      <c r="N198" s="663"/>
      <c r="O198" s="663"/>
      <c r="P198" s="474"/>
      <c r="Q198" s="476"/>
      <c r="R198" s="476"/>
      <c r="S198" s="474"/>
      <c r="T198" s="685"/>
      <c r="U198" s="474"/>
      <c r="V198" s="476"/>
      <c r="W198" s="476"/>
      <c r="X198" s="474"/>
      <c r="Y198" s="685"/>
      <c r="Z198" s="474"/>
      <c r="AA198" s="476"/>
      <c r="AB198" s="476"/>
      <c r="AC198" s="474"/>
      <c r="AD198" s="685"/>
      <c r="AE198" s="474"/>
      <c r="AF198" s="476"/>
      <c r="AG198" s="476"/>
      <c r="AH198" s="474"/>
      <c r="AI198" s="685"/>
      <c r="AJ198" s="474"/>
      <c r="AK198" s="476"/>
      <c r="AL198" s="476"/>
      <c r="AM198" s="474"/>
      <c r="AN198" s="685"/>
      <c r="AO198" s="474"/>
      <c r="AP198" s="476"/>
      <c r="AQ198" s="476"/>
      <c r="AR198" s="474"/>
      <c r="AS198" s="685"/>
      <c r="AT198" s="474"/>
      <c r="AU198" s="476"/>
      <c r="AV198" s="476"/>
      <c r="AW198" s="474"/>
      <c r="AX198" s="685"/>
      <c r="AZ198" s="357" t="e">
        <f t="shared" si="37"/>
        <v>#N/A</v>
      </c>
      <c r="BA198" s="685"/>
    </row>
    <row r="199" spans="2:53">
      <c r="B199" s="671"/>
      <c r="C199" s="295">
        <v>18</v>
      </c>
      <c r="D199" s="196"/>
      <c r="E199" s="481"/>
      <c r="F199" s="196"/>
      <c r="G199" s="194"/>
      <c r="H199" s="711"/>
      <c r="I199" s="352" t="str">
        <f t="shared" si="34"/>
        <v>-</v>
      </c>
      <c r="J199" s="352" t="str">
        <f t="shared" si="35"/>
        <v>-</v>
      </c>
      <c r="K199" s="194" t="str">
        <f t="shared" si="36"/>
        <v>-</v>
      </c>
      <c r="L199" s="645"/>
      <c r="M199" s="193" t="e">
        <f>RANK(K199, K$147:$K$176)</f>
        <v>#VALUE!</v>
      </c>
      <c r="N199" s="663"/>
      <c r="O199" s="663"/>
      <c r="P199" s="474"/>
      <c r="Q199" s="476"/>
      <c r="R199" s="476"/>
      <c r="S199" s="474"/>
      <c r="T199" s="685"/>
      <c r="U199" s="474"/>
      <c r="V199" s="476"/>
      <c r="W199" s="476"/>
      <c r="X199" s="474"/>
      <c r="Y199" s="685"/>
      <c r="Z199" s="474"/>
      <c r="AA199" s="476"/>
      <c r="AB199" s="476"/>
      <c r="AC199" s="474"/>
      <c r="AD199" s="685"/>
      <c r="AE199" s="474"/>
      <c r="AF199" s="476"/>
      <c r="AG199" s="476"/>
      <c r="AH199" s="474"/>
      <c r="AI199" s="685"/>
      <c r="AJ199" s="474"/>
      <c r="AK199" s="476"/>
      <c r="AL199" s="476"/>
      <c r="AM199" s="474"/>
      <c r="AN199" s="685"/>
      <c r="AO199" s="474"/>
      <c r="AP199" s="476"/>
      <c r="AQ199" s="476"/>
      <c r="AR199" s="474"/>
      <c r="AS199" s="685"/>
      <c r="AT199" s="474"/>
      <c r="AU199" s="476"/>
      <c r="AV199" s="476"/>
      <c r="AW199" s="474"/>
      <c r="AX199" s="685"/>
      <c r="AZ199" s="357" t="e">
        <f t="shared" si="37"/>
        <v>#N/A</v>
      </c>
      <c r="BA199" s="685"/>
    </row>
    <row r="200" spans="2:53">
      <c r="B200" s="671"/>
      <c r="C200" s="295">
        <v>19</v>
      </c>
      <c r="D200" s="196"/>
      <c r="E200" s="481"/>
      <c r="F200" s="196"/>
      <c r="G200" s="194"/>
      <c r="H200" s="711"/>
      <c r="I200" s="352" t="str">
        <f t="shared" si="34"/>
        <v>-</v>
      </c>
      <c r="J200" s="352" t="str">
        <f t="shared" si="35"/>
        <v>-</v>
      </c>
      <c r="K200" s="194" t="str">
        <f t="shared" si="36"/>
        <v>-</v>
      </c>
      <c r="L200" s="645"/>
      <c r="M200" s="193" t="e">
        <f>RANK(K200, K$147:$K$176)</f>
        <v>#VALUE!</v>
      </c>
      <c r="N200" s="663"/>
      <c r="O200" s="663"/>
      <c r="P200" s="474"/>
      <c r="Q200" s="476"/>
      <c r="R200" s="476"/>
      <c r="S200" s="474"/>
      <c r="T200" s="685"/>
      <c r="U200" s="474"/>
      <c r="V200" s="476"/>
      <c r="W200" s="476"/>
      <c r="X200" s="474"/>
      <c r="Y200" s="685"/>
      <c r="Z200" s="474"/>
      <c r="AA200" s="476"/>
      <c r="AB200" s="476"/>
      <c r="AC200" s="474"/>
      <c r="AD200" s="685"/>
      <c r="AE200" s="474"/>
      <c r="AF200" s="476"/>
      <c r="AG200" s="476"/>
      <c r="AH200" s="474"/>
      <c r="AI200" s="685"/>
      <c r="AJ200" s="474"/>
      <c r="AK200" s="476"/>
      <c r="AL200" s="476"/>
      <c r="AM200" s="474"/>
      <c r="AN200" s="685"/>
      <c r="AO200" s="474"/>
      <c r="AP200" s="476"/>
      <c r="AQ200" s="476"/>
      <c r="AR200" s="474"/>
      <c r="AS200" s="685"/>
      <c r="AT200" s="474"/>
      <c r="AU200" s="476"/>
      <c r="AV200" s="476"/>
      <c r="AW200" s="474"/>
      <c r="AX200" s="685"/>
      <c r="AZ200" s="357" t="e">
        <f t="shared" si="37"/>
        <v>#N/A</v>
      </c>
      <c r="BA200" s="685"/>
    </row>
    <row r="201" spans="2:53">
      <c r="B201" s="671"/>
      <c r="C201" s="295">
        <v>20</v>
      </c>
      <c r="D201" s="196"/>
      <c r="E201" s="481"/>
      <c r="F201" s="196"/>
      <c r="G201" s="194"/>
      <c r="H201" s="711"/>
      <c r="I201" s="352" t="str">
        <f t="shared" si="34"/>
        <v>-</v>
      </c>
      <c r="J201" s="352" t="str">
        <f t="shared" si="35"/>
        <v>-</v>
      </c>
      <c r="K201" s="194" t="str">
        <f t="shared" si="36"/>
        <v>-</v>
      </c>
      <c r="L201" s="645"/>
      <c r="M201" s="193" t="e">
        <f>RANK(K201, K$147:$K$176)</f>
        <v>#VALUE!</v>
      </c>
      <c r="N201" s="663"/>
      <c r="O201" s="663"/>
      <c r="P201" s="474"/>
      <c r="Q201" s="476"/>
      <c r="R201" s="476"/>
      <c r="S201" s="474"/>
      <c r="T201" s="685"/>
      <c r="U201" s="474"/>
      <c r="V201" s="476"/>
      <c r="W201" s="476"/>
      <c r="X201" s="474"/>
      <c r="Y201" s="685"/>
      <c r="Z201" s="474"/>
      <c r="AA201" s="476"/>
      <c r="AB201" s="476"/>
      <c r="AC201" s="474"/>
      <c r="AD201" s="685"/>
      <c r="AE201" s="474"/>
      <c r="AF201" s="476"/>
      <c r="AG201" s="476"/>
      <c r="AH201" s="474"/>
      <c r="AI201" s="685"/>
      <c r="AJ201" s="474"/>
      <c r="AK201" s="476"/>
      <c r="AL201" s="476"/>
      <c r="AM201" s="474"/>
      <c r="AN201" s="685"/>
      <c r="AO201" s="474"/>
      <c r="AP201" s="476"/>
      <c r="AQ201" s="476"/>
      <c r="AR201" s="474"/>
      <c r="AS201" s="685"/>
      <c r="AT201" s="474"/>
      <c r="AU201" s="476"/>
      <c r="AV201" s="476"/>
      <c r="AW201" s="474"/>
      <c r="AX201" s="685"/>
      <c r="AZ201" s="357" t="e">
        <f t="shared" si="37"/>
        <v>#N/A</v>
      </c>
      <c r="BA201" s="685"/>
    </row>
    <row r="202" spans="2:53">
      <c r="B202" s="671"/>
      <c r="C202" s="295">
        <v>21</v>
      </c>
      <c r="D202" s="196"/>
      <c r="E202" s="481"/>
      <c r="F202" s="196"/>
      <c r="G202" s="194"/>
      <c r="H202" s="711"/>
      <c r="I202" s="352" t="str">
        <f t="shared" si="34"/>
        <v>-</v>
      </c>
      <c r="J202" s="352" t="str">
        <f t="shared" si="35"/>
        <v>-</v>
      </c>
      <c r="K202" s="194" t="str">
        <f t="shared" si="36"/>
        <v>-</v>
      </c>
      <c r="L202" s="645"/>
      <c r="M202" s="193" t="e">
        <f>RANK(K202, K$147:$K$176)</f>
        <v>#VALUE!</v>
      </c>
      <c r="N202" s="663"/>
      <c r="O202" s="663"/>
      <c r="P202" s="474"/>
      <c r="Q202" s="476"/>
      <c r="R202" s="476"/>
      <c r="S202" s="474"/>
      <c r="T202" s="685"/>
      <c r="U202" s="474"/>
      <c r="V202" s="476"/>
      <c r="W202" s="476"/>
      <c r="X202" s="474"/>
      <c r="Y202" s="685"/>
      <c r="Z202" s="474"/>
      <c r="AA202" s="476"/>
      <c r="AB202" s="476"/>
      <c r="AC202" s="474"/>
      <c r="AD202" s="685"/>
      <c r="AE202" s="474"/>
      <c r="AF202" s="476"/>
      <c r="AG202" s="476"/>
      <c r="AH202" s="474"/>
      <c r="AI202" s="685"/>
      <c r="AJ202" s="474"/>
      <c r="AK202" s="476"/>
      <c r="AL202" s="476"/>
      <c r="AM202" s="474"/>
      <c r="AN202" s="685"/>
      <c r="AO202" s="474"/>
      <c r="AP202" s="476"/>
      <c r="AQ202" s="476"/>
      <c r="AR202" s="474"/>
      <c r="AS202" s="685"/>
      <c r="AT202" s="474"/>
      <c r="AU202" s="476"/>
      <c r="AV202" s="476"/>
      <c r="AW202" s="474"/>
      <c r="AX202" s="685"/>
      <c r="AZ202" s="357" t="e">
        <f t="shared" si="37"/>
        <v>#N/A</v>
      </c>
      <c r="BA202" s="685"/>
    </row>
    <row r="203" spans="2:53">
      <c r="B203" s="671"/>
      <c r="C203" s="295">
        <v>22</v>
      </c>
      <c r="D203" s="196"/>
      <c r="E203" s="481"/>
      <c r="F203" s="196"/>
      <c r="G203" s="194"/>
      <c r="H203" s="711"/>
      <c r="I203" s="352" t="str">
        <f t="shared" si="34"/>
        <v>-</v>
      </c>
      <c r="J203" s="352" t="str">
        <f t="shared" si="35"/>
        <v>-</v>
      </c>
      <c r="K203" s="194" t="str">
        <f t="shared" si="36"/>
        <v>-</v>
      </c>
      <c r="L203" s="645"/>
      <c r="M203" s="193" t="e">
        <f>RANK(K203, K$147:$K$176)</f>
        <v>#VALUE!</v>
      </c>
      <c r="N203" s="663"/>
      <c r="O203" s="663"/>
      <c r="P203" s="474"/>
      <c r="Q203" s="476"/>
      <c r="R203" s="476"/>
      <c r="S203" s="474"/>
      <c r="T203" s="685"/>
      <c r="U203" s="474"/>
      <c r="V203" s="476"/>
      <c r="W203" s="476"/>
      <c r="X203" s="474"/>
      <c r="Y203" s="685"/>
      <c r="Z203" s="474"/>
      <c r="AA203" s="476"/>
      <c r="AB203" s="476"/>
      <c r="AC203" s="474"/>
      <c r="AD203" s="685"/>
      <c r="AE203" s="474"/>
      <c r="AF203" s="476"/>
      <c r="AG203" s="476"/>
      <c r="AH203" s="474"/>
      <c r="AI203" s="685"/>
      <c r="AJ203" s="474"/>
      <c r="AK203" s="476"/>
      <c r="AL203" s="476"/>
      <c r="AM203" s="474"/>
      <c r="AN203" s="685"/>
      <c r="AO203" s="474"/>
      <c r="AP203" s="476"/>
      <c r="AQ203" s="476"/>
      <c r="AR203" s="474"/>
      <c r="AS203" s="685"/>
      <c r="AT203" s="474"/>
      <c r="AU203" s="476"/>
      <c r="AV203" s="476"/>
      <c r="AW203" s="474"/>
      <c r="AX203" s="685"/>
      <c r="AZ203" s="357" t="e">
        <f t="shared" si="37"/>
        <v>#N/A</v>
      </c>
      <c r="BA203" s="685"/>
    </row>
    <row r="204" spans="2:53">
      <c r="B204" s="671"/>
      <c r="C204" s="295">
        <v>23</v>
      </c>
      <c r="D204" s="196"/>
      <c r="E204" s="481"/>
      <c r="F204" s="196"/>
      <c r="G204" s="194"/>
      <c r="H204" s="711"/>
      <c r="I204" s="352" t="str">
        <f t="shared" si="34"/>
        <v>-</v>
      </c>
      <c r="J204" s="352" t="str">
        <f t="shared" si="35"/>
        <v>-</v>
      </c>
      <c r="K204" s="194" t="str">
        <f t="shared" si="36"/>
        <v>-</v>
      </c>
      <c r="L204" s="645"/>
      <c r="M204" s="193" t="e">
        <f>RANK(K204, K$147:$K$176)</f>
        <v>#VALUE!</v>
      </c>
      <c r="N204" s="663"/>
      <c r="O204" s="663"/>
      <c r="P204" s="474"/>
      <c r="Q204" s="476"/>
      <c r="R204" s="476"/>
      <c r="S204" s="474"/>
      <c r="T204" s="685"/>
      <c r="U204" s="474"/>
      <c r="V204" s="476"/>
      <c r="W204" s="476"/>
      <c r="X204" s="474"/>
      <c r="Y204" s="685"/>
      <c r="Z204" s="474"/>
      <c r="AA204" s="476"/>
      <c r="AB204" s="476"/>
      <c r="AC204" s="474"/>
      <c r="AD204" s="685"/>
      <c r="AE204" s="474"/>
      <c r="AF204" s="476"/>
      <c r="AG204" s="476"/>
      <c r="AH204" s="474"/>
      <c r="AI204" s="685"/>
      <c r="AJ204" s="474"/>
      <c r="AK204" s="476"/>
      <c r="AL204" s="476"/>
      <c r="AM204" s="474"/>
      <c r="AN204" s="685"/>
      <c r="AO204" s="474"/>
      <c r="AP204" s="476"/>
      <c r="AQ204" s="476"/>
      <c r="AR204" s="474"/>
      <c r="AS204" s="685"/>
      <c r="AT204" s="474"/>
      <c r="AU204" s="476"/>
      <c r="AV204" s="476"/>
      <c r="AW204" s="474"/>
      <c r="AX204" s="685"/>
      <c r="AZ204" s="357" t="e">
        <f t="shared" si="37"/>
        <v>#N/A</v>
      </c>
      <c r="BA204" s="685"/>
    </row>
    <row r="205" spans="2:53">
      <c r="B205" s="671"/>
      <c r="C205" s="295">
        <v>24</v>
      </c>
      <c r="D205" s="196"/>
      <c r="E205" s="481"/>
      <c r="F205" s="196"/>
      <c r="G205" s="194"/>
      <c r="H205" s="711"/>
      <c r="I205" s="352" t="str">
        <f t="shared" si="34"/>
        <v>-</v>
      </c>
      <c r="J205" s="352" t="str">
        <f t="shared" si="35"/>
        <v>-</v>
      </c>
      <c r="K205" s="194" t="str">
        <f t="shared" si="36"/>
        <v>-</v>
      </c>
      <c r="L205" s="645"/>
      <c r="M205" s="193" t="e">
        <f>RANK(K205, K$147:$K$176)</f>
        <v>#VALUE!</v>
      </c>
      <c r="N205" s="663"/>
      <c r="O205" s="663"/>
      <c r="P205" s="474"/>
      <c r="Q205" s="476"/>
      <c r="R205" s="476"/>
      <c r="S205" s="474"/>
      <c r="T205" s="685"/>
      <c r="U205" s="474"/>
      <c r="V205" s="476"/>
      <c r="W205" s="476"/>
      <c r="X205" s="474"/>
      <c r="Y205" s="685"/>
      <c r="Z205" s="474"/>
      <c r="AA205" s="476"/>
      <c r="AB205" s="476"/>
      <c r="AC205" s="474"/>
      <c r="AD205" s="685"/>
      <c r="AE205" s="474"/>
      <c r="AF205" s="476"/>
      <c r="AG205" s="476"/>
      <c r="AH205" s="474"/>
      <c r="AI205" s="685"/>
      <c r="AJ205" s="474"/>
      <c r="AK205" s="476"/>
      <c r="AL205" s="476"/>
      <c r="AM205" s="474"/>
      <c r="AN205" s="685"/>
      <c r="AO205" s="474"/>
      <c r="AP205" s="476"/>
      <c r="AQ205" s="476"/>
      <c r="AR205" s="474"/>
      <c r="AS205" s="685"/>
      <c r="AT205" s="474"/>
      <c r="AU205" s="476"/>
      <c r="AV205" s="476"/>
      <c r="AW205" s="474"/>
      <c r="AX205" s="685"/>
      <c r="AZ205" s="357" t="e">
        <f t="shared" si="37"/>
        <v>#N/A</v>
      </c>
      <c r="BA205" s="685"/>
    </row>
    <row r="206" spans="2:53">
      <c r="B206" s="671"/>
      <c r="C206" s="295">
        <v>25</v>
      </c>
      <c r="D206" s="196"/>
      <c r="E206" s="481"/>
      <c r="F206" s="196"/>
      <c r="G206" s="194"/>
      <c r="H206" s="711"/>
      <c r="I206" s="352" t="str">
        <f t="shared" si="34"/>
        <v>-</v>
      </c>
      <c r="J206" s="352" t="str">
        <f t="shared" si="35"/>
        <v>-</v>
      </c>
      <c r="K206" s="194" t="str">
        <f t="shared" si="36"/>
        <v>-</v>
      </c>
      <c r="L206" s="645"/>
      <c r="M206" s="193" t="e">
        <f>RANK(K206, K$147:$K$176)</f>
        <v>#VALUE!</v>
      </c>
      <c r="N206" s="663"/>
      <c r="O206" s="663"/>
      <c r="P206" s="474"/>
      <c r="Q206" s="476"/>
      <c r="R206" s="476"/>
      <c r="S206" s="474"/>
      <c r="T206" s="685"/>
      <c r="U206" s="474"/>
      <c r="V206" s="476"/>
      <c r="W206" s="476"/>
      <c r="X206" s="474"/>
      <c r="Y206" s="685"/>
      <c r="Z206" s="474"/>
      <c r="AA206" s="476"/>
      <c r="AB206" s="476"/>
      <c r="AC206" s="474"/>
      <c r="AD206" s="685"/>
      <c r="AE206" s="474"/>
      <c r="AF206" s="476"/>
      <c r="AG206" s="476"/>
      <c r="AH206" s="474"/>
      <c r="AI206" s="685"/>
      <c r="AJ206" s="474"/>
      <c r="AK206" s="476"/>
      <c r="AL206" s="476"/>
      <c r="AM206" s="474"/>
      <c r="AN206" s="685"/>
      <c r="AO206" s="474"/>
      <c r="AP206" s="476"/>
      <c r="AQ206" s="476"/>
      <c r="AR206" s="474"/>
      <c r="AS206" s="685"/>
      <c r="AT206" s="474"/>
      <c r="AU206" s="476"/>
      <c r="AV206" s="476"/>
      <c r="AW206" s="474"/>
      <c r="AX206" s="685"/>
      <c r="AZ206" s="357" t="e">
        <f t="shared" si="37"/>
        <v>#N/A</v>
      </c>
      <c r="BA206" s="685"/>
    </row>
    <row r="207" spans="2:53">
      <c r="B207" s="671"/>
      <c r="C207" s="295">
        <v>26</v>
      </c>
      <c r="D207" s="196"/>
      <c r="E207" s="481"/>
      <c r="F207" s="196"/>
      <c r="G207" s="194"/>
      <c r="H207" s="711"/>
      <c r="I207" s="352" t="str">
        <f t="shared" si="34"/>
        <v>-</v>
      </c>
      <c r="J207" s="352" t="str">
        <f t="shared" si="35"/>
        <v>-</v>
      </c>
      <c r="K207" s="194" t="str">
        <f t="shared" si="36"/>
        <v>-</v>
      </c>
      <c r="L207" s="645"/>
      <c r="M207" s="193" t="e">
        <f>RANK(K207, K$147:$K$176)</f>
        <v>#VALUE!</v>
      </c>
      <c r="N207" s="663"/>
      <c r="O207" s="663"/>
      <c r="P207" s="474"/>
      <c r="Q207" s="476"/>
      <c r="R207" s="476"/>
      <c r="S207" s="474"/>
      <c r="T207" s="685"/>
      <c r="U207" s="474"/>
      <c r="V207" s="476"/>
      <c r="W207" s="476"/>
      <c r="X207" s="474"/>
      <c r="Y207" s="685"/>
      <c r="Z207" s="474"/>
      <c r="AA207" s="476"/>
      <c r="AB207" s="476"/>
      <c r="AC207" s="474"/>
      <c r="AD207" s="685"/>
      <c r="AE207" s="474"/>
      <c r="AF207" s="476"/>
      <c r="AG207" s="476"/>
      <c r="AH207" s="474"/>
      <c r="AI207" s="685"/>
      <c r="AJ207" s="474"/>
      <c r="AK207" s="476"/>
      <c r="AL207" s="476"/>
      <c r="AM207" s="474"/>
      <c r="AN207" s="685"/>
      <c r="AO207" s="474"/>
      <c r="AP207" s="476"/>
      <c r="AQ207" s="476"/>
      <c r="AR207" s="474"/>
      <c r="AS207" s="685"/>
      <c r="AT207" s="474"/>
      <c r="AU207" s="476"/>
      <c r="AV207" s="476"/>
      <c r="AW207" s="474"/>
      <c r="AX207" s="685"/>
      <c r="AZ207" s="357" t="e">
        <f t="shared" si="37"/>
        <v>#N/A</v>
      </c>
      <c r="BA207" s="685"/>
    </row>
    <row r="208" spans="2:53">
      <c r="B208" s="671"/>
      <c r="C208" s="295">
        <v>27</v>
      </c>
      <c r="D208" s="196"/>
      <c r="E208" s="481"/>
      <c r="F208" s="196"/>
      <c r="G208" s="194"/>
      <c r="H208" s="711"/>
      <c r="I208" s="352" t="str">
        <f t="shared" si="34"/>
        <v>-</v>
      </c>
      <c r="J208" s="352" t="str">
        <f t="shared" si="35"/>
        <v>-</v>
      </c>
      <c r="K208" s="194" t="str">
        <f t="shared" si="36"/>
        <v>-</v>
      </c>
      <c r="L208" s="645"/>
      <c r="M208" s="193" t="e">
        <f>RANK(K208, K$147:$K$176)</f>
        <v>#VALUE!</v>
      </c>
      <c r="N208" s="663"/>
      <c r="O208" s="663"/>
      <c r="P208" s="474"/>
      <c r="Q208" s="476"/>
      <c r="R208" s="476"/>
      <c r="S208" s="474"/>
      <c r="T208" s="685"/>
      <c r="U208" s="474"/>
      <c r="V208" s="476"/>
      <c r="W208" s="476"/>
      <c r="X208" s="474"/>
      <c r="Y208" s="685"/>
      <c r="Z208" s="474"/>
      <c r="AA208" s="476"/>
      <c r="AB208" s="476"/>
      <c r="AC208" s="474"/>
      <c r="AD208" s="685"/>
      <c r="AE208" s="474"/>
      <c r="AF208" s="476"/>
      <c r="AG208" s="476"/>
      <c r="AH208" s="474"/>
      <c r="AI208" s="685"/>
      <c r="AJ208" s="474"/>
      <c r="AK208" s="476"/>
      <c r="AL208" s="476"/>
      <c r="AM208" s="474"/>
      <c r="AN208" s="685"/>
      <c r="AO208" s="474"/>
      <c r="AP208" s="476"/>
      <c r="AQ208" s="476"/>
      <c r="AR208" s="474"/>
      <c r="AS208" s="685"/>
      <c r="AT208" s="474"/>
      <c r="AU208" s="476"/>
      <c r="AV208" s="476"/>
      <c r="AW208" s="474"/>
      <c r="AX208" s="685"/>
      <c r="AZ208" s="357" t="e">
        <f t="shared" si="37"/>
        <v>#N/A</v>
      </c>
      <c r="BA208" s="685"/>
    </row>
    <row r="209" spans="2:53">
      <c r="B209" s="671"/>
      <c r="C209" s="295">
        <v>28</v>
      </c>
      <c r="D209" s="196"/>
      <c r="E209" s="481"/>
      <c r="F209" s="196"/>
      <c r="G209" s="194"/>
      <c r="H209" s="711"/>
      <c r="I209" s="352" t="str">
        <f t="shared" si="34"/>
        <v>-</v>
      </c>
      <c r="J209" s="352" t="str">
        <f t="shared" si="35"/>
        <v>-</v>
      </c>
      <c r="K209" s="194" t="str">
        <f t="shared" si="36"/>
        <v>-</v>
      </c>
      <c r="L209" s="645"/>
      <c r="M209" s="193" t="e">
        <f>RANK(K209, K$147:$K$176)</f>
        <v>#VALUE!</v>
      </c>
      <c r="N209" s="663"/>
      <c r="O209" s="663"/>
      <c r="P209" s="474"/>
      <c r="Q209" s="476"/>
      <c r="R209" s="476"/>
      <c r="S209" s="474"/>
      <c r="T209" s="685"/>
      <c r="U209" s="474"/>
      <c r="V209" s="476"/>
      <c r="W209" s="476"/>
      <c r="X209" s="474"/>
      <c r="Y209" s="685"/>
      <c r="Z209" s="474"/>
      <c r="AA209" s="476"/>
      <c r="AB209" s="476"/>
      <c r="AC209" s="474"/>
      <c r="AD209" s="685"/>
      <c r="AE209" s="474"/>
      <c r="AF209" s="476"/>
      <c r="AG209" s="476"/>
      <c r="AH209" s="474"/>
      <c r="AI209" s="685"/>
      <c r="AJ209" s="474"/>
      <c r="AK209" s="476"/>
      <c r="AL209" s="476"/>
      <c r="AM209" s="474"/>
      <c r="AN209" s="685"/>
      <c r="AO209" s="474"/>
      <c r="AP209" s="476"/>
      <c r="AQ209" s="476"/>
      <c r="AR209" s="474"/>
      <c r="AS209" s="685"/>
      <c r="AT209" s="474"/>
      <c r="AU209" s="476"/>
      <c r="AV209" s="476"/>
      <c r="AW209" s="474"/>
      <c r="AX209" s="685"/>
      <c r="AZ209" s="357" t="e">
        <f t="shared" si="37"/>
        <v>#N/A</v>
      </c>
      <c r="BA209" s="685"/>
    </row>
    <row r="210" spans="2:53">
      <c r="B210" s="671"/>
      <c r="C210" s="295">
        <v>29</v>
      </c>
      <c r="D210" s="196"/>
      <c r="E210" s="481"/>
      <c r="F210" s="196"/>
      <c r="G210" s="194"/>
      <c r="H210" s="711"/>
      <c r="I210" s="352" t="str">
        <f t="shared" si="34"/>
        <v>-</v>
      </c>
      <c r="J210" s="352" t="str">
        <f t="shared" si="35"/>
        <v>-</v>
      </c>
      <c r="K210" s="194" t="str">
        <f t="shared" si="36"/>
        <v>-</v>
      </c>
      <c r="L210" s="645"/>
      <c r="M210" s="193" t="e">
        <f>RANK(K210, K$147:$K$176)</f>
        <v>#VALUE!</v>
      </c>
      <c r="N210" s="663"/>
      <c r="O210" s="663"/>
      <c r="P210" s="474"/>
      <c r="Q210" s="476"/>
      <c r="R210" s="476"/>
      <c r="S210" s="474"/>
      <c r="T210" s="685"/>
      <c r="U210" s="474"/>
      <c r="V210" s="476"/>
      <c r="W210" s="476"/>
      <c r="X210" s="474"/>
      <c r="Y210" s="685"/>
      <c r="Z210" s="474"/>
      <c r="AA210" s="476"/>
      <c r="AB210" s="476"/>
      <c r="AC210" s="474"/>
      <c r="AD210" s="685"/>
      <c r="AE210" s="474"/>
      <c r="AF210" s="476"/>
      <c r="AG210" s="476"/>
      <c r="AH210" s="474"/>
      <c r="AI210" s="685"/>
      <c r="AJ210" s="474"/>
      <c r="AK210" s="476"/>
      <c r="AL210" s="476"/>
      <c r="AM210" s="474"/>
      <c r="AN210" s="685"/>
      <c r="AO210" s="474"/>
      <c r="AP210" s="476"/>
      <c r="AQ210" s="476"/>
      <c r="AR210" s="474"/>
      <c r="AS210" s="685"/>
      <c r="AT210" s="474"/>
      <c r="AU210" s="476"/>
      <c r="AV210" s="476"/>
      <c r="AW210" s="474"/>
      <c r="AX210" s="685"/>
      <c r="AZ210" s="357" t="e">
        <f t="shared" si="37"/>
        <v>#N/A</v>
      </c>
      <c r="BA210" s="685"/>
    </row>
    <row r="211" spans="2:53">
      <c r="B211" s="671"/>
      <c r="C211" s="295">
        <v>30</v>
      </c>
      <c r="D211" s="196"/>
      <c r="E211" s="481"/>
      <c r="F211" s="196"/>
      <c r="G211" s="194"/>
      <c r="H211" s="712"/>
      <c r="I211" s="352" t="str">
        <f t="shared" si="34"/>
        <v>-</v>
      </c>
      <c r="J211" s="352" t="str">
        <f t="shared" si="35"/>
        <v>-</v>
      </c>
      <c r="K211" s="194" t="str">
        <f t="shared" si="36"/>
        <v>-</v>
      </c>
      <c r="L211" s="646"/>
      <c r="M211" s="193" t="e">
        <f>RANK(K211, K$147:$K$176)</f>
        <v>#VALUE!</v>
      </c>
      <c r="N211" s="663"/>
      <c r="O211" s="663"/>
      <c r="P211" s="474"/>
      <c r="Q211" s="476"/>
      <c r="R211" s="476"/>
      <c r="S211" s="474"/>
      <c r="T211" s="685"/>
      <c r="U211" s="474"/>
      <c r="V211" s="476"/>
      <c r="W211" s="476"/>
      <c r="X211" s="474"/>
      <c r="Y211" s="685"/>
      <c r="Z211" s="474"/>
      <c r="AA211" s="476"/>
      <c r="AB211" s="476"/>
      <c r="AC211" s="474"/>
      <c r="AD211" s="685"/>
      <c r="AE211" s="474"/>
      <c r="AF211" s="476"/>
      <c r="AG211" s="476"/>
      <c r="AH211" s="474"/>
      <c r="AI211" s="685"/>
      <c r="AJ211" s="474"/>
      <c r="AK211" s="476"/>
      <c r="AL211" s="476"/>
      <c r="AM211" s="474"/>
      <c r="AN211" s="685"/>
      <c r="AO211" s="474"/>
      <c r="AP211" s="476"/>
      <c r="AQ211" s="476"/>
      <c r="AR211" s="474"/>
      <c r="AS211" s="685"/>
      <c r="AT211" s="474"/>
      <c r="AU211" s="476"/>
      <c r="AV211" s="476"/>
      <c r="AW211" s="474"/>
      <c r="AX211" s="685"/>
      <c r="AZ211" s="357" t="e">
        <f t="shared" si="37"/>
        <v>#N/A</v>
      </c>
      <c r="BA211" s="685"/>
    </row>
    <row r="213" spans="2:53" ht="15.75">
      <c r="B213" s="697" t="s">
        <v>465</v>
      </c>
      <c r="C213" s="698"/>
      <c r="D213" s="698"/>
      <c r="E213" s="698"/>
      <c r="F213" s="698"/>
      <c r="G213" s="698"/>
      <c r="H213" s="699"/>
      <c r="I213" s="299"/>
      <c r="J213" s="299"/>
      <c r="K213" s="299"/>
      <c r="L213" s="299"/>
      <c r="M213" s="300"/>
    </row>
    <row r="214" spans="2:53" ht="15.75">
      <c r="B214" s="700"/>
      <c r="C214" s="700"/>
      <c r="D214" s="700"/>
      <c r="E214" s="700"/>
      <c r="F214" s="700"/>
      <c r="G214" s="700"/>
      <c r="H214" s="700"/>
      <c r="I214" s="301"/>
      <c r="J214" s="301"/>
      <c r="K214" s="301"/>
      <c r="L214" s="301"/>
      <c r="M214" s="302"/>
    </row>
    <row r="215" spans="2:53">
      <c r="B215" s="663" t="s">
        <v>466</v>
      </c>
      <c r="C215" s="663" t="s">
        <v>467</v>
      </c>
      <c r="D215" s="663"/>
      <c r="E215" s="663" t="s">
        <v>468</v>
      </c>
      <c r="F215" s="663"/>
      <c r="G215" s="663"/>
      <c r="H215" s="663" t="s">
        <v>469</v>
      </c>
      <c r="I215" s="701" t="s">
        <v>470</v>
      </c>
      <c r="J215" s="701"/>
      <c r="K215" s="701"/>
      <c r="L215" s="701" t="s">
        <v>469</v>
      </c>
      <c r="M215" s="701" t="s">
        <v>471</v>
      </c>
    </row>
    <row r="216" spans="2:53">
      <c r="B216" s="663"/>
      <c r="C216" s="663"/>
      <c r="D216" s="663"/>
      <c r="E216" s="663" t="s">
        <v>472</v>
      </c>
      <c r="F216" s="663"/>
      <c r="G216" s="663"/>
      <c r="H216" s="663"/>
      <c r="I216" s="701" t="s">
        <v>472</v>
      </c>
      <c r="J216" s="701"/>
      <c r="K216" s="701"/>
      <c r="L216" s="701"/>
      <c r="M216" s="701"/>
    </row>
    <row r="217" spans="2:53">
      <c r="B217" s="663"/>
      <c r="C217" s="663"/>
      <c r="D217" s="663"/>
      <c r="E217" s="296" t="s">
        <v>473</v>
      </c>
      <c r="F217" s="296" t="s">
        <v>474</v>
      </c>
      <c r="G217" s="296" t="s">
        <v>475</v>
      </c>
      <c r="H217" s="663"/>
      <c r="I217" s="303" t="s">
        <v>473</v>
      </c>
      <c r="J217" s="303" t="s">
        <v>474</v>
      </c>
      <c r="K217" s="303" t="s">
        <v>475</v>
      </c>
      <c r="L217" s="701"/>
      <c r="M217" s="701"/>
    </row>
    <row r="218" spans="2:53">
      <c r="B218" s="663" t="s">
        <v>480</v>
      </c>
      <c r="C218" s="295">
        <v>1</v>
      </c>
      <c r="D218" s="295"/>
      <c r="E218" s="176"/>
      <c r="F218" s="295"/>
      <c r="G218" s="298"/>
      <c r="H218" s="685" t="e">
        <f>AVERAGE(G218:G247)</f>
        <v>#DIV/0!</v>
      </c>
      <c r="I218" s="193" t="e">
        <f t="shared" ref="I218:J241" si="38">AVERAGEIF($D$7:$D$211,$D218,I$7:I$211)</f>
        <v>#DIV/0!</v>
      </c>
      <c r="J218" s="193" t="e">
        <f t="shared" si="38"/>
        <v>#DIV/0!</v>
      </c>
      <c r="K218" s="193" t="e">
        <f t="shared" ref="K218:K241" si="39">AVERAGEIF($D$7:$D$211,$D218,K$7:K$211)</f>
        <v>#DIV/0!</v>
      </c>
      <c r="L218" s="704" t="e">
        <f>AVERAGE(K218:K247)</f>
        <v>#DIV/0!</v>
      </c>
      <c r="M218" s="193" t="e">
        <f>RANK(K218, K$218:$K$247)</f>
        <v>#DIV/0!</v>
      </c>
    </row>
    <row r="219" spans="2:53">
      <c r="B219" s="671"/>
      <c r="C219" s="295">
        <v>2</v>
      </c>
      <c r="D219" s="295"/>
      <c r="E219" s="176"/>
      <c r="F219" s="295"/>
      <c r="G219" s="298"/>
      <c r="H219" s="685"/>
      <c r="I219" s="193" t="e">
        <f t="shared" si="38"/>
        <v>#DIV/0!</v>
      </c>
      <c r="J219" s="193" t="e">
        <f t="shared" si="38"/>
        <v>#DIV/0!</v>
      </c>
      <c r="K219" s="193" t="e">
        <f t="shared" si="39"/>
        <v>#DIV/0!</v>
      </c>
      <c r="L219" s="704"/>
      <c r="M219" s="193" t="e">
        <f>RANK(K219, K$218:$K$247)</f>
        <v>#DIV/0!</v>
      </c>
    </row>
    <row r="220" spans="2:53">
      <c r="B220" s="671"/>
      <c r="C220" s="295">
        <v>3</v>
      </c>
      <c r="D220" s="295"/>
      <c r="E220" s="176"/>
      <c r="F220" s="295"/>
      <c r="G220" s="298"/>
      <c r="H220" s="685"/>
      <c r="I220" s="193" t="e">
        <f t="shared" si="38"/>
        <v>#DIV/0!</v>
      </c>
      <c r="J220" s="193" t="e">
        <f t="shared" si="38"/>
        <v>#DIV/0!</v>
      </c>
      <c r="K220" s="193" t="e">
        <f t="shared" si="39"/>
        <v>#DIV/0!</v>
      </c>
      <c r="L220" s="704"/>
      <c r="M220" s="193" t="e">
        <f>RANK(K220, K$218:$K$247)</f>
        <v>#DIV/0!</v>
      </c>
    </row>
    <row r="221" spans="2:53">
      <c r="B221" s="671"/>
      <c r="C221" s="295">
        <v>4</v>
      </c>
      <c r="D221" s="295"/>
      <c r="E221" s="176"/>
      <c r="F221" s="295"/>
      <c r="G221" s="298"/>
      <c r="H221" s="685"/>
      <c r="I221" s="193" t="e">
        <f t="shared" si="38"/>
        <v>#DIV/0!</v>
      </c>
      <c r="J221" s="193" t="e">
        <f t="shared" si="38"/>
        <v>#DIV/0!</v>
      </c>
      <c r="K221" s="193" t="e">
        <f t="shared" si="39"/>
        <v>#DIV/0!</v>
      </c>
      <c r="L221" s="704"/>
      <c r="M221" s="193" t="e">
        <f>RANK(K221, K$218:$K$247)</f>
        <v>#DIV/0!</v>
      </c>
    </row>
    <row r="222" spans="2:53">
      <c r="B222" s="671"/>
      <c r="C222" s="295">
        <v>5</v>
      </c>
      <c r="D222" s="295"/>
      <c r="E222" s="176"/>
      <c r="F222" s="295"/>
      <c r="G222" s="298"/>
      <c r="H222" s="685"/>
      <c r="I222" s="193" t="e">
        <f t="shared" si="38"/>
        <v>#DIV/0!</v>
      </c>
      <c r="J222" s="193" t="e">
        <f t="shared" si="38"/>
        <v>#DIV/0!</v>
      </c>
      <c r="K222" s="193" t="e">
        <f t="shared" si="39"/>
        <v>#DIV/0!</v>
      </c>
      <c r="L222" s="704"/>
      <c r="M222" s="193" t="e">
        <f>RANK(K222, K$218:$K$247)</f>
        <v>#DIV/0!</v>
      </c>
    </row>
    <row r="223" spans="2:53">
      <c r="B223" s="671"/>
      <c r="C223" s="295">
        <v>6</v>
      </c>
      <c r="D223" s="295"/>
      <c r="E223" s="176"/>
      <c r="F223" s="295"/>
      <c r="G223" s="298"/>
      <c r="H223" s="685"/>
      <c r="I223" s="193" t="e">
        <f t="shared" si="38"/>
        <v>#DIV/0!</v>
      </c>
      <c r="J223" s="193" t="e">
        <f t="shared" si="38"/>
        <v>#DIV/0!</v>
      </c>
      <c r="K223" s="193" t="e">
        <f t="shared" si="39"/>
        <v>#DIV/0!</v>
      </c>
      <c r="L223" s="704"/>
      <c r="M223" s="193" t="e">
        <f>RANK(K223, K$218:$K$247)</f>
        <v>#DIV/0!</v>
      </c>
    </row>
    <row r="224" spans="2:53">
      <c r="B224" s="671"/>
      <c r="C224" s="295">
        <v>7</v>
      </c>
      <c r="D224" s="295"/>
      <c r="E224" s="176"/>
      <c r="F224" s="295"/>
      <c r="G224" s="298"/>
      <c r="H224" s="685"/>
      <c r="I224" s="193" t="e">
        <f t="shared" si="38"/>
        <v>#DIV/0!</v>
      </c>
      <c r="J224" s="193" t="e">
        <f t="shared" si="38"/>
        <v>#DIV/0!</v>
      </c>
      <c r="K224" s="193" t="e">
        <f t="shared" si="39"/>
        <v>#DIV/0!</v>
      </c>
      <c r="L224" s="704"/>
      <c r="M224" s="193" t="e">
        <f>RANK(K224, K$218:$K$247)</f>
        <v>#DIV/0!</v>
      </c>
    </row>
    <row r="225" spans="2:39">
      <c r="B225" s="671"/>
      <c r="C225" s="295">
        <v>8</v>
      </c>
      <c r="D225" s="295"/>
      <c r="E225" s="176"/>
      <c r="F225" s="295"/>
      <c r="G225" s="298"/>
      <c r="H225" s="685"/>
      <c r="I225" s="193" t="e">
        <f t="shared" si="38"/>
        <v>#DIV/0!</v>
      </c>
      <c r="J225" s="193" t="e">
        <f t="shared" si="38"/>
        <v>#DIV/0!</v>
      </c>
      <c r="K225" s="193" t="e">
        <f t="shared" si="39"/>
        <v>#DIV/0!</v>
      </c>
      <c r="L225" s="704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71"/>
      <c r="C226" s="295">
        <v>9</v>
      </c>
      <c r="D226" s="295"/>
      <c r="E226" s="176"/>
      <c r="F226" s="295"/>
      <c r="G226" s="298"/>
      <c r="H226" s="685"/>
      <c r="I226" s="193" t="e">
        <f t="shared" si="38"/>
        <v>#DIV/0!</v>
      </c>
      <c r="J226" s="193" t="e">
        <f t="shared" si="38"/>
        <v>#DIV/0!</v>
      </c>
      <c r="K226" s="193" t="e">
        <f t="shared" si="39"/>
        <v>#DIV/0!</v>
      </c>
      <c r="L226" s="704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71"/>
      <c r="C227" s="295">
        <v>10</v>
      </c>
      <c r="D227" s="295"/>
      <c r="E227" s="176"/>
      <c r="F227" s="295"/>
      <c r="G227" s="298"/>
      <c r="H227" s="685"/>
      <c r="I227" s="193" t="e">
        <f t="shared" si="38"/>
        <v>#DIV/0!</v>
      </c>
      <c r="J227" s="193" t="e">
        <f t="shared" si="38"/>
        <v>#DIV/0!</v>
      </c>
      <c r="K227" s="193" t="e">
        <f t="shared" si="39"/>
        <v>#DIV/0!</v>
      </c>
      <c r="L227" s="704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71"/>
      <c r="C228" s="295">
        <v>11</v>
      </c>
      <c r="D228" s="295"/>
      <c r="E228" s="176"/>
      <c r="F228" s="295"/>
      <c r="G228" s="298"/>
      <c r="H228" s="685"/>
      <c r="I228" s="193" t="e">
        <f t="shared" si="38"/>
        <v>#DIV/0!</v>
      </c>
      <c r="J228" s="193" t="e">
        <f t="shared" si="38"/>
        <v>#DIV/0!</v>
      </c>
      <c r="K228" s="193" t="e">
        <f t="shared" si="39"/>
        <v>#DIV/0!</v>
      </c>
      <c r="L228" s="704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71"/>
      <c r="C229" s="295">
        <v>12</v>
      </c>
      <c r="D229" s="295"/>
      <c r="E229" s="176"/>
      <c r="F229" s="295"/>
      <c r="G229" s="298"/>
      <c r="H229" s="685"/>
      <c r="I229" s="193" t="e">
        <f t="shared" si="38"/>
        <v>#DIV/0!</v>
      </c>
      <c r="J229" s="193" t="e">
        <f t="shared" si="38"/>
        <v>#DIV/0!</v>
      </c>
      <c r="K229" s="193" t="e">
        <f t="shared" si="39"/>
        <v>#DIV/0!</v>
      </c>
      <c r="L229" s="704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71"/>
      <c r="C230" s="295">
        <v>13</v>
      </c>
      <c r="D230" s="295"/>
      <c r="E230" s="176"/>
      <c r="F230" s="295"/>
      <c r="G230" s="298"/>
      <c r="H230" s="685"/>
      <c r="I230" s="193" t="e">
        <f t="shared" si="38"/>
        <v>#DIV/0!</v>
      </c>
      <c r="J230" s="193" t="e">
        <f t="shared" si="38"/>
        <v>#DIV/0!</v>
      </c>
      <c r="K230" s="193" t="e">
        <f t="shared" si="39"/>
        <v>#DIV/0!</v>
      </c>
      <c r="L230" s="704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71"/>
      <c r="C231" s="295">
        <v>14</v>
      </c>
      <c r="D231" s="295"/>
      <c r="E231" s="176"/>
      <c r="F231" s="295"/>
      <c r="G231" s="298"/>
      <c r="H231" s="685"/>
      <c r="I231" s="193" t="e">
        <f t="shared" si="38"/>
        <v>#DIV/0!</v>
      </c>
      <c r="J231" s="193" t="e">
        <f t="shared" si="38"/>
        <v>#DIV/0!</v>
      </c>
      <c r="K231" s="193" t="e">
        <f t="shared" si="39"/>
        <v>#DIV/0!</v>
      </c>
      <c r="L231" s="704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71"/>
      <c r="C232" s="295">
        <v>15</v>
      </c>
      <c r="D232" s="295"/>
      <c r="E232" s="176"/>
      <c r="F232" s="295"/>
      <c r="G232" s="298"/>
      <c r="H232" s="685"/>
      <c r="I232" s="193" t="e">
        <f t="shared" si="38"/>
        <v>#DIV/0!</v>
      </c>
      <c r="J232" s="193" t="e">
        <f t="shared" si="38"/>
        <v>#DIV/0!</v>
      </c>
      <c r="K232" s="193" t="e">
        <f t="shared" si="39"/>
        <v>#DIV/0!</v>
      </c>
      <c r="L232" s="704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71"/>
      <c r="C233" s="295">
        <v>16</v>
      </c>
      <c r="D233" s="295"/>
      <c r="E233" s="176"/>
      <c r="F233" s="295"/>
      <c r="G233" s="298"/>
      <c r="H233" s="685"/>
      <c r="I233" s="193" t="e">
        <f t="shared" si="38"/>
        <v>#DIV/0!</v>
      </c>
      <c r="J233" s="193" t="e">
        <f t="shared" si="38"/>
        <v>#DIV/0!</v>
      </c>
      <c r="K233" s="193" t="e">
        <f t="shared" si="39"/>
        <v>#DIV/0!</v>
      </c>
      <c r="L233" s="704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71"/>
      <c r="C234" s="295">
        <v>17</v>
      </c>
      <c r="D234" s="295"/>
      <c r="E234" s="176"/>
      <c r="F234" s="295"/>
      <c r="G234" s="298"/>
      <c r="H234" s="685"/>
      <c r="I234" s="193" t="e">
        <f t="shared" si="38"/>
        <v>#DIV/0!</v>
      </c>
      <c r="J234" s="193" t="e">
        <f t="shared" si="38"/>
        <v>#DIV/0!</v>
      </c>
      <c r="K234" s="193" t="e">
        <f t="shared" si="39"/>
        <v>#DIV/0!</v>
      </c>
      <c r="L234" s="704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71"/>
      <c r="C235" s="295">
        <v>18</v>
      </c>
      <c r="D235" s="295"/>
      <c r="E235" s="176"/>
      <c r="F235" s="295"/>
      <c r="G235" s="298"/>
      <c r="H235" s="685"/>
      <c r="I235" s="193" t="e">
        <f t="shared" si="38"/>
        <v>#DIV/0!</v>
      </c>
      <c r="J235" s="193" t="e">
        <f t="shared" si="38"/>
        <v>#DIV/0!</v>
      </c>
      <c r="K235" s="193" t="e">
        <f t="shared" si="39"/>
        <v>#DIV/0!</v>
      </c>
      <c r="L235" s="704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71"/>
      <c r="C236" s="295">
        <v>19</v>
      </c>
      <c r="D236" s="295"/>
      <c r="E236" s="176"/>
      <c r="F236" s="295"/>
      <c r="G236" s="298"/>
      <c r="H236" s="685"/>
      <c r="I236" s="193" t="e">
        <f t="shared" si="38"/>
        <v>#DIV/0!</v>
      </c>
      <c r="J236" s="193" t="e">
        <f t="shared" si="38"/>
        <v>#DIV/0!</v>
      </c>
      <c r="K236" s="193" t="e">
        <f t="shared" si="39"/>
        <v>#DIV/0!</v>
      </c>
      <c r="L236" s="704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71"/>
      <c r="C237" s="295">
        <v>20</v>
      </c>
      <c r="D237" s="295"/>
      <c r="E237" s="176"/>
      <c r="F237" s="295"/>
      <c r="G237" s="298"/>
      <c r="H237" s="685"/>
      <c r="I237" s="193" t="e">
        <f t="shared" si="38"/>
        <v>#DIV/0!</v>
      </c>
      <c r="J237" s="193" t="e">
        <f t="shared" si="38"/>
        <v>#DIV/0!</v>
      </c>
      <c r="K237" s="193" t="e">
        <f t="shared" si="39"/>
        <v>#DIV/0!</v>
      </c>
      <c r="L237" s="704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71"/>
      <c r="C238" s="295">
        <v>21</v>
      </c>
      <c r="D238" s="295"/>
      <c r="E238" s="176"/>
      <c r="F238" s="295"/>
      <c r="G238" s="298"/>
      <c r="H238" s="685"/>
      <c r="I238" s="193" t="e">
        <f t="shared" si="38"/>
        <v>#DIV/0!</v>
      </c>
      <c r="J238" s="193" t="e">
        <f t="shared" si="38"/>
        <v>#DIV/0!</v>
      </c>
      <c r="K238" s="193" t="e">
        <f t="shared" si="39"/>
        <v>#DIV/0!</v>
      </c>
      <c r="L238" s="704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71"/>
      <c r="C239" s="295">
        <v>22</v>
      </c>
      <c r="D239" s="295"/>
      <c r="E239" s="176"/>
      <c r="F239" s="295"/>
      <c r="G239" s="298"/>
      <c r="H239" s="685"/>
      <c r="I239" s="193" t="e">
        <f t="shared" si="38"/>
        <v>#DIV/0!</v>
      </c>
      <c r="J239" s="193" t="e">
        <f t="shared" si="38"/>
        <v>#DIV/0!</v>
      </c>
      <c r="K239" s="193" t="e">
        <f t="shared" si="39"/>
        <v>#DIV/0!</v>
      </c>
      <c r="L239" s="704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71"/>
      <c r="C240" s="295">
        <v>23</v>
      </c>
      <c r="D240" s="295"/>
      <c r="E240" s="176"/>
      <c r="F240" s="295"/>
      <c r="G240" s="298"/>
      <c r="H240" s="685"/>
      <c r="I240" s="193" t="e">
        <f t="shared" si="38"/>
        <v>#DIV/0!</v>
      </c>
      <c r="J240" s="193" t="e">
        <f t="shared" si="38"/>
        <v>#DIV/0!</v>
      </c>
      <c r="K240" s="193" t="e">
        <f t="shared" si="39"/>
        <v>#DIV/0!</v>
      </c>
      <c r="L240" s="704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71"/>
      <c r="C241" s="295">
        <v>24</v>
      </c>
      <c r="D241" s="295"/>
      <c r="E241" s="176"/>
      <c r="F241" s="295"/>
      <c r="G241" s="298"/>
      <c r="H241" s="685"/>
      <c r="I241" s="193" t="e">
        <f t="shared" si="38"/>
        <v>#DIV/0!</v>
      </c>
      <c r="J241" s="193" t="e">
        <f t="shared" si="38"/>
        <v>#DIV/0!</v>
      </c>
      <c r="K241" s="193" t="e">
        <f t="shared" si="39"/>
        <v>#DIV/0!</v>
      </c>
      <c r="L241" s="704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71"/>
      <c r="C242" s="295">
        <v>25</v>
      </c>
      <c r="D242" s="295"/>
      <c r="E242" s="176"/>
      <c r="F242" s="295"/>
      <c r="G242" s="298"/>
      <c r="H242" s="685"/>
      <c r="I242" s="193"/>
      <c r="J242" s="193"/>
      <c r="K242" s="193"/>
      <c r="L242" s="704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71"/>
      <c r="C243" s="295">
        <v>26</v>
      </c>
      <c r="D243" s="295"/>
      <c r="E243" s="176"/>
      <c r="F243" s="295"/>
      <c r="G243" s="298"/>
      <c r="H243" s="685"/>
      <c r="I243" s="193"/>
      <c r="J243" s="193"/>
      <c r="K243" s="193"/>
      <c r="L243" s="704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71"/>
      <c r="C244" s="295">
        <v>27</v>
      </c>
      <c r="D244" s="295"/>
      <c r="E244" s="176"/>
      <c r="F244" s="295"/>
      <c r="G244" s="298"/>
      <c r="H244" s="685"/>
      <c r="I244" s="193"/>
      <c r="J244" s="193"/>
      <c r="K244" s="193"/>
      <c r="L244" s="704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71"/>
      <c r="C245" s="295">
        <v>28</v>
      </c>
      <c r="D245" s="295"/>
      <c r="E245" s="176"/>
      <c r="F245" s="295"/>
      <c r="G245" s="298"/>
      <c r="H245" s="685"/>
      <c r="I245" s="193"/>
      <c r="J245" s="193"/>
      <c r="K245" s="193"/>
      <c r="L245" s="704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71"/>
      <c r="C246" s="295">
        <v>29</v>
      </c>
      <c r="D246" s="295"/>
      <c r="E246" s="176"/>
      <c r="F246" s="295"/>
      <c r="G246" s="298"/>
      <c r="H246" s="685"/>
      <c r="I246" s="193"/>
      <c r="J246" s="193"/>
      <c r="K246" s="193"/>
      <c r="L246" s="704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71"/>
      <c r="C247" s="295">
        <v>30</v>
      </c>
      <c r="D247" s="295"/>
      <c r="E247" s="176"/>
      <c r="F247" s="295"/>
      <c r="G247" s="298"/>
      <c r="H247" s="685"/>
      <c r="I247" s="193"/>
      <c r="J247" s="193"/>
      <c r="K247" s="193"/>
      <c r="L247" s="704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72.043647887251836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154</v>
      </c>
      <c r="C4" s="663" t="s">
        <v>372</v>
      </c>
      <c r="D4" s="663"/>
      <c r="E4" s="663" t="s">
        <v>363</v>
      </c>
      <c r="F4" s="663"/>
      <c r="G4" s="663"/>
      <c r="H4" s="679" t="s">
        <v>359</v>
      </c>
      <c r="I4" s="647" t="s">
        <v>364</v>
      </c>
      <c r="J4" s="647"/>
      <c r="K4" s="647"/>
      <c r="L4" s="648" t="s">
        <v>359</v>
      </c>
      <c r="M4" s="654" t="s">
        <v>360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366</v>
      </c>
      <c r="F5" s="663"/>
      <c r="G5" s="663"/>
      <c r="H5" s="680"/>
      <c r="I5" s="647" t="s">
        <v>366</v>
      </c>
      <c r="J5" s="647"/>
      <c r="K5" s="647"/>
      <c r="L5" s="649"/>
      <c r="M5" s="65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368</v>
      </c>
      <c r="F6" s="492" t="s">
        <v>369</v>
      </c>
      <c r="G6" s="492" t="s">
        <v>370</v>
      </c>
      <c r="H6" s="681"/>
      <c r="I6" s="491" t="s">
        <v>368</v>
      </c>
      <c r="J6" s="491" t="s">
        <v>369</v>
      </c>
      <c r="K6" s="491" t="s">
        <v>370</v>
      </c>
      <c r="L6" s="650"/>
      <c r="M6" s="65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132</v>
      </c>
      <c r="C7" s="493">
        <v>1</v>
      </c>
      <c r="D7" s="220" t="s">
        <v>581</v>
      </c>
      <c r="E7" s="518">
        <v>17</v>
      </c>
      <c r="F7" s="516">
        <v>1440</v>
      </c>
      <c r="G7" s="517">
        <v>84.7</v>
      </c>
      <c r="H7" s="710">
        <f>AVERAGE(G7:G21)</f>
        <v>79.176794258373221</v>
      </c>
      <c r="I7" s="496">
        <f t="shared" ref="I7:I21" si="0">IFERROR(AVERAGE(P7,U7,Z7,AE7,AJ7,AO7,AT7),"-")</f>
        <v>17</v>
      </c>
      <c r="J7" s="496">
        <f t="shared" ref="J7:J21" si="1">IFERROR(AVERAGE(Q7,V7,AA7,AF7,AK7,AP7,AU7),"-")</f>
        <v>1296.9457009029243</v>
      </c>
      <c r="K7" s="194">
        <f t="shared" ref="K7:K21" si="2">IFERROR(AVERAGE(R7,W7,AB7,AG7,AL7,AQ7,AV7),"-")</f>
        <v>76.290923582524968</v>
      </c>
      <c r="L7" s="644">
        <f>IFERROR(AVERAGE(K7:K21),"-")</f>
        <v>72.424316095340771</v>
      </c>
      <c r="M7" s="497">
        <f>RANK(K7, K$7:$K$21)</f>
        <v>4</v>
      </c>
      <c r="N7" s="663"/>
      <c r="O7" s="663"/>
      <c r="P7" s="523">
        <v>17</v>
      </c>
      <c r="Q7" s="525">
        <v>1321.1162790697674</v>
      </c>
      <c r="R7" s="525">
        <v>77.712722298221607</v>
      </c>
      <c r="S7" s="523">
        <v>4</v>
      </c>
      <c r="T7" s="685">
        <v>72.521265627463478</v>
      </c>
      <c r="U7" s="523">
        <v>17</v>
      </c>
      <c r="V7" s="525">
        <v>1282.5</v>
      </c>
      <c r="W7" s="525">
        <v>75.441176470588232</v>
      </c>
      <c r="X7" s="523">
        <f t="shared" ref="X7:X21" si="3">RANK(W7, W$7:W$21)</f>
        <v>5</v>
      </c>
      <c r="Y7" s="685">
        <f t="shared" ref="Y7" si="4">AVERAGE(W7:W21)</f>
        <v>71.956776964446533</v>
      </c>
      <c r="Z7" s="523">
        <v>17</v>
      </c>
      <c r="AA7" s="525">
        <v>1307.0103092783511</v>
      </c>
      <c r="AB7" s="525">
        <v>76.882959369314776</v>
      </c>
      <c r="AC7" s="523">
        <f t="shared" ref="AC7:AC21" si="5">RANK(AB7, AB$7:AB$21)</f>
        <v>4</v>
      </c>
      <c r="AD7" s="685">
        <f t="shared" ref="AD7" si="6">AVERAGE(AB7:AB21)</f>
        <v>73.479953509671645</v>
      </c>
      <c r="AE7" s="523">
        <v>17</v>
      </c>
      <c r="AF7" s="525">
        <v>1316.1290322580658</v>
      </c>
      <c r="AG7" s="525">
        <v>77.419354838709751</v>
      </c>
      <c r="AH7" s="523">
        <f t="shared" ref="AH7:AH21" si="7">RANK(AG7, AG$7:AG$21)</f>
        <v>4</v>
      </c>
      <c r="AI7" s="685">
        <f t="shared" ref="AI7" si="8">AVERAGE(AG7:AG21)</f>
        <v>72.076676842475351</v>
      </c>
      <c r="AJ7" s="523">
        <v>17</v>
      </c>
      <c r="AK7" s="525">
        <v>1302.399999999999</v>
      </c>
      <c r="AL7" s="525">
        <v>76.611764705882294</v>
      </c>
      <c r="AM7" s="523">
        <f t="shared" ref="AM7:AM21" si="9">RANK(AL7, AL$7:AL$21)</f>
        <v>4</v>
      </c>
      <c r="AN7" s="685">
        <f t="shared" ref="AN7" si="10">AVERAGE(AL7:AL21)</f>
        <v>72.30950037585545</v>
      </c>
      <c r="AO7" s="523">
        <v>17</v>
      </c>
      <c r="AP7" s="525">
        <v>1225.714285714286</v>
      </c>
      <c r="AQ7" s="525">
        <v>72.100840336134468</v>
      </c>
      <c r="AR7" s="523">
        <f t="shared" ref="AR7:AR21" si="11">RANK(AQ7, AQ$7:AQ$21)</f>
        <v>6</v>
      </c>
      <c r="AS7" s="685">
        <f t="shared" ref="AS7" si="12">AVERAGE(AQ7:AQ21)</f>
        <v>72.296578817994046</v>
      </c>
      <c r="AT7" s="523">
        <v>17</v>
      </c>
      <c r="AU7" s="525">
        <v>1323.7500000000005</v>
      </c>
      <c r="AV7" s="525">
        <v>77.86764705882355</v>
      </c>
      <c r="AW7" s="523">
        <f t="shared" ref="AW7:AW21" si="13">RANK(AV7, AV$7:AV$21)</f>
        <v>4</v>
      </c>
      <c r="AX7" s="685">
        <f t="shared" ref="AX7" si="14">AVERAGE(AV7:AV21)</f>
        <v>72.329460529478737</v>
      </c>
      <c r="AZ7" s="357" t="e">
        <f t="shared" ref="AZ7:AZ21" si="15">RANK(AY7, AY$7:AY$21)</f>
        <v>#N/A</v>
      </c>
      <c r="BA7" s="685" t="e">
        <f t="shared" ref="BA7" si="16">AVERAGE(AY7:AY21)</f>
        <v>#DIV/0!</v>
      </c>
    </row>
    <row r="8" spans="1:53" ht="15" customHeight="1">
      <c r="A8" s="81"/>
      <c r="B8" s="671"/>
      <c r="C8" s="493">
        <v>2</v>
      </c>
      <c r="D8" s="220" t="s">
        <v>734</v>
      </c>
      <c r="E8" s="518">
        <v>18</v>
      </c>
      <c r="F8" s="516">
        <v>1440</v>
      </c>
      <c r="G8" s="517">
        <v>80</v>
      </c>
      <c r="H8" s="711"/>
      <c r="I8" s="496">
        <f t="shared" si="0"/>
        <v>18</v>
      </c>
      <c r="J8" s="496">
        <f t="shared" si="1"/>
        <v>1345.0337842138335</v>
      </c>
      <c r="K8" s="194">
        <f t="shared" si="2"/>
        <v>74.724099122990765</v>
      </c>
      <c r="L8" s="645"/>
      <c r="M8" s="506">
        <f>RANK(K8, K$7:$K$21)</f>
        <v>5</v>
      </c>
      <c r="N8" s="663"/>
      <c r="O8" s="663"/>
      <c r="P8" s="523">
        <v>18</v>
      </c>
      <c r="Q8" s="525">
        <v>1338</v>
      </c>
      <c r="R8" s="525">
        <v>74.333333333333329</v>
      </c>
      <c r="S8" s="523">
        <v>5</v>
      </c>
      <c r="T8" s="685"/>
      <c r="U8" s="523">
        <v>18</v>
      </c>
      <c r="V8" s="525">
        <v>1362.0000000000009</v>
      </c>
      <c r="W8" s="525">
        <v>75.666666666666714</v>
      </c>
      <c r="X8" s="523">
        <f t="shared" si="3"/>
        <v>4</v>
      </c>
      <c r="Y8" s="685"/>
      <c r="Z8" s="523">
        <v>18</v>
      </c>
      <c r="AA8" s="525">
        <v>1343.0136986301372</v>
      </c>
      <c r="AB8" s="525">
        <v>74.611872146118742</v>
      </c>
      <c r="AC8" s="523">
        <f t="shared" si="5"/>
        <v>5</v>
      </c>
      <c r="AD8" s="685"/>
      <c r="AE8" s="523">
        <v>18</v>
      </c>
      <c r="AF8" s="525">
        <v>1346.1818181818192</v>
      </c>
      <c r="AG8" s="525">
        <v>74.787878787878839</v>
      </c>
      <c r="AH8" s="523">
        <f t="shared" si="7"/>
        <v>5</v>
      </c>
      <c r="AI8" s="685"/>
      <c r="AJ8" s="523">
        <v>18</v>
      </c>
      <c r="AK8" s="525">
        <v>1319.9999999999993</v>
      </c>
      <c r="AL8" s="525">
        <v>73.3333333333333</v>
      </c>
      <c r="AM8" s="523">
        <f t="shared" si="9"/>
        <v>6</v>
      </c>
      <c r="AN8" s="685"/>
      <c r="AO8" s="523">
        <v>18</v>
      </c>
      <c r="AP8" s="525">
        <v>1361.9620253164564</v>
      </c>
      <c r="AQ8" s="525">
        <v>75.664556962025358</v>
      </c>
      <c r="AR8" s="523">
        <f t="shared" si="11"/>
        <v>4</v>
      </c>
      <c r="AS8" s="685"/>
      <c r="AT8" s="523">
        <v>18</v>
      </c>
      <c r="AU8" s="525">
        <v>1344.0789473684215</v>
      </c>
      <c r="AV8" s="525">
        <v>74.671052631578974</v>
      </c>
      <c r="AW8" s="523">
        <f t="shared" si="13"/>
        <v>5</v>
      </c>
      <c r="AX8" s="685"/>
      <c r="AZ8" s="357" t="e">
        <f t="shared" si="15"/>
        <v>#N/A</v>
      </c>
      <c r="BA8" s="685"/>
    </row>
    <row r="9" spans="1:53" ht="14.25">
      <c r="A9" s="81"/>
      <c r="B9" s="671"/>
      <c r="C9" s="493">
        <v>3</v>
      </c>
      <c r="D9" s="220" t="s">
        <v>341</v>
      </c>
      <c r="E9" s="518">
        <v>17</v>
      </c>
      <c r="F9" s="516">
        <v>1440</v>
      </c>
      <c r="G9" s="517">
        <v>84.7</v>
      </c>
      <c r="H9" s="711"/>
      <c r="I9" s="496">
        <f t="shared" si="0"/>
        <v>17</v>
      </c>
      <c r="J9" s="496">
        <f t="shared" si="1"/>
        <v>1341.6164198873557</v>
      </c>
      <c r="K9" s="194">
        <f t="shared" si="2"/>
        <v>78.918612934550325</v>
      </c>
      <c r="L9" s="645"/>
      <c r="M9" s="506">
        <f>RANK(K9, K$7:$K$21)</f>
        <v>3</v>
      </c>
      <c r="N9" s="663"/>
      <c r="O9" s="663"/>
      <c r="P9" s="523">
        <v>17</v>
      </c>
      <c r="Q9" s="525">
        <v>1352.5925925925922</v>
      </c>
      <c r="R9" s="525">
        <v>79.564270152505415</v>
      </c>
      <c r="S9" s="523">
        <v>3</v>
      </c>
      <c r="T9" s="685"/>
      <c r="U9" s="523">
        <v>17</v>
      </c>
      <c r="V9" s="525">
        <v>1342.4999999999995</v>
      </c>
      <c r="W9" s="525">
        <v>78.970588235294088</v>
      </c>
      <c r="X9" s="523">
        <f t="shared" si="3"/>
        <v>3</v>
      </c>
      <c r="Y9" s="685"/>
      <c r="Z9" s="523">
        <v>17</v>
      </c>
      <c r="AA9" s="525">
        <v>1343.3766233766228</v>
      </c>
      <c r="AB9" s="525">
        <v>79.022154316271923</v>
      </c>
      <c r="AC9" s="523">
        <f t="shared" si="5"/>
        <v>3</v>
      </c>
      <c r="AD9" s="685"/>
      <c r="AE9" s="523">
        <v>17</v>
      </c>
      <c r="AF9" s="525">
        <v>1344.5454545454561</v>
      </c>
      <c r="AG9" s="525">
        <v>79.090909090909179</v>
      </c>
      <c r="AH9" s="523">
        <f t="shared" si="7"/>
        <v>3</v>
      </c>
      <c r="AI9" s="685"/>
      <c r="AJ9" s="523">
        <v>17</v>
      </c>
      <c r="AK9" s="525">
        <v>1352.5714285714271</v>
      </c>
      <c r="AL9" s="525">
        <v>79.56302521008395</v>
      </c>
      <c r="AM9" s="523">
        <f t="shared" si="9"/>
        <v>3</v>
      </c>
      <c r="AN9" s="685"/>
      <c r="AO9" s="523">
        <v>17</v>
      </c>
      <c r="AP9" s="525">
        <v>1324.1379310344826</v>
      </c>
      <c r="AQ9" s="525">
        <v>77.890466531440154</v>
      </c>
      <c r="AR9" s="523">
        <f t="shared" si="11"/>
        <v>3</v>
      </c>
      <c r="AS9" s="685"/>
      <c r="AT9" s="523">
        <v>17</v>
      </c>
      <c r="AU9" s="525">
        <v>1331.590909090909</v>
      </c>
      <c r="AV9" s="525">
        <v>78.328877005347593</v>
      </c>
      <c r="AW9" s="523">
        <f t="shared" si="13"/>
        <v>3</v>
      </c>
      <c r="AX9" s="685"/>
      <c r="AZ9" s="357" t="e">
        <f t="shared" si="15"/>
        <v>#N/A</v>
      </c>
      <c r="BA9" s="685"/>
    </row>
    <row r="10" spans="1:53" ht="14.25">
      <c r="A10" s="81"/>
      <c r="B10" s="671"/>
      <c r="C10" s="493">
        <v>4</v>
      </c>
      <c r="D10" s="220" t="s">
        <v>342</v>
      </c>
      <c r="E10" s="518">
        <v>21</v>
      </c>
      <c r="F10" s="516">
        <v>1385</v>
      </c>
      <c r="G10" s="517">
        <v>65.900000000000006</v>
      </c>
      <c r="H10" s="711"/>
      <c r="I10" s="496">
        <f t="shared" si="0"/>
        <v>20.857142857142858</v>
      </c>
      <c r="J10" s="496">
        <f t="shared" si="1"/>
        <v>1305.708408395878</v>
      </c>
      <c r="K10" s="194">
        <f t="shared" si="2"/>
        <v>62.620971445123253</v>
      </c>
      <c r="L10" s="645"/>
      <c r="M10" s="506">
        <f>RANK(K10, K$7:$K$21)</f>
        <v>10</v>
      </c>
      <c r="N10" s="663"/>
      <c r="O10" s="663"/>
      <c r="P10" s="523">
        <v>21</v>
      </c>
      <c r="Q10" s="525">
        <v>1295.172413793103</v>
      </c>
      <c r="R10" s="525">
        <v>61.674876847290619</v>
      </c>
      <c r="S10" s="523">
        <v>10</v>
      </c>
      <c r="T10" s="685"/>
      <c r="U10" s="523">
        <v>21</v>
      </c>
      <c r="V10" s="525">
        <v>1294.6153846153838</v>
      </c>
      <c r="W10" s="525">
        <v>61.648351648351614</v>
      </c>
      <c r="X10" s="523">
        <f t="shared" si="3"/>
        <v>10</v>
      </c>
      <c r="Y10" s="685"/>
      <c r="Z10" s="523">
        <v>21</v>
      </c>
      <c r="AA10" s="525">
        <v>1319.3181818181818</v>
      </c>
      <c r="AB10" s="525">
        <v>62.824675324675319</v>
      </c>
      <c r="AC10" s="523">
        <f t="shared" si="5"/>
        <v>11</v>
      </c>
      <c r="AD10" s="685"/>
      <c r="AE10" s="523">
        <v>21</v>
      </c>
      <c r="AF10" s="525">
        <v>1324.6153846153861</v>
      </c>
      <c r="AG10" s="525">
        <v>63.076923076923151</v>
      </c>
      <c r="AH10" s="523">
        <f t="shared" si="7"/>
        <v>10</v>
      </c>
      <c r="AI10" s="685"/>
      <c r="AJ10" s="523">
        <v>20</v>
      </c>
      <c r="AK10" s="525">
        <v>1306.4788732394354</v>
      </c>
      <c r="AL10" s="525">
        <v>65.323943661971768</v>
      </c>
      <c r="AM10" s="523">
        <f t="shared" si="9"/>
        <v>9</v>
      </c>
      <c r="AN10" s="685"/>
      <c r="AO10" s="523">
        <v>21</v>
      </c>
      <c r="AP10" s="525">
        <v>1294.7586206896553</v>
      </c>
      <c r="AQ10" s="525">
        <v>61.65517241379311</v>
      </c>
      <c r="AR10" s="523">
        <f t="shared" si="11"/>
        <v>11</v>
      </c>
      <c r="AS10" s="685"/>
      <c r="AT10" s="523">
        <v>21</v>
      </c>
      <c r="AU10" s="525">
        <v>1305.0000000000005</v>
      </c>
      <c r="AV10" s="525">
        <v>62.142857142857167</v>
      </c>
      <c r="AW10" s="523">
        <f t="shared" si="13"/>
        <v>9</v>
      </c>
      <c r="AX10" s="685"/>
      <c r="AZ10" s="357" t="e">
        <f t="shared" si="15"/>
        <v>#N/A</v>
      </c>
      <c r="BA10" s="685"/>
    </row>
    <row r="11" spans="1:53" ht="14.25">
      <c r="A11" s="81"/>
      <c r="B11" s="671"/>
      <c r="C11" s="493">
        <v>5</v>
      </c>
      <c r="D11" s="220" t="s">
        <v>343</v>
      </c>
      <c r="E11" s="518">
        <v>19</v>
      </c>
      <c r="F11" s="516">
        <v>1440</v>
      </c>
      <c r="G11" s="517">
        <v>75.8</v>
      </c>
      <c r="H11" s="711"/>
      <c r="I11" s="496">
        <f t="shared" si="0"/>
        <v>19</v>
      </c>
      <c r="J11" s="496">
        <f t="shared" si="1"/>
        <v>1351.2020003979026</v>
      </c>
      <c r="K11" s="194">
        <f t="shared" si="2"/>
        <v>71.115894757784332</v>
      </c>
      <c r="L11" s="645"/>
      <c r="M11" s="506">
        <f>RANK(K11, K$7:$K$21)</f>
        <v>7</v>
      </c>
      <c r="N11" s="663"/>
      <c r="O11" s="663"/>
      <c r="P11" s="523">
        <v>19</v>
      </c>
      <c r="Q11" s="525">
        <v>1364.9999999999995</v>
      </c>
      <c r="R11" s="525">
        <v>71.842105263157876</v>
      </c>
      <c r="S11" s="523">
        <v>7</v>
      </c>
      <c r="T11" s="685"/>
      <c r="U11" s="523">
        <v>19</v>
      </c>
      <c r="V11" s="525">
        <v>1359.3750000000016</v>
      </c>
      <c r="W11" s="525">
        <v>71.54605263157903</v>
      </c>
      <c r="X11" s="523">
        <f t="shared" si="3"/>
        <v>7</v>
      </c>
      <c r="Y11" s="685"/>
      <c r="Z11" s="523">
        <v>19</v>
      </c>
      <c r="AA11" s="525">
        <v>1341.7241379310353</v>
      </c>
      <c r="AB11" s="525">
        <v>70.617059891107118</v>
      </c>
      <c r="AC11" s="523">
        <f t="shared" si="5"/>
        <v>9</v>
      </c>
      <c r="AD11" s="685"/>
      <c r="AE11" s="523">
        <v>19</v>
      </c>
      <c r="AF11" s="525">
        <v>1354.090909090909</v>
      </c>
      <c r="AG11" s="525">
        <v>71.267942583732051</v>
      </c>
      <c r="AH11" s="523">
        <f t="shared" si="7"/>
        <v>7</v>
      </c>
      <c r="AI11" s="685"/>
      <c r="AJ11" s="523">
        <v>19</v>
      </c>
      <c r="AK11" s="525">
        <v>1323.396226415095</v>
      </c>
      <c r="AL11" s="525">
        <v>69.652432969215525</v>
      </c>
      <c r="AM11" s="523">
        <f t="shared" si="9"/>
        <v>7</v>
      </c>
      <c r="AN11" s="685"/>
      <c r="AO11" s="523">
        <v>19</v>
      </c>
      <c r="AP11" s="525">
        <v>1366.0606060606065</v>
      </c>
      <c r="AQ11" s="525">
        <v>71.897926634768766</v>
      </c>
      <c r="AR11" s="523">
        <f t="shared" si="11"/>
        <v>7</v>
      </c>
      <c r="AS11" s="685"/>
      <c r="AT11" s="523">
        <v>19</v>
      </c>
      <c r="AU11" s="525">
        <v>1348.7671232876703</v>
      </c>
      <c r="AV11" s="525">
        <v>70.987743330930016</v>
      </c>
      <c r="AW11" s="523">
        <f t="shared" si="13"/>
        <v>7</v>
      </c>
      <c r="AX11" s="685"/>
      <c r="AZ11" s="357" t="e">
        <f t="shared" si="15"/>
        <v>#N/A</v>
      </c>
      <c r="BA11" s="685"/>
    </row>
    <row r="12" spans="1:53" ht="14.25">
      <c r="A12" s="81"/>
      <c r="B12" s="671"/>
      <c r="C12" s="493">
        <v>6</v>
      </c>
      <c r="D12" s="220" t="s">
        <v>484</v>
      </c>
      <c r="E12" s="518">
        <v>18</v>
      </c>
      <c r="F12" s="516">
        <v>1385</v>
      </c>
      <c r="G12" s="517">
        <v>76.900000000000006</v>
      </c>
      <c r="H12" s="711"/>
      <c r="I12" s="496">
        <f t="shared" si="0"/>
        <v>18</v>
      </c>
      <c r="J12" s="496">
        <f t="shared" si="1"/>
        <v>1260.7497280000002</v>
      </c>
      <c r="K12" s="194">
        <f t="shared" si="2"/>
        <v>70.041651555555561</v>
      </c>
      <c r="L12" s="645"/>
      <c r="M12" s="506">
        <f>RANK(K12, K$7:$K$21)</f>
        <v>8</v>
      </c>
      <c r="N12" s="663"/>
      <c r="O12" s="663"/>
      <c r="P12" s="523">
        <v>18</v>
      </c>
      <c r="Q12" s="525">
        <v>1291.0344827586216</v>
      </c>
      <c r="R12" s="525">
        <v>71.724137931034534</v>
      </c>
      <c r="S12" s="523">
        <v>8</v>
      </c>
      <c r="T12" s="685"/>
      <c r="U12" s="523">
        <v>18</v>
      </c>
      <c r="V12" s="525">
        <v>1284.4444444444453</v>
      </c>
      <c r="W12" s="525">
        <v>71.358024691358068</v>
      </c>
      <c r="X12" s="523">
        <f t="shared" si="3"/>
        <v>8</v>
      </c>
      <c r="Y12" s="685"/>
      <c r="Z12" s="523">
        <v>18</v>
      </c>
      <c r="AA12" s="525">
        <v>1285.882352941177</v>
      </c>
      <c r="AB12" s="525">
        <v>71.437908496732064</v>
      </c>
      <c r="AC12" s="523">
        <f t="shared" si="5"/>
        <v>7</v>
      </c>
      <c r="AD12" s="685"/>
      <c r="AE12" s="523">
        <v>18</v>
      </c>
      <c r="AF12" s="525">
        <v>1253.3333333333333</v>
      </c>
      <c r="AG12" s="525">
        <v>69.629629629629619</v>
      </c>
      <c r="AH12" s="523">
        <f t="shared" si="7"/>
        <v>8</v>
      </c>
      <c r="AI12" s="685"/>
      <c r="AJ12" s="523">
        <v>18</v>
      </c>
      <c r="AK12" s="525">
        <v>1233.1914893617022</v>
      </c>
      <c r="AL12" s="525">
        <v>68.510638297872347</v>
      </c>
      <c r="AM12" s="523">
        <f t="shared" si="9"/>
        <v>8</v>
      </c>
      <c r="AN12" s="685"/>
      <c r="AO12" s="523">
        <v>18</v>
      </c>
      <c r="AP12" s="525">
        <v>1238.2608695652161</v>
      </c>
      <c r="AQ12" s="525">
        <v>68.792270531400902</v>
      </c>
      <c r="AR12" s="523">
        <f t="shared" si="11"/>
        <v>8</v>
      </c>
      <c r="AS12" s="685"/>
      <c r="AT12" s="523">
        <v>18</v>
      </c>
      <c r="AU12" s="525">
        <v>1239.1011235955054</v>
      </c>
      <c r="AV12" s="525">
        <v>68.838951310861418</v>
      </c>
      <c r="AW12" s="523">
        <f t="shared" si="13"/>
        <v>8</v>
      </c>
      <c r="AX12" s="685"/>
      <c r="AZ12" s="357" t="e">
        <f t="shared" si="15"/>
        <v>#N/A</v>
      </c>
      <c r="BA12" s="685"/>
    </row>
    <row r="13" spans="1:53" ht="14.25">
      <c r="A13" s="81"/>
      <c r="B13" s="671"/>
      <c r="C13" s="493">
        <v>7</v>
      </c>
      <c r="D13" s="220" t="s">
        <v>502</v>
      </c>
      <c r="E13" s="518">
        <v>16</v>
      </c>
      <c r="F13" s="516">
        <v>1440</v>
      </c>
      <c r="G13" s="517">
        <v>90</v>
      </c>
      <c r="H13" s="711"/>
      <c r="I13" s="496">
        <f t="shared" si="0"/>
        <v>16</v>
      </c>
      <c r="J13" s="496">
        <f t="shared" si="1"/>
        <v>1341.2324711872373</v>
      </c>
      <c r="K13" s="194">
        <f t="shared" si="2"/>
        <v>83.827029449202328</v>
      </c>
      <c r="L13" s="645"/>
      <c r="M13" s="506">
        <f>RANK(K13, K$7:$K$21)</f>
        <v>1</v>
      </c>
      <c r="N13" s="663"/>
      <c r="O13" s="663"/>
      <c r="P13" s="523">
        <v>16</v>
      </c>
      <c r="Q13" s="525">
        <v>1366.9090909090917</v>
      </c>
      <c r="R13" s="525">
        <v>85.43181818181823</v>
      </c>
      <c r="S13" s="523">
        <v>1</v>
      </c>
      <c r="T13" s="685"/>
      <c r="U13" s="523">
        <v>16</v>
      </c>
      <c r="V13" s="525">
        <v>1321.5254237288129</v>
      </c>
      <c r="W13" s="525">
        <v>82.595338983050809</v>
      </c>
      <c r="X13" s="523">
        <f t="shared" si="3"/>
        <v>1</v>
      </c>
      <c r="Y13" s="685"/>
      <c r="Z13" s="523">
        <v>16</v>
      </c>
      <c r="AA13" s="525">
        <v>1324.5957446808516</v>
      </c>
      <c r="AB13" s="525">
        <v>82.787234042553223</v>
      </c>
      <c r="AC13" s="523">
        <f t="shared" si="5"/>
        <v>1</v>
      </c>
      <c r="AD13" s="685"/>
      <c r="AE13" s="523">
        <v>16</v>
      </c>
      <c r="AF13" s="525">
        <v>1333.6708860759486</v>
      </c>
      <c r="AG13" s="525">
        <v>83.354430379746788</v>
      </c>
      <c r="AH13" s="523">
        <f t="shared" si="7"/>
        <v>1</v>
      </c>
      <c r="AI13" s="685"/>
      <c r="AJ13" s="523">
        <v>16</v>
      </c>
      <c r="AK13" s="525">
        <v>1339.5652173913043</v>
      </c>
      <c r="AL13" s="525">
        <v>83.722826086956516</v>
      </c>
      <c r="AM13" s="523">
        <f t="shared" si="9"/>
        <v>1</v>
      </c>
      <c r="AN13" s="685"/>
      <c r="AO13" s="523">
        <v>16</v>
      </c>
      <c r="AP13" s="525">
        <v>1355.5752212389391</v>
      </c>
      <c r="AQ13" s="525">
        <v>84.723451327433693</v>
      </c>
      <c r="AR13" s="523">
        <f t="shared" si="11"/>
        <v>1</v>
      </c>
      <c r="AS13" s="685"/>
      <c r="AT13" s="523">
        <v>16</v>
      </c>
      <c r="AU13" s="525">
        <v>1346.7857142857133</v>
      </c>
      <c r="AV13" s="525">
        <v>84.174107142857082</v>
      </c>
      <c r="AW13" s="523">
        <f t="shared" si="13"/>
        <v>2</v>
      </c>
      <c r="AX13" s="685"/>
      <c r="AZ13" s="357" t="e">
        <f t="shared" si="15"/>
        <v>#N/A</v>
      </c>
      <c r="BA13" s="685"/>
    </row>
    <row r="14" spans="1:53" ht="14.25">
      <c r="A14" s="81"/>
      <c r="B14" s="671"/>
      <c r="C14" s="493">
        <v>8</v>
      </c>
      <c r="D14" s="220" t="s">
        <v>552</v>
      </c>
      <c r="E14" s="518">
        <v>19</v>
      </c>
      <c r="F14" s="516">
        <v>1636</v>
      </c>
      <c r="G14" s="517">
        <v>86.1</v>
      </c>
      <c r="H14" s="711"/>
      <c r="I14" s="496">
        <f t="shared" si="0"/>
        <v>19</v>
      </c>
      <c r="J14" s="496">
        <f t="shared" si="1"/>
        <v>1393.0717280078829</v>
      </c>
      <c r="K14" s="194">
        <f t="shared" si="2"/>
        <v>73.319564631993856</v>
      </c>
      <c r="L14" s="645"/>
      <c r="M14" s="506">
        <f>RANK(K14, K$7:$K$21)</f>
        <v>6</v>
      </c>
      <c r="N14" s="663"/>
      <c r="O14" s="663"/>
      <c r="P14" s="523">
        <v>19</v>
      </c>
      <c r="Q14" s="525">
        <v>1383.9999999999998</v>
      </c>
      <c r="R14" s="525">
        <v>72.842105263157876</v>
      </c>
      <c r="S14" s="523">
        <v>6</v>
      </c>
      <c r="T14" s="685"/>
      <c r="U14" s="523">
        <v>19</v>
      </c>
      <c r="V14" s="525">
        <v>1393.9119170984454</v>
      </c>
      <c r="W14" s="525">
        <v>73.363785110444496</v>
      </c>
      <c r="X14" s="523">
        <f t="shared" si="3"/>
        <v>6</v>
      </c>
      <c r="Y14" s="685"/>
      <c r="Z14" s="523">
        <v>19</v>
      </c>
      <c r="AA14" s="525">
        <v>1388.1999999999998</v>
      </c>
      <c r="AB14" s="525">
        <v>73.063157894736833</v>
      </c>
      <c r="AC14" s="523">
        <f t="shared" si="5"/>
        <v>6</v>
      </c>
      <c r="AD14" s="685"/>
      <c r="AE14" s="523">
        <v>19</v>
      </c>
      <c r="AF14" s="525">
        <v>1401.0937499999998</v>
      </c>
      <c r="AG14" s="525">
        <v>73.741776315789465</v>
      </c>
      <c r="AH14" s="523">
        <f t="shared" si="7"/>
        <v>6</v>
      </c>
      <c r="AI14" s="685"/>
      <c r="AJ14" s="523">
        <v>19</v>
      </c>
      <c r="AK14" s="525">
        <v>1416.5217391304348</v>
      </c>
      <c r="AL14" s="525">
        <v>74.553775743707092</v>
      </c>
      <c r="AM14" s="523">
        <f t="shared" si="9"/>
        <v>5</v>
      </c>
      <c r="AN14" s="685"/>
      <c r="AO14" s="523">
        <v>19</v>
      </c>
      <c r="AP14" s="525">
        <v>1386.9230769230771</v>
      </c>
      <c r="AQ14" s="525">
        <v>72.995951417004065</v>
      </c>
      <c r="AR14" s="523">
        <f t="shared" si="11"/>
        <v>5</v>
      </c>
      <c r="AS14" s="685"/>
      <c r="AT14" s="523">
        <v>19</v>
      </c>
      <c r="AU14" s="525">
        <v>1380.8516129032259</v>
      </c>
      <c r="AV14" s="525">
        <v>72.676400679117151</v>
      </c>
      <c r="AW14" s="523">
        <f t="shared" si="13"/>
        <v>6</v>
      </c>
      <c r="AX14" s="685"/>
      <c r="AZ14" s="357" t="e">
        <f t="shared" si="15"/>
        <v>#N/A</v>
      </c>
      <c r="BA14" s="685"/>
    </row>
    <row r="15" spans="1:53" ht="14.25">
      <c r="A15" s="81"/>
      <c r="B15" s="671"/>
      <c r="C15" s="493">
        <v>9</v>
      </c>
      <c r="D15" s="220" t="s">
        <v>567</v>
      </c>
      <c r="E15" s="518">
        <v>16</v>
      </c>
      <c r="F15" s="516">
        <v>1440</v>
      </c>
      <c r="G15" s="517">
        <v>84.7</v>
      </c>
      <c r="H15" s="711"/>
      <c r="I15" s="496">
        <f t="shared" si="0"/>
        <v>15.857142857142858</v>
      </c>
      <c r="J15" s="496">
        <f t="shared" si="1"/>
        <v>1308.9599331467741</v>
      </c>
      <c r="K15" s="194">
        <f t="shared" si="2"/>
        <v>82.592842537001843</v>
      </c>
      <c r="L15" s="645"/>
      <c r="M15" s="506">
        <f>RANK(K15, K$7:$K$21)</f>
        <v>2</v>
      </c>
      <c r="N15" s="663"/>
      <c r="O15" s="663"/>
      <c r="P15" s="523">
        <v>16</v>
      </c>
      <c r="Q15" s="525">
        <v>1315</v>
      </c>
      <c r="R15" s="525">
        <v>82.1875</v>
      </c>
      <c r="S15" s="523">
        <v>2</v>
      </c>
      <c r="T15" s="685"/>
      <c r="U15" s="523">
        <v>16</v>
      </c>
      <c r="V15" s="525">
        <v>1315.0819672131151</v>
      </c>
      <c r="W15" s="525">
        <v>82.192622950819697</v>
      </c>
      <c r="X15" s="523">
        <f t="shared" si="3"/>
        <v>2</v>
      </c>
      <c r="Y15" s="685"/>
      <c r="Z15" s="523">
        <v>16</v>
      </c>
      <c r="AA15" s="525">
        <v>1311.7948717948721</v>
      </c>
      <c r="AB15" s="525">
        <v>81.987179487179503</v>
      </c>
      <c r="AC15" s="523">
        <f t="shared" si="5"/>
        <v>2</v>
      </c>
      <c r="AD15" s="685"/>
      <c r="AE15" s="523">
        <v>16</v>
      </c>
      <c r="AF15" s="525">
        <v>1293.7500000000005</v>
      </c>
      <c r="AG15" s="525">
        <v>80.859375000000028</v>
      </c>
      <c r="AH15" s="523">
        <f t="shared" si="7"/>
        <v>2</v>
      </c>
      <c r="AI15" s="685"/>
      <c r="AJ15" s="523">
        <v>16</v>
      </c>
      <c r="AK15" s="525">
        <v>1319.3750000000005</v>
      </c>
      <c r="AL15" s="525">
        <v>82.460937500000028</v>
      </c>
      <c r="AM15" s="523">
        <f t="shared" si="9"/>
        <v>2</v>
      </c>
      <c r="AN15" s="685"/>
      <c r="AO15" s="523">
        <v>16</v>
      </c>
      <c r="AP15" s="525">
        <v>1292.5352112676051</v>
      </c>
      <c r="AQ15" s="525">
        <v>80.783450704225316</v>
      </c>
      <c r="AR15" s="523">
        <f t="shared" si="11"/>
        <v>2</v>
      </c>
      <c r="AS15" s="685"/>
      <c r="AT15" s="523">
        <v>15</v>
      </c>
      <c r="AU15" s="525">
        <v>1315.1824817518257</v>
      </c>
      <c r="AV15" s="525">
        <v>87.678832116788371</v>
      </c>
      <c r="AW15" s="523">
        <f t="shared" si="13"/>
        <v>1</v>
      </c>
      <c r="AX15" s="685"/>
      <c r="AZ15" s="357" t="e">
        <f t="shared" si="15"/>
        <v>#N/A</v>
      </c>
      <c r="BA15" s="685"/>
    </row>
    <row r="16" spans="1:53" ht="14.25">
      <c r="A16" s="81"/>
      <c r="B16" s="671"/>
      <c r="C16" s="493">
        <v>10</v>
      </c>
      <c r="D16" s="220" t="s">
        <v>680</v>
      </c>
      <c r="E16" s="518">
        <v>20</v>
      </c>
      <c r="F16" s="516">
        <v>1385</v>
      </c>
      <c r="G16" s="517">
        <v>69.25</v>
      </c>
      <c r="H16" s="711"/>
      <c r="I16" s="496">
        <f t="shared" si="0"/>
        <v>20</v>
      </c>
      <c r="J16" s="496">
        <f t="shared" si="1"/>
        <v>1261.8919599355504</v>
      </c>
      <c r="K16" s="194">
        <f t="shared" si="2"/>
        <v>63.09459799677753</v>
      </c>
      <c r="L16" s="645"/>
      <c r="M16" s="506">
        <f>RANK(K16, K$7:$K$21)</f>
        <v>9</v>
      </c>
      <c r="N16" s="663"/>
      <c r="O16" s="663"/>
      <c r="P16" s="523">
        <v>20</v>
      </c>
      <c r="Q16" s="525">
        <v>1274.2105263157887</v>
      </c>
      <c r="R16" s="525">
        <v>63.710526315789437</v>
      </c>
      <c r="S16" s="523">
        <v>9</v>
      </c>
      <c r="T16" s="685"/>
      <c r="U16" s="523">
        <v>20</v>
      </c>
      <c r="V16" s="525">
        <v>1251.0638297872342</v>
      </c>
      <c r="W16" s="525">
        <v>62.553191489361708</v>
      </c>
      <c r="X16" s="523">
        <f t="shared" si="3"/>
        <v>9</v>
      </c>
      <c r="Y16" s="685"/>
      <c r="Z16" s="523">
        <v>20</v>
      </c>
      <c r="AA16" s="525">
        <v>1285.1162790697672</v>
      </c>
      <c r="AB16" s="525">
        <v>64.255813953488357</v>
      </c>
      <c r="AC16" s="523">
        <f t="shared" si="5"/>
        <v>10</v>
      </c>
      <c r="AD16" s="685"/>
      <c r="AE16" s="523">
        <v>20</v>
      </c>
      <c r="AF16" s="525">
        <v>1270.4999999999995</v>
      </c>
      <c r="AG16" s="525">
        <v>63.524999999999977</v>
      </c>
      <c r="AH16" s="523">
        <f t="shared" si="7"/>
        <v>9</v>
      </c>
      <c r="AI16" s="685"/>
      <c r="AJ16" s="523">
        <v>20</v>
      </c>
      <c r="AK16" s="525">
        <v>1263.1578947368412</v>
      </c>
      <c r="AL16" s="525">
        <v>63.15789473684206</v>
      </c>
      <c r="AM16" s="523">
        <f t="shared" si="9"/>
        <v>10</v>
      </c>
      <c r="AN16" s="685"/>
      <c r="AO16" s="523">
        <v>20</v>
      </c>
      <c r="AP16" s="525">
        <v>1252.1739130434783</v>
      </c>
      <c r="AQ16" s="525">
        <v>62.608695652173914</v>
      </c>
      <c r="AR16" s="523">
        <f t="shared" si="11"/>
        <v>10</v>
      </c>
      <c r="AS16" s="685"/>
      <c r="AT16" s="523">
        <v>20</v>
      </c>
      <c r="AU16" s="525">
        <v>1237.0212765957449</v>
      </c>
      <c r="AV16" s="525">
        <v>61.851063829787243</v>
      </c>
      <c r="AW16" s="523">
        <f t="shared" si="13"/>
        <v>10</v>
      </c>
      <c r="AX16" s="685"/>
      <c r="AZ16" s="357" t="e">
        <f t="shared" si="15"/>
        <v>#N/A</v>
      </c>
      <c r="BA16" s="685"/>
    </row>
    <row r="17" spans="2:53">
      <c r="B17" s="671"/>
      <c r="C17" s="493">
        <v>11</v>
      </c>
      <c r="D17" s="220" t="s">
        <v>676</v>
      </c>
      <c r="E17" s="518">
        <v>19</v>
      </c>
      <c r="F17" s="516">
        <v>1385</v>
      </c>
      <c r="G17" s="517">
        <v>72.89473684210526</v>
      </c>
      <c r="H17" s="711"/>
      <c r="I17" s="496">
        <f t="shared" si="0"/>
        <v>19</v>
      </c>
      <c r="J17" s="496">
        <f t="shared" si="1"/>
        <v>1142.304491669626</v>
      </c>
      <c r="K17" s="194">
        <f t="shared" si="2"/>
        <v>60.121289035243485</v>
      </c>
      <c r="L17" s="645"/>
      <c r="M17" s="506">
        <f>RANK(K17, K$7:$K$21)</f>
        <v>11</v>
      </c>
      <c r="N17" s="663"/>
      <c r="O17" s="663"/>
      <c r="P17" s="523">
        <v>19</v>
      </c>
      <c r="Q17" s="525">
        <v>1077.4999999999968</v>
      </c>
      <c r="R17" s="525">
        <v>56.710526315789309</v>
      </c>
      <c r="S17" s="523">
        <v>11</v>
      </c>
      <c r="T17" s="685"/>
      <c r="U17" s="523">
        <v>19</v>
      </c>
      <c r="V17" s="525">
        <v>1067.5862068965496</v>
      </c>
      <c r="W17" s="525">
        <v>56.188747731397349</v>
      </c>
      <c r="X17" s="523">
        <f t="shared" si="3"/>
        <v>11</v>
      </c>
      <c r="Y17" s="685"/>
      <c r="Z17" s="523">
        <v>19</v>
      </c>
      <c r="AA17" s="525">
        <v>1344.9999999999959</v>
      </c>
      <c r="AB17" s="525">
        <v>70.789473684210307</v>
      </c>
      <c r="AC17" s="523">
        <f t="shared" si="5"/>
        <v>8</v>
      </c>
      <c r="AD17" s="685"/>
      <c r="AE17" s="523">
        <v>19</v>
      </c>
      <c r="AF17" s="525">
        <v>1065.7142857142896</v>
      </c>
      <c r="AG17" s="525">
        <v>56.090225563909982</v>
      </c>
      <c r="AH17" s="523">
        <f t="shared" si="7"/>
        <v>11</v>
      </c>
      <c r="AI17" s="685"/>
      <c r="AJ17" s="523">
        <v>19</v>
      </c>
      <c r="AK17" s="525">
        <v>1111.7647058823568</v>
      </c>
      <c r="AL17" s="525">
        <v>58.513931888545095</v>
      </c>
      <c r="AM17" s="523">
        <f t="shared" si="9"/>
        <v>11</v>
      </c>
      <c r="AN17" s="685"/>
      <c r="AO17" s="523">
        <v>19</v>
      </c>
      <c r="AP17" s="525">
        <v>1256.8421052631622</v>
      </c>
      <c r="AQ17" s="525">
        <v>66.149584487534852</v>
      </c>
      <c r="AR17" s="523">
        <f t="shared" si="11"/>
        <v>9</v>
      </c>
      <c r="AS17" s="685"/>
      <c r="AT17" s="523">
        <v>19</v>
      </c>
      <c r="AU17" s="525">
        <v>1071.7241379310324</v>
      </c>
      <c r="AV17" s="525">
        <v>56.406533575317496</v>
      </c>
      <c r="AW17" s="523">
        <f t="shared" si="13"/>
        <v>11</v>
      </c>
      <c r="AX17" s="685"/>
      <c r="AZ17" s="357" t="e">
        <f t="shared" si="15"/>
        <v>#N/A</v>
      </c>
      <c r="BA17" s="685"/>
    </row>
    <row r="18" spans="2:53">
      <c r="B18" s="671"/>
      <c r="C18" s="493">
        <v>12</v>
      </c>
      <c r="D18" s="220"/>
      <c r="E18" s="518"/>
      <c r="F18" s="516"/>
      <c r="G18" s="517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506" t="e">
        <f>RANK(K18, K$7:$K$21)</f>
        <v>#VALUE!</v>
      </c>
      <c r="N18" s="663"/>
      <c r="O18" s="663"/>
      <c r="P18" s="523" t="s">
        <v>564</v>
      </c>
      <c r="Q18" s="525" t="s">
        <v>564</v>
      </c>
      <c r="R18" s="525" t="s">
        <v>564</v>
      </c>
      <c r="S18" s="523" t="e">
        <v>#VALUE!</v>
      </c>
      <c r="T18" s="685"/>
      <c r="U18" s="523" t="s">
        <v>564</v>
      </c>
      <c r="V18" s="525" t="s">
        <v>564</v>
      </c>
      <c r="W18" s="525" t="s">
        <v>564</v>
      </c>
      <c r="X18" s="523" t="e">
        <f t="shared" si="3"/>
        <v>#VALUE!</v>
      </c>
      <c r="Y18" s="685"/>
      <c r="Z18" s="523" t="s">
        <v>564</v>
      </c>
      <c r="AA18" s="525" t="s">
        <v>564</v>
      </c>
      <c r="AB18" s="525" t="s">
        <v>564</v>
      </c>
      <c r="AC18" s="523" t="e">
        <f t="shared" si="5"/>
        <v>#VALUE!</v>
      </c>
      <c r="AD18" s="685"/>
      <c r="AE18" s="523" t="s">
        <v>564</v>
      </c>
      <c r="AF18" s="525" t="s">
        <v>564</v>
      </c>
      <c r="AG18" s="525" t="s">
        <v>564</v>
      </c>
      <c r="AH18" s="523" t="e">
        <f t="shared" si="7"/>
        <v>#VALUE!</v>
      </c>
      <c r="AI18" s="685"/>
      <c r="AJ18" s="523" t="s">
        <v>564</v>
      </c>
      <c r="AK18" s="525" t="s">
        <v>564</v>
      </c>
      <c r="AL18" s="525" t="s">
        <v>564</v>
      </c>
      <c r="AM18" s="523" t="e">
        <f t="shared" si="9"/>
        <v>#VALUE!</v>
      </c>
      <c r="AN18" s="685"/>
      <c r="AO18" s="523" t="s">
        <v>564</v>
      </c>
      <c r="AP18" s="525" t="s">
        <v>564</v>
      </c>
      <c r="AQ18" s="525" t="s">
        <v>564</v>
      </c>
      <c r="AR18" s="523" t="e">
        <f t="shared" si="11"/>
        <v>#VALUE!</v>
      </c>
      <c r="AS18" s="685"/>
      <c r="AT18" s="523" t="s">
        <v>564</v>
      </c>
      <c r="AU18" s="525" t="s">
        <v>564</v>
      </c>
      <c r="AV18" s="525" t="s">
        <v>564</v>
      </c>
      <c r="AW18" s="523" t="e">
        <f t="shared" si="13"/>
        <v>#VALUE!</v>
      </c>
      <c r="AX18" s="685"/>
      <c r="AZ18" s="357" t="e">
        <f t="shared" si="15"/>
        <v>#N/A</v>
      </c>
      <c r="BA18" s="685"/>
    </row>
    <row r="19" spans="2:53">
      <c r="B19" s="671"/>
      <c r="C19" s="493">
        <v>13</v>
      </c>
      <c r="D19" s="220"/>
      <c r="E19" s="518"/>
      <c r="F19" s="516"/>
      <c r="G19" s="517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506" t="e">
        <f>RANK(K19, K$7:$K$21)</f>
        <v>#VALUE!</v>
      </c>
      <c r="N19" s="663"/>
      <c r="O19" s="663"/>
      <c r="P19" s="523" t="s">
        <v>564</v>
      </c>
      <c r="Q19" s="525" t="s">
        <v>564</v>
      </c>
      <c r="R19" s="525" t="s">
        <v>564</v>
      </c>
      <c r="S19" s="523" t="e">
        <v>#VALUE!</v>
      </c>
      <c r="T19" s="685"/>
      <c r="U19" s="523" t="s">
        <v>564</v>
      </c>
      <c r="V19" s="525" t="s">
        <v>564</v>
      </c>
      <c r="W19" s="525" t="s">
        <v>564</v>
      </c>
      <c r="X19" s="523" t="e">
        <f t="shared" si="3"/>
        <v>#VALUE!</v>
      </c>
      <c r="Y19" s="685"/>
      <c r="Z19" s="523" t="s">
        <v>564</v>
      </c>
      <c r="AA19" s="525" t="s">
        <v>564</v>
      </c>
      <c r="AB19" s="525" t="s">
        <v>564</v>
      </c>
      <c r="AC19" s="523" t="e">
        <f t="shared" si="5"/>
        <v>#VALUE!</v>
      </c>
      <c r="AD19" s="685"/>
      <c r="AE19" s="523" t="s">
        <v>564</v>
      </c>
      <c r="AF19" s="525" t="s">
        <v>564</v>
      </c>
      <c r="AG19" s="525" t="s">
        <v>564</v>
      </c>
      <c r="AH19" s="523" t="e">
        <f t="shared" si="7"/>
        <v>#VALUE!</v>
      </c>
      <c r="AI19" s="685"/>
      <c r="AJ19" s="523" t="s">
        <v>564</v>
      </c>
      <c r="AK19" s="525" t="s">
        <v>564</v>
      </c>
      <c r="AL19" s="525" t="s">
        <v>564</v>
      </c>
      <c r="AM19" s="523" t="e">
        <f t="shared" si="9"/>
        <v>#VALUE!</v>
      </c>
      <c r="AN19" s="685"/>
      <c r="AO19" s="523" t="s">
        <v>564</v>
      </c>
      <c r="AP19" s="525" t="s">
        <v>564</v>
      </c>
      <c r="AQ19" s="525" t="s">
        <v>564</v>
      </c>
      <c r="AR19" s="523" t="e">
        <f t="shared" si="11"/>
        <v>#VALUE!</v>
      </c>
      <c r="AS19" s="685"/>
      <c r="AT19" s="523" t="s">
        <v>564</v>
      </c>
      <c r="AU19" s="525" t="s">
        <v>564</v>
      </c>
      <c r="AV19" s="525" t="s">
        <v>564</v>
      </c>
      <c r="AW19" s="523" t="e">
        <f t="shared" si="13"/>
        <v>#VALUE!</v>
      </c>
      <c r="AX19" s="685"/>
      <c r="AZ19" s="357" t="e">
        <f t="shared" si="15"/>
        <v>#N/A</v>
      </c>
      <c r="BA19" s="685"/>
    </row>
    <row r="20" spans="2:53">
      <c r="B20" s="671"/>
      <c r="C20" s="493">
        <v>14</v>
      </c>
      <c r="D20" s="220"/>
      <c r="E20" s="518"/>
      <c r="F20" s="516"/>
      <c r="G20" s="517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506" t="e">
        <f>RANK(K20, K$7:$K$21)</f>
        <v>#VALUE!</v>
      </c>
      <c r="N20" s="663"/>
      <c r="O20" s="663"/>
      <c r="P20" s="523" t="s">
        <v>564</v>
      </c>
      <c r="Q20" s="525" t="s">
        <v>564</v>
      </c>
      <c r="R20" s="525" t="s">
        <v>564</v>
      </c>
      <c r="S20" s="523" t="e">
        <v>#VALUE!</v>
      </c>
      <c r="T20" s="685"/>
      <c r="U20" s="523" t="s">
        <v>564</v>
      </c>
      <c r="V20" s="525" t="s">
        <v>564</v>
      </c>
      <c r="W20" s="525" t="s">
        <v>564</v>
      </c>
      <c r="X20" s="523" t="e">
        <f t="shared" si="3"/>
        <v>#VALUE!</v>
      </c>
      <c r="Y20" s="685"/>
      <c r="Z20" s="523" t="s">
        <v>564</v>
      </c>
      <c r="AA20" s="525" t="s">
        <v>564</v>
      </c>
      <c r="AB20" s="525" t="s">
        <v>564</v>
      </c>
      <c r="AC20" s="523" t="e">
        <f t="shared" si="5"/>
        <v>#VALUE!</v>
      </c>
      <c r="AD20" s="685"/>
      <c r="AE20" s="523" t="s">
        <v>564</v>
      </c>
      <c r="AF20" s="525" t="s">
        <v>564</v>
      </c>
      <c r="AG20" s="525" t="s">
        <v>564</v>
      </c>
      <c r="AH20" s="523" t="e">
        <f t="shared" si="7"/>
        <v>#VALUE!</v>
      </c>
      <c r="AI20" s="685"/>
      <c r="AJ20" s="523" t="s">
        <v>564</v>
      </c>
      <c r="AK20" s="525" t="s">
        <v>564</v>
      </c>
      <c r="AL20" s="525" t="s">
        <v>564</v>
      </c>
      <c r="AM20" s="523" t="e">
        <f t="shared" si="9"/>
        <v>#VALUE!</v>
      </c>
      <c r="AN20" s="685"/>
      <c r="AO20" s="523" t="s">
        <v>564</v>
      </c>
      <c r="AP20" s="525" t="s">
        <v>564</v>
      </c>
      <c r="AQ20" s="525" t="s">
        <v>564</v>
      </c>
      <c r="AR20" s="523" t="e">
        <f t="shared" si="11"/>
        <v>#VALUE!</v>
      </c>
      <c r="AS20" s="685"/>
      <c r="AT20" s="523" t="s">
        <v>564</v>
      </c>
      <c r="AU20" s="525" t="s">
        <v>564</v>
      </c>
      <c r="AV20" s="525" t="s">
        <v>564</v>
      </c>
      <c r="AW20" s="523" t="e">
        <f t="shared" si="13"/>
        <v>#VALUE!</v>
      </c>
      <c r="AX20" s="685"/>
      <c r="AZ20" s="357" t="e">
        <f t="shared" si="15"/>
        <v>#N/A</v>
      </c>
      <c r="BA20" s="685"/>
    </row>
    <row r="21" spans="2:53">
      <c r="B21" s="671"/>
      <c r="C21" s="493">
        <v>15</v>
      </c>
      <c r="D21" s="220"/>
      <c r="E21" s="518"/>
      <c r="F21" s="516"/>
      <c r="G21" s="517"/>
      <c r="H21" s="712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46"/>
      <c r="M21" s="506" t="e">
        <f>RANK(K21, K$7:$K$21)</f>
        <v>#VALUE!</v>
      </c>
      <c r="N21" s="663"/>
      <c r="O21" s="663"/>
      <c r="P21" s="523" t="s">
        <v>564</v>
      </c>
      <c r="Q21" s="525" t="s">
        <v>564</v>
      </c>
      <c r="R21" s="525" t="s">
        <v>564</v>
      </c>
      <c r="S21" s="523" t="e">
        <v>#VALUE!</v>
      </c>
      <c r="T21" s="685"/>
      <c r="U21" s="523" t="s">
        <v>564</v>
      </c>
      <c r="V21" s="525" t="s">
        <v>564</v>
      </c>
      <c r="W21" s="525" t="s">
        <v>564</v>
      </c>
      <c r="X21" s="523" t="e">
        <f t="shared" si="3"/>
        <v>#VALUE!</v>
      </c>
      <c r="Y21" s="685"/>
      <c r="Z21" s="523" t="s">
        <v>564</v>
      </c>
      <c r="AA21" s="525" t="s">
        <v>564</v>
      </c>
      <c r="AB21" s="525" t="s">
        <v>564</v>
      </c>
      <c r="AC21" s="523" t="e">
        <f t="shared" si="5"/>
        <v>#VALUE!</v>
      </c>
      <c r="AD21" s="685"/>
      <c r="AE21" s="523" t="s">
        <v>564</v>
      </c>
      <c r="AF21" s="525" t="s">
        <v>564</v>
      </c>
      <c r="AG21" s="525" t="s">
        <v>564</v>
      </c>
      <c r="AH21" s="523" t="e">
        <f t="shared" si="7"/>
        <v>#VALUE!</v>
      </c>
      <c r="AI21" s="685"/>
      <c r="AJ21" s="523" t="s">
        <v>564</v>
      </c>
      <c r="AK21" s="525" t="s">
        <v>564</v>
      </c>
      <c r="AL21" s="525" t="s">
        <v>564</v>
      </c>
      <c r="AM21" s="523" t="e">
        <f t="shared" si="9"/>
        <v>#VALUE!</v>
      </c>
      <c r="AN21" s="685"/>
      <c r="AO21" s="523" t="s">
        <v>564</v>
      </c>
      <c r="AP21" s="525" t="s">
        <v>564</v>
      </c>
      <c r="AQ21" s="525" t="s">
        <v>564</v>
      </c>
      <c r="AR21" s="523" t="e">
        <f t="shared" si="11"/>
        <v>#VALUE!</v>
      </c>
      <c r="AS21" s="685"/>
      <c r="AT21" s="523" t="s">
        <v>564</v>
      </c>
      <c r="AU21" s="525" t="s">
        <v>564</v>
      </c>
      <c r="AV21" s="525" t="s">
        <v>564</v>
      </c>
      <c r="AW21" s="523" t="e">
        <f t="shared" si="13"/>
        <v>#VALUE!</v>
      </c>
      <c r="AX21" s="685"/>
      <c r="AZ21" s="357" t="e">
        <f t="shared" si="15"/>
        <v>#N/A</v>
      </c>
      <c r="BA21" s="685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372</v>
      </c>
      <c r="D24" s="663"/>
      <c r="E24" s="663" t="s">
        <v>363</v>
      </c>
      <c r="F24" s="663"/>
      <c r="G24" s="663"/>
      <c r="H24" s="679" t="s">
        <v>359</v>
      </c>
      <c r="I24" s="647" t="s">
        <v>364</v>
      </c>
      <c r="J24" s="647"/>
      <c r="K24" s="647"/>
      <c r="L24" s="648" t="s">
        <v>359</v>
      </c>
      <c r="M24" s="654" t="s">
        <v>360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366</v>
      </c>
      <c r="F25" s="663"/>
      <c r="G25" s="663"/>
      <c r="H25" s="680"/>
      <c r="I25" s="647" t="s">
        <v>366</v>
      </c>
      <c r="J25" s="647"/>
      <c r="K25" s="647"/>
      <c r="L25" s="649"/>
      <c r="M25" s="65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368</v>
      </c>
      <c r="F26" s="367" t="s">
        <v>369</v>
      </c>
      <c r="G26" s="367" t="s">
        <v>370</v>
      </c>
      <c r="H26" s="681"/>
      <c r="I26" s="366" t="s">
        <v>368</v>
      </c>
      <c r="J26" s="366" t="s">
        <v>369</v>
      </c>
      <c r="K26" s="366" t="s">
        <v>370</v>
      </c>
      <c r="L26" s="650"/>
      <c r="M26" s="65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132</v>
      </c>
      <c r="C27" s="368">
        <v>1</v>
      </c>
      <c r="D27" s="220" t="s">
        <v>581</v>
      </c>
      <c r="E27" s="518">
        <v>17</v>
      </c>
      <c r="F27" s="516">
        <v>1440</v>
      </c>
      <c r="G27" s="517">
        <v>84.7</v>
      </c>
      <c r="H27" s="710">
        <f>AVERAGE(G27:G41)</f>
        <v>79.176794258373221</v>
      </c>
      <c r="I27" s="370">
        <f t="shared" ref="I27:I40" si="17">IFERROR(AVERAGE(P27,U27,Z27,AE27,AJ27,AO27,AT27),"-")</f>
        <v>17</v>
      </c>
      <c r="J27" s="370">
        <f t="shared" ref="J27:J40" si="18">IFERROR(AVERAGE(Q27,V27,AA27,AF27,AK27,AP27,AU27),"-")</f>
        <v>1303.7598648423118</v>
      </c>
      <c r="K27" s="194">
        <f t="shared" ref="K27:K40" si="19">IFERROR(AVERAGE(R27,W27,AB27,AG27,AL27,AQ27,AV27),"-")</f>
        <v>76.691756755430106</v>
      </c>
      <c r="L27" s="644">
        <f>IFERROR(AVERAGE(K27:K41),"-")</f>
        <v>71.662979679162916</v>
      </c>
      <c r="M27" s="372">
        <f>RANK(K27, K$24:$K$41)</f>
        <v>4</v>
      </c>
      <c r="N27" s="663"/>
      <c r="O27" s="663"/>
      <c r="P27" s="541">
        <v>17</v>
      </c>
      <c r="Q27" s="542">
        <v>1312.9787234042553</v>
      </c>
      <c r="R27" s="542">
        <v>77.234042553191486</v>
      </c>
      <c r="S27" s="541">
        <f t="shared" ref="S27:S41" si="20">RANK(R27, R$27:R$41)</f>
        <v>4</v>
      </c>
      <c r="T27" s="672">
        <f t="shared" ref="T27" si="21">AVERAGE(R27:R41)</f>
        <v>71.990812079769086</v>
      </c>
      <c r="U27" s="541">
        <v>17</v>
      </c>
      <c r="V27" s="542">
        <v>1303.6363636363635</v>
      </c>
      <c r="W27" s="542">
        <v>76.684491978609614</v>
      </c>
      <c r="X27" s="541">
        <f t="shared" ref="X27:X41" si="22">RANK(W27, W$27:W$41)</f>
        <v>4</v>
      </c>
      <c r="Y27" s="672">
        <f t="shared" ref="Y27" si="23">AVERAGE(W27:W41)</f>
        <v>73.553567608808265</v>
      </c>
      <c r="Z27" s="541">
        <v>17</v>
      </c>
      <c r="AA27" s="542">
        <v>1304.4000000000003</v>
      </c>
      <c r="AB27" s="542">
        <v>76.729411764705901</v>
      </c>
      <c r="AC27" s="541">
        <f t="shared" ref="AC27:AC41" si="24">RANK(AB27, AB$27:AB$41)</f>
        <v>4</v>
      </c>
      <c r="AD27" s="672">
        <f t="shared" ref="AD27" si="25">AVERAGE(AB27:AB41)</f>
        <v>72.997578980858052</v>
      </c>
      <c r="AE27" s="541">
        <v>17</v>
      </c>
      <c r="AF27" s="542">
        <v>1302.0000000000007</v>
      </c>
      <c r="AG27" s="542">
        <v>76.58823529411768</v>
      </c>
      <c r="AH27" s="541">
        <f t="shared" ref="AH27:AH41" si="26">RANK(AG27, AG$27:AG$41)</f>
        <v>4</v>
      </c>
      <c r="AI27" s="672">
        <f t="shared" ref="AI27" si="27">AVERAGE(AG27:AG41)</f>
        <v>72.577603795762144</v>
      </c>
      <c r="AJ27" s="541">
        <v>17</v>
      </c>
      <c r="AK27" s="542">
        <v>1293.9759036144574</v>
      </c>
      <c r="AL27" s="542">
        <v>76.116229624379841</v>
      </c>
      <c r="AM27" s="541">
        <f t="shared" ref="AM27:AM41" si="28">RANK(AL27, AL$27:AL$41)</f>
        <v>4</v>
      </c>
      <c r="AN27" s="672">
        <f t="shared" ref="AN27" si="29">AVERAGE(AL27:AL41)</f>
        <v>72.891835819147531</v>
      </c>
      <c r="AO27" s="541">
        <v>17</v>
      </c>
      <c r="AP27" s="542">
        <v>1314.7826086956513</v>
      </c>
      <c r="AQ27" s="542">
        <v>77.340153452685371</v>
      </c>
      <c r="AR27" s="541">
        <f t="shared" ref="AR27:AR41" si="30">RANK(AQ27, AQ$27:AQ$41)</f>
        <v>4</v>
      </c>
      <c r="AS27" s="672">
        <f t="shared" ref="AS27" si="31">AVERAGE(AQ27:AQ41)</f>
        <v>73.308872373261835</v>
      </c>
      <c r="AT27" s="541">
        <v>17</v>
      </c>
      <c r="AU27" s="542">
        <v>1294.545454545454</v>
      </c>
      <c r="AV27" s="542">
        <v>76.149732620320833</v>
      </c>
      <c r="AW27" s="541">
        <f t="shared" ref="AW27:AW41" si="32">RANK(AV27, AV$27:AV$41)</f>
        <v>4</v>
      </c>
      <c r="AX27" s="672">
        <f t="shared" ref="AX27" si="33">AVERAGE(AV27:AV41)</f>
        <v>73.180328506075739</v>
      </c>
      <c r="AZ27" s="357" t="e">
        <f t="shared" ref="AZ27:AZ41" si="34">RANK(AY27, AY$27:AY$41)</f>
        <v>#N/A</v>
      </c>
      <c r="BA27" s="672" t="e">
        <f t="shared" ref="BA27" si="35">AVERAGE(AY27:AY41)</f>
        <v>#DIV/0!</v>
      </c>
    </row>
    <row r="28" spans="2:53">
      <c r="B28" s="671"/>
      <c r="C28" s="368">
        <v>2</v>
      </c>
      <c r="D28" s="220" t="s">
        <v>734</v>
      </c>
      <c r="E28" s="518">
        <v>18</v>
      </c>
      <c r="F28" s="516">
        <v>1440</v>
      </c>
      <c r="G28" s="517">
        <v>80</v>
      </c>
      <c r="H28" s="711"/>
      <c r="I28" s="370">
        <f t="shared" si="17"/>
        <v>18</v>
      </c>
      <c r="J28" s="370">
        <f t="shared" si="18"/>
        <v>1337.3011594667612</v>
      </c>
      <c r="K28" s="194">
        <f t="shared" si="19"/>
        <v>74.294508859264511</v>
      </c>
      <c r="L28" s="645"/>
      <c r="M28" s="375">
        <f>RANK(K28, K$24:$K$41)</f>
        <v>5</v>
      </c>
      <c r="N28" s="663"/>
      <c r="O28" s="663"/>
      <c r="P28" s="541">
        <v>18</v>
      </c>
      <c r="Q28" s="542">
        <v>1324.5161290322583</v>
      </c>
      <c r="R28" s="542">
        <v>73.584229390681017</v>
      </c>
      <c r="S28" s="541">
        <f t="shared" si="20"/>
        <v>5</v>
      </c>
      <c r="T28" s="673"/>
      <c r="U28" s="541">
        <v>18</v>
      </c>
      <c r="V28" s="542">
        <v>1323.71052631579</v>
      </c>
      <c r="W28" s="542">
        <v>73.539473684210563</v>
      </c>
      <c r="X28" s="541">
        <f t="shared" si="22"/>
        <v>6</v>
      </c>
      <c r="Y28" s="673"/>
      <c r="Z28" s="541">
        <v>18</v>
      </c>
      <c r="AA28" s="542">
        <v>1340.5263157894742</v>
      </c>
      <c r="AB28" s="542">
        <v>74.473684210526343</v>
      </c>
      <c r="AC28" s="541">
        <f t="shared" si="24"/>
        <v>5</v>
      </c>
      <c r="AD28" s="673"/>
      <c r="AE28" s="541">
        <v>18</v>
      </c>
      <c r="AF28" s="542">
        <v>1340.689655172413</v>
      </c>
      <c r="AG28" s="542">
        <v>74.482758620689609</v>
      </c>
      <c r="AH28" s="541">
        <f t="shared" si="26"/>
        <v>5</v>
      </c>
      <c r="AI28" s="673"/>
      <c r="AJ28" s="541">
        <v>18</v>
      </c>
      <c r="AK28" s="542">
        <v>1322.903225806451</v>
      </c>
      <c r="AL28" s="542">
        <v>73.494623655913941</v>
      </c>
      <c r="AM28" s="541">
        <f t="shared" si="28"/>
        <v>5</v>
      </c>
      <c r="AN28" s="673"/>
      <c r="AO28" s="541">
        <v>18</v>
      </c>
      <c r="AP28" s="542">
        <v>1353.9622641509432</v>
      </c>
      <c r="AQ28" s="542">
        <v>75.220125786163507</v>
      </c>
      <c r="AR28" s="541">
        <f t="shared" si="30"/>
        <v>5</v>
      </c>
      <c r="AS28" s="673"/>
      <c r="AT28" s="541">
        <v>18</v>
      </c>
      <c r="AU28" s="542">
        <v>1354.7999999999995</v>
      </c>
      <c r="AV28" s="542">
        <v>75.266666666666637</v>
      </c>
      <c r="AW28" s="541">
        <f t="shared" si="32"/>
        <v>5</v>
      </c>
      <c r="AX28" s="673"/>
      <c r="AZ28" s="357" t="e">
        <f t="shared" si="34"/>
        <v>#N/A</v>
      </c>
      <c r="BA28" s="673"/>
    </row>
    <row r="29" spans="2:53">
      <c r="B29" s="671"/>
      <c r="C29" s="368">
        <v>3</v>
      </c>
      <c r="D29" s="220" t="s">
        <v>341</v>
      </c>
      <c r="E29" s="518">
        <v>17</v>
      </c>
      <c r="F29" s="516">
        <v>1440</v>
      </c>
      <c r="G29" s="517">
        <v>84.7</v>
      </c>
      <c r="H29" s="711"/>
      <c r="I29" s="370">
        <f t="shared" si="17"/>
        <v>17</v>
      </c>
      <c r="J29" s="370">
        <f t="shared" si="18"/>
        <v>1332.9001231204613</v>
      </c>
      <c r="K29" s="194">
        <f t="shared" si="19"/>
        <v>78.405889595321256</v>
      </c>
      <c r="L29" s="645"/>
      <c r="M29" s="375">
        <f>RANK(K29, K$24:$K$41)</f>
        <v>3</v>
      </c>
      <c r="N29" s="663"/>
      <c r="O29" s="663"/>
      <c r="P29" s="541">
        <v>17</v>
      </c>
      <c r="Q29" s="542">
        <v>1349.2499999999995</v>
      </c>
      <c r="R29" s="542">
        <v>79.367647058823508</v>
      </c>
      <c r="S29" s="541">
        <f t="shared" si="20"/>
        <v>3</v>
      </c>
      <c r="T29" s="673"/>
      <c r="U29" s="541">
        <v>17</v>
      </c>
      <c r="V29" s="542">
        <v>1321.4999999999995</v>
      </c>
      <c r="W29" s="542">
        <v>77.73529411764703</v>
      </c>
      <c r="X29" s="541">
        <f t="shared" si="22"/>
        <v>3</v>
      </c>
      <c r="Y29" s="673"/>
      <c r="Z29" s="541">
        <v>17</v>
      </c>
      <c r="AA29" s="542">
        <v>1342.8947368421043</v>
      </c>
      <c r="AB29" s="542">
        <v>78.993808049535545</v>
      </c>
      <c r="AC29" s="541">
        <f t="shared" si="24"/>
        <v>3</v>
      </c>
      <c r="AD29" s="673"/>
      <c r="AE29" s="541">
        <v>17</v>
      </c>
      <c r="AF29" s="542">
        <v>1335.2238805970132</v>
      </c>
      <c r="AG29" s="542">
        <v>78.54258121158901</v>
      </c>
      <c r="AH29" s="541">
        <f t="shared" si="26"/>
        <v>3</v>
      </c>
      <c r="AI29" s="673"/>
      <c r="AJ29" s="541">
        <v>17</v>
      </c>
      <c r="AK29" s="542">
        <v>1330.8333333333323</v>
      </c>
      <c r="AL29" s="542">
        <v>78.284313725490136</v>
      </c>
      <c r="AM29" s="541">
        <f t="shared" si="28"/>
        <v>3</v>
      </c>
      <c r="AN29" s="673"/>
      <c r="AO29" s="541">
        <v>17</v>
      </c>
      <c r="AP29" s="542">
        <v>1355.862068965517</v>
      </c>
      <c r="AQ29" s="542">
        <v>79.756592292089238</v>
      </c>
      <c r="AR29" s="541">
        <f t="shared" si="30"/>
        <v>3</v>
      </c>
      <c r="AS29" s="673"/>
      <c r="AT29" s="541">
        <v>17</v>
      </c>
      <c r="AU29" s="542">
        <v>1294.7368421052633</v>
      </c>
      <c r="AV29" s="542">
        <v>76.160990712074309</v>
      </c>
      <c r="AW29" s="541">
        <f t="shared" si="32"/>
        <v>3</v>
      </c>
      <c r="AX29" s="673"/>
      <c r="AZ29" s="357" t="e">
        <f t="shared" si="34"/>
        <v>#N/A</v>
      </c>
      <c r="BA29" s="673"/>
    </row>
    <row r="30" spans="2:53">
      <c r="B30" s="671"/>
      <c r="C30" s="368">
        <v>4</v>
      </c>
      <c r="D30" s="220" t="s">
        <v>342</v>
      </c>
      <c r="E30" s="518">
        <v>21</v>
      </c>
      <c r="F30" s="516">
        <v>1385</v>
      </c>
      <c r="G30" s="517">
        <v>65.900000000000006</v>
      </c>
      <c r="H30" s="711"/>
      <c r="I30" s="370">
        <f t="shared" si="17"/>
        <v>21</v>
      </c>
      <c r="J30" s="370">
        <f t="shared" si="18"/>
        <v>1275.9771988259738</v>
      </c>
      <c r="K30" s="194">
        <f t="shared" si="19"/>
        <v>60.76081899171303</v>
      </c>
      <c r="L30" s="645"/>
      <c r="M30" s="375">
        <f>RANK(K30, K$24:$K$41)</f>
        <v>10</v>
      </c>
      <c r="N30" s="663"/>
      <c r="O30" s="663"/>
      <c r="P30" s="541">
        <v>21</v>
      </c>
      <c r="Q30" s="542">
        <v>1266.3461538461545</v>
      </c>
      <c r="R30" s="542">
        <v>60.302197802197831</v>
      </c>
      <c r="S30" s="541">
        <f t="shared" si="20"/>
        <v>10</v>
      </c>
      <c r="T30" s="673"/>
      <c r="U30" s="541">
        <v>21</v>
      </c>
      <c r="V30" s="542">
        <v>1291.0112359550562</v>
      </c>
      <c r="W30" s="542">
        <v>61.476725521669344</v>
      </c>
      <c r="X30" s="541">
        <f t="shared" si="22"/>
        <v>10</v>
      </c>
      <c r="Y30" s="673"/>
      <c r="Z30" s="541">
        <v>21</v>
      </c>
      <c r="AA30" s="542">
        <v>1265.0000000000005</v>
      </c>
      <c r="AB30" s="542">
        <v>60.238095238095262</v>
      </c>
      <c r="AC30" s="541">
        <f t="shared" si="24"/>
        <v>10</v>
      </c>
      <c r="AD30" s="673"/>
      <c r="AE30" s="541">
        <v>21</v>
      </c>
      <c r="AF30" s="542">
        <v>1262.0338983050858</v>
      </c>
      <c r="AG30" s="542">
        <v>60.096852300242183</v>
      </c>
      <c r="AH30" s="541">
        <f t="shared" si="26"/>
        <v>10</v>
      </c>
      <c r="AI30" s="673"/>
      <c r="AJ30" s="541">
        <v>21</v>
      </c>
      <c r="AK30" s="542">
        <v>1270.5405405405395</v>
      </c>
      <c r="AL30" s="542">
        <v>60.501930501930453</v>
      </c>
      <c r="AM30" s="541">
        <f t="shared" si="28"/>
        <v>10</v>
      </c>
      <c r="AN30" s="673"/>
      <c r="AO30" s="541">
        <v>21</v>
      </c>
      <c r="AP30" s="542">
        <v>1270.7547169811328</v>
      </c>
      <c r="AQ30" s="542">
        <v>60.512129380053942</v>
      </c>
      <c r="AR30" s="541">
        <f t="shared" si="30"/>
        <v>10</v>
      </c>
      <c r="AS30" s="673"/>
      <c r="AT30" s="541">
        <v>21</v>
      </c>
      <c r="AU30" s="542">
        <v>1306.1538461538462</v>
      </c>
      <c r="AV30" s="542">
        <v>62.197802197802197</v>
      </c>
      <c r="AW30" s="541">
        <f t="shared" si="32"/>
        <v>10</v>
      </c>
      <c r="AX30" s="673"/>
      <c r="AZ30" s="357" t="e">
        <f t="shared" si="34"/>
        <v>#N/A</v>
      </c>
      <c r="BA30" s="673"/>
    </row>
    <row r="31" spans="2:53">
      <c r="B31" s="671"/>
      <c r="C31" s="368">
        <v>5</v>
      </c>
      <c r="D31" s="220" t="s">
        <v>343</v>
      </c>
      <c r="E31" s="518">
        <v>19</v>
      </c>
      <c r="F31" s="516">
        <v>1440</v>
      </c>
      <c r="G31" s="517">
        <v>75.8</v>
      </c>
      <c r="H31" s="711"/>
      <c r="I31" s="370">
        <f t="shared" si="17"/>
        <v>19</v>
      </c>
      <c r="J31" s="370">
        <f t="shared" si="18"/>
        <v>1322.8716799513506</v>
      </c>
      <c r="K31" s="194">
        <f t="shared" si="19"/>
        <v>69.62482526059739</v>
      </c>
      <c r="L31" s="645"/>
      <c r="M31" s="375">
        <f>RANK(K31, K$24:$K$41)</f>
        <v>7</v>
      </c>
      <c r="N31" s="663"/>
      <c r="O31" s="663"/>
      <c r="P31" s="541">
        <v>19</v>
      </c>
      <c r="Q31" s="542">
        <v>1332.391304347826</v>
      </c>
      <c r="R31" s="542">
        <v>70.125858123569785</v>
      </c>
      <c r="S31" s="541">
        <f t="shared" si="20"/>
        <v>7</v>
      </c>
      <c r="T31" s="673"/>
      <c r="U31" s="541">
        <v>19</v>
      </c>
      <c r="V31" s="542">
        <v>1308.607594936708</v>
      </c>
      <c r="W31" s="542">
        <v>68.874083944037267</v>
      </c>
      <c r="X31" s="541">
        <f t="shared" si="22"/>
        <v>8</v>
      </c>
      <c r="Y31" s="673"/>
      <c r="Z31" s="541">
        <v>19</v>
      </c>
      <c r="AA31" s="542">
        <v>1327.7142857142844</v>
      </c>
      <c r="AB31" s="542">
        <v>69.879699248120232</v>
      </c>
      <c r="AC31" s="541">
        <f t="shared" si="24"/>
        <v>7</v>
      </c>
      <c r="AD31" s="673"/>
      <c r="AE31" s="541">
        <v>19</v>
      </c>
      <c r="AF31" s="542">
        <v>1324.7058823529419</v>
      </c>
      <c r="AG31" s="542">
        <v>69.721362229102212</v>
      </c>
      <c r="AH31" s="541">
        <f t="shared" si="26"/>
        <v>7</v>
      </c>
      <c r="AI31" s="673"/>
      <c r="AJ31" s="541">
        <v>19</v>
      </c>
      <c r="AK31" s="542">
        <v>1320.0000000000011</v>
      </c>
      <c r="AL31" s="542">
        <v>69.473684210526372</v>
      </c>
      <c r="AM31" s="541">
        <f t="shared" si="28"/>
        <v>8</v>
      </c>
      <c r="AN31" s="673"/>
      <c r="AO31" s="541">
        <v>19</v>
      </c>
      <c r="AP31" s="542">
        <v>1344.3750000000005</v>
      </c>
      <c r="AQ31" s="542">
        <v>70.756578947368439</v>
      </c>
      <c r="AR31" s="541">
        <f t="shared" si="30"/>
        <v>7</v>
      </c>
      <c r="AS31" s="673"/>
      <c r="AT31" s="541">
        <v>19</v>
      </c>
      <c r="AU31" s="542">
        <v>1302.3076923076917</v>
      </c>
      <c r="AV31" s="542">
        <v>68.542510121457454</v>
      </c>
      <c r="AW31" s="541">
        <f t="shared" si="32"/>
        <v>8</v>
      </c>
      <c r="AX31" s="673"/>
      <c r="AZ31" s="357" t="e">
        <f t="shared" si="34"/>
        <v>#N/A</v>
      </c>
      <c r="BA31" s="673"/>
    </row>
    <row r="32" spans="2:53">
      <c r="B32" s="671"/>
      <c r="C32" s="368">
        <v>6</v>
      </c>
      <c r="D32" s="220" t="s">
        <v>484</v>
      </c>
      <c r="E32" s="518">
        <v>18</v>
      </c>
      <c r="F32" s="516">
        <v>1385</v>
      </c>
      <c r="G32" s="517">
        <v>76.900000000000006</v>
      </c>
      <c r="H32" s="711"/>
      <c r="I32" s="370">
        <f t="shared" si="17"/>
        <v>18</v>
      </c>
      <c r="J32" s="370">
        <f t="shared" si="18"/>
        <v>1238.9540457769185</v>
      </c>
      <c r="K32" s="194">
        <f t="shared" si="19"/>
        <v>68.830780320939922</v>
      </c>
      <c r="L32" s="645"/>
      <c r="M32" s="375">
        <f>RANK(K32, K$24:$K$41)</f>
        <v>8</v>
      </c>
      <c r="N32" s="663"/>
      <c r="O32" s="663"/>
      <c r="P32" s="541">
        <v>18</v>
      </c>
      <c r="Q32" s="542">
        <v>1228.1250000000014</v>
      </c>
      <c r="R32" s="542">
        <v>68.229166666666742</v>
      </c>
      <c r="S32" s="541">
        <f t="shared" si="20"/>
        <v>8</v>
      </c>
      <c r="T32" s="673"/>
      <c r="U32" s="541">
        <v>18</v>
      </c>
      <c r="V32" s="542">
        <v>1246.6666666666674</v>
      </c>
      <c r="W32" s="542">
        <v>69.259259259259295</v>
      </c>
      <c r="X32" s="541">
        <f t="shared" si="22"/>
        <v>7</v>
      </c>
      <c r="Y32" s="673"/>
      <c r="Z32" s="541">
        <v>18</v>
      </c>
      <c r="AA32" s="542">
        <v>1233.3333333333335</v>
      </c>
      <c r="AB32" s="542">
        <v>68.518518518518533</v>
      </c>
      <c r="AC32" s="541">
        <f t="shared" si="24"/>
        <v>8</v>
      </c>
      <c r="AD32" s="673"/>
      <c r="AE32" s="541">
        <v>18</v>
      </c>
      <c r="AF32" s="542">
        <v>1216.5957446808513</v>
      </c>
      <c r="AG32" s="542">
        <v>67.588652482269524</v>
      </c>
      <c r="AH32" s="541">
        <f t="shared" si="26"/>
        <v>8</v>
      </c>
      <c r="AI32" s="673"/>
      <c r="AJ32" s="541">
        <v>18</v>
      </c>
      <c r="AK32" s="542">
        <v>1267.2000000000003</v>
      </c>
      <c r="AL32" s="542">
        <v>70.40000000000002</v>
      </c>
      <c r="AM32" s="541">
        <f t="shared" si="28"/>
        <v>7</v>
      </c>
      <c r="AN32" s="673"/>
      <c r="AO32" s="541">
        <v>18</v>
      </c>
      <c r="AP32" s="542">
        <v>1231.6666666666656</v>
      </c>
      <c r="AQ32" s="542">
        <v>68.425925925925867</v>
      </c>
      <c r="AR32" s="541">
        <f t="shared" si="30"/>
        <v>8</v>
      </c>
      <c r="AS32" s="673"/>
      <c r="AT32" s="541">
        <v>18</v>
      </c>
      <c r="AU32" s="542">
        <v>1249.0909090909104</v>
      </c>
      <c r="AV32" s="542">
        <v>69.393939393939462</v>
      </c>
      <c r="AW32" s="541">
        <f t="shared" si="32"/>
        <v>7</v>
      </c>
      <c r="AX32" s="673"/>
      <c r="AZ32" s="357" t="e">
        <f t="shared" si="34"/>
        <v>#N/A</v>
      </c>
      <c r="BA32" s="673"/>
    </row>
    <row r="33" spans="2:53">
      <c r="B33" s="671"/>
      <c r="C33" s="368">
        <v>7</v>
      </c>
      <c r="D33" s="220" t="s">
        <v>502</v>
      </c>
      <c r="E33" s="518">
        <v>16</v>
      </c>
      <c r="F33" s="516">
        <v>1440</v>
      </c>
      <c r="G33" s="517">
        <v>90</v>
      </c>
      <c r="H33" s="711"/>
      <c r="I33" s="370">
        <f t="shared" si="17"/>
        <v>16</v>
      </c>
      <c r="J33" s="370">
        <f t="shared" si="18"/>
        <v>1335.4629080822667</v>
      </c>
      <c r="K33" s="194">
        <f t="shared" si="19"/>
        <v>83.46643175514167</v>
      </c>
      <c r="L33" s="645"/>
      <c r="M33" s="375">
        <f>RANK(K33, K$24:$K$41)</f>
        <v>1</v>
      </c>
      <c r="N33" s="663"/>
      <c r="O33" s="663"/>
      <c r="P33" s="541">
        <v>16</v>
      </c>
      <c r="Q33" s="542">
        <v>1329.4736842105256</v>
      </c>
      <c r="R33" s="542">
        <v>83.092105263157848</v>
      </c>
      <c r="S33" s="541">
        <f t="shared" si="20"/>
        <v>2</v>
      </c>
      <c r="T33" s="673"/>
      <c r="U33" s="541">
        <v>16</v>
      </c>
      <c r="V33" s="542">
        <v>1348.2692307692314</v>
      </c>
      <c r="W33" s="542">
        <v>84.266826923076962</v>
      </c>
      <c r="X33" s="541">
        <f t="shared" si="22"/>
        <v>2</v>
      </c>
      <c r="Y33" s="673"/>
      <c r="Z33" s="541">
        <v>16</v>
      </c>
      <c r="AA33" s="542">
        <v>1328.9708737864084</v>
      </c>
      <c r="AB33" s="542">
        <v>83.060679611650528</v>
      </c>
      <c r="AC33" s="541">
        <f t="shared" si="24"/>
        <v>1</v>
      </c>
      <c r="AD33" s="673"/>
      <c r="AE33" s="541">
        <v>16</v>
      </c>
      <c r="AF33" s="542">
        <v>1325.3855421686742</v>
      </c>
      <c r="AG33" s="542">
        <v>82.836596385542137</v>
      </c>
      <c r="AH33" s="541">
        <f t="shared" si="26"/>
        <v>1</v>
      </c>
      <c r="AI33" s="673"/>
      <c r="AJ33" s="541">
        <v>16</v>
      </c>
      <c r="AK33" s="542">
        <v>1315.3846153846162</v>
      </c>
      <c r="AL33" s="542">
        <v>82.21153846153851</v>
      </c>
      <c r="AM33" s="541">
        <f t="shared" si="28"/>
        <v>1</v>
      </c>
      <c r="AN33" s="673"/>
      <c r="AO33" s="541">
        <v>16</v>
      </c>
      <c r="AP33" s="542">
        <v>1350.5000000000007</v>
      </c>
      <c r="AQ33" s="542">
        <v>84.406250000000043</v>
      </c>
      <c r="AR33" s="541">
        <f t="shared" si="30"/>
        <v>1</v>
      </c>
      <c r="AS33" s="673"/>
      <c r="AT33" s="541">
        <v>16</v>
      </c>
      <c r="AU33" s="542">
        <v>1350.2564102564095</v>
      </c>
      <c r="AV33" s="542">
        <v>84.391025641025593</v>
      </c>
      <c r="AW33" s="541">
        <f t="shared" si="32"/>
        <v>1</v>
      </c>
      <c r="AX33" s="673"/>
      <c r="AZ33" s="357" t="e">
        <f t="shared" si="34"/>
        <v>#N/A</v>
      </c>
      <c r="BA33" s="673"/>
    </row>
    <row r="34" spans="2:53">
      <c r="B34" s="671"/>
      <c r="C34" s="368">
        <v>8</v>
      </c>
      <c r="D34" s="220" t="s">
        <v>552</v>
      </c>
      <c r="E34" s="518">
        <v>19</v>
      </c>
      <c r="F34" s="516">
        <v>1636</v>
      </c>
      <c r="G34" s="517">
        <v>86.1</v>
      </c>
      <c r="H34" s="711"/>
      <c r="I34" s="370">
        <f t="shared" si="17"/>
        <v>19</v>
      </c>
      <c r="J34" s="370">
        <f t="shared" si="18"/>
        <v>1387.8546362519432</v>
      </c>
      <c r="K34" s="194">
        <f t="shared" si="19"/>
        <v>73.044980855365438</v>
      </c>
      <c r="L34" s="645"/>
      <c r="M34" s="375">
        <f>RANK(K34, K$24:$K$41)</f>
        <v>6</v>
      </c>
      <c r="N34" s="663"/>
      <c r="O34" s="663"/>
      <c r="P34" s="541">
        <v>19</v>
      </c>
      <c r="Q34" s="542">
        <v>1388.3567010309278</v>
      </c>
      <c r="R34" s="542">
        <v>73.071405317417245</v>
      </c>
      <c r="S34" s="541">
        <f t="shared" si="20"/>
        <v>6</v>
      </c>
      <c r="T34" s="673"/>
      <c r="U34" s="541">
        <v>19</v>
      </c>
      <c r="V34" s="542">
        <v>1405.6349206349209</v>
      </c>
      <c r="W34" s="542">
        <v>73.98078529657478</v>
      </c>
      <c r="X34" s="541">
        <f t="shared" si="22"/>
        <v>5</v>
      </c>
      <c r="Y34" s="673"/>
      <c r="Z34" s="541">
        <v>19</v>
      </c>
      <c r="AA34" s="542">
        <v>1387.1224880382774</v>
      </c>
      <c r="AB34" s="542">
        <v>73.00644673885671</v>
      </c>
      <c r="AC34" s="541">
        <f t="shared" si="24"/>
        <v>6</v>
      </c>
      <c r="AD34" s="673"/>
      <c r="AE34" s="541">
        <v>19</v>
      </c>
      <c r="AF34" s="542">
        <v>1384.6666666666667</v>
      </c>
      <c r="AG34" s="542">
        <v>72.877192982456151</v>
      </c>
      <c r="AH34" s="541">
        <f t="shared" si="26"/>
        <v>6</v>
      </c>
      <c r="AI34" s="673"/>
      <c r="AJ34" s="541">
        <v>19</v>
      </c>
      <c r="AK34" s="542">
        <v>1382.2222222222219</v>
      </c>
      <c r="AL34" s="542">
        <v>72.748538011695885</v>
      </c>
      <c r="AM34" s="541">
        <f t="shared" si="28"/>
        <v>6</v>
      </c>
      <c r="AN34" s="673"/>
      <c r="AO34" s="541">
        <v>19</v>
      </c>
      <c r="AP34" s="542">
        <v>1382.4568421052629</v>
      </c>
      <c r="AQ34" s="542">
        <v>72.760886426592791</v>
      </c>
      <c r="AR34" s="541">
        <f t="shared" si="30"/>
        <v>6</v>
      </c>
      <c r="AS34" s="673"/>
      <c r="AT34" s="541">
        <v>19</v>
      </c>
      <c r="AU34" s="542">
        <v>1384.5226130653266</v>
      </c>
      <c r="AV34" s="542">
        <v>72.869611213964561</v>
      </c>
      <c r="AW34" s="541">
        <f t="shared" si="32"/>
        <v>6</v>
      </c>
      <c r="AX34" s="673"/>
      <c r="AZ34" s="357" t="e">
        <f t="shared" si="34"/>
        <v>#N/A</v>
      </c>
      <c r="BA34" s="673"/>
    </row>
    <row r="35" spans="2:53">
      <c r="B35" s="671"/>
      <c r="C35" s="368">
        <v>9</v>
      </c>
      <c r="D35" s="220" t="s">
        <v>567</v>
      </c>
      <c r="E35" s="518">
        <v>16</v>
      </c>
      <c r="F35" s="516">
        <v>1440</v>
      </c>
      <c r="G35" s="517">
        <v>84.7</v>
      </c>
      <c r="H35" s="711"/>
      <c r="I35" s="370">
        <f t="shared" si="17"/>
        <v>15.714285714285714</v>
      </c>
      <c r="J35" s="370">
        <f t="shared" si="18"/>
        <v>1296.6837128426134</v>
      </c>
      <c r="K35" s="194">
        <f t="shared" si="19"/>
        <v>82.583928691802171</v>
      </c>
      <c r="L35" s="645"/>
      <c r="M35" s="375">
        <f>RANK(K35, K$24:$K$41)</f>
        <v>2</v>
      </c>
      <c r="N35" s="663"/>
      <c r="O35" s="663"/>
      <c r="P35" s="541">
        <v>15</v>
      </c>
      <c r="Q35" s="542">
        <v>1290.3578947368419</v>
      </c>
      <c r="R35" s="542">
        <v>86.023859649122798</v>
      </c>
      <c r="S35" s="541">
        <f t="shared" si="20"/>
        <v>1</v>
      </c>
      <c r="T35" s="673"/>
      <c r="U35" s="541">
        <v>15</v>
      </c>
      <c r="V35" s="542">
        <v>1298.8524590163936</v>
      </c>
      <c r="W35" s="542">
        <v>86.590163934426243</v>
      </c>
      <c r="X35" s="541">
        <f t="shared" si="22"/>
        <v>1</v>
      </c>
      <c r="Y35" s="673"/>
      <c r="Z35" s="541">
        <v>16</v>
      </c>
      <c r="AA35" s="542">
        <v>1302.8571428571429</v>
      </c>
      <c r="AB35" s="542">
        <v>81.428571428571431</v>
      </c>
      <c r="AC35" s="541">
        <f t="shared" si="24"/>
        <v>2</v>
      </c>
      <c r="AD35" s="673"/>
      <c r="AE35" s="541">
        <v>16</v>
      </c>
      <c r="AF35" s="542">
        <v>1291.6129032258068</v>
      </c>
      <c r="AG35" s="542">
        <v>80.725806451612925</v>
      </c>
      <c r="AH35" s="541">
        <f t="shared" si="26"/>
        <v>2</v>
      </c>
      <c r="AI35" s="673"/>
      <c r="AJ35" s="541">
        <v>16</v>
      </c>
      <c r="AK35" s="542">
        <v>1310.9999999999995</v>
      </c>
      <c r="AL35" s="542">
        <v>81.937499999999972</v>
      </c>
      <c r="AM35" s="541">
        <f t="shared" si="28"/>
        <v>2</v>
      </c>
      <c r="AN35" s="673"/>
      <c r="AO35" s="541">
        <v>16</v>
      </c>
      <c r="AP35" s="542">
        <v>1287.3913043478256</v>
      </c>
      <c r="AQ35" s="542">
        <v>80.461956521739097</v>
      </c>
      <c r="AR35" s="541">
        <f t="shared" si="30"/>
        <v>2</v>
      </c>
      <c r="AS35" s="673"/>
      <c r="AT35" s="541">
        <v>16</v>
      </c>
      <c r="AU35" s="542">
        <v>1294.7142857142831</v>
      </c>
      <c r="AV35" s="542">
        <v>80.919642857142691</v>
      </c>
      <c r="AW35" s="541">
        <f t="shared" si="32"/>
        <v>2</v>
      </c>
      <c r="AX35" s="673"/>
      <c r="AZ35" s="357" t="e">
        <f t="shared" si="34"/>
        <v>#N/A</v>
      </c>
      <c r="BA35" s="673"/>
    </row>
    <row r="36" spans="2:53">
      <c r="B36" s="671"/>
      <c r="C36" s="368">
        <v>10</v>
      </c>
      <c r="D36" s="220" t="s">
        <v>680</v>
      </c>
      <c r="E36" s="518">
        <v>20</v>
      </c>
      <c r="F36" s="516">
        <v>1385</v>
      </c>
      <c r="G36" s="517">
        <v>69.25</v>
      </c>
      <c r="H36" s="711"/>
      <c r="I36" s="370">
        <f t="shared" si="17"/>
        <v>20</v>
      </c>
      <c r="J36" s="370">
        <f t="shared" si="18"/>
        <v>1274.9350024411685</v>
      </c>
      <c r="K36" s="194">
        <f t="shared" si="19"/>
        <v>63.74675012205843</v>
      </c>
      <c r="L36" s="645"/>
      <c r="M36" s="375">
        <f>RANK(K36, K$24:$K$41)</f>
        <v>9</v>
      </c>
      <c r="N36" s="663"/>
      <c r="O36" s="663"/>
      <c r="P36" s="541">
        <v>20</v>
      </c>
      <c r="Q36" s="542">
        <v>1280.5263157894728</v>
      </c>
      <c r="R36" s="542">
        <v>64.026315789473642</v>
      </c>
      <c r="S36" s="541">
        <f t="shared" si="20"/>
        <v>9</v>
      </c>
      <c r="T36" s="673"/>
      <c r="U36" s="541">
        <v>20</v>
      </c>
      <c r="V36" s="542">
        <v>1262.5714285714289</v>
      </c>
      <c r="W36" s="542">
        <v>63.128571428571448</v>
      </c>
      <c r="X36" s="541">
        <f t="shared" si="22"/>
        <v>9</v>
      </c>
      <c r="Y36" s="673"/>
      <c r="Z36" s="541">
        <v>20</v>
      </c>
      <c r="AA36" s="542">
        <v>1272.9374999999998</v>
      </c>
      <c r="AB36" s="542">
        <v>63.646874999999987</v>
      </c>
      <c r="AC36" s="541">
        <f t="shared" si="24"/>
        <v>9</v>
      </c>
      <c r="AD36" s="673"/>
      <c r="AE36" s="541">
        <v>20</v>
      </c>
      <c r="AF36" s="542">
        <v>1246.3200000000004</v>
      </c>
      <c r="AG36" s="542">
        <v>62.316000000000017</v>
      </c>
      <c r="AH36" s="541">
        <f t="shared" si="26"/>
        <v>9</v>
      </c>
      <c r="AI36" s="673"/>
      <c r="AJ36" s="541">
        <v>20</v>
      </c>
      <c r="AK36" s="542">
        <v>1275.0000000000045</v>
      </c>
      <c r="AL36" s="542">
        <v>63.750000000000227</v>
      </c>
      <c r="AM36" s="541">
        <f t="shared" si="28"/>
        <v>9</v>
      </c>
      <c r="AN36" s="673"/>
      <c r="AO36" s="541">
        <v>20</v>
      </c>
      <c r="AP36" s="542">
        <v>1268.9625000000008</v>
      </c>
      <c r="AQ36" s="542">
        <v>63.44812500000004</v>
      </c>
      <c r="AR36" s="541">
        <f t="shared" si="30"/>
        <v>9</v>
      </c>
      <c r="AS36" s="673"/>
      <c r="AT36" s="541">
        <v>20</v>
      </c>
      <c r="AU36" s="542">
        <v>1318.2272727272725</v>
      </c>
      <c r="AV36" s="542">
        <v>65.911363636363632</v>
      </c>
      <c r="AW36" s="541">
        <f t="shared" si="32"/>
        <v>9</v>
      </c>
      <c r="AX36" s="673"/>
      <c r="AZ36" s="357" t="e">
        <f t="shared" si="34"/>
        <v>#N/A</v>
      </c>
      <c r="BA36" s="673"/>
    </row>
    <row r="37" spans="2:53">
      <c r="B37" s="671"/>
      <c r="C37" s="368">
        <v>11</v>
      </c>
      <c r="D37" s="220" t="s">
        <v>676</v>
      </c>
      <c r="E37" s="518">
        <v>19</v>
      </c>
      <c r="F37" s="516">
        <v>1385</v>
      </c>
      <c r="G37" s="517">
        <v>72.89473684210526</v>
      </c>
      <c r="H37" s="711"/>
      <c r="I37" s="370">
        <f t="shared" si="17"/>
        <v>19</v>
      </c>
      <c r="J37" s="370">
        <f t="shared" si="18"/>
        <v>1080.0000000000039</v>
      </c>
      <c r="K37" s="194">
        <f t="shared" si="19"/>
        <v>56.842105263158096</v>
      </c>
      <c r="L37" s="645"/>
      <c r="M37" s="375">
        <f>RANK(K37, K$24:$K$41)</f>
        <v>11</v>
      </c>
      <c r="N37" s="663"/>
      <c r="O37" s="663"/>
      <c r="P37" s="541">
        <v>19</v>
      </c>
      <c r="Q37" s="542">
        <v>1080.0000000000039</v>
      </c>
      <c r="R37" s="542">
        <v>56.842105263158096</v>
      </c>
      <c r="S37" s="541">
        <f t="shared" si="20"/>
        <v>11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2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4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6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28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0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2"/>
        <v>#VALUE!</v>
      </c>
      <c r="AX37" s="673"/>
      <c r="AZ37" s="357" t="e">
        <f t="shared" si="34"/>
        <v>#N/A</v>
      </c>
      <c r="BA37" s="673"/>
    </row>
    <row r="38" spans="2:53">
      <c r="B38" s="671"/>
      <c r="C38" s="368">
        <v>12</v>
      </c>
      <c r="D38" s="220"/>
      <c r="E38" s="518"/>
      <c r="F38" s="516"/>
      <c r="G38" s="517"/>
      <c r="H38" s="711"/>
      <c r="I38" s="370" t="str">
        <f t="shared" si="17"/>
        <v>-</v>
      </c>
      <c r="J38" s="370" t="str">
        <f t="shared" si="18"/>
        <v>-</v>
      </c>
      <c r="K38" s="194" t="str">
        <f t="shared" si="19"/>
        <v>-</v>
      </c>
      <c r="L38" s="645"/>
      <c r="M38" s="375" t="e">
        <f>RANK(K38, K$24:$K$41)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0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2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4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6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28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0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2"/>
        <v>#VALUE!</v>
      </c>
      <c r="AX38" s="673"/>
      <c r="AZ38" s="357" t="e">
        <f t="shared" si="34"/>
        <v>#N/A</v>
      </c>
      <c r="BA38" s="673"/>
    </row>
    <row r="39" spans="2:53">
      <c r="B39" s="671"/>
      <c r="C39" s="368">
        <v>13</v>
      </c>
      <c r="D39" s="220"/>
      <c r="E39" s="518"/>
      <c r="F39" s="516"/>
      <c r="G39" s="517"/>
      <c r="H39" s="711"/>
      <c r="I39" s="370" t="str">
        <f t="shared" si="17"/>
        <v>-</v>
      </c>
      <c r="J39" s="370" t="str">
        <f t="shared" si="18"/>
        <v>-</v>
      </c>
      <c r="K39" s="194" t="str">
        <f t="shared" si="19"/>
        <v>-</v>
      </c>
      <c r="L39" s="645"/>
      <c r="M39" s="375" t="e">
        <f>RANK(K39, K$24:$K$41)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0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2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4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6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28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0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2"/>
        <v>#VALUE!</v>
      </c>
      <c r="AX39" s="673"/>
      <c r="AZ39" s="357" t="e">
        <f t="shared" si="34"/>
        <v>#N/A</v>
      </c>
      <c r="BA39" s="673"/>
    </row>
    <row r="40" spans="2:53">
      <c r="B40" s="671"/>
      <c r="C40" s="368">
        <v>14</v>
      </c>
      <c r="D40" s="220"/>
      <c r="E40" s="518"/>
      <c r="F40" s="516"/>
      <c r="G40" s="517"/>
      <c r="H40" s="711"/>
      <c r="I40" s="370" t="str">
        <f t="shared" si="17"/>
        <v>-</v>
      </c>
      <c r="J40" s="370" t="str">
        <f t="shared" si="18"/>
        <v>-</v>
      </c>
      <c r="K40" s="194" t="str">
        <f t="shared" si="19"/>
        <v>-</v>
      </c>
      <c r="L40" s="645"/>
      <c r="M40" s="375" t="e">
        <f>RANK(K40, K$24:$K$41)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0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2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4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6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28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0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2"/>
        <v>#VALUE!</v>
      </c>
      <c r="AX40" s="673"/>
      <c r="AZ40" s="357" t="e">
        <f t="shared" si="34"/>
        <v>#N/A</v>
      </c>
      <c r="BA40" s="673"/>
    </row>
    <row r="41" spans="2:53">
      <c r="B41" s="671"/>
      <c r="C41" s="368">
        <v>15</v>
      </c>
      <c r="D41" s="220"/>
      <c r="E41" s="518"/>
      <c r="F41" s="516"/>
      <c r="G41" s="517"/>
      <c r="H41" s="712"/>
      <c r="I41" s="196"/>
      <c r="J41" s="196"/>
      <c r="K41" s="196"/>
      <c r="L41" s="646"/>
      <c r="M41" s="374" t="e">
        <f>RANK(K41, K$24:$K$41)</f>
        <v>#N/A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0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2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4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6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28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0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2"/>
        <v>#VALUE!</v>
      </c>
      <c r="AX41" s="674"/>
      <c r="AZ41" s="357" t="e">
        <f t="shared" si="34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372</v>
      </c>
      <c r="D44" s="663"/>
      <c r="E44" s="663" t="s">
        <v>363</v>
      </c>
      <c r="F44" s="663"/>
      <c r="G44" s="663"/>
      <c r="H44" s="679" t="s">
        <v>359</v>
      </c>
      <c r="I44" s="647" t="s">
        <v>364</v>
      </c>
      <c r="J44" s="647"/>
      <c r="K44" s="647"/>
      <c r="L44" s="648" t="s">
        <v>359</v>
      </c>
      <c r="M44" s="654" t="s">
        <v>360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366</v>
      </c>
      <c r="F45" s="663"/>
      <c r="G45" s="663"/>
      <c r="H45" s="680"/>
      <c r="I45" s="647" t="s">
        <v>366</v>
      </c>
      <c r="J45" s="647"/>
      <c r="K45" s="647"/>
      <c r="L45" s="649"/>
      <c r="M45" s="65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368</v>
      </c>
      <c r="F46" s="367" t="s">
        <v>369</v>
      </c>
      <c r="G46" s="367" t="s">
        <v>370</v>
      </c>
      <c r="H46" s="681"/>
      <c r="I46" s="366" t="s">
        <v>368</v>
      </c>
      <c r="J46" s="366" t="s">
        <v>369</v>
      </c>
      <c r="K46" s="366" t="s">
        <v>370</v>
      </c>
      <c r="L46" s="650"/>
      <c r="M46" s="65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460</v>
      </c>
      <c r="C47" s="368">
        <v>1</v>
      </c>
      <c r="D47" s="220"/>
      <c r="E47" s="518"/>
      <c r="F47" s="516"/>
      <c r="G47" s="517"/>
      <c r="H47" s="710" t="e">
        <f>AVERAGE(G47:G61)</f>
        <v>#DIV/0!</v>
      </c>
      <c r="I47" s="370" t="str">
        <f t="shared" ref="I47:I60" si="36">IFERROR(AVERAGE(P47,U47,Z47,AE47,AJ47,AO47,AT47),"-")</f>
        <v>-</v>
      </c>
      <c r="J47" s="370" t="str">
        <f t="shared" ref="J47:J60" si="37">IFERROR(AVERAGE(Q47,V47,AA47,AF47,AK47,AP47,AU47),"-")</f>
        <v>-</v>
      </c>
      <c r="K47" s="194" t="str">
        <f t="shared" ref="K47:K60" si="38">IFERROR(AVERAGE(R47,W47,AB47,AG47,AL47,AQ47,AV47),"-")</f>
        <v>-</v>
      </c>
      <c r="L47" s="644" t="str">
        <f>IFERROR(AVERAGE(K47:K61),"-")</f>
        <v>-</v>
      </c>
      <c r="M47" s="372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39">RANK(AY47, AY$47:AY$61)</f>
        <v>#N/A</v>
      </c>
      <c r="BA47" s="672" t="e">
        <f t="shared" ref="BA47" si="40">AVERAGE(AY47:AY61)</f>
        <v>#DIV/0!</v>
      </c>
    </row>
    <row r="48" spans="2:53">
      <c r="B48" s="671"/>
      <c r="C48" s="368">
        <v>2</v>
      </c>
      <c r="D48" s="220"/>
      <c r="E48" s="518"/>
      <c r="F48" s="516"/>
      <c r="G48" s="517"/>
      <c r="H48" s="711"/>
      <c r="I48" s="370" t="str">
        <f t="shared" si="36"/>
        <v>-</v>
      </c>
      <c r="J48" s="370" t="str">
        <f t="shared" si="37"/>
        <v>-</v>
      </c>
      <c r="K48" s="194" t="str">
        <f t="shared" si="38"/>
        <v>-</v>
      </c>
      <c r="L48" s="645"/>
      <c r="M48" s="390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57" t="e">
        <f t="shared" si="39"/>
        <v>#N/A</v>
      </c>
      <c r="BA48" s="673"/>
    </row>
    <row r="49" spans="2:53">
      <c r="B49" s="671"/>
      <c r="C49" s="368">
        <v>3</v>
      </c>
      <c r="D49" s="220"/>
      <c r="E49" s="518"/>
      <c r="F49" s="516"/>
      <c r="G49" s="517"/>
      <c r="H49" s="711"/>
      <c r="I49" s="370" t="str">
        <f t="shared" si="36"/>
        <v>-</v>
      </c>
      <c r="J49" s="370" t="str">
        <f t="shared" si="37"/>
        <v>-</v>
      </c>
      <c r="K49" s="194" t="str">
        <f t="shared" si="38"/>
        <v>-</v>
      </c>
      <c r="L49" s="645"/>
      <c r="M49" s="390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57" t="e">
        <f t="shared" si="39"/>
        <v>#N/A</v>
      </c>
      <c r="BA49" s="673"/>
    </row>
    <row r="50" spans="2:53">
      <c r="B50" s="671"/>
      <c r="C50" s="368">
        <v>4</v>
      </c>
      <c r="D50" s="220"/>
      <c r="E50" s="518"/>
      <c r="F50" s="516"/>
      <c r="G50" s="517"/>
      <c r="H50" s="711"/>
      <c r="I50" s="370" t="str">
        <f t="shared" si="36"/>
        <v>-</v>
      </c>
      <c r="J50" s="370" t="str">
        <f t="shared" si="37"/>
        <v>-</v>
      </c>
      <c r="K50" s="194" t="str">
        <f t="shared" si="38"/>
        <v>-</v>
      </c>
      <c r="L50" s="645"/>
      <c r="M50" s="390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57" t="e">
        <f t="shared" si="39"/>
        <v>#N/A</v>
      </c>
      <c r="BA50" s="673"/>
    </row>
    <row r="51" spans="2:53">
      <c r="B51" s="671"/>
      <c r="C51" s="368">
        <v>5</v>
      </c>
      <c r="D51" s="220"/>
      <c r="E51" s="518"/>
      <c r="F51" s="516"/>
      <c r="G51" s="517"/>
      <c r="H51" s="711"/>
      <c r="I51" s="370" t="str">
        <f t="shared" si="36"/>
        <v>-</v>
      </c>
      <c r="J51" s="370" t="str">
        <f t="shared" si="37"/>
        <v>-</v>
      </c>
      <c r="K51" s="194" t="str">
        <f t="shared" si="38"/>
        <v>-</v>
      </c>
      <c r="L51" s="645"/>
      <c r="M51" s="390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57" t="e">
        <f t="shared" si="39"/>
        <v>#N/A</v>
      </c>
      <c r="BA51" s="673"/>
    </row>
    <row r="52" spans="2:53">
      <c r="B52" s="671"/>
      <c r="C52" s="368">
        <v>6</v>
      </c>
      <c r="D52" s="220"/>
      <c r="E52" s="518"/>
      <c r="F52" s="516"/>
      <c r="G52" s="517"/>
      <c r="H52" s="711"/>
      <c r="I52" s="370" t="str">
        <f t="shared" si="36"/>
        <v>-</v>
      </c>
      <c r="J52" s="370" t="str">
        <f t="shared" si="37"/>
        <v>-</v>
      </c>
      <c r="K52" s="194" t="str">
        <f t="shared" si="38"/>
        <v>-</v>
      </c>
      <c r="L52" s="645"/>
      <c r="M52" s="390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57" t="e">
        <f t="shared" si="39"/>
        <v>#N/A</v>
      </c>
      <c r="BA52" s="673"/>
    </row>
    <row r="53" spans="2:53">
      <c r="B53" s="671"/>
      <c r="C53" s="368">
        <v>7</v>
      </c>
      <c r="D53" s="220"/>
      <c r="E53" s="518"/>
      <c r="F53" s="516"/>
      <c r="G53" s="517"/>
      <c r="H53" s="711"/>
      <c r="I53" s="370" t="str">
        <f t="shared" si="36"/>
        <v>-</v>
      </c>
      <c r="J53" s="370" t="str">
        <f t="shared" si="37"/>
        <v>-</v>
      </c>
      <c r="K53" s="194" t="str">
        <f t="shared" si="38"/>
        <v>-</v>
      </c>
      <c r="L53" s="645"/>
      <c r="M53" s="390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57" t="e">
        <f t="shared" si="39"/>
        <v>#N/A</v>
      </c>
      <c r="BA53" s="673"/>
    </row>
    <row r="54" spans="2:53">
      <c r="B54" s="671"/>
      <c r="C54" s="368">
        <v>8</v>
      </c>
      <c r="D54" s="220"/>
      <c r="E54" s="518"/>
      <c r="F54" s="516"/>
      <c r="G54" s="517"/>
      <c r="H54" s="711"/>
      <c r="I54" s="370" t="str">
        <f t="shared" si="36"/>
        <v>-</v>
      </c>
      <c r="J54" s="370" t="str">
        <f t="shared" si="37"/>
        <v>-</v>
      </c>
      <c r="K54" s="194" t="str">
        <f t="shared" si="38"/>
        <v>-</v>
      </c>
      <c r="L54" s="645"/>
      <c r="M54" s="390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57" t="e">
        <f t="shared" si="39"/>
        <v>#N/A</v>
      </c>
      <c r="BA54" s="673"/>
    </row>
    <row r="55" spans="2:53">
      <c r="B55" s="671"/>
      <c r="C55" s="368">
        <v>9</v>
      </c>
      <c r="D55" s="220"/>
      <c r="E55" s="518"/>
      <c r="F55" s="516"/>
      <c r="G55" s="517"/>
      <c r="H55" s="711"/>
      <c r="I55" s="370" t="str">
        <f t="shared" si="36"/>
        <v>-</v>
      </c>
      <c r="J55" s="370" t="str">
        <f t="shared" si="37"/>
        <v>-</v>
      </c>
      <c r="K55" s="194" t="str">
        <f t="shared" si="38"/>
        <v>-</v>
      </c>
      <c r="L55" s="645"/>
      <c r="M55" s="390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57" t="e">
        <f t="shared" si="39"/>
        <v>#N/A</v>
      </c>
      <c r="BA55" s="673"/>
    </row>
    <row r="56" spans="2:53">
      <c r="B56" s="671"/>
      <c r="C56" s="368">
        <v>10</v>
      </c>
      <c r="D56" s="220"/>
      <c r="E56" s="518"/>
      <c r="F56" s="516"/>
      <c r="G56" s="517"/>
      <c r="H56" s="711"/>
      <c r="I56" s="370" t="str">
        <f t="shared" si="36"/>
        <v>-</v>
      </c>
      <c r="J56" s="370" t="str">
        <f t="shared" si="37"/>
        <v>-</v>
      </c>
      <c r="K56" s="194" t="str">
        <f t="shared" si="38"/>
        <v>-</v>
      </c>
      <c r="L56" s="645"/>
      <c r="M56" s="390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57" t="e">
        <f t="shared" si="39"/>
        <v>#N/A</v>
      </c>
      <c r="BA56" s="673"/>
    </row>
    <row r="57" spans="2:53">
      <c r="B57" s="671"/>
      <c r="C57" s="368">
        <v>11</v>
      </c>
      <c r="D57" s="220"/>
      <c r="E57" s="518"/>
      <c r="F57" s="516"/>
      <c r="G57" s="517"/>
      <c r="H57" s="711"/>
      <c r="I57" s="370" t="str">
        <f t="shared" si="36"/>
        <v>-</v>
      </c>
      <c r="J57" s="370" t="str">
        <f t="shared" si="37"/>
        <v>-</v>
      </c>
      <c r="K57" s="194" t="str">
        <f t="shared" si="38"/>
        <v>-</v>
      </c>
      <c r="L57" s="645"/>
      <c r="M57" s="390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57" t="e">
        <f t="shared" si="39"/>
        <v>#N/A</v>
      </c>
      <c r="BA57" s="673"/>
    </row>
    <row r="58" spans="2:53">
      <c r="B58" s="671"/>
      <c r="C58" s="368">
        <v>12</v>
      </c>
      <c r="D58" s="220"/>
      <c r="E58" s="518"/>
      <c r="F58" s="516"/>
      <c r="G58" s="517"/>
      <c r="H58" s="711"/>
      <c r="I58" s="370" t="str">
        <f t="shared" si="36"/>
        <v>-</v>
      </c>
      <c r="J58" s="370" t="str">
        <f t="shared" si="37"/>
        <v>-</v>
      </c>
      <c r="K58" s="194" t="str">
        <f t="shared" si="38"/>
        <v>-</v>
      </c>
      <c r="L58" s="645"/>
      <c r="M58" s="390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57" t="e">
        <f t="shared" si="39"/>
        <v>#N/A</v>
      </c>
      <c r="BA58" s="673"/>
    </row>
    <row r="59" spans="2:53">
      <c r="B59" s="671"/>
      <c r="C59" s="368">
        <v>13</v>
      </c>
      <c r="D59" s="220"/>
      <c r="E59" s="518"/>
      <c r="F59" s="516"/>
      <c r="G59" s="517"/>
      <c r="H59" s="711"/>
      <c r="I59" s="370" t="str">
        <f t="shared" si="36"/>
        <v>-</v>
      </c>
      <c r="J59" s="370" t="str">
        <f t="shared" si="37"/>
        <v>-</v>
      </c>
      <c r="K59" s="194" t="str">
        <f t="shared" si="38"/>
        <v>-</v>
      </c>
      <c r="L59" s="645"/>
      <c r="M59" s="390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57" t="e">
        <f t="shared" si="39"/>
        <v>#N/A</v>
      </c>
      <c r="BA59" s="673"/>
    </row>
    <row r="60" spans="2:53">
      <c r="B60" s="671"/>
      <c r="C60" s="368">
        <v>14</v>
      </c>
      <c r="D60" s="220"/>
      <c r="E60" s="518"/>
      <c r="F60" s="516"/>
      <c r="G60" s="517"/>
      <c r="H60" s="711"/>
      <c r="I60" s="370" t="str">
        <f t="shared" si="36"/>
        <v>-</v>
      </c>
      <c r="J60" s="370" t="str">
        <f t="shared" si="37"/>
        <v>-</v>
      </c>
      <c r="K60" s="194" t="str">
        <f t="shared" si="38"/>
        <v>-</v>
      </c>
      <c r="L60" s="645"/>
      <c r="M60" s="390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57" t="e">
        <f t="shared" si="39"/>
        <v>#N/A</v>
      </c>
      <c r="BA60" s="673"/>
    </row>
    <row r="61" spans="2:53">
      <c r="B61" s="671"/>
      <c r="C61" s="368">
        <v>15</v>
      </c>
      <c r="D61" s="220"/>
      <c r="E61" s="518"/>
      <c r="F61" s="516"/>
      <c r="G61" s="517"/>
      <c r="H61" s="712"/>
      <c r="I61" s="392" t="str">
        <f t="shared" ref="I61" si="41">IFERROR(AVERAGE(P61,U61,Z61,AE61,AJ61,AO61,AT61),"-")</f>
        <v>-</v>
      </c>
      <c r="J61" s="392" t="str">
        <f t="shared" ref="J61" si="42">IFERROR(AVERAGE(Q61,V61,AA61,AF61,AK61,AP61,AU61),"-")</f>
        <v>-</v>
      </c>
      <c r="K61" s="194" t="str">
        <f t="shared" ref="K61" si="43">IFERROR(AVERAGE(R61,W61,AB61,AG61,AL61,AQ61,AV61),"-")</f>
        <v>-</v>
      </c>
      <c r="L61" s="646"/>
      <c r="M61" s="390" t="e">
        <f>RANK(K61, K$47:$K$61)</f>
        <v>#VALUE!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57" t="e">
        <f t="shared" si="39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372</v>
      </c>
      <c r="D64" s="663"/>
      <c r="E64" s="663" t="s">
        <v>363</v>
      </c>
      <c r="F64" s="663"/>
      <c r="G64" s="663"/>
      <c r="H64" s="679" t="s">
        <v>359</v>
      </c>
      <c r="I64" s="647" t="s">
        <v>364</v>
      </c>
      <c r="J64" s="647"/>
      <c r="K64" s="647"/>
      <c r="L64" s="648" t="s">
        <v>359</v>
      </c>
      <c r="M64" s="654" t="s">
        <v>360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366</v>
      </c>
      <c r="F65" s="663"/>
      <c r="G65" s="663"/>
      <c r="H65" s="680"/>
      <c r="I65" s="647" t="s">
        <v>366</v>
      </c>
      <c r="J65" s="647"/>
      <c r="K65" s="647"/>
      <c r="L65" s="649"/>
      <c r="M65" s="65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368</v>
      </c>
      <c r="F66" s="367" t="s">
        <v>369</v>
      </c>
      <c r="G66" s="367" t="s">
        <v>370</v>
      </c>
      <c r="H66" s="681"/>
      <c r="I66" s="366" t="s">
        <v>368</v>
      </c>
      <c r="J66" s="366" t="s">
        <v>369</v>
      </c>
      <c r="K66" s="366" t="s">
        <v>370</v>
      </c>
      <c r="L66" s="650"/>
      <c r="M66" s="65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380</v>
      </c>
      <c r="C67" s="368">
        <v>1</v>
      </c>
      <c r="D67" s="220"/>
      <c r="E67" s="518"/>
      <c r="F67" s="516"/>
      <c r="G67" s="517"/>
      <c r="H67" s="710" t="e">
        <f>AVERAGE(G67:G81)</f>
        <v>#DIV/0!</v>
      </c>
      <c r="I67" s="370" t="str">
        <f t="shared" ref="I67:I79" si="44">IFERROR(AVERAGE(P67,U67,Z67,AE67,AJ67,AO67,AT67),"-")</f>
        <v>-</v>
      </c>
      <c r="J67" s="370" t="str">
        <f t="shared" ref="J67:J79" si="45">IFERROR(AVERAGE(Q67,V67,AA67,AF67,AK67,AP67,AU67),"-")</f>
        <v>-</v>
      </c>
      <c r="K67" s="194" t="str">
        <f t="shared" ref="K67:K79" si="46">IFERROR(AVERAGE(R67,W67,AB67,AG67,AL67,AQ67,AV67),"-")</f>
        <v>-</v>
      </c>
      <c r="L67" s="644" t="str">
        <f>IFERROR(AVERAGE(K67:K81),"-")</f>
        <v>-</v>
      </c>
      <c r="M67" s="372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47">RANK(AY67, AY$67:AY$81)</f>
        <v>#N/A</v>
      </c>
      <c r="BA67" s="672" t="e">
        <f t="shared" ref="BA67" si="48">AVERAGE(AY67:AY81)</f>
        <v>#DIV/0!</v>
      </c>
    </row>
    <row r="68" spans="2:53">
      <c r="B68" s="671"/>
      <c r="C68" s="368">
        <v>2</v>
      </c>
      <c r="D68" s="220"/>
      <c r="E68" s="518"/>
      <c r="F68" s="516"/>
      <c r="G68" s="517"/>
      <c r="H68" s="711"/>
      <c r="I68" s="370" t="str">
        <f t="shared" si="44"/>
        <v>-</v>
      </c>
      <c r="J68" s="370" t="str">
        <f t="shared" si="45"/>
        <v>-</v>
      </c>
      <c r="K68" s="194" t="str">
        <f t="shared" si="46"/>
        <v>-</v>
      </c>
      <c r="L68" s="645"/>
      <c r="M68" s="393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47"/>
        <v>#N/A</v>
      </c>
      <c r="BA68" s="673"/>
    </row>
    <row r="69" spans="2:53">
      <c r="B69" s="671"/>
      <c r="C69" s="368">
        <v>3</v>
      </c>
      <c r="D69" s="220"/>
      <c r="E69" s="518"/>
      <c r="F69" s="516"/>
      <c r="G69" s="517"/>
      <c r="H69" s="711"/>
      <c r="I69" s="370" t="str">
        <f t="shared" si="44"/>
        <v>-</v>
      </c>
      <c r="J69" s="370" t="str">
        <f t="shared" si="45"/>
        <v>-</v>
      </c>
      <c r="K69" s="194" t="str">
        <f t="shared" si="46"/>
        <v>-</v>
      </c>
      <c r="L69" s="645"/>
      <c r="M69" s="393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47"/>
        <v>#N/A</v>
      </c>
      <c r="BA69" s="673"/>
    </row>
    <row r="70" spans="2:53">
      <c r="B70" s="671"/>
      <c r="C70" s="368">
        <v>4</v>
      </c>
      <c r="D70" s="220"/>
      <c r="E70" s="518"/>
      <c r="F70" s="516"/>
      <c r="G70" s="517"/>
      <c r="H70" s="711"/>
      <c r="I70" s="370" t="str">
        <f t="shared" si="44"/>
        <v>-</v>
      </c>
      <c r="J70" s="370" t="str">
        <f t="shared" si="45"/>
        <v>-</v>
      </c>
      <c r="K70" s="194" t="str">
        <f t="shared" si="46"/>
        <v>-</v>
      </c>
      <c r="L70" s="645"/>
      <c r="M70" s="393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47"/>
        <v>#N/A</v>
      </c>
      <c r="BA70" s="673"/>
    </row>
    <row r="71" spans="2:53">
      <c r="B71" s="671"/>
      <c r="C71" s="368">
        <v>5</v>
      </c>
      <c r="D71" s="220"/>
      <c r="E71" s="518"/>
      <c r="F71" s="516"/>
      <c r="G71" s="517"/>
      <c r="H71" s="711"/>
      <c r="I71" s="370" t="str">
        <f t="shared" si="44"/>
        <v>-</v>
      </c>
      <c r="J71" s="370" t="str">
        <f t="shared" si="45"/>
        <v>-</v>
      </c>
      <c r="K71" s="194" t="str">
        <f t="shared" si="46"/>
        <v>-</v>
      </c>
      <c r="L71" s="645"/>
      <c r="M71" s="393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47"/>
        <v>#N/A</v>
      </c>
      <c r="BA71" s="673"/>
    </row>
    <row r="72" spans="2:53">
      <c r="B72" s="671"/>
      <c r="C72" s="368">
        <v>6</v>
      </c>
      <c r="D72" s="220"/>
      <c r="E72" s="518"/>
      <c r="F72" s="516"/>
      <c r="G72" s="517"/>
      <c r="H72" s="711"/>
      <c r="I72" s="370" t="str">
        <f t="shared" si="44"/>
        <v>-</v>
      </c>
      <c r="J72" s="370" t="str">
        <f t="shared" si="45"/>
        <v>-</v>
      </c>
      <c r="K72" s="194" t="str">
        <f t="shared" si="46"/>
        <v>-</v>
      </c>
      <c r="L72" s="645"/>
      <c r="M72" s="393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47"/>
        <v>#N/A</v>
      </c>
      <c r="BA72" s="673"/>
    </row>
    <row r="73" spans="2:53">
      <c r="B73" s="671"/>
      <c r="C73" s="368">
        <v>7</v>
      </c>
      <c r="D73" s="220"/>
      <c r="E73" s="518"/>
      <c r="F73" s="516"/>
      <c r="G73" s="517"/>
      <c r="H73" s="711"/>
      <c r="I73" s="370" t="str">
        <f t="shared" si="44"/>
        <v>-</v>
      </c>
      <c r="J73" s="370" t="str">
        <f t="shared" si="45"/>
        <v>-</v>
      </c>
      <c r="K73" s="194" t="str">
        <f t="shared" si="46"/>
        <v>-</v>
      </c>
      <c r="L73" s="645"/>
      <c r="M73" s="393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47"/>
        <v>#N/A</v>
      </c>
      <c r="BA73" s="673"/>
    </row>
    <row r="74" spans="2:53">
      <c r="B74" s="671"/>
      <c r="C74" s="368">
        <v>8</v>
      </c>
      <c r="D74" s="220"/>
      <c r="E74" s="518"/>
      <c r="F74" s="516"/>
      <c r="G74" s="517"/>
      <c r="H74" s="711"/>
      <c r="I74" s="370" t="str">
        <f t="shared" si="44"/>
        <v>-</v>
      </c>
      <c r="J74" s="370" t="str">
        <f t="shared" si="45"/>
        <v>-</v>
      </c>
      <c r="K74" s="194" t="str">
        <f t="shared" si="46"/>
        <v>-</v>
      </c>
      <c r="L74" s="645"/>
      <c r="M74" s="393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47"/>
        <v>#N/A</v>
      </c>
      <c r="BA74" s="673"/>
    </row>
    <row r="75" spans="2:53">
      <c r="B75" s="671"/>
      <c r="C75" s="368">
        <v>9</v>
      </c>
      <c r="D75" s="220"/>
      <c r="E75" s="518"/>
      <c r="F75" s="516"/>
      <c r="G75" s="517"/>
      <c r="H75" s="711"/>
      <c r="I75" s="370" t="str">
        <f t="shared" si="44"/>
        <v>-</v>
      </c>
      <c r="J75" s="370" t="str">
        <f t="shared" si="45"/>
        <v>-</v>
      </c>
      <c r="K75" s="194" t="str">
        <f t="shared" si="46"/>
        <v>-</v>
      </c>
      <c r="L75" s="645"/>
      <c r="M75" s="393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47"/>
        <v>#N/A</v>
      </c>
      <c r="BA75" s="673"/>
    </row>
    <row r="76" spans="2:53">
      <c r="B76" s="671"/>
      <c r="C76" s="368">
        <v>10</v>
      </c>
      <c r="D76" s="220"/>
      <c r="E76" s="518"/>
      <c r="F76" s="516"/>
      <c r="G76" s="517"/>
      <c r="H76" s="711"/>
      <c r="I76" s="370" t="str">
        <f t="shared" si="44"/>
        <v>-</v>
      </c>
      <c r="J76" s="370" t="str">
        <f t="shared" si="45"/>
        <v>-</v>
      </c>
      <c r="K76" s="194" t="str">
        <f t="shared" si="46"/>
        <v>-</v>
      </c>
      <c r="L76" s="645"/>
      <c r="M76" s="393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47"/>
        <v>#N/A</v>
      </c>
      <c r="BA76" s="673"/>
    </row>
    <row r="77" spans="2:53">
      <c r="B77" s="671"/>
      <c r="C77" s="368">
        <v>11</v>
      </c>
      <c r="D77" s="220"/>
      <c r="E77" s="518"/>
      <c r="F77" s="516"/>
      <c r="G77" s="517"/>
      <c r="H77" s="711"/>
      <c r="I77" s="370" t="str">
        <f t="shared" si="44"/>
        <v>-</v>
      </c>
      <c r="J77" s="370" t="str">
        <f t="shared" si="45"/>
        <v>-</v>
      </c>
      <c r="K77" s="194" t="str">
        <f t="shared" si="46"/>
        <v>-</v>
      </c>
      <c r="L77" s="645"/>
      <c r="M77" s="393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47"/>
        <v>#N/A</v>
      </c>
      <c r="BA77" s="673"/>
    </row>
    <row r="78" spans="2:53">
      <c r="B78" s="671"/>
      <c r="C78" s="368">
        <v>12</v>
      </c>
      <c r="D78" s="220"/>
      <c r="E78" s="518"/>
      <c r="F78" s="516"/>
      <c r="G78" s="517"/>
      <c r="H78" s="711"/>
      <c r="I78" s="370" t="str">
        <f t="shared" si="44"/>
        <v>-</v>
      </c>
      <c r="J78" s="370" t="str">
        <f t="shared" si="45"/>
        <v>-</v>
      </c>
      <c r="K78" s="194" t="str">
        <f t="shared" si="46"/>
        <v>-</v>
      </c>
      <c r="L78" s="645"/>
      <c r="M78" s="393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47"/>
        <v>#N/A</v>
      </c>
      <c r="BA78" s="673"/>
    </row>
    <row r="79" spans="2:53">
      <c r="B79" s="671"/>
      <c r="C79" s="368">
        <v>13</v>
      </c>
      <c r="D79" s="220"/>
      <c r="E79" s="518"/>
      <c r="F79" s="516"/>
      <c r="G79" s="517"/>
      <c r="H79" s="711"/>
      <c r="I79" s="370" t="str">
        <f t="shared" si="44"/>
        <v>-</v>
      </c>
      <c r="J79" s="370" t="str">
        <f t="shared" si="45"/>
        <v>-</v>
      </c>
      <c r="K79" s="194" t="str">
        <f t="shared" si="46"/>
        <v>-</v>
      </c>
      <c r="L79" s="645"/>
      <c r="M79" s="393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47"/>
        <v>#N/A</v>
      </c>
      <c r="BA79" s="673"/>
    </row>
    <row r="80" spans="2:53">
      <c r="B80" s="671"/>
      <c r="C80" s="368">
        <v>14</v>
      </c>
      <c r="D80" s="220"/>
      <c r="E80" s="518"/>
      <c r="F80" s="516"/>
      <c r="G80" s="517"/>
      <c r="H80" s="711"/>
      <c r="I80" s="392" t="str">
        <f t="shared" ref="I80:I81" si="49">IFERROR(AVERAGE(P80,U80,Z80,AE80,AJ80,AO80,AT80),"-")</f>
        <v>-</v>
      </c>
      <c r="J80" s="392" t="str">
        <f t="shared" ref="J80:J81" si="50">IFERROR(AVERAGE(Q80,V80,AA80,AF80,AK80,AP80,AU80),"-")</f>
        <v>-</v>
      </c>
      <c r="K80" s="194" t="str">
        <f t="shared" ref="K80:K81" si="51">IFERROR(AVERAGE(R80,W80,AB80,AG80,AL80,AQ80,AV80),"-")</f>
        <v>-</v>
      </c>
      <c r="L80" s="645"/>
      <c r="M80" s="393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47"/>
        <v>#N/A</v>
      </c>
      <c r="BA80" s="673"/>
    </row>
    <row r="81" spans="2:53">
      <c r="B81" s="671"/>
      <c r="C81" s="368">
        <v>15</v>
      </c>
      <c r="D81" s="220"/>
      <c r="E81" s="518"/>
      <c r="F81" s="516"/>
      <c r="G81" s="517"/>
      <c r="H81" s="712"/>
      <c r="I81" s="392" t="str">
        <f t="shared" si="49"/>
        <v>-</v>
      </c>
      <c r="J81" s="392" t="str">
        <f t="shared" si="50"/>
        <v>-</v>
      </c>
      <c r="K81" s="194" t="str">
        <f t="shared" si="51"/>
        <v>-</v>
      </c>
      <c r="L81" s="646"/>
      <c r="M81" s="393" t="e">
        <f>RANK(K81, K$67:$K$81)</f>
        <v>#VALUE!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47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372</v>
      </c>
      <c r="D84" s="663"/>
      <c r="E84" s="663" t="s">
        <v>363</v>
      </c>
      <c r="F84" s="663"/>
      <c r="G84" s="663"/>
      <c r="H84" s="679" t="s">
        <v>359</v>
      </c>
      <c r="I84" s="647" t="s">
        <v>364</v>
      </c>
      <c r="J84" s="647"/>
      <c r="K84" s="647"/>
      <c r="L84" s="648" t="s">
        <v>359</v>
      </c>
      <c r="M84" s="654" t="s">
        <v>360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366</v>
      </c>
      <c r="F85" s="663"/>
      <c r="G85" s="663"/>
      <c r="H85" s="680"/>
      <c r="I85" s="647" t="s">
        <v>366</v>
      </c>
      <c r="J85" s="647"/>
      <c r="K85" s="647"/>
      <c r="L85" s="649"/>
      <c r="M85" s="65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368</v>
      </c>
      <c r="F86" s="367" t="s">
        <v>369</v>
      </c>
      <c r="G86" s="367" t="s">
        <v>370</v>
      </c>
      <c r="H86" s="681"/>
      <c r="I86" s="366" t="s">
        <v>368</v>
      </c>
      <c r="J86" s="366" t="s">
        <v>369</v>
      </c>
      <c r="K86" s="366" t="s">
        <v>370</v>
      </c>
      <c r="L86" s="650"/>
      <c r="M86" s="65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398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52">IFERROR(AVERAGE(P87,U87,Z87,AE87,AJ87,AO87,AT87),"-")</f>
        <v>-</v>
      </c>
      <c r="J87" s="370" t="str">
        <f t="shared" ref="J87:J100" si="53">IFERROR(AVERAGE(Q87,V87,AA87,AF87,AK87,AP87,AU87),"-")</f>
        <v>-</v>
      </c>
      <c r="K87" s="194" t="str">
        <f t="shared" ref="K87:K100" si="54">IFERROR(AVERAGE(R87,W87,AB87,AG87,AL87,AQ87,AV87),"-")</f>
        <v>-</v>
      </c>
      <c r="L87" s="644" t="str">
        <f>IFERROR(AVERAGE(K87:K101),"-")</f>
        <v>-</v>
      </c>
      <c r="M87" s="372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55">RANK(AY87, AY$87:AY$101)</f>
        <v>#N/A</v>
      </c>
      <c r="BA87" s="685" t="e">
        <f t="shared" ref="BA87" si="56">AVERAGE(AY87:AY101)</f>
        <v>#DIV/0!</v>
      </c>
    </row>
    <row r="88" spans="2:53">
      <c r="B88" s="671"/>
      <c r="C88" s="368">
        <v>2</v>
      </c>
      <c r="D88" s="220"/>
      <c r="E88" s="483"/>
      <c r="F88" s="480"/>
      <c r="G88" s="479"/>
      <c r="H88" s="711"/>
      <c r="I88" s="370" t="str">
        <f t="shared" si="52"/>
        <v>-</v>
      </c>
      <c r="J88" s="370" t="str">
        <f t="shared" si="53"/>
        <v>-</v>
      </c>
      <c r="K88" s="194" t="str">
        <f t="shared" si="54"/>
        <v>-</v>
      </c>
      <c r="L88" s="645"/>
      <c r="M88" s="438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55"/>
        <v>#N/A</v>
      </c>
      <c r="BA88" s="685"/>
    </row>
    <row r="89" spans="2:53">
      <c r="B89" s="671"/>
      <c r="C89" s="368">
        <v>3</v>
      </c>
      <c r="D89" s="220"/>
      <c r="E89" s="483"/>
      <c r="F89" s="480"/>
      <c r="G89" s="479"/>
      <c r="H89" s="711"/>
      <c r="I89" s="370" t="str">
        <f t="shared" si="52"/>
        <v>-</v>
      </c>
      <c r="J89" s="370" t="str">
        <f t="shared" si="53"/>
        <v>-</v>
      </c>
      <c r="K89" s="194" t="str">
        <f t="shared" si="54"/>
        <v>-</v>
      </c>
      <c r="L89" s="645"/>
      <c r="M89" s="438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55"/>
        <v>#N/A</v>
      </c>
      <c r="BA89" s="685"/>
    </row>
    <row r="90" spans="2:53">
      <c r="B90" s="671"/>
      <c r="C90" s="368">
        <v>4</v>
      </c>
      <c r="D90" s="220"/>
      <c r="E90" s="483"/>
      <c r="F90" s="480"/>
      <c r="G90" s="479"/>
      <c r="H90" s="711"/>
      <c r="I90" s="370" t="str">
        <f t="shared" si="52"/>
        <v>-</v>
      </c>
      <c r="J90" s="370" t="str">
        <f t="shared" si="53"/>
        <v>-</v>
      </c>
      <c r="K90" s="194" t="str">
        <f t="shared" si="54"/>
        <v>-</v>
      </c>
      <c r="L90" s="645"/>
      <c r="M90" s="438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55"/>
        <v>#N/A</v>
      </c>
      <c r="BA90" s="685"/>
    </row>
    <row r="91" spans="2:53">
      <c r="B91" s="671"/>
      <c r="C91" s="368">
        <v>5</v>
      </c>
      <c r="D91" s="220"/>
      <c r="E91" s="483"/>
      <c r="F91" s="480"/>
      <c r="G91" s="479"/>
      <c r="H91" s="711"/>
      <c r="I91" s="370" t="str">
        <f t="shared" si="52"/>
        <v>-</v>
      </c>
      <c r="J91" s="370" t="str">
        <f t="shared" si="53"/>
        <v>-</v>
      </c>
      <c r="K91" s="194" t="str">
        <f t="shared" si="54"/>
        <v>-</v>
      </c>
      <c r="L91" s="645"/>
      <c r="M91" s="438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55"/>
        <v>#N/A</v>
      </c>
      <c r="BA91" s="685"/>
    </row>
    <row r="92" spans="2:53">
      <c r="B92" s="671"/>
      <c r="C92" s="368">
        <v>6</v>
      </c>
      <c r="D92" s="220"/>
      <c r="E92" s="483"/>
      <c r="F92" s="480"/>
      <c r="G92" s="479"/>
      <c r="H92" s="711"/>
      <c r="I92" s="370" t="str">
        <f t="shared" si="52"/>
        <v>-</v>
      </c>
      <c r="J92" s="370" t="str">
        <f t="shared" si="53"/>
        <v>-</v>
      </c>
      <c r="K92" s="194" t="str">
        <f t="shared" si="54"/>
        <v>-</v>
      </c>
      <c r="L92" s="645"/>
      <c r="M92" s="438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55"/>
        <v>#N/A</v>
      </c>
      <c r="BA92" s="685"/>
    </row>
    <row r="93" spans="2:53">
      <c r="B93" s="671"/>
      <c r="C93" s="368">
        <v>7</v>
      </c>
      <c r="D93" s="220"/>
      <c r="E93" s="483"/>
      <c r="F93" s="480"/>
      <c r="G93" s="479"/>
      <c r="H93" s="711"/>
      <c r="I93" s="370" t="str">
        <f t="shared" si="52"/>
        <v>-</v>
      </c>
      <c r="J93" s="370" t="str">
        <f t="shared" si="53"/>
        <v>-</v>
      </c>
      <c r="K93" s="194" t="str">
        <f t="shared" si="54"/>
        <v>-</v>
      </c>
      <c r="L93" s="645"/>
      <c r="M93" s="438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55"/>
        <v>#N/A</v>
      </c>
      <c r="BA93" s="685"/>
    </row>
    <row r="94" spans="2:53">
      <c r="B94" s="671"/>
      <c r="C94" s="368">
        <v>8</v>
      </c>
      <c r="D94" s="220"/>
      <c r="E94" s="483"/>
      <c r="F94" s="480"/>
      <c r="G94" s="479"/>
      <c r="H94" s="711"/>
      <c r="I94" s="370" t="str">
        <f t="shared" si="52"/>
        <v>-</v>
      </c>
      <c r="J94" s="370" t="str">
        <f t="shared" si="53"/>
        <v>-</v>
      </c>
      <c r="K94" s="194" t="str">
        <f t="shared" si="54"/>
        <v>-</v>
      </c>
      <c r="L94" s="645"/>
      <c r="M94" s="438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55"/>
        <v>#N/A</v>
      </c>
      <c r="BA94" s="685"/>
    </row>
    <row r="95" spans="2:53">
      <c r="B95" s="671"/>
      <c r="C95" s="368">
        <v>9</v>
      </c>
      <c r="D95" s="220"/>
      <c r="E95" s="483"/>
      <c r="F95" s="480"/>
      <c r="G95" s="479"/>
      <c r="H95" s="711"/>
      <c r="I95" s="370" t="str">
        <f t="shared" si="52"/>
        <v>-</v>
      </c>
      <c r="J95" s="370" t="str">
        <f t="shared" si="53"/>
        <v>-</v>
      </c>
      <c r="K95" s="194" t="str">
        <f t="shared" si="54"/>
        <v>-</v>
      </c>
      <c r="L95" s="645"/>
      <c r="M95" s="438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55"/>
        <v>#N/A</v>
      </c>
      <c r="BA95" s="685"/>
    </row>
    <row r="96" spans="2:53">
      <c r="B96" s="671"/>
      <c r="C96" s="368">
        <v>10</v>
      </c>
      <c r="D96" s="220"/>
      <c r="E96" s="483"/>
      <c r="F96" s="480"/>
      <c r="G96" s="479"/>
      <c r="H96" s="711"/>
      <c r="I96" s="370" t="str">
        <f t="shared" si="52"/>
        <v>-</v>
      </c>
      <c r="J96" s="370" t="str">
        <f t="shared" si="53"/>
        <v>-</v>
      </c>
      <c r="K96" s="194" t="str">
        <f t="shared" si="54"/>
        <v>-</v>
      </c>
      <c r="L96" s="645"/>
      <c r="M96" s="438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55"/>
        <v>#N/A</v>
      </c>
      <c r="BA96" s="685"/>
    </row>
    <row r="97" spans="2:53">
      <c r="B97" s="671"/>
      <c r="C97" s="368">
        <v>11</v>
      </c>
      <c r="D97" s="220"/>
      <c r="E97" s="483"/>
      <c r="F97" s="480"/>
      <c r="G97" s="479"/>
      <c r="H97" s="711"/>
      <c r="I97" s="370" t="str">
        <f t="shared" si="52"/>
        <v>-</v>
      </c>
      <c r="J97" s="370" t="str">
        <f t="shared" si="53"/>
        <v>-</v>
      </c>
      <c r="K97" s="194" t="str">
        <f t="shared" si="54"/>
        <v>-</v>
      </c>
      <c r="L97" s="645"/>
      <c r="M97" s="438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55"/>
        <v>#N/A</v>
      </c>
      <c r="BA97" s="685"/>
    </row>
    <row r="98" spans="2:53">
      <c r="B98" s="671"/>
      <c r="C98" s="368">
        <v>12</v>
      </c>
      <c r="D98" s="220"/>
      <c r="E98" s="483"/>
      <c r="F98" s="480"/>
      <c r="G98" s="479"/>
      <c r="H98" s="711"/>
      <c r="I98" s="370" t="str">
        <f t="shared" si="52"/>
        <v>-</v>
      </c>
      <c r="J98" s="370" t="str">
        <f t="shared" si="53"/>
        <v>-</v>
      </c>
      <c r="K98" s="194" t="str">
        <f t="shared" si="54"/>
        <v>-</v>
      </c>
      <c r="L98" s="645"/>
      <c r="M98" s="438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55"/>
        <v>#N/A</v>
      </c>
      <c r="BA98" s="685"/>
    </row>
    <row r="99" spans="2:53">
      <c r="B99" s="671"/>
      <c r="C99" s="368">
        <v>13</v>
      </c>
      <c r="D99" s="220"/>
      <c r="E99" s="483"/>
      <c r="F99" s="480"/>
      <c r="G99" s="479"/>
      <c r="H99" s="711"/>
      <c r="I99" s="370" t="str">
        <f t="shared" si="52"/>
        <v>-</v>
      </c>
      <c r="J99" s="370" t="str">
        <f t="shared" si="53"/>
        <v>-</v>
      </c>
      <c r="K99" s="194" t="str">
        <f t="shared" si="54"/>
        <v>-</v>
      </c>
      <c r="L99" s="645"/>
      <c r="M99" s="438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55"/>
        <v>#N/A</v>
      </c>
      <c r="BA99" s="685"/>
    </row>
    <row r="100" spans="2:53">
      <c r="B100" s="671"/>
      <c r="C100" s="368">
        <v>14</v>
      </c>
      <c r="D100" s="220"/>
      <c r="E100" s="483"/>
      <c r="F100" s="480"/>
      <c r="G100" s="479"/>
      <c r="H100" s="711"/>
      <c r="I100" s="370" t="str">
        <f t="shared" si="52"/>
        <v>-</v>
      </c>
      <c r="J100" s="370" t="str">
        <f t="shared" si="53"/>
        <v>-</v>
      </c>
      <c r="K100" s="194" t="str">
        <f t="shared" si="54"/>
        <v>-</v>
      </c>
      <c r="L100" s="645"/>
      <c r="M100" s="438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55"/>
        <v>#N/A</v>
      </c>
      <c r="BA100" s="685"/>
    </row>
    <row r="101" spans="2:53">
      <c r="B101" s="671"/>
      <c r="C101" s="368">
        <v>15</v>
      </c>
      <c r="D101" s="220"/>
      <c r="E101" s="483"/>
      <c r="F101" s="480"/>
      <c r="G101" s="479"/>
      <c r="H101" s="712"/>
      <c r="I101" s="392" t="str">
        <f t="shared" ref="I101" si="57">IFERROR(AVERAGE(P101,U101,Z101,AE101,AJ101,AO101,AT101),"-")</f>
        <v>-</v>
      </c>
      <c r="J101" s="392" t="str">
        <f t="shared" ref="J101" si="58">IFERROR(AVERAGE(Q101,V101,AA101,AF101,AK101,AP101,AU101),"-")</f>
        <v>-</v>
      </c>
      <c r="K101" s="194" t="str">
        <f t="shared" ref="K101" si="59">IFERROR(AVERAGE(R101,W101,AB101,AG101,AL101,AQ101,AV101),"-")</f>
        <v>-</v>
      </c>
      <c r="L101" s="646"/>
      <c r="M101" s="438" t="e">
        <f>RANK(K101, K$87:$K$101)</f>
        <v>#VALUE!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55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154</v>
      </c>
      <c r="C104" s="663" t="s">
        <v>372</v>
      </c>
      <c r="D104" s="663"/>
      <c r="E104" s="663" t="s">
        <v>363</v>
      </c>
      <c r="F104" s="663"/>
      <c r="G104" s="663"/>
      <c r="H104" s="679" t="s">
        <v>359</v>
      </c>
      <c r="I104" s="647" t="s">
        <v>364</v>
      </c>
      <c r="J104" s="647"/>
      <c r="K104" s="647"/>
      <c r="L104" s="648" t="s">
        <v>359</v>
      </c>
      <c r="M104" s="654" t="s">
        <v>360</v>
      </c>
      <c r="N104" s="663"/>
      <c r="O104" s="663" t="s">
        <v>365</v>
      </c>
      <c r="P104" s="660" t="s">
        <v>361</v>
      </c>
      <c r="Q104" s="661"/>
      <c r="R104" s="661"/>
      <c r="S104" s="662"/>
      <c r="T104" s="663" t="s">
        <v>359</v>
      </c>
      <c r="U104" s="660" t="s">
        <v>361</v>
      </c>
      <c r="V104" s="661"/>
      <c r="W104" s="661"/>
      <c r="X104" s="662"/>
      <c r="Y104" s="663" t="s">
        <v>359</v>
      </c>
      <c r="Z104" s="660" t="s">
        <v>361</v>
      </c>
      <c r="AA104" s="661"/>
      <c r="AB104" s="661"/>
      <c r="AC104" s="662"/>
      <c r="AD104" s="663" t="s">
        <v>359</v>
      </c>
      <c r="AE104" s="660" t="s">
        <v>361</v>
      </c>
      <c r="AF104" s="661"/>
      <c r="AG104" s="661"/>
      <c r="AH104" s="662"/>
      <c r="AI104" s="663" t="s">
        <v>359</v>
      </c>
      <c r="AJ104" s="660" t="s">
        <v>361</v>
      </c>
      <c r="AK104" s="661"/>
      <c r="AL104" s="661"/>
      <c r="AM104" s="662"/>
      <c r="AN104" s="663" t="s">
        <v>359</v>
      </c>
      <c r="AO104" s="660" t="s">
        <v>361</v>
      </c>
      <c r="AP104" s="661"/>
      <c r="AQ104" s="661"/>
      <c r="AR104" s="662"/>
      <c r="AS104" s="663" t="s">
        <v>359</v>
      </c>
      <c r="AT104" s="660" t="s">
        <v>361</v>
      </c>
      <c r="AU104" s="661"/>
      <c r="AV104" s="661"/>
      <c r="AW104" s="662"/>
      <c r="AX104" s="663" t="s">
        <v>359</v>
      </c>
      <c r="BA104" s="663" t="s">
        <v>359</v>
      </c>
    </row>
    <row r="105" spans="2:53">
      <c r="B105" s="663"/>
      <c r="C105" s="663"/>
      <c r="D105" s="663"/>
      <c r="E105" s="663" t="s">
        <v>366</v>
      </c>
      <c r="F105" s="663"/>
      <c r="G105" s="663"/>
      <c r="H105" s="680"/>
      <c r="I105" s="647" t="s">
        <v>366</v>
      </c>
      <c r="J105" s="647"/>
      <c r="K105" s="647"/>
      <c r="L105" s="649"/>
      <c r="M105" s="655"/>
      <c r="N105" s="663"/>
      <c r="O105" s="663"/>
      <c r="P105" s="660" t="s">
        <v>367</v>
      </c>
      <c r="Q105" s="661"/>
      <c r="R105" s="661"/>
      <c r="S105" s="662"/>
      <c r="T105" s="663"/>
      <c r="U105" s="660" t="s">
        <v>367</v>
      </c>
      <c r="V105" s="661"/>
      <c r="W105" s="661"/>
      <c r="X105" s="662"/>
      <c r="Y105" s="663"/>
      <c r="Z105" s="660" t="s">
        <v>367</v>
      </c>
      <c r="AA105" s="661"/>
      <c r="AB105" s="661"/>
      <c r="AC105" s="662"/>
      <c r="AD105" s="663"/>
      <c r="AE105" s="660" t="s">
        <v>367</v>
      </c>
      <c r="AF105" s="661"/>
      <c r="AG105" s="661"/>
      <c r="AH105" s="662"/>
      <c r="AI105" s="663"/>
      <c r="AJ105" s="660" t="s">
        <v>367</v>
      </c>
      <c r="AK105" s="661"/>
      <c r="AL105" s="661"/>
      <c r="AM105" s="662"/>
      <c r="AN105" s="663"/>
      <c r="AO105" s="660" t="s">
        <v>367</v>
      </c>
      <c r="AP105" s="661"/>
      <c r="AQ105" s="661"/>
      <c r="AR105" s="662"/>
      <c r="AS105" s="663"/>
      <c r="AT105" s="660" t="s">
        <v>367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296" t="s">
        <v>368</v>
      </c>
      <c r="F106" s="296" t="s">
        <v>369</v>
      </c>
      <c r="G106" s="296" t="s">
        <v>370</v>
      </c>
      <c r="H106" s="681"/>
      <c r="I106" s="297" t="s">
        <v>368</v>
      </c>
      <c r="J106" s="297" t="s">
        <v>369</v>
      </c>
      <c r="K106" s="297" t="s">
        <v>370</v>
      </c>
      <c r="L106" s="650"/>
      <c r="M106" s="656"/>
      <c r="N106" s="663"/>
      <c r="O106" s="663"/>
      <c r="P106" s="296" t="s">
        <v>368</v>
      </c>
      <c r="Q106" s="296" t="s">
        <v>369</v>
      </c>
      <c r="R106" s="296" t="s">
        <v>370</v>
      </c>
      <c r="S106" s="296" t="s">
        <v>360</v>
      </c>
      <c r="T106" s="663"/>
      <c r="U106" s="296" t="s">
        <v>368</v>
      </c>
      <c r="V106" s="296" t="s">
        <v>369</v>
      </c>
      <c r="W106" s="296" t="s">
        <v>370</v>
      </c>
      <c r="X106" s="296" t="s">
        <v>360</v>
      </c>
      <c r="Y106" s="663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63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63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63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63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63"/>
      <c r="AZ106" s="356" t="s">
        <v>360</v>
      </c>
      <c r="BA106" s="663"/>
    </row>
    <row r="107" spans="2:53">
      <c r="B107" s="663" t="s">
        <v>132</v>
      </c>
      <c r="C107" s="295">
        <v>1</v>
      </c>
      <c r="D107" s="220"/>
      <c r="E107" s="176"/>
      <c r="F107" s="342"/>
      <c r="G107" s="343"/>
      <c r="H107" s="710" t="e">
        <f>AVERAGE(G107:G121)</f>
        <v>#DIV/0!</v>
      </c>
      <c r="I107" s="352" t="str">
        <f t="shared" ref="I107:I120" si="60">IFERROR(AVERAGE(P107,U107,Z107,AE107,AJ107,AO107,AT107),"-")</f>
        <v>-</v>
      </c>
      <c r="J107" s="352" t="str">
        <f t="shared" ref="J107:J120" si="61">IFERROR(AVERAGE(Q107,V107,AA107,AF107,AK107,AP107,AU107),"-")</f>
        <v>-</v>
      </c>
      <c r="K107" s="194" t="str">
        <f t="shared" ref="K107:K120" si="62">IFERROR(AVERAGE(R107,W107,AB107,AG107,AL107,AQ107,AV107),"-")</f>
        <v>-</v>
      </c>
      <c r="L107" s="644" t="str">
        <f>IFERROR(AVERAGE(K107:K121),"-")</f>
        <v>-</v>
      </c>
      <c r="M107" s="195" t="e">
        <f>RANK(K107, K$107:$K$121)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7" t="e">
        <f>RANK(AY107, AY$107:AY$121)</f>
        <v>#N/A</v>
      </c>
      <c r="BA107" s="685" t="e">
        <f>AVERAGE(AY107:AY121)</f>
        <v>#DIV/0!</v>
      </c>
    </row>
    <row r="108" spans="2:53">
      <c r="B108" s="671"/>
      <c r="C108" s="295">
        <v>2</v>
      </c>
      <c r="D108" s="220"/>
      <c r="E108" s="176"/>
      <c r="F108" s="342"/>
      <c r="G108" s="343"/>
      <c r="H108" s="711"/>
      <c r="I108" s="352" t="str">
        <f t="shared" si="60"/>
        <v>-</v>
      </c>
      <c r="J108" s="352" t="str">
        <f t="shared" si="61"/>
        <v>-</v>
      </c>
      <c r="K108" s="194" t="str">
        <f t="shared" si="62"/>
        <v>-</v>
      </c>
      <c r="L108" s="645"/>
      <c r="M108" s="305" t="e">
        <f>RANK(K108, K$107:$K$121)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7" t="e">
        <f t="shared" ref="AZ108:AZ121" si="63">RANK(AY108, AY$107:AY$121)</f>
        <v>#N/A</v>
      </c>
      <c r="BA108" s="685"/>
    </row>
    <row r="109" spans="2:53">
      <c r="B109" s="671"/>
      <c r="C109" s="295">
        <v>3</v>
      </c>
      <c r="D109" s="220"/>
      <c r="E109" s="176"/>
      <c r="F109" s="342"/>
      <c r="G109" s="343"/>
      <c r="H109" s="711"/>
      <c r="I109" s="352" t="str">
        <f t="shared" si="60"/>
        <v>-</v>
      </c>
      <c r="J109" s="352" t="str">
        <f t="shared" si="61"/>
        <v>-</v>
      </c>
      <c r="K109" s="194" t="str">
        <f t="shared" si="62"/>
        <v>-</v>
      </c>
      <c r="L109" s="645"/>
      <c r="M109" s="305" t="e">
        <f>RANK(K109, K$107:$K$121)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7" t="e">
        <f t="shared" si="63"/>
        <v>#N/A</v>
      </c>
      <c r="BA109" s="685"/>
    </row>
    <row r="110" spans="2:53">
      <c r="B110" s="671"/>
      <c r="C110" s="295">
        <v>4</v>
      </c>
      <c r="D110" s="220"/>
      <c r="E110" s="176"/>
      <c r="F110" s="342"/>
      <c r="G110" s="343"/>
      <c r="H110" s="711"/>
      <c r="I110" s="352" t="str">
        <f t="shared" si="60"/>
        <v>-</v>
      </c>
      <c r="J110" s="352" t="str">
        <f t="shared" si="61"/>
        <v>-</v>
      </c>
      <c r="K110" s="194" t="str">
        <f t="shared" si="62"/>
        <v>-</v>
      </c>
      <c r="L110" s="645"/>
      <c r="M110" s="305" t="e">
        <f>RANK(K110, K$107:$K$121)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7" t="e">
        <f t="shared" si="63"/>
        <v>#N/A</v>
      </c>
      <c r="BA110" s="685"/>
    </row>
    <row r="111" spans="2:53">
      <c r="B111" s="671"/>
      <c r="C111" s="295">
        <v>5</v>
      </c>
      <c r="D111" s="220"/>
      <c r="E111" s="176"/>
      <c r="F111" s="342"/>
      <c r="G111" s="343"/>
      <c r="H111" s="711"/>
      <c r="I111" s="352" t="str">
        <f t="shared" si="60"/>
        <v>-</v>
      </c>
      <c r="J111" s="352" t="str">
        <f t="shared" si="61"/>
        <v>-</v>
      </c>
      <c r="K111" s="194" t="str">
        <f t="shared" si="62"/>
        <v>-</v>
      </c>
      <c r="L111" s="645"/>
      <c r="M111" s="305" t="e">
        <f>RANK(K111, K$107:$K$121)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7" t="e">
        <f t="shared" si="63"/>
        <v>#N/A</v>
      </c>
      <c r="BA111" s="685"/>
    </row>
    <row r="112" spans="2:53">
      <c r="B112" s="671"/>
      <c r="C112" s="295">
        <v>6</v>
      </c>
      <c r="D112" s="220"/>
      <c r="E112" s="176"/>
      <c r="F112" s="342"/>
      <c r="G112" s="343"/>
      <c r="H112" s="711"/>
      <c r="I112" s="352" t="str">
        <f t="shared" si="60"/>
        <v>-</v>
      </c>
      <c r="J112" s="352" t="str">
        <f t="shared" si="61"/>
        <v>-</v>
      </c>
      <c r="K112" s="194" t="str">
        <f t="shared" si="62"/>
        <v>-</v>
      </c>
      <c r="L112" s="645"/>
      <c r="M112" s="305" t="e">
        <f>RANK(K112, K$107:$K$121)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7" t="e">
        <f t="shared" si="63"/>
        <v>#N/A</v>
      </c>
      <c r="BA112" s="685"/>
    </row>
    <row r="113" spans="2:53">
      <c r="B113" s="671"/>
      <c r="C113" s="295">
        <v>7</v>
      </c>
      <c r="D113" s="220"/>
      <c r="E113" s="176"/>
      <c r="F113" s="342"/>
      <c r="G113" s="343"/>
      <c r="H113" s="711"/>
      <c r="I113" s="352" t="str">
        <f t="shared" si="60"/>
        <v>-</v>
      </c>
      <c r="J113" s="352" t="str">
        <f t="shared" si="61"/>
        <v>-</v>
      </c>
      <c r="K113" s="194" t="str">
        <f t="shared" si="62"/>
        <v>-</v>
      </c>
      <c r="L113" s="645"/>
      <c r="M113" s="305" t="e">
        <f>RANK(K113, K$107:$K$121)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7" t="e">
        <f t="shared" si="63"/>
        <v>#N/A</v>
      </c>
      <c r="BA113" s="685"/>
    </row>
    <row r="114" spans="2:53">
      <c r="B114" s="671"/>
      <c r="C114" s="295">
        <v>8</v>
      </c>
      <c r="D114" s="220"/>
      <c r="E114" s="176"/>
      <c r="F114" s="342"/>
      <c r="G114" s="343"/>
      <c r="H114" s="711"/>
      <c r="I114" s="352" t="str">
        <f t="shared" si="60"/>
        <v>-</v>
      </c>
      <c r="J114" s="352" t="str">
        <f t="shared" si="61"/>
        <v>-</v>
      </c>
      <c r="K114" s="194" t="str">
        <f t="shared" si="62"/>
        <v>-</v>
      </c>
      <c r="L114" s="645"/>
      <c r="M114" s="305" t="e">
        <f>RANK(K114, K$107:$K$121)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7" t="e">
        <f t="shared" si="63"/>
        <v>#N/A</v>
      </c>
      <c r="BA114" s="685"/>
    </row>
    <row r="115" spans="2:53">
      <c r="B115" s="671"/>
      <c r="C115" s="295">
        <v>9</v>
      </c>
      <c r="D115" s="220"/>
      <c r="E115" s="176"/>
      <c r="F115" s="342"/>
      <c r="G115" s="343"/>
      <c r="H115" s="711"/>
      <c r="I115" s="352" t="str">
        <f t="shared" si="60"/>
        <v>-</v>
      </c>
      <c r="J115" s="352" t="str">
        <f t="shared" si="61"/>
        <v>-</v>
      </c>
      <c r="K115" s="194" t="str">
        <f t="shared" si="62"/>
        <v>-</v>
      </c>
      <c r="L115" s="645"/>
      <c r="M115" s="305" t="e">
        <f>RANK(K115, K$107:$K$121)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7" t="e">
        <f t="shared" si="63"/>
        <v>#N/A</v>
      </c>
      <c r="BA115" s="685"/>
    </row>
    <row r="116" spans="2:53">
      <c r="B116" s="671"/>
      <c r="C116" s="295">
        <v>10</v>
      </c>
      <c r="D116" s="220"/>
      <c r="E116" s="176"/>
      <c r="F116" s="342"/>
      <c r="G116" s="343"/>
      <c r="H116" s="711"/>
      <c r="I116" s="352" t="str">
        <f t="shared" si="60"/>
        <v>-</v>
      </c>
      <c r="J116" s="352" t="str">
        <f t="shared" si="61"/>
        <v>-</v>
      </c>
      <c r="K116" s="194" t="str">
        <f t="shared" si="62"/>
        <v>-</v>
      </c>
      <c r="L116" s="645"/>
      <c r="M116" s="305" t="e">
        <f>RANK(K116, K$107:$K$121)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7" t="e">
        <f t="shared" si="63"/>
        <v>#N/A</v>
      </c>
      <c r="BA116" s="685"/>
    </row>
    <row r="117" spans="2:53">
      <c r="B117" s="671"/>
      <c r="C117" s="295">
        <v>11</v>
      </c>
      <c r="D117" s="220"/>
      <c r="E117" s="176"/>
      <c r="F117" s="342"/>
      <c r="G117" s="343"/>
      <c r="H117" s="711"/>
      <c r="I117" s="352" t="str">
        <f t="shared" si="60"/>
        <v>-</v>
      </c>
      <c r="J117" s="352" t="str">
        <f t="shared" si="61"/>
        <v>-</v>
      </c>
      <c r="K117" s="194" t="str">
        <f t="shared" si="62"/>
        <v>-</v>
      </c>
      <c r="L117" s="645"/>
      <c r="M117" s="305" t="e">
        <f>RANK(K117, K$107:$K$121)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7" t="e">
        <f t="shared" si="63"/>
        <v>#N/A</v>
      </c>
      <c r="BA117" s="685"/>
    </row>
    <row r="118" spans="2:53">
      <c r="B118" s="671"/>
      <c r="C118" s="295">
        <v>12</v>
      </c>
      <c r="D118" s="220"/>
      <c r="E118" s="176"/>
      <c r="F118" s="342"/>
      <c r="G118" s="343"/>
      <c r="H118" s="711"/>
      <c r="I118" s="352" t="str">
        <f t="shared" si="60"/>
        <v>-</v>
      </c>
      <c r="J118" s="352" t="str">
        <f t="shared" si="61"/>
        <v>-</v>
      </c>
      <c r="K118" s="194" t="str">
        <f t="shared" si="62"/>
        <v>-</v>
      </c>
      <c r="L118" s="645"/>
      <c r="M118" s="305" t="e">
        <f>RANK(K118, K$107:$K$121)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7" t="e">
        <f t="shared" si="63"/>
        <v>#N/A</v>
      </c>
      <c r="BA118" s="685"/>
    </row>
    <row r="119" spans="2:53">
      <c r="B119" s="671"/>
      <c r="C119" s="295">
        <v>13</v>
      </c>
      <c r="D119" s="220"/>
      <c r="E119" s="176"/>
      <c r="F119" s="342"/>
      <c r="G119" s="343"/>
      <c r="H119" s="711"/>
      <c r="I119" s="352" t="str">
        <f t="shared" si="60"/>
        <v>-</v>
      </c>
      <c r="J119" s="352" t="str">
        <f t="shared" si="61"/>
        <v>-</v>
      </c>
      <c r="K119" s="194" t="str">
        <f t="shared" si="62"/>
        <v>-</v>
      </c>
      <c r="L119" s="645"/>
      <c r="M119" s="305" t="e">
        <f>RANK(K119, K$107:$K$121)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7" t="e">
        <f t="shared" si="63"/>
        <v>#N/A</v>
      </c>
      <c r="BA119" s="685"/>
    </row>
    <row r="120" spans="2:53">
      <c r="B120" s="671"/>
      <c r="C120" s="295">
        <v>14</v>
      </c>
      <c r="D120" s="220"/>
      <c r="E120" s="176"/>
      <c r="F120" s="342"/>
      <c r="G120" s="343"/>
      <c r="H120" s="711"/>
      <c r="I120" s="352" t="str">
        <f t="shared" si="60"/>
        <v>-</v>
      </c>
      <c r="J120" s="352" t="str">
        <f t="shared" si="61"/>
        <v>-</v>
      </c>
      <c r="K120" s="194" t="str">
        <f t="shared" si="62"/>
        <v>-</v>
      </c>
      <c r="L120" s="645"/>
      <c r="M120" s="305" t="e">
        <f>RANK(K120, K$107:$K$121)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7" t="e">
        <f t="shared" si="63"/>
        <v>#N/A</v>
      </c>
      <c r="BA120" s="685"/>
    </row>
    <row r="121" spans="2:53">
      <c r="B121" s="671"/>
      <c r="C121" s="295">
        <v>15</v>
      </c>
      <c r="D121" s="220"/>
      <c r="E121" s="176"/>
      <c r="F121" s="342"/>
      <c r="G121" s="343"/>
      <c r="H121" s="712"/>
      <c r="I121" s="196"/>
      <c r="J121" s="196"/>
      <c r="K121" s="196"/>
      <c r="L121" s="646"/>
      <c r="M121" s="305" t="e">
        <f>RANK(K121, K$107:$K$121)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7" t="e">
        <f t="shared" si="63"/>
        <v>#N/A</v>
      </c>
      <c r="BA121" s="685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5" si="64">AVERAGEIF($D$7:$D$121,$D128,I$7:I$121)</f>
        <v>#DIV/0!</v>
      </c>
      <c r="J128" s="193" t="e">
        <f t="shared" si="64"/>
        <v>#DIV/0!</v>
      </c>
      <c r="K128" s="193" t="e">
        <f t="shared" ref="K128:K135" si="65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64"/>
        <v>#DIV/0!</v>
      </c>
      <c r="J129" s="193" t="e">
        <f t="shared" si="64"/>
        <v>#DIV/0!</v>
      </c>
      <c r="K129" s="193" t="e">
        <f t="shared" si="65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64"/>
        <v>#DIV/0!</v>
      </c>
      <c r="J130" s="193" t="e">
        <f t="shared" si="64"/>
        <v>#DIV/0!</v>
      </c>
      <c r="K130" s="193" t="e">
        <f t="shared" si="65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64"/>
        <v>#DIV/0!</v>
      </c>
      <c r="J131" s="193" t="e">
        <f t="shared" si="64"/>
        <v>#DIV/0!</v>
      </c>
      <c r="K131" s="193" t="e">
        <f t="shared" si="65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64"/>
        <v>#DIV/0!</v>
      </c>
      <c r="J132" s="193" t="e">
        <f t="shared" si="64"/>
        <v>#DIV/0!</v>
      </c>
      <c r="K132" s="193" t="e">
        <f t="shared" si="65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64"/>
        <v>#DIV/0!</v>
      </c>
      <c r="J133" s="193" t="e">
        <f t="shared" si="64"/>
        <v>#DIV/0!</v>
      </c>
      <c r="K133" s="193" t="e">
        <f t="shared" si="65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64"/>
        <v>#DIV/0!</v>
      </c>
      <c r="J134" s="193" t="e">
        <f t="shared" si="64"/>
        <v>#DIV/0!</v>
      </c>
      <c r="K134" s="193" t="e">
        <f t="shared" si="65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64"/>
        <v>#DIV/0!</v>
      </c>
      <c r="J135" s="193" t="e">
        <f t="shared" si="64"/>
        <v>#DIV/0!</v>
      </c>
      <c r="K135" s="193" t="e">
        <f t="shared" si="65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80.917896186628695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528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135</v>
      </c>
      <c r="C7" s="495">
        <v>1</v>
      </c>
      <c r="D7" s="220" t="s">
        <v>566</v>
      </c>
      <c r="E7" s="518">
        <v>17</v>
      </c>
      <c r="F7" s="516">
        <v>1565</v>
      </c>
      <c r="G7" s="517">
        <v>92.058823529411768</v>
      </c>
      <c r="H7" s="702">
        <f>AVERAGE(G7:G21)</f>
        <v>89.547152194211023</v>
      </c>
      <c r="I7" s="496">
        <f t="shared" ref="I7:I20" si="0">IFERROR(AVERAGE(P7,U7,Z7,AE7,AJ7,AO7,AT7),"-")</f>
        <v>17</v>
      </c>
      <c r="J7" s="496">
        <f t="shared" ref="J7:J20" si="1">IFERROR(AVERAGE(Q7,V7,AA7,AF7,AK7,AP7,AU7),"-")</f>
        <v>1426.9449511161304</v>
      </c>
      <c r="K7" s="194">
        <f t="shared" ref="K7:K20" si="2">IFERROR(AVERAGE(R7,W7,AB7,AG7,AL7,AQ7,AV7),"-")</f>
        <v>83.937938300948844</v>
      </c>
      <c r="L7" s="644">
        <f>IFERROR(AVERAGE(K7:K21),"-")</f>
        <v>80.896252830499606</v>
      </c>
      <c r="M7" s="477">
        <f>RANK(K7, K$7:$K$21)</f>
        <v>3</v>
      </c>
      <c r="N7" s="663"/>
      <c r="O7" s="663"/>
      <c r="P7" s="523">
        <v>17</v>
      </c>
      <c r="Q7" s="525">
        <v>1432.133333333333</v>
      </c>
      <c r="R7" s="525">
        <v>84.243137254901939</v>
      </c>
      <c r="S7" s="477">
        <f t="shared" ref="S7:S21" si="3">RANK(R7, R$7:R$21)</f>
        <v>2</v>
      </c>
      <c r="T7" s="726">
        <f t="shared" ref="T7" si="4">AVERAGE(R7:R21)</f>
        <v>81.167145287264674</v>
      </c>
      <c r="U7" s="523">
        <v>17</v>
      </c>
      <c r="V7" s="525">
        <v>1433.3901639344265</v>
      </c>
      <c r="W7" s="525">
        <v>84.317068466730973</v>
      </c>
      <c r="X7" s="477">
        <f t="shared" ref="X7:X21" si="5">RANK(W7, W$7:W$21)</f>
        <v>2</v>
      </c>
      <c r="Y7" s="726">
        <f t="shared" ref="Y7" si="6">AVERAGE(W7:W21)</f>
        <v>80.722617352531842</v>
      </c>
      <c r="Z7" s="523">
        <v>17</v>
      </c>
      <c r="AA7" s="525">
        <v>1438.6363636363635</v>
      </c>
      <c r="AB7" s="525">
        <v>84.62566844919786</v>
      </c>
      <c r="AC7" s="477">
        <f t="shared" ref="AC7:AC21" si="7">RANK(AB7, AB$7:AB$21)</f>
        <v>2</v>
      </c>
      <c r="AD7" s="726">
        <f t="shared" ref="AD7" si="8">AVERAGE(AB7:AB21)</f>
        <v>80.682987662688646</v>
      </c>
      <c r="AE7" s="523">
        <v>17</v>
      </c>
      <c r="AF7" s="525">
        <v>1449.4117647058818</v>
      </c>
      <c r="AG7" s="525">
        <v>85.259515570934227</v>
      </c>
      <c r="AH7" s="477">
        <f t="shared" ref="AH7:AH21" si="9">RANK(AG7, AG$7:AG$21)</f>
        <v>2</v>
      </c>
      <c r="AI7" s="726">
        <f t="shared" ref="AI7" si="10">AVERAGE(AG7:AG21)</f>
        <v>81.14188248006225</v>
      </c>
      <c r="AJ7" s="523">
        <v>17</v>
      </c>
      <c r="AK7" s="525">
        <v>1432.2727272727273</v>
      </c>
      <c r="AL7" s="525">
        <v>84.251336898395721</v>
      </c>
      <c r="AM7" s="477">
        <f t="shared" ref="AM7:AM21" si="11">RANK(AL7, AL$7:AL$21)</f>
        <v>3</v>
      </c>
      <c r="AN7" s="726">
        <f t="shared" ref="AN7" si="12">AVERAGE(AL7:AL21)</f>
        <v>80.486693842246979</v>
      </c>
      <c r="AO7" s="523">
        <v>17</v>
      </c>
      <c r="AP7" s="525">
        <v>1424.5289256198339</v>
      </c>
      <c r="AQ7" s="525">
        <v>83.795819154107875</v>
      </c>
      <c r="AR7" s="477">
        <f t="shared" ref="AR7:AR21" si="13">RANK(AQ7, AQ$7:AQ$21)</f>
        <v>3</v>
      </c>
      <c r="AS7" s="726">
        <f t="shared" ref="AS7" si="14">AVERAGE(AQ7:AQ21)</f>
        <v>81.253426803283091</v>
      </c>
      <c r="AT7" s="523">
        <v>17</v>
      </c>
      <c r="AU7" s="525">
        <v>1378.2413793103458</v>
      </c>
      <c r="AV7" s="525">
        <v>81.073022312373283</v>
      </c>
      <c r="AW7" s="477">
        <f t="shared" ref="AW7:AW21" si="15">RANK(AV7, AV$7:AV$21)</f>
        <v>3</v>
      </c>
      <c r="AX7" s="726">
        <f t="shared" ref="AX7" si="16">AVERAGE(AV7:AV21)</f>
        <v>80.819016385419744</v>
      </c>
      <c r="AZ7" s="359" t="e">
        <f t="shared" ref="AZ7:AZ21" si="17">RANK(AY7, AY$7:AY$21)</f>
        <v>#N/A</v>
      </c>
      <c r="BA7" s="726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587</v>
      </c>
      <c r="E8" s="518">
        <v>18</v>
      </c>
      <c r="F8" s="516">
        <v>1565</v>
      </c>
      <c r="G8" s="517">
        <v>86.944444444444443</v>
      </c>
      <c r="H8" s="703"/>
      <c r="I8" s="496">
        <f t="shared" si="0"/>
        <v>18</v>
      </c>
      <c r="J8" s="496">
        <f t="shared" si="1"/>
        <v>1430.1257080824944</v>
      </c>
      <c r="K8" s="194">
        <f t="shared" si="2"/>
        <v>79.451428226805234</v>
      </c>
      <c r="L8" s="645"/>
      <c r="M8" s="477">
        <f>RANK(K8, K$7:$K$21)</f>
        <v>4</v>
      </c>
      <c r="N8" s="663"/>
      <c r="O8" s="663"/>
      <c r="P8" s="523">
        <v>18</v>
      </c>
      <c r="Q8" s="525">
        <v>1428.1142857142852</v>
      </c>
      <c r="R8" s="525">
        <v>79.339682539682514</v>
      </c>
      <c r="S8" s="477">
        <f t="shared" si="3"/>
        <v>5</v>
      </c>
      <c r="T8" s="727"/>
      <c r="U8" s="523">
        <v>18</v>
      </c>
      <c r="V8" s="525">
        <v>1417.0588235294117</v>
      </c>
      <c r="W8" s="525">
        <v>78.725490196078425</v>
      </c>
      <c r="X8" s="477">
        <f t="shared" si="5"/>
        <v>4</v>
      </c>
      <c r="Y8" s="727"/>
      <c r="Z8" s="523">
        <v>18</v>
      </c>
      <c r="AA8" s="525">
        <v>1428.9230769230765</v>
      </c>
      <c r="AB8" s="525">
        <v>79.384615384615358</v>
      </c>
      <c r="AC8" s="477">
        <f t="shared" si="7"/>
        <v>4</v>
      </c>
      <c r="AD8" s="727"/>
      <c r="AE8" s="523">
        <v>18</v>
      </c>
      <c r="AF8" s="525">
        <v>1424.6511627906975</v>
      </c>
      <c r="AG8" s="525">
        <v>79.147286821705421</v>
      </c>
      <c r="AH8" s="477">
        <f t="shared" si="9"/>
        <v>4</v>
      </c>
      <c r="AI8" s="727"/>
      <c r="AJ8" s="523">
        <v>18</v>
      </c>
      <c r="AK8" s="525">
        <v>1419.5744680851067</v>
      </c>
      <c r="AL8" s="525">
        <v>78.865248226950371</v>
      </c>
      <c r="AM8" s="477">
        <f t="shared" si="11"/>
        <v>4</v>
      </c>
      <c r="AN8" s="727"/>
      <c r="AO8" s="523">
        <v>18</v>
      </c>
      <c r="AP8" s="525">
        <v>1440</v>
      </c>
      <c r="AQ8" s="525">
        <v>80</v>
      </c>
      <c r="AR8" s="477">
        <f t="shared" si="13"/>
        <v>4</v>
      </c>
      <c r="AS8" s="727"/>
      <c r="AT8" s="523">
        <v>18</v>
      </c>
      <c r="AU8" s="525">
        <v>1452.5581395348834</v>
      </c>
      <c r="AV8" s="525">
        <v>80.697674418604635</v>
      </c>
      <c r="AW8" s="477">
        <f t="shared" si="15"/>
        <v>4</v>
      </c>
      <c r="AX8" s="727"/>
      <c r="AZ8" s="359" t="e">
        <f t="shared" si="17"/>
        <v>#N/A</v>
      </c>
      <c r="BA8" s="727"/>
    </row>
    <row r="9" spans="1:53" ht="14.25">
      <c r="A9" s="81"/>
      <c r="B9" s="692"/>
      <c r="C9" s="495">
        <v>3</v>
      </c>
      <c r="D9" s="220" t="s">
        <v>592</v>
      </c>
      <c r="E9" s="518">
        <v>17</v>
      </c>
      <c r="F9" s="516">
        <v>1565</v>
      </c>
      <c r="G9" s="517">
        <v>92.058823529411768</v>
      </c>
      <c r="H9" s="703"/>
      <c r="I9" s="496">
        <f t="shared" si="0"/>
        <v>17</v>
      </c>
      <c r="J9" s="496">
        <f t="shared" si="1"/>
        <v>1443.162331676541</v>
      </c>
      <c r="K9" s="194">
        <f t="shared" si="2"/>
        <v>84.891901863325955</v>
      </c>
      <c r="L9" s="645"/>
      <c r="M9" s="477">
        <f>RANK(K9, K$7:$K$21)</f>
        <v>2</v>
      </c>
      <c r="N9" s="663"/>
      <c r="O9" s="663"/>
      <c r="P9" s="523">
        <v>17</v>
      </c>
      <c r="Q9" s="525">
        <v>1427.3684210526312</v>
      </c>
      <c r="R9" s="525">
        <v>83.962848297213597</v>
      </c>
      <c r="S9" s="477">
        <f t="shared" si="3"/>
        <v>3</v>
      </c>
      <c r="T9" s="727"/>
      <c r="U9" s="523">
        <v>17</v>
      </c>
      <c r="V9" s="525">
        <v>1422.2535211267607</v>
      </c>
      <c r="W9" s="525">
        <v>83.661971830985919</v>
      </c>
      <c r="X9" s="477">
        <f t="shared" si="5"/>
        <v>3</v>
      </c>
      <c r="Y9" s="727"/>
      <c r="Z9" s="523">
        <v>17</v>
      </c>
      <c r="AA9" s="525">
        <v>1440.9230769230767</v>
      </c>
      <c r="AB9" s="525">
        <v>84.760180995475096</v>
      </c>
      <c r="AC9" s="477">
        <f t="shared" si="7"/>
        <v>1</v>
      </c>
      <c r="AD9" s="727"/>
      <c r="AE9" s="523">
        <v>17</v>
      </c>
      <c r="AF9" s="525">
        <v>1432.6530612244901</v>
      </c>
      <c r="AG9" s="525">
        <v>84.273709483793539</v>
      </c>
      <c r="AH9" s="477">
        <f t="shared" si="9"/>
        <v>3</v>
      </c>
      <c r="AI9" s="727"/>
      <c r="AJ9" s="523">
        <v>17</v>
      </c>
      <c r="AK9" s="525">
        <v>1449.2307692307688</v>
      </c>
      <c r="AL9" s="525">
        <v>85.248868778280524</v>
      </c>
      <c r="AM9" s="477">
        <f t="shared" si="11"/>
        <v>2</v>
      </c>
      <c r="AN9" s="727"/>
      <c r="AO9" s="523">
        <v>17</v>
      </c>
      <c r="AP9" s="525">
        <v>1458.6486486486492</v>
      </c>
      <c r="AQ9" s="525">
        <v>85.802861685214665</v>
      </c>
      <c r="AR9" s="477">
        <f t="shared" si="13"/>
        <v>1</v>
      </c>
      <c r="AS9" s="727"/>
      <c r="AT9" s="523">
        <v>17</v>
      </c>
      <c r="AU9" s="525">
        <v>1471.0588235294099</v>
      </c>
      <c r="AV9" s="525">
        <v>86.532871972318233</v>
      </c>
      <c r="AW9" s="477">
        <f t="shared" si="15"/>
        <v>1</v>
      </c>
      <c r="AX9" s="727"/>
      <c r="AZ9" s="359" t="e">
        <f t="shared" si="17"/>
        <v>#N/A</v>
      </c>
      <c r="BA9" s="727"/>
    </row>
    <row r="10" spans="1:53" ht="14.25">
      <c r="A10" s="81"/>
      <c r="B10" s="692"/>
      <c r="C10" s="495">
        <v>4</v>
      </c>
      <c r="D10" s="220" t="s">
        <v>654</v>
      </c>
      <c r="E10" s="518">
        <v>17</v>
      </c>
      <c r="F10" s="516">
        <v>1565</v>
      </c>
      <c r="G10" s="517">
        <v>92.058823529411768</v>
      </c>
      <c r="H10" s="703"/>
      <c r="I10" s="496">
        <f t="shared" si="0"/>
        <v>17</v>
      </c>
      <c r="J10" s="496">
        <f t="shared" si="1"/>
        <v>1323.412475698183</v>
      </c>
      <c r="K10" s="194">
        <f t="shared" si="2"/>
        <v>77.847792688128393</v>
      </c>
      <c r="L10" s="645"/>
      <c r="M10" s="477">
        <f>RANK(K10, K$7:$K$21)</f>
        <v>6</v>
      </c>
      <c r="N10" s="663"/>
      <c r="O10" s="663"/>
      <c r="P10" s="523">
        <v>17</v>
      </c>
      <c r="Q10" s="525">
        <v>1333.5</v>
      </c>
      <c r="R10" s="525">
        <v>78.441176470588232</v>
      </c>
      <c r="S10" s="477">
        <f t="shared" si="3"/>
        <v>6</v>
      </c>
      <c r="T10" s="727"/>
      <c r="U10" s="523">
        <v>17</v>
      </c>
      <c r="V10" s="525">
        <v>1319.9999999999998</v>
      </c>
      <c r="W10" s="525">
        <v>77.647058823529392</v>
      </c>
      <c r="X10" s="477">
        <f t="shared" si="5"/>
        <v>6</v>
      </c>
      <c r="Y10" s="727"/>
      <c r="Z10" s="523">
        <v>17</v>
      </c>
      <c r="AA10" s="525">
        <v>1320.8955223880598</v>
      </c>
      <c r="AB10" s="525">
        <v>77.699736611062349</v>
      </c>
      <c r="AC10" s="477">
        <f t="shared" si="7"/>
        <v>6</v>
      </c>
      <c r="AD10" s="727"/>
      <c r="AE10" s="523">
        <v>17</v>
      </c>
      <c r="AF10" s="525">
        <v>1321.2765957446811</v>
      </c>
      <c r="AG10" s="525">
        <v>77.722152690863595</v>
      </c>
      <c r="AH10" s="477">
        <f t="shared" si="9"/>
        <v>6</v>
      </c>
      <c r="AI10" s="727"/>
      <c r="AJ10" s="523">
        <v>17</v>
      </c>
      <c r="AK10" s="525">
        <v>1295.7692307692314</v>
      </c>
      <c r="AL10" s="525">
        <v>76.221719457013606</v>
      </c>
      <c r="AM10" s="477">
        <f t="shared" si="11"/>
        <v>6</v>
      </c>
      <c r="AN10" s="727"/>
      <c r="AO10" s="523">
        <v>17</v>
      </c>
      <c r="AP10" s="525">
        <v>1326.1538461538462</v>
      </c>
      <c r="AQ10" s="525">
        <v>78.009049773755663</v>
      </c>
      <c r="AR10" s="477">
        <f t="shared" si="13"/>
        <v>6</v>
      </c>
      <c r="AS10" s="727"/>
      <c r="AT10" s="523">
        <v>17</v>
      </c>
      <c r="AU10" s="525">
        <v>1346.2921348314608</v>
      </c>
      <c r="AV10" s="525">
        <v>79.193654990085932</v>
      </c>
      <c r="AW10" s="477">
        <f t="shared" si="15"/>
        <v>5</v>
      </c>
      <c r="AX10" s="727"/>
      <c r="AZ10" s="359" t="e">
        <f t="shared" si="17"/>
        <v>#N/A</v>
      </c>
      <c r="BA10" s="727"/>
    </row>
    <row r="11" spans="1:53" ht="14.25">
      <c r="A11" s="81"/>
      <c r="B11" s="692"/>
      <c r="C11" s="495">
        <v>5</v>
      </c>
      <c r="D11" s="220" t="s">
        <v>684</v>
      </c>
      <c r="E11" s="518">
        <v>17</v>
      </c>
      <c r="F11" s="516">
        <v>1565</v>
      </c>
      <c r="G11" s="517">
        <v>92.058823529411768</v>
      </c>
      <c r="H11" s="703"/>
      <c r="I11" s="496">
        <f t="shared" si="0"/>
        <v>17</v>
      </c>
      <c r="J11" s="496">
        <f t="shared" si="1"/>
        <v>1452.2220725610293</v>
      </c>
      <c r="K11" s="194">
        <f t="shared" si="2"/>
        <v>85.424827797707607</v>
      </c>
      <c r="L11" s="645"/>
      <c r="M11" s="477">
        <f>RANK(K11, K$7:$K$21)</f>
        <v>1</v>
      </c>
      <c r="N11" s="663"/>
      <c r="O11" s="663"/>
      <c r="P11" s="523">
        <v>17</v>
      </c>
      <c r="Q11" s="525">
        <v>1461.6461538461535</v>
      </c>
      <c r="R11" s="525">
        <v>85.979185520361966</v>
      </c>
      <c r="S11" s="477">
        <f t="shared" si="3"/>
        <v>1</v>
      </c>
      <c r="T11" s="727"/>
      <c r="U11" s="523">
        <v>17</v>
      </c>
      <c r="V11" s="525">
        <v>1456.2947368421053</v>
      </c>
      <c r="W11" s="525">
        <v>85.664396284829721</v>
      </c>
      <c r="X11" s="477">
        <f t="shared" si="5"/>
        <v>1</v>
      </c>
      <c r="Y11" s="727"/>
      <c r="Z11" s="523">
        <v>17</v>
      </c>
      <c r="AA11" s="525">
        <v>1427.3207547169811</v>
      </c>
      <c r="AB11" s="525">
        <v>83.96004439511654</v>
      </c>
      <c r="AC11" s="477">
        <f t="shared" si="7"/>
        <v>3</v>
      </c>
      <c r="AD11" s="727"/>
      <c r="AE11" s="523">
        <v>17</v>
      </c>
      <c r="AF11" s="525">
        <v>1455.0000000000002</v>
      </c>
      <c r="AG11" s="525">
        <v>85.588235294117666</v>
      </c>
      <c r="AH11" s="477">
        <f t="shared" si="9"/>
        <v>1</v>
      </c>
      <c r="AI11" s="727"/>
      <c r="AJ11" s="523">
        <v>17</v>
      </c>
      <c r="AK11" s="525">
        <v>1460.5405405405404</v>
      </c>
      <c r="AL11" s="525">
        <v>85.9141494435612</v>
      </c>
      <c r="AM11" s="477">
        <f t="shared" si="11"/>
        <v>1</v>
      </c>
      <c r="AN11" s="727"/>
      <c r="AO11" s="523">
        <v>17</v>
      </c>
      <c r="AP11" s="525">
        <v>1457.64705882353</v>
      </c>
      <c r="AQ11" s="525">
        <v>85.743944636678236</v>
      </c>
      <c r="AR11" s="477">
        <f t="shared" si="13"/>
        <v>2</v>
      </c>
      <c r="AS11" s="727"/>
      <c r="AT11" s="523">
        <v>17</v>
      </c>
      <c r="AU11" s="525">
        <v>1447.105263157895</v>
      </c>
      <c r="AV11" s="525">
        <v>85.123839009287948</v>
      </c>
      <c r="AW11" s="477">
        <f t="shared" si="15"/>
        <v>2</v>
      </c>
      <c r="AX11" s="727"/>
      <c r="AZ11" s="359" t="e">
        <f t="shared" si="17"/>
        <v>#N/A</v>
      </c>
      <c r="BA11" s="727"/>
    </row>
    <row r="12" spans="1:53" ht="14.25">
      <c r="A12" s="81"/>
      <c r="B12" s="692"/>
      <c r="C12" s="495">
        <v>6</v>
      </c>
      <c r="D12" s="220" t="s">
        <v>686</v>
      </c>
      <c r="E12" s="518">
        <v>17</v>
      </c>
      <c r="F12" s="516">
        <v>1440</v>
      </c>
      <c r="G12" s="517">
        <v>84.705882352941174</v>
      </c>
      <c r="H12" s="703"/>
      <c r="I12" s="496">
        <f t="shared" si="0"/>
        <v>17</v>
      </c>
      <c r="J12" s="496">
        <f t="shared" si="1"/>
        <v>1295.5077974545075</v>
      </c>
      <c r="K12" s="194">
        <f t="shared" si="2"/>
        <v>76.206341026735728</v>
      </c>
      <c r="L12" s="645"/>
      <c r="M12" s="477">
        <f>RANK(K12, K$7:$K$21)</f>
        <v>7</v>
      </c>
      <c r="N12" s="663"/>
      <c r="O12" s="663"/>
      <c r="P12" s="523">
        <v>17</v>
      </c>
      <c r="Q12" s="525">
        <v>1286.2499999999982</v>
      </c>
      <c r="R12" s="525">
        <v>75.661764705882248</v>
      </c>
      <c r="S12" s="477">
        <f t="shared" si="3"/>
        <v>7</v>
      </c>
      <c r="T12" s="727"/>
      <c r="U12" s="523">
        <v>17</v>
      </c>
      <c r="V12" s="525">
        <v>1313.0232558139533</v>
      </c>
      <c r="W12" s="525">
        <v>77.236662106703136</v>
      </c>
      <c r="X12" s="477">
        <f t="shared" si="5"/>
        <v>7</v>
      </c>
      <c r="Y12" s="727"/>
      <c r="Z12" s="523">
        <v>17</v>
      </c>
      <c r="AA12" s="525">
        <v>1301.7391304347825</v>
      </c>
      <c r="AB12" s="525">
        <v>76.572890025575447</v>
      </c>
      <c r="AC12" s="477">
        <f t="shared" si="7"/>
        <v>7</v>
      </c>
      <c r="AD12" s="727"/>
      <c r="AE12" s="523">
        <v>17</v>
      </c>
      <c r="AF12" s="525">
        <v>1311.5789473684201</v>
      </c>
      <c r="AG12" s="525">
        <v>77.151702786377655</v>
      </c>
      <c r="AH12" s="477">
        <f t="shared" si="9"/>
        <v>7</v>
      </c>
      <c r="AI12" s="727"/>
      <c r="AJ12" s="523">
        <v>17</v>
      </c>
      <c r="AK12" s="525">
        <v>1266.5217391304348</v>
      </c>
      <c r="AL12" s="525">
        <v>74.501278772378512</v>
      </c>
      <c r="AM12" s="477">
        <f t="shared" si="11"/>
        <v>7</v>
      </c>
      <c r="AN12" s="727"/>
      <c r="AO12" s="523">
        <v>17</v>
      </c>
      <c r="AP12" s="525">
        <v>1306.8000000000002</v>
      </c>
      <c r="AQ12" s="525">
        <v>76.870588235294122</v>
      </c>
      <c r="AR12" s="477">
        <f t="shared" si="13"/>
        <v>7</v>
      </c>
      <c r="AS12" s="727"/>
      <c r="AT12" s="523">
        <v>17</v>
      </c>
      <c r="AU12" s="525">
        <v>1282.6415094339629</v>
      </c>
      <c r="AV12" s="525">
        <v>75.449500554938993</v>
      </c>
      <c r="AW12" s="477">
        <f t="shared" si="15"/>
        <v>7</v>
      </c>
      <c r="AX12" s="727"/>
      <c r="AZ12" s="359" t="e">
        <f t="shared" si="17"/>
        <v>#N/A</v>
      </c>
      <c r="BA12" s="727"/>
    </row>
    <row r="13" spans="1:53" ht="14.25">
      <c r="A13" s="81"/>
      <c r="B13" s="692"/>
      <c r="C13" s="495">
        <v>7</v>
      </c>
      <c r="D13" s="220" t="s">
        <v>691</v>
      </c>
      <c r="E13" s="518">
        <v>18</v>
      </c>
      <c r="F13" s="516">
        <v>1565</v>
      </c>
      <c r="G13" s="517">
        <v>86.944444444444443</v>
      </c>
      <c r="H13" s="703"/>
      <c r="I13" s="496">
        <f t="shared" si="0"/>
        <v>18</v>
      </c>
      <c r="J13" s="496">
        <f t="shared" si="1"/>
        <v>1413.2437183772179</v>
      </c>
      <c r="K13" s="194">
        <f t="shared" si="2"/>
        <v>78.513539909845449</v>
      </c>
      <c r="L13" s="645"/>
      <c r="M13" s="477">
        <f>RANK(K13, K$7:$K$21)</f>
        <v>5</v>
      </c>
      <c r="N13" s="663"/>
      <c r="O13" s="663"/>
      <c r="P13" s="523">
        <v>18</v>
      </c>
      <c r="Q13" s="525">
        <v>1449.7599999999989</v>
      </c>
      <c r="R13" s="525">
        <v>80.542222222222165</v>
      </c>
      <c r="S13" s="477">
        <f t="shared" si="3"/>
        <v>4</v>
      </c>
      <c r="T13" s="727"/>
      <c r="U13" s="523">
        <v>18</v>
      </c>
      <c r="V13" s="525">
        <v>1400.5021276595746</v>
      </c>
      <c r="W13" s="525">
        <v>77.805673758865254</v>
      </c>
      <c r="X13" s="477">
        <f t="shared" si="5"/>
        <v>5</v>
      </c>
      <c r="Y13" s="727"/>
      <c r="Z13" s="523">
        <v>18</v>
      </c>
      <c r="AA13" s="525">
        <v>1399.9999999999998</v>
      </c>
      <c r="AB13" s="525">
        <v>77.777777777777771</v>
      </c>
      <c r="AC13" s="477">
        <f t="shared" si="7"/>
        <v>5</v>
      </c>
      <c r="AD13" s="727"/>
      <c r="AE13" s="523">
        <v>18</v>
      </c>
      <c r="AF13" s="525">
        <v>1419.3103448275865</v>
      </c>
      <c r="AG13" s="525">
        <v>78.850574712643692</v>
      </c>
      <c r="AH13" s="477">
        <f t="shared" si="9"/>
        <v>5</v>
      </c>
      <c r="AI13" s="727"/>
      <c r="AJ13" s="523">
        <v>18</v>
      </c>
      <c r="AK13" s="525">
        <v>1411.2765957446804</v>
      </c>
      <c r="AL13" s="525">
        <v>78.404255319148916</v>
      </c>
      <c r="AM13" s="477">
        <f t="shared" si="11"/>
        <v>5</v>
      </c>
      <c r="AN13" s="727"/>
      <c r="AO13" s="523">
        <v>18</v>
      </c>
      <c r="AP13" s="525">
        <v>1413.9310344827591</v>
      </c>
      <c r="AQ13" s="525">
        <v>78.55172413793106</v>
      </c>
      <c r="AR13" s="477">
        <f t="shared" si="13"/>
        <v>5</v>
      </c>
      <c r="AS13" s="727"/>
      <c r="AT13" s="523">
        <v>18</v>
      </c>
      <c r="AU13" s="525">
        <v>1397.9259259259254</v>
      </c>
      <c r="AV13" s="525">
        <v>77.662551440329196</v>
      </c>
      <c r="AW13" s="477">
        <f t="shared" si="15"/>
        <v>6</v>
      </c>
      <c r="AX13" s="727"/>
      <c r="AZ13" s="359" t="e">
        <f t="shared" si="17"/>
        <v>#N/A</v>
      </c>
      <c r="BA13" s="727"/>
    </row>
    <row r="14" spans="1:53" ht="14.25">
      <c r="A14" s="81"/>
      <c r="B14" s="692"/>
      <c r="C14" s="495">
        <v>8</v>
      </c>
      <c r="D14" s="220"/>
      <c r="E14" s="518"/>
      <c r="F14" s="516"/>
      <c r="G14" s="517"/>
      <c r="H14" s="703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45"/>
      <c r="M14" s="477" t="e">
        <f>RANK(K14, K$7:$K$21)</f>
        <v>#VALUE!</v>
      </c>
      <c r="N14" s="663"/>
      <c r="O14" s="663"/>
      <c r="P14" s="523" t="s">
        <v>564</v>
      </c>
      <c r="Q14" s="525" t="s">
        <v>564</v>
      </c>
      <c r="R14" s="525" t="s">
        <v>564</v>
      </c>
      <c r="S14" s="477" t="e">
        <f t="shared" si="3"/>
        <v>#VALUE!</v>
      </c>
      <c r="T14" s="727"/>
      <c r="U14" s="523" t="s">
        <v>564</v>
      </c>
      <c r="V14" s="525" t="s">
        <v>564</v>
      </c>
      <c r="W14" s="525" t="s">
        <v>564</v>
      </c>
      <c r="X14" s="477" t="e">
        <f t="shared" si="5"/>
        <v>#VALUE!</v>
      </c>
      <c r="Y14" s="727"/>
      <c r="Z14" s="523" t="s">
        <v>564</v>
      </c>
      <c r="AA14" s="525" t="s">
        <v>564</v>
      </c>
      <c r="AB14" s="525" t="s">
        <v>564</v>
      </c>
      <c r="AC14" s="477" t="e">
        <f t="shared" si="7"/>
        <v>#VALUE!</v>
      </c>
      <c r="AD14" s="727"/>
      <c r="AE14" s="523" t="s">
        <v>564</v>
      </c>
      <c r="AF14" s="525" t="s">
        <v>564</v>
      </c>
      <c r="AG14" s="525" t="s">
        <v>564</v>
      </c>
      <c r="AH14" s="477" t="e">
        <f t="shared" si="9"/>
        <v>#VALUE!</v>
      </c>
      <c r="AI14" s="727"/>
      <c r="AJ14" s="523" t="s">
        <v>564</v>
      </c>
      <c r="AK14" s="525" t="s">
        <v>564</v>
      </c>
      <c r="AL14" s="525" t="s">
        <v>564</v>
      </c>
      <c r="AM14" s="477" t="e">
        <f t="shared" si="11"/>
        <v>#VALUE!</v>
      </c>
      <c r="AN14" s="727"/>
      <c r="AO14" s="523" t="s">
        <v>564</v>
      </c>
      <c r="AP14" s="525" t="s">
        <v>564</v>
      </c>
      <c r="AQ14" s="525" t="s">
        <v>564</v>
      </c>
      <c r="AR14" s="477" t="e">
        <f t="shared" si="13"/>
        <v>#VALUE!</v>
      </c>
      <c r="AS14" s="727"/>
      <c r="AT14" s="523" t="s">
        <v>564</v>
      </c>
      <c r="AU14" s="525" t="s">
        <v>564</v>
      </c>
      <c r="AV14" s="525" t="s">
        <v>564</v>
      </c>
      <c r="AW14" s="477" t="e">
        <f t="shared" si="15"/>
        <v>#VALUE!</v>
      </c>
      <c r="AX14" s="727"/>
      <c r="AZ14" s="359" t="e">
        <f t="shared" si="17"/>
        <v>#N/A</v>
      </c>
      <c r="BA14" s="727"/>
    </row>
    <row r="15" spans="1:53" ht="14.25">
      <c r="A15" s="81"/>
      <c r="B15" s="692"/>
      <c r="C15" s="495">
        <v>9</v>
      </c>
      <c r="D15" s="220"/>
      <c r="E15" s="518"/>
      <c r="F15" s="516"/>
      <c r="G15" s="517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23" t="s">
        <v>564</v>
      </c>
      <c r="Q15" s="525" t="s">
        <v>564</v>
      </c>
      <c r="R15" s="525" t="s">
        <v>564</v>
      </c>
      <c r="S15" s="477" t="e">
        <f t="shared" si="3"/>
        <v>#VALUE!</v>
      </c>
      <c r="T15" s="727"/>
      <c r="U15" s="523" t="s">
        <v>564</v>
      </c>
      <c r="V15" s="525" t="s">
        <v>564</v>
      </c>
      <c r="W15" s="525" t="s">
        <v>564</v>
      </c>
      <c r="X15" s="477" t="e">
        <f t="shared" si="5"/>
        <v>#VALUE!</v>
      </c>
      <c r="Y15" s="727"/>
      <c r="Z15" s="523" t="s">
        <v>564</v>
      </c>
      <c r="AA15" s="525" t="s">
        <v>564</v>
      </c>
      <c r="AB15" s="525" t="s">
        <v>564</v>
      </c>
      <c r="AC15" s="477" t="e">
        <f t="shared" si="7"/>
        <v>#VALUE!</v>
      </c>
      <c r="AD15" s="727"/>
      <c r="AE15" s="523" t="s">
        <v>564</v>
      </c>
      <c r="AF15" s="525" t="s">
        <v>564</v>
      </c>
      <c r="AG15" s="525" t="s">
        <v>564</v>
      </c>
      <c r="AH15" s="477" t="e">
        <f t="shared" si="9"/>
        <v>#VALUE!</v>
      </c>
      <c r="AI15" s="727"/>
      <c r="AJ15" s="523" t="s">
        <v>564</v>
      </c>
      <c r="AK15" s="525" t="s">
        <v>564</v>
      </c>
      <c r="AL15" s="525" t="s">
        <v>564</v>
      </c>
      <c r="AM15" s="477" t="e">
        <f t="shared" si="11"/>
        <v>#VALUE!</v>
      </c>
      <c r="AN15" s="727"/>
      <c r="AO15" s="523" t="s">
        <v>564</v>
      </c>
      <c r="AP15" s="525" t="s">
        <v>564</v>
      </c>
      <c r="AQ15" s="525" t="s">
        <v>564</v>
      </c>
      <c r="AR15" s="477" t="e">
        <f t="shared" si="13"/>
        <v>#VALUE!</v>
      </c>
      <c r="AS15" s="727"/>
      <c r="AT15" s="523" t="s">
        <v>564</v>
      </c>
      <c r="AU15" s="525" t="s">
        <v>564</v>
      </c>
      <c r="AV15" s="525" t="s">
        <v>564</v>
      </c>
      <c r="AW15" s="477" t="e">
        <f t="shared" si="15"/>
        <v>#VALUE!</v>
      </c>
      <c r="AX15" s="727"/>
      <c r="AZ15" s="359" t="e">
        <f t="shared" si="17"/>
        <v>#N/A</v>
      </c>
      <c r="BA15" s="727"/>
    </row>
    <row r="16" spans="1:53" ht="14.25">
      <c r="A16" s="81"/>
      <c r="B16" s="692"/>
      <c r="C16" s="495">
        <v>10</v>
      </c>
      <c r="D16" s="220"/>
      <c r="E16" s="518"/>
      <c r="F16" s="516"/>
      <c r="G16" s="517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23" t="s">
        <v>564</v>
      </c>
      <c r="Q16" s="525" t="s">
        <v>564</v>
      </c>
      <c r="R16" s="525" t="s">
        <v>564</v>
      </c>
      <c r="S16" s="477" t="e">
        <f t="shared" si="3"/>
        <v>#VALUE!</v>
      </c>
      <c r="T16" s="727"/>
      <c r="U16" s="523" t="s">
        <v>564</v>
      </c>
      <c r="V16" s="525" t="s">
        <v>564</v>
      </c>
      <c r="W16" s="525" t="s">
        <v>564</v>
      </c>
      <c r="X16" s="477" t="e">
        <f t="shared" si="5"/>
        <v>#VALUE!</v>
      </c>
      <c r="Y16" s="727"/>
      <c r="Z16" s="523" t="s">
        <v>564</v>
      </c>
      <c r="AA16" s="525" t="s">
        <v>564</v>
      </c>
      <c r="AB16" s="525" t="s">
        <v>564</v>
      </c>
      <c r="AC16" s="477" t="e">
        <f t="shared" si="7"/>
        <v>#VALUE!</v>
      </c>
      <c r="AD16" s="727"/>
      <c r="AE16" s="523" t="s">
        <v>564</v>
      </c>
      <c r="AF16" s="525" t="s">
        <v>564</v>
      </c>
      <c r="AG16" s="525" t="s">
        <v>564</v>
      </c>
      <c r="AH16" s="477" t="e">
        <f t="shared" si="9"/>
        <v>#VALUE!</v>
      </c>
      <c r="AI16" s="727"/>
      <c r="AJ16" s="523" t="s">
        <v>564</v>
      </c>
      <c r="AK16" s="525" t="s">
        <v>564</v>
      </c>
      <c r="AL16" s="525" t="s">
        <v>564</v>
      </c>
      <c r="AM16" s="477" t="e">
        <f t="shared" si="11"/>
        <v>#VALUE!</v>
      </c>
      <c r="AN16" s="727"/>
      <c r="AO16" s="523" t="s">
        <v>564</v>
      </c>
      <c r="AP16" s="525" t="s">
        <v>564</v>
      </c>
      <c r="AQ16" s="525" t="s">
        <v>564</v>
      </c>
      <c r="AR16" s="477" t="e">
        <f t="shared" si="13"/>
        <v>#VALUE!</v>
      </c>
      <c r="AS16" s="727"/>
      <c r="AT16" s="523" t="s">
        <v>564</v>
      </c>
      <c r="AU16" s="525" t="s">
        <v>564</v>
      </c>
      <c r="AV16" s="525" t="s">
        <v>564</v>
      </c>
      <c r="AW16" s="477" t="e">
        <f t="shared" si="15"/>
        <v>#VALUE!</v>
      </c>
      <c r="AX16" s="727"/>
      <c r="AZ16" s="359" t="e">
        <f t="shared" si="17"/>
        <v>#N/A</v>
      </c>
      <c r="BA16" s="727"/>
    </row>
    <row r="17" spans="2:53">
      <c r="B17" s="692"/>
      <c r="C17" s="495">
        <v>11</v>
      </c>
      <c r="D17" s="220"/>
      <c r="E17" s="518"/>
      <c r="F17" s="516"/>
      <c r="G17" s="517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23" t="s">
        <v>564</v>
      </c>
      <c r="Q17" s="525" t="s">
        <v>564</v>
      </c>
      <c r="R17" s="525" t="s">
        <v>564</v>
      </c>
      <c r="S17" s="477" t="e">
        <f t="shared" si="3"/>
        <v>#VALUE!</v>
      </c>
      <c r="T17" s="727"/>
      <c r="U17" s="523" t="s">
        <v>564</v>
      </c>
      <c r="V17" s="525" t="s">
        <v>564</v>
      </c>
      <c r="W17" s="525" t="s">
        <v>564</v>
      </c>
      <c r="X17" s="477" t="e">
        <f t="shared" si="5"/>
        <v>#VALUE!</v>
      </c>
      <c r="Y17" s="727"/>
      <c r="Z17" s="523" t="s">
        <v>564</v>
      </c>
      <c r="AA17" s="525" t="s">
        <v>564</v>
      </c>
      <c r="AB17" s="525" t="s">
        <v>564</v>
      </c>
      <c r="AC17" s="477" t="e">
        <f t="shared" si="7"/>
        <v>#VALUE!</v>
      </c>
      <c r="AD17" s="727"/>
      <c r="AE17" s="523" t="s">
        <v>564</v>
      </c>
      <c r="AF17" s="525" t="s">
        <v>564</v>
      </c>
      <c r="AG17" s="525" t="s">
        <v>564</v>
      </c>
      <c r="AH17" s="477" t="e">
        <f t="shared" si="9"/>
        <v>#VALUE!</v>
      </c>
      <c r="AI17" s="727"/>
      <c r="AJ17" s="523" t="s">
        <v>564</v>
      </c>
      <c r="AK17" s="525" t="s">
        <v>564</v>
      </c>
      <c r="AL17" s="525" t="s">
        <v>564</v>
      </c>
      <c r="AM17" s="477" t="e">
        <f t="shared" si="11"/>
        <v>#VALUE!</v>
      </c>
      <c r="AN17" s="727"/>
      <c r="AO17" s="523" t="s">
        <v>564</v>
      </c>
      <c r="AP17" s="525" t="s">
        <v>564</v>
      </c>
      <c r="AQ17" s="525" t="s">
        <v>564</v>
      </c>
      <c r="AR17" s="477" t="e">
        <f t="shared" si="13"/>
        <v>#VALUE!</v>
      </c>
      <c r="AS17" s="727"/>
      <c r="AT17" s="523" t="s">
        <v>564</v>
      </c>
      <c r="AU17" s="525" t="s">
        <v>564</v>
      </c>
      <c r="AV17" s="525" t="s">
        <v>564</v>
      </c>
      <c r="AW17" s="477" t="e">
        <f t="shared" si="15"/>
        <v>#VALUE!</v>
      </c>
      <c r="AX17" s="727"/>
      <c r="AZ17" s="359" t="e">
        <f t="shared" si="17"/>
        <v>#N/A</v>
      </c>
      <c r="BA17" s="727"/>
    </row>
    <row r="18" spans="2:53">
      <c r="B18" s="692"/>
      <c r="C18" s="495">
        <v>12</v>
      </c>
      <c r="D18" s="220"/>
      <c r="E18" s="518"/>
      <c r="F18" s="516"/>
      <c r="G18" s="517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23" t="s">
        <v>564</v>
      </c>
      <c r="Q18" s="525" t="s">
        <v>564</v>
      </c>
      <c r="R18" s="525" t="s">
        <v>564</v>
      </c>
      <c r="S18" s="477" t="e">
        <f t="shared" si="3"/>
        <v>#VALUE!</v>
      </c>
      <c r="T18" s="727"/>
      <c r="U18" s="523" t="s">
        <v>564</v>
      </c>
      <c r="V18" s="525" t="s">
        <v>564</v>
      </c>
      <c r="W18" s="525" t="s">
        <v>564</v>
      </c>
      <c r="X18" s="477" t="e">
        <f t="shared" si="5"/>
        <v>#VALUE!</v>
      </c>
      <c r="Y18" s="727"/>
      <c r="Z18" s="523" t="s">
        <v>564</v>
      </c>
      <c r="AA18" s="525" t="s">
        <v>564</v>
      </c>
      <c r="AB18" s="525" t="s">
        <v>564</v>
      </c>
      <c r="AC18" s="477" t="e">
        <f t="shared" si="7"/>
        <v>#VALUE!</v>
      </c>
      <c r="AD18" s="727"/>
      <c r="AE18" s="523" t="s">
        <v>564</v>
      </c>
      <c r="AF18" s="525" t="s">
        <v>564</v>
      </c>
      <c r="AG18" s="525" t="s">
        <v>564</v>
      </c>
      <c r="AH18" s="477" t="e">
        <f t="shared" si="9"/>
        <v>#VALUE!</v>
      </c>
      <c r="AI18" s="727"/>
      <c r="AJ18" s="523" t="s">
        <v>564</v>
      </c>
      <c r="AK18" s="525" t="s">
        <v>564</v>
      </c>
      <c r="AL18" s="525" t="s">
        <v>564</v>
      </c>
      <c r="AM18" s="477" t="e">
        <f t="shared" si="11"/>
        <v>#VALUE!</v>
      </c>
      <c r="AN18" s="727"/>
      <c r="AO18" s="523" t="s">
        <v>564</v>
      </c>
      <c r="AP18" s="525" t="s">
        <v>564</v>
      </c>
      <c r="AQ18" s="525" t="s">
        <v>564</v>
      </c>
      <c r="AR18" s="477" t="e">
        <f t="shared" si="13"/>
        <v>#VALUE!</v>
      </c>
      <c r="AS18" s="727"/>
      <c r="AT18" s="523" t="s">
        <v>564</v>
      </c>
      <c r="AU18" s="525" t="s">
        <v>564</v>
      </c>
      <c r="AV18" s="525" t="s">
        <v>564</v>
      </c>
      <c r="AW18" s="477" t="e">
        <f t="shared" si="15"/>
        <v>#VALUE!</v>
      </c>
      <c r="AX18" s="727"/>
      <c r="AZ18" s="359" t="e">
        <f t="shared" si="17"/>
        <v>#N/A</v>
      </c>
      <c r="BA18" s="727"/>
    </row>
    <row r="19" spans="2:53">
      <c r="B19" s="692"/>
      <c r="C19" s="495">
        <v>13</v>
      </c>
      <c r="D19" s="220"/>
      <c r="E19" s="518"/>
      <c r="F19" s="516"/>
      <c r="G19" s="517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23" t="s">
        <v>564</v>
      </c>
      <c r="Q19" s="525" t="s">
        <v>564</v>
      </c>
      <c r="R19" s="525" t="s">
        <v>564</v>
      </c>
      <c r="S19" s="477" t="e">
        <f t="shared" si="3"/>
        <v>#VALUE!</v>
      </c>
      <c r="T19" s="727"/>
      <c r="U19" s="523" t="s">
        <v>564</v>
      </c>
      <c r="V19" s="525" t="s">
        <v>564</v>
      </c>
      <c r="W19" s="525" t="s">
        <v>564</v>
      </c>
      <c r="X19" s="477" t="e">
        <f t="shared" si="5"/>
        <v>#VALUE!</v>
      </c>
      <c r="Y19" s="727"/>
      <c r="Z19" s="523" t="s">
        <v>564</v>
      </c>
      <c r="AA19" s="525" t="s">
        <v>564</v>
      </c>
      <c r="AB19" s="525" t="s">
        <v>564</v>
      </c>
      <c r="AC19" s="477" t="e">
        <f t="shared" si="7"/>
        <v>#VALUE!</v>
      </c>
      <c r="AD19" s="727"/>
      <c r="AE19" s="523" t="s">
        <v>564</v>
      </c>
      <c r="AF19" s="525" t="s">
        <v>564</v>
      </c>
      <c r="AG19" s="525" t="s">
        <v>564</v>
      </c>
      <c r="AH19" s="477" t="e">
        <f t="shared" si="9"/>
        <v>#VALUE!</v>
      </c>
      <c r="AI19" s="727"/>
      <c r="AJ19" s="523" t="s">
        <v>564</v>
      </c>
      <c r="AK19" s="525" t="s">
        <v>564</v>
      </c>
      <c r="AL19" s="525" t="s">
        <v>564</v>
      </c>
      <c r="AM19" s="477" t="e">
        <f t="shared" si="11"/>
        <v>#VALUE!</v>
      </c>
      <c r="AN19" s="727"/>
      <c r="AO19" s="523" t="s">
        <v>564</v>
      </c>
      <c r="AP19" s="525" t="s">
        <v>564</v>
      </c>
      <c r="AQ19" s="525" t="s">
        <v>564</v>
      </c>
      <c r="AR19" s="477" t="e">
        <f t="shared" si="13"/>
        <v>#VALUE!</v>
      </c>
      <c r="AS19" s="727"/>
      <c r="AT19" s="523" t="s">
        <v>564</v>
      </c>
      <c r="AU19" s="525" t="s">
        <v>564</v>
      </c>
      <c r="AV19" s="525" t="s">
        <v>564</v>
      </c>
      <c r="AW19" s="477" t="e">
        <f t="shared" si="15"/>
        <v>#VALUE!</v>
      </c>
      <c r="AX19" s="727"/>
      <c r="AZ19" s="359" t="e">
        <f t="shared" si="17"/>
        <v>#N/A</v>
      </c>
      <c r="BA19" s="727"/>
    </row>
    <row r="20" spans="2:53">
      <c r="B20" s="692"/>
      <c r="C20" s="495">
        <v>14</v>
      </c>
      <c r="D20" s="220"/>
      <c r="E20" s="518"/>
      <c r="F20" s="516"/>
      <c r="G20" s="517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23" t="s">
        <v>564</v>
      </c>
      <c r="Q20" s="525" t="s">
        <v>564</v>
      </c>
      <c r="R20" s="525" t="s">
        <v>564</v>
      </c>
      <c r="S20" s="477" t="e">
        <f t="shared" si="3"/>
        <v>#VALUE!</v>
      </c>
      <c r="T20" s="727"/>
      <c r="U20" s="523" t="s">
        <v>564</v>
      </c>
      <c r="V20" s="525" t="s">
        <v>564</v>
      </c>
      <c r="W20" s="525" t="s">
        <v>564</v>
      </c>
      <c r="X20" s="477" t="e">
        <f t="shared" si="5"/>
        <v>#VALUE!</v>
      </c>
      <c r="Y20" s="727"/>
      <c r="Z20" s="523" t="s">
        <v>564</v>
      </c>
      <c r="AA20" s="525" t="s">
        <v>564</v>
      </c>
      <c r="AB20" s="525" t="s">
        <v>564</v>
      </c>
      <c r="AC20" s="477" t="e">
        <f t="shared" si="7"/>
        <v>#VALUE!</v>
      </c>
      <c r="AD20" s="727"/>
      <c r="AE20" s="523" t="s">
        <v>564</v>
      </c>
      <c r="AF20" s="525" t="s">
        <v>564</v>
      </c>
      <c r="AG20" s="525" t="s">
        <v>564</v>
      </c>
      <c r="AH20" s="477" t="e">
        <f t="shared" si="9"/>
        <v>#VALUE!</v>
      </c>
      <c r="AI20" s="727"/>
      <c r="AJ20" s="523" t="s">
        <v>564</v>
      </c>
      <c r="AK20" s="525" t="s">
        <v>564</v>
      </c>
      <c r="AL20" s="525" t="s">
        <v>564</v>
      </c>
      <c r="AM20" s="477" t="e">
        <f t="shared" si="11"/>
        <v>#VALUE!</v>
      </c>
      <c r="AN20" s="727"/>
      <c r="AO20" s="523" t="s">
        <v>564</v>
      </c>
      <c r="AP20" s="525" t="s">
        <v>564</v>
      </c>
      <c r="AQ20" s="525" t="s">
        <v>564</v>
      </c>
      <c r="AR20" s="477" t="e">
        <f t="shared" si="13"/>
        <v>#VALUE!</v>
      </c>
      <c r="AS20" s="727"/>
      <c r="AT20" s="523" t="s">
        <v>564</v>
      </c>
      <c r="AU20" s="525" t="s">
        <v>564</v>
      </c>
      <c r="AV20" s="525" t="s">
        <v>564</v>
      </c>
      <c r="AW20" s="477" t="e">
        <f t="shared" si="15"/>
        <v>#VALUE!</v>
      </c>
      <c r="AX20" s="727"/>
      <c r="AZ20" s="359" t="e">
        <f t="shared" si="17"/>
        <v>#N/A</v>
      </c>
      <c r="BA20" s="727"/>
    </row>
    <row r="21" spans="2:53">
      <c r="B21" s="692"/>
      <c r="C21" s="495">
        <v>15</v>
      </c>
      <c r="D21" s="220"/>
      <c r="E21" s="518"/>
      <c r="F21" s="516"/>
      <c r="G21" s="517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23" t="s">
        <v>564</v>
      </c>
      <c r="Q21" s="525" t="s">
        <v>564</v>
      </c>
      <c r="R21" s="525" t="s">
        <v>564</v>
      </c>
      <c r="S21" s="477" t="e">
        <f t="shared" si="3"/>
        <v>#VALUE!</v>
      </c>
      <c r="T21" s="728"/>
      <c r="U21" s="523" t="s">
        <v>564</v>
      </c>
      <c r="V21" s="525" t="s">
        <v>564</v>
      </c>
      <c r="W21" s="525" t="s">
        <v>564</v>
      </c>
      <c r="X21" s="477" t="e">
        <f t="shared" si="5"/>
        <v>#VALUE!</v>
      </c>
      <c r="Y21" s="728"/>
      <c r="Z21" s="523" t="s">
        <v>564</v>
      </c>
      <c r="AA21" s="525" t="s">
        <v>564</v>
      </c>
      <c r="AB21" s="525" t="s">
        <v>564</v>
      </c>
      <c r="AC21" s="477" t="e">
        <f t="shared" si="7"/>
        <v>#VALUE!</v>
      </c>
      <c r="AD21" s="728"/>
      <c r="AE21" s="523" t="s">
        <v>564</v>
      </c>
      <c r="AF21" s="525" t="s">
        <v>564</v>
      </c>
      <c r="AG21" s="525" t="s">
        <v>564</v>
      </c>
      <c r="AH21" s="477" t="e">
        <f t="shared" si="9"/>
        <v>#VALUE!</v>
      </c>
      <c r="AI21" s="728"/>
      <c r="AJ21" s="523" t="s">
        <v>564</v>
      </c>
      <c r="AK21" s="525" t="s">
        <v>564</v>
      </c>
      <c r="AL21" s="525" t="s">
        <v>564</v>
      </c>
      <c r="AM21" s="477" t="e">
        <f t="shared" si="11"/>
        <v>#VALUE!</v>
      </c>
      <c r="AN21" s="728"/>
      <c r="AO21" s="523" t="s">
        <v>564</v>
      </c>
      <c r="AP21" s="525" t="s">
        <v>564</v>
      </c>
      <c r="AQ21" s="525" t="s">
        <v>564</v>
      </c>
      <c r="AR21" s="477" t="e">
        <f t="shared" si="13"/>
        <v>#VALUE!</v>
      </c>
      <c r="AS21" s="728"/>
      <c r="AT21" s="523" t="s">
        <v>564</v>
      </c>
      <c r="AU21" s="525" t="s">
        <v>564</v>
      </c>
      <c r="AV21" s="525" t="s">
        <v>564</v>
      </c>
      <c r="AW21" s="477" t="e">
        <f t="shared" si="15"/>
        <v>#VALUE!</v>
      </c>
      <c r="AX21" s="728"/>
      <c r="AZ21" s="359" t="e">
        <f t="shared" si="17"/>
        <v>#N/A</v>
      </c>
      <c r="BA21" s="72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362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528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374</v>
      </c>
      <c r="C27" s="369">
        <v>1</v>
      </c>
      <c r="D27" s="220" t="s">
        <v>566</v>
      </c>
      <c r="E27" s="518">
        <v>17</v>
      </c>
      <c r="F27" s="516">
        <v>1565</v>
      </c>
      <c r="G27" s="517">
        <v>92.058823529411768</v>
      </c>
      <c r="H27" s="702">
        <f>AVERAGE(G27:G41)</f>
        <v>89.547152194211023</v>
      </c>
      <c r="I27" s="370">
        <f t="shared" ref="I27:I40" si="19">IFERROR(AVERAGE(P27,U27,Z27,AE27,AJ27,AO27,AT27),"-")</f>
        <v>17</v>
      </c>
      <c r="J27" s="370">
        <f t="shared" ref="J27:J40" si="20">IFERROR(AVERAGE(Q27,V27,AA27,AF27,AK27,AP27,AU27),"-")</f>
        <v>1445.8596387845687</v>
      </c>
      <c r="K27" s="194">
        <f t="shared" ref="K27:K40" si="21">IFERROR(AVERAGE(R27,W27,AB27,AG27,AL27,AQ27,AV27),"-")</f>
        <v>85.050566987327556</v>
      </c>
      <c r="L27" s="644">
        <f>IFERROR(AVERAGE(K27:K41),"-")</f>
        <v>80.939539542757799</v>
      </c>
      <c r="M27" s="373">
        <f>RANK(K27, K$24:$K$41)</f>
        <v>1</v>
      </c>
      <c r="N27" s="663"/>
      <c r="O27" s="663"/>
      <c r="P27" s="541">
        <v>17</v>
      </c>
      <c r="Q27" s="542">
        <v>1448.0883720930233</v>
      </c>
      <c r="R27" s="542">
        <v>85.181668946648429</v>
      </c>
      <c r="S27" s="541">
        <f t="shared" ref="S27:S41" si="22">RANK(R27, R$27:R$41)</f>
        <v>2</v>
      </c>
      <c r="T27" s="672">
        <f t="shared" ref="T27" si="23">AVERAGE(R27:R41)</f>
        <v>81.17520697388467</v>
      </c>
      <c r="U27" s="541">
        <v>17</v>
      </c>
      <c r="V27" s="542">
        <v>1458.695652173913</v>
      </c>
      <c r="W27" s="542">
        <v>85.805626598465466</v>
      </c>
      <c r="X27" s="541">
        <f t="shared" ref="X27:X41" si="24">RANK(W27, W$27:W$41)</f>
        <v>1</v>
      </c>
      <c r="Y27" s="672">
        <f t="shared" ref="Y27" si="25">AVERAGE(W27:W41)</f>
        <v>80.676046954356138</v>
      </c>
      <c r="Z27" s="541">
        <v>17</v>
      </c>
      <c r="AA27" s="542">
        <v>1432.588235294118</v>
      </c>
      <c r="AB27" s="542">
        <v>84.269896193771643</v>
      </c>
      <c r="AC27" s="541">
        <f t="shared" ref="AC27:AC41" si="26">RANK(AB27, AB$27:AB$41)</f>
        <v>2</v>
      </c>
      <c r="AD27" s="672">
        <f t="shared" ref="AD27" si="27">AVERAGE(AB27:AB41)</f>
        <v>80.778219050668469</v>
      </c>
      <c r="AE27" s="541">
        <v>17</v>
      </c>
      <c r="AF27" s="542">
        <v>1449.1836734693882</v>
      </c>
      <c r="AG27" s="542">
        <v>85.246098439375771</v>
      </c>
      <c r="AH27" s="541">
        <f t="shared" ref="AH27:AH41" si="28">RANK(AG27, AG$27:AG$41)</f>
        <v>2</v>
      </c>
      <c r="AI27" s="672">
        <f t="shared" ref="AI27" si="29">AVERAGE(AG27:AG41)</f>
        <v>80.758108968442698</v>
      </c>
      <c r="AJ27" s="541">
        <v>17</v>
      </c>
      <c r="AK27" s="542">
        <v>1434.4615384615388</v>
      </c>
      <c r="AL27" s="542">
        <v>84.380090497737569</v>
      </c>
      <c r="AM27" s="541">
        <f t="shared" ref="AM27:AM41" si="30">RANK(AL27, AL$27:AL$41)</f>
        <v>3</v>
      </c>
      <c r="AN27" s="672">
        <f t="shared" ref="AN27" si="31">AVERAGE(AL27:AL41)</f>
        <v>80.670465583261048</v>
      </c>
      <c r="AO27" s="541">
        <v>17</v>
      </c>
      <c r="AP27" s="542">
        <v>1449.9999999999995</v>
      </c>
      <c r="AQ27" s="542">
        <v>85.294117647058798</v>
      </c>
      <c r="AR27" s="541">
        <f t="shared" ref="AR27:AR41" si="32">RANK(AQ27, AQ$27:AQ$41)</f>
        <v>3</v>
      </c>
      <c r="AS27" s="672">
        <f t="shared" ref="AS27" si="33">AVERAGE(AQ27:AQ41)</f>
        <v>81.526314511777812</v>
      </c>
      <c r="AT27" s="541">
        <v>17</v>
      </c>
      <c r="AU27" s="542">
        <v>1448.0000000000002</v>
      </c>
      <c r="AV27" s="542">
        <v>85.176470588235304</v>
      </c>
      <c r="AW27" s="541">
        <f t="shared" ref="AW27:AW41" si="34">RANK(AV27, AV$27:AV$41)</f>
        <v>2</v>
      </c>
      <c r="AX27" s="672">
        <f t="shared" ref="AX27" si="35">AVERAGE(AV27:AV41)</f>
        <v>80.992414756913803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587</v>
      </c>
      <c r="E28" s="518">
        <v>18</v>
      </c>
      <c r="F28" s="516">
        <v>1565</v>
      </c>
      <c r="G28" s="517">
        <v>86.944444444444443</v>
      </c>
      <c r="H28" s="703"/>
      <c r="I28" s="370">
        <f t="shared" si="19"/>
        <v>18</v>
      </c>
      <c r="J28" s="370">
        <f t="shared" si="20"/>
        <v>1434.1592992991116</v>
      </c>
      <c r="K28" s="194">
        <f t="shared" si="21"/>
        <v>79.675516627728413</v>
      </c>
      <c r="L28" s="645"/>
      <c r="M28" s="376">
        <f>RANK(K28, K$24:$K$41)</f>
        <v>4</v>
      </c>
      <c r="N28" s="663"/>
      <c r="O28" s="663"/>
      <c r="P28" s="541">
        <v>18</v>
      </c>
      <c r="Q28" s="542">
        <v>1432.8358208955224</v>
      </c>
      <c r="R28" s="542">
        <v>79.601990049751237</v>
      </c>
      <c r="S28" s="541">
        <f t="shared" si="22"/>
        <v>4</v>
      </c>
      <c r="T28" s="673"/>
      <c r="U28" s="541">
        <v>18</v>
      </c>
      <c r="V28" s="542">
        <v>1430.9999999999993</v>
      </c>
      <c r="W28" s="542">
        <v>79.499999999999957</v>
      </c>
      <c r="X28" s="541">
        <f t="shared" si="24"/>
        <v>4</v>
      </c>
      <c r="Y28" s="673"/>
      <c r="Z28" s="541">
        <v>18</v>
      </c>
      <c r="AA28" s="542">
        <v>1442.7169811320762</v>
      </c>
      <c r="AB28" s="542">
        <v>80.150943396226452</v>
      </c>
      <c r="AC28" s="541">
        <f t="shared" si="26"/>
        <v>4</v>
      </c>
      <c r="AD28" s="673"/>
      <c r="AE28" s="541">
        <v>18</v>
      </c>
      <c r="AF28" s="542">
        <v>1427.7073170731701</v>
      </c>
      <c r="AG28" s="542">
        <v>79.317073170731675</v>
      </c>
      <c r="AH28" s="541">
        <f t="shared" si="28"/>
        <v>4</v>
      </c>
      <c r="AI28" s="673"/>
      <c r="AJ28" s="541">
        <v>18</v>
      </c>
      <c r="AK28" s="542">
        <v>1424.2499999999993</v>
      </c>
      <c r="AL28" s="542">
        <v>79.124999999999957</v>
      </c>
      <c r="AM28" s="541">
        <f t="shared" si="30"/>
        <v>5</v>
      </c>
      <c r="AN28" s="673"/>
      <c r="AO28" s="541">
        <v>18</v>
      </c>
      <c r="AP28" s="542">
        <v>1454.2758620689644</v>
      </c>
      <c r="AQ28" s="542">
        <v>80.793103448275801</v>
      </c>
      <c r="AR28" s="541">
        <f t="shared" si="32"/>
        <v>4</v>
      </c>
      <c r="AS28" s="673"/>
      <c r="AT28" s="541">
        <v>18</v>
      </c>
      <c r="AU28" s="542">
        <v>1426.32911392405</v>
      </c>
      <c r="AV28" s="542">
        <v>79.240506329113884</v>
      </c>
      <c r="AW28" s="541">
        <f t="shared" si="34"/>
        <v>5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592</v>
      </c>
      <c r="E29" s="518">
        <v>17</v>
      </c>
      <c r="F29" s="516">
        <v>1565</v>
      </c>
      <c r="G29" s="517">
        <v>92.058823529411768</v>
      </c>
      <c r="H29" s="703"/>
      <c r="I29" s="370">
        <f t="shared" si="19"/>
        <v>17</v>
      </c>
      <c r="J29" s="370">
        <f t="shared" si="20"/>
        <v>1438.9696291473176</v>
      </c>
      <c r="K29" s="194">
        <f t="shared" si="21"/>
        <v>84.645272302783383</v>
      </c>
      <c r="L29" s="645"/>
      <c r="M29" s="376">
        <f>RANK(K29, K$24:$K$41)</f>
        <v>3</v>
      </c>
      <c r="N29" s="663"/>
      <c r="O29" s="663"/>
      <c r="P29" s="541">
        <v>17</v>
      </c>
      <c r="Q29" s="542">
        <v>1454.794520547945</v>
      </c>
      <c r="R29" s="542">
        <v>85.576148267526179</v>
      </c>
      <c r="S29" s="541">
        <f t="shared" si="22"/>
        <v>1</v>
      </c>
      <c r="T29" s="673"/>
      <c r="U29" s="541">
        <v>17</v>
      </c>
      <c r="V29" s="542">
        <v>1419.4285714285718</v>
      </c>
      <c r="W29" s="542">
        <v>83.495798319327747</v>
      </c>
      <c r="X29" s="541">
        <f t="shared" si="24"/>
        <v>3</v>
      </c>
      <c r="Y29" s="673"/>
      <c r="Z29" s="541">
        <v>17</v>
      </c>
      <c r="AA29" s="542">
        <v>1430.3225806451608</v>
      </c>
      <c r="AB29" s="542">
        <v>84.136622390891816</v>
      </c>
      <c r="AC29" s="541">
        <f t="shared" si="26"/>
        <v>3</v>
      </c>
      <c r="AD29" s="673"/>
      <c r="AE29" s="541">
        <v>17</v>
      </c>
      <c r="AF29" s="542">
        <v>1424.9999999999995</v>
      </c>
      <c r="AG29" s="542">
        <v>83.823529411764682</v>
      </c>
      <c r="AH29" s="541">
        <f t="shared" si="28"/>
        <v>3</v>
      </c>
      <c r="AI29" s="673"/>
      <c r="AJ29" s="541">
        <v>17</v>
      </c>
      <c r="AK29" s="542">
        <v>1437.7358490566035</v>
      </c>
      <c r="AL29" s="542">
        <v>84.572697003329608</v>
      </c>
      <c r="AM29" s="541">
        <f t="shared" si="30"/>
        <v>2</v>
      </c>
      <c r="AN29" s="673"/>
      <c r="AO29" s="541">
        <v>17</v>
      </c>
      <c r="AP29" s="542">
        <v>1452.7999999999997</v>
      </c>
      <c r="AQ29" s="542">
        <v>85.458823529411745</v>
      </c>
      <c r="AR29" s="541">
        <f t="shared" si="32"/>
        <v>2</v>
      </c>
      <c r="AS29" s="673"/>
      <c r="AT29" s="541">
        <v>17</v>
      </c>
      <c r="AU29" s="542">
        <v>1452.7058823529414</v>
      </c>
      <c r="AV29" s="542">
        <v>85.453287197231845</v>
      </c>
      <c r="AW29" s="541">
        <f t="shared" si="34"/>
        <v>1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654</v>
      </c>
      <c r="E30" s="518">
        <v>17</v>
      </c>
      <c r="F30" s="516">
        <v>1565</v>
      </c>
      <c r="G30" s="517">
        <v>92.058823529411768</v>
      </c>
      <c r="H30" s="703"/>
      <c r="I30" s="370">
        <f t="shared" si="19"/>
        <v>17</v>
      </c>
      <c r="J30" s="370">
        <f t="shared" si="20"/>
        <v>1322.9918539545822</v>
      </c>
      <c r="K30" s="194">
        <f t="shared" si="21"/>
        <v>77.823050232622492</v>
      </c>
      <c r="L30" s="645"/>
      <c r="M30" s="376">
        <f>RANK(K30, K$24:$K$41)</f>
        <v>6</v>
      </c>
      <c r="N30" s="663"/>
      <c r="O30" s="663"/>
      <c r="P30" s="541">
        <v>17</v>
      </c>
      <c r="Q30" s="542">
        <v>1339.7260273972606</v>
      </c>
      <c r="R30" s="542">
        <v>78.807413376309455</v>
      </c>
      <c r="S30" s="541">
        <f t="shared" si="22"/>
        <v>5</v>
      </c>
      <c r="T30" s="673"/>
      <c r="U30" s="541">
        <v>17</v>
      </c>
      <c r="V30" s="542">
        <v>1325.7142857142856</v>
      </c>
      <c r="W30" s="542">
        <v>77.983193277310917</v>
      </c>
      <c r="X30" s="541">
        <f t="shared" si="24"/>
        <v>5</v>
      </c>
      <c r="Y30" s="673"/>
      <c r="Z30" s="541">
        <v>17</v>
      </c>
      <c r="AA30" s="542">
        <v>1315.8620689655174</v>
      </c>
      <c r="AB30" s="542">
        <v>77.403651115618672</v>
      </c>
      <c r="AC30" s="541">
        <f t="shared" si="26"/>
        <v>6</v>
      </c>
      <c r="AD30" s="673"/>
      <c r="AE30" s="541">
        <v>17</v>
      </c>
      <c r="AF30" s="542">
        <v>1328.3720930232557</v>
      </c>
      <c r="AG30" s="542">
        <v>78.139534883720927</v>
      </c>
      <c r="AH30" s="541">
        <f t="shared" si="28"/>
        <v>6</v>
      </c>
      <c r="AI30" s="673"/>
      <c r="AJ30" s="541">
        <v>17</v>
      </c>
      <c r="AK30" s="542">
        <v>1305</v>
      </c>
      <c r="AL30" s="542">
        <v>76.764705882352942</v>
      </c>
      <c r="AM30" s="541">
        <f t="shared" si="30"/>
        <v>6</v>
      </c>
      <c r="AN30" s="673"/>
      <c r="AO30" s="541">
        <v>17</v>
      </c>
      <c r="AP30" s="542">
        <v>1327.714285714286</v>
      </c>
      <c r="AQ30" s="542">
        <v>78.100840336134468</v>
      </c>
      <c r="AR30" s="541">
        <f t="shared" si="32"/>
        <v>6</v>
      </c>
      <c r="AS30" s="673"/>
      <c r="AT30" s="541">
        <v>17</v>
      </c>
      <c r="AU30" s="542">
        <v>1318.5542168674701</v>
      </c>
      <c r="AV30" s="542">
        <v>77.562012756910008</v>
      </c>
      <c r="AW30" s="541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684</v>
      </c>
      <c r="E31" s="518">
        <v>17</v>
      </c>
      <c r="F31" s="516">
        <v>1565</v>
      </c>
      <c r="G31" s="517">
        <v>92.058823529411768</v>
      </c>
      <c r="H31" s="703"/>
      <c r="I31" s="370">
        <f t="shared" si="19"/>
        <v>17</v>
      </c>
      <c r="J31" s="370">
        <f t="shared" si="20"/>
        <v>1443.0290296980309</v>
      </c>
      <c r="K31" s="194">
        <f t="shared" si="21"/>
        <v>84.884060570472414</v>
      </c>
      <c r="L31" s="645"/>
      <c r="M31" s="376">
        <f>RANK(K31, K$24:$K$41)</f>
        <v>2</v>
      </c>
      <c r="N31" s="663"/>
      <c r="O31" s="663"/>
      <c r="P31" s="541">
        <v>17</v>
      </c>
      <c r="Q31" s="542">
        <v>1441.3846153846146</v>
      </c>
      <c r="R31" s="542">
        <v>84.787330316742029</v>
      </c>
      <c r="S31" s="541">
        <f t="shared" si="22"/>
        <v>3</v>
      </c>
      <c r="T31" s="673"/>
      <c r="U31" s="541">
        <v>17</v>
      </c>
      <c r="V31" s="542">
        <v>1427.5862068965519</v>
      </c>
      <c r="W31" s="542">
        <v>83.975659229208929</v>
      </c>
      <c r="X31" s="541">
        <f t="shared" si="24"/>
        <v>2</v>
      </c>
      <c r="Y31" s="673"/>
      <c r="Z31" s="541">
        <v>17</v>
      </c>
      <c r="AA31" s="542">
        <v>1449.5327102803737</v>
      </c>
      <c r="AB31" s="542">
        <v>85.26663001649257</v>
      </c>
      <c r="AC31" s="541">
        <f t="shared" si="26"/>
        <v>1</v>
      </c>
      <c r="AD31" s="673"/>
      <c r="AE31" s="541">
        <v>17</v>
      </c>
      <c r="AF31" s="542">
        <v>1449.5454545454545</v>
      </c>
      <c r="AG31" s="542">
        <v>85.267379679144383</v>
      </c>
      <c r="AH31" s="541">
        <f t="shared" si="28"/>
        <v>1</v>
      </c>
      <c r="AI31" s="673"/>
      <c r="AJ31" s="541">
        <v>17</v>
      </c>
      <c r="AK31" s="542">
        <v>1440.0000000000005</v>
      </c>
      <c r="AL31" s="542">
        <v>84.705882352941202</v>
      </c>
      <c r="AM31" s="541">
        <f t="shared" si="30"/>
        <v>1</v>
      </c>
      <c r="AN31" s="673"/>
      <c r="AO31" s="541">
        <v>17</v>
      </c>
      <c r="AP31" s="542">
        <v>1454.1428571428569</v>
      </c>
      <c r="AQ31" s="542">
        <v>85.537815126050404</v>
      </c>
      <c r="AR31" s="541">
        <f t="shared" si="32"/>
        <v>1</v>
      </c>
      <c r="AS31" s="673"/>
      <c r="AT31" s="541">
        <v>17</v>
      </c>
      <c r="AU31" s="542">
        <v>1439.0113636363637</v>
      </c>
      <c r="AV31" s="542">
        <v>84.64772727272728</v>
      </c>
      <c r="AW31" s="541">
        <f t="shared" si="34"/>
        <v>3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686</v>
      </c>
      <c r="E32" s="518">
        <v>17</v>
      </c>
      <c r="F32" s="516">
        <v>1440</v>
      </c>
      <c r="G32" s="517">
        <v>84.705882352941174</v>
      </c>
      <c r="H32" s="703"/>
      <c r="I32" s="370">
        <f t="shared" si="19"/>
        <v>17</v>
      </c>
      <c r="J32" s="370">
        <f t="shared" si="20"/>
        <v>1287.7496326519267</v>
      </c>
      <c r="K32" s="194">
        <f t="shared" si="21"/>
        <v>75.749978391289815</v>
      </c>
      <c r="L32" s="645"/>
      <c r="M32" s="376">
        <f>RANK(K32, K$24:$K$41)</f>
        <v>7</v>
      </c>
      <c r="N32" s="663"/>
      <c r="O32" s="663"/>
      <c r="P32" s="541">
        <v>17</v>
      </c>
      <c r="Q32" s="542">
        <v>1283.6842105263147</v>
      </c>
      <c r="R32" s="542">
        <v>75.510835913312633</v>
      </c>
      <c r="S32" s="541">
        <f t="shared" si="22"/>
        <v>7</v>
      </c>
      <c r="T32" s="673"/>
      <c r="U32" s="541">
        <v>17</v>
      </c>
      <c r="V32" s="542">
        <v>1294.090909090909</v>
      </c>
      <c r="W32" s="542">
        <v>76.122994652406419</v>
      </c>
      <c r="X32" s="541">
        <f t="shared" si="24"/>
        <v>7</v>
      </c>
      <c r="Y32" s="673"/>
      <c r="Z32" s="541">
        <v>17</v>
      </c>
      <c r="AA32" s="542">
        <v>1299.0697674418602</v>
      </c>
      <c r="AB32" s="542">
        <v>76.415868673050596</v>
      </c>
      <c r="AC32" s="541">
        <f t="shared" si="26"/>
        <v>7</v>
      </c>
      <c r="AD32" s="673"/>
      <c r="AE32" s="541">
        <v>17</v>
      </c>
      <c r="AF32" s="542">
        <v>1277.1428571428557</v>
      </c>
      <c r="AG32" s="542">
        <v>75.126050420167985</v>
      </c>
      <c r="AH32" s="541">
        <f t="shared" si="28"/>
        <v>7</v>
      </c>
      <c r="AI32" s="673"/>
      <c r="AJ32" s="541">
        <v>17</v>
      </c>
      <c r="AK32" s="542">
        <v>1288.2352941176455</v>
      </c>
      <c r="AL32" s="542">
        <v>75.77854671280268</v>
      </c>
      <c r="AM32" s="541">
        <f t="shared" si="30"/>
        <v>7</v>
      </c>
      <c r="AN32" s="673"/>
      <c r="AO32" s="541">
        <v>17</v>
      </c>
      <c r="AP32" s="542">
        <v>1292.9999999999995</v>
      </c>
      <c r="AQ32" s="542">
        <v>76.05882352941174</v>
      </c>
      <c r="AR32" s="541">
        <f t="shared" si="32"/>
        <v>7</v>
      </c>
      <c r="AS32" s="673"/>
      <c r="AT32" s="541">
        <v>17</v>
      </c>
      <c r="AU32" s="542">
        <v>1279.024390243902</v>
      </c>
      <c r="AV32" s="542">
        <v>75.236728837876583</v>
      </c>
      <c r="AW32" s="541">
        <f t="shared" si="34"/>
        <v>7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691</v>
      </c>
      <c r="E33" s="518">
        <v>18</v>
      </c>
      <c r="F33" s="516">
        <v>1565</v>
      </c>
      <c r="G33" s="517">
        <v>86.944444444444443</v>
      </c>
      <c r="H33" s="703"/>
      <c r="I33" s="370">
        <f t="shared" si="19"/>
        <v>18</v>
      </c>
      <c r="J33" s="370">
        <f t="shared" si="20"/>
        <v>1417.4699703674505</v>
      </c>
      <c r="K33" s="194">
        <f t="shared" si="21"/>
        <v>78.748331687080579</v>
      </c>
      <c r="L33" s="645"/>
      <c r="M33" s="376">
        <f>RANK(K33, K$24:$K$41)</f>
        <v>5</v>
      </c>
      <c r="N33" s="663"/>
      <c r="O33" s="663"/>
      <c r="P33" s="541">
        <v>18</v>
      </c>
      <c r="Q33" s="542">
        <v>1417.6991150442477</v>
      </c>
      <c r="R33" s="542">
        <v>78.761061946902657</v>
      </c>
      <c r="S33" s="541">
        <f t="shared" si="22"/>
        <v>6</v>
      </c>
      <c r="T33" s="673"/>
      <c r="U33" s="541">
        <v>18</v>
      </c>
      <c r="V33" s="542">
        <v>1401.2830188679241</v>
      </c>
      <c r="W33" s="542">
        <v>77.849056603773562</v>
      </c>
      <c r="X33" s="541">
        <f t="shared" si="24"/>
        <v>6</v>
      </c>
      <c r="Y33" s="673"/>
      <c r="Z33" s="541">
        <v>18</v>
      </c>
      <c r="AA33" s="542">
        <v>1400.4705882352944</v>
      </c>
      <c r="AB33" s="542">
        <v>77.803921568627459</v>
      </c>
      <c r="AC33" s="541">
        <f t="shared" si="26"/>
        <v>5</v>
      </c>
      <c r="AD33" s="673"/>
      <c r="AE33" s="541">
        <v>18</v>
      </c>
      <c r="AF33" s="542">
        <v>1410.9677419354834</v>
      </c>
      <c r="AG33" s="542">
        <v>78.387096774193523</v>
      </c>
      <c r="AH33" s="541">
        <f t="shared" si="28"/>
        <v>5</v>
      </c>
      <c r="AI33" s="673"/>
      <c r="AJ33" s="541">
        <v>18</v>
      </c>
      <c r="AK33" s="542">
        <v>1428.5940594059409</v>
      </c>
      <c r="AL33" s="542">
        <v>79.36633663366338</v>
      </c>
      <c r="AM33" s="541">
        <f t="shared" si="30"/>
        <v>4</v>
      </c>
      <c r="AN33" s="673"/>
      <c r="AO33" s="541">
        <v>18</v>
      </c>
      <c r="AP33" s="542">
        <v>1429.9322033898306</v>
      </c>
      <c r="AQ33" s="542">
        <v>79.440677966101703</v>
      </c>
      <c r="AR33" s="541">
        <f t="shared" si="32"/>
        <v>5</v>
      </c>
      <c r="AS33" s="673"/>
      <c r="AT33" s="541">
        <v>18</v>
      </c>
      <c r="AU33" s="542">
        <v>1433.3430656934306</v>
      </c>
      <c r="AV33" s="542">
        <v>79.630170316301701</v>
      </c>
      <c r="AW33" s="541">
        <f t="shared" si="34"/>
        <v>4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/>
      <c r="E34" s="518"/>
      <c r="F34" s="516"/>
      <c r="G34" s="517"/>
      <c r="H34" s="703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45"/>
      <c r="M34" s="376" t="e">
        <f>RANK(K34, K$24:$K$41)</f>
        <v>#VALUE!</v>
      </c>
      <c r="N34" s="663"/>
      <c r="O34" s="663"/>
      <c r="P34" s="541" t="s">
        <v>564</v>
      </c>
      <c r="Q34" s="542" t="s">
        <v>564</v>
      </c>
      <c r="R34" s="542" t="s">
        <v>564</v>
      </c>
      <c r="S34" s="541" t="e">
        <f t="shared" si="22"/>
        <v>#VALUE!</v>
      </c>
      <c r="T34" s="673"/>
      <c r="U34" s="541" t="s">
        <v>564</v>
      </c>
      <c r="V34" s="542" t="s">
        <v>564</v>
      </c>
      <c r="W34" s="542" t="s">
        <v>564</v>
      </c>
      <c r="X34" s="541" t="e">
        <f t="shared" si="24"/>
        <v>#VALUE!</v>
      </c>
      <c r="Y34" s="673"/>
      <c r="Z34" s="541" t="s">
        <v>564</v>
      </c>
      <c r="AA34" s="542" t="s">
        <v>564</v>
      </c>
      <c r="AB34" s="542" t="s">
        <v>564</v>
      </c>
      <c r="AC34" s="541" t="e">
        <f t="shared" si="26"/>
        <v>#VALUE!</v>
      </c>
      <c r="AD34" s="673"/>
      <c r="AE34" s="541" t="s">
        <v>564</v>
      </c>
      <c r="AF34" s="542" t="s">
        <v>564</v>
      </c>
      <c r="AG34" s="542" t="s">
        <v>564</v>
      </c>
      <c r="AH34" s="541" t="e">
        <f t="shared" si="28"/>
        <v>#VALUE!</v>
      </c>
      <c r="AI34" s="673"/>
      <c r="AJ34" s="541" t="s">
        <v>564</v>
      </c>
      <c r="AK34" s="542" t="s">
        <v>564</v>
      </c>
      <c r="AL34" s="542" t="s">
        <v>564</v>
      </c>
      <c r="AM34" s="541" t="e">
        <f t="shared" si="30"/>
        <v>#VALUE!</v>
      </c>
      <c r="AN34" s="673"/>
      <c r="AO34" s="541" t="s">
        <v>564</v>
      </c>
      <c r="AP34" s="542" t="s">
        <v>564</v>
      </c>
      <c r="AQ34" s="542" t="s">
        <v>564</v>
      </c>
      <c r="AR34" s="541" t="e">
        <f t="shared" si="32"/>
        <v>#VALUE!</v>
      </c>
      <c r="AS34" s="673"/>
      <c r="AT34" s="541" t="s">
        <v>564</v>
      </c>
      <c r="AU34" s="542" t="s">
        <v>564</v>
      </c>
      <c r="AV34" s="542" t="s">
        <v>564</v>
      </c>
      <c r="AW34" s="541" t="e">
        <f t="shared" si="34"/>
        <v>#VALUE!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/>
      <c r="E35" s="518"/>
      <c r="F35" s="516"/>
      <c r="G35" s="517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K$24:$K$41)</f>
        <v>#VALUE!</v>
      </c>
      <c r="N35" s="663"/>
      <c r="O35" s="663"/>
      <c r="P35" s="541" t="s">
        <v>564</v>
      </c>
      <c r="Q35" s="542" t="s">
        <v>564</v>
      </c>
      <c r="R35" s="542" t="s">
        <v>564</v>
      </c>
      <c r="S35" s="541" t="e">
        <f t="shared" si="22"/>
        <v>#VALUE!</v>
      </c>
      <c r="T35" s="673"/>
      <c r="U35" s="541" t="s">
        <v>564</v>
      </c>
      <c r="V35" s="542" t="s">
        <v>564</v>
      </c>
      <c r="W35" s="542" t="s">
        <v>564</v>
      </c>
      <c r="X35" s="541" t="e">
        <f t="shared" si="24"/>
        <v>#VALUE!</v>
      </c>
      <c r="Y35" s="673"/>
      <c r="Z35" s="541" t="s">
        <v>564</v>
      </c>
      <c r="AA35" s="542" t="s">
        <v>564</v>
      </c>
      <c r="AB35" s="542" t="s">
        <v>564</v>
      </c>
      <c r="AC35" s="541" t="e">
        <f t="shared" si="26"/>
        <v>#VALUE!</v>
      </c>
      <c r="AD35" s="673"/>
      <c r="AE35" s="541" t="s">
        <v>564</v>
      </c>
      <c r="AF35" s="542" t="s">
        <v>564</v>
      </c>
      <c r="AG35" s="542" t="s">
        <v>564</v>
      </c>
      <c r="AH35" s="541" t="e">
        <f t="shared" si="28"/>
        <v>#VALUE!</v>
      </c>
      <c r="AI35" s="673"/>
      <c r="AJ35" s="541" t="s">
        <v>564</v>
      </c>
      <c r="AK35" s="542" t="s">
        <v>564</v>
      </c>
      <c r="AL35" s="542" t="s">
        <v>564</v>
      </c>
      <c r="AM35" s="541" t="e">
        <f t="shared" si="30"/>
        <v>#VALUE!</v>
      </c>
      <c r="AN35" s="673"/>
      <c r="AO35" s="541" t="s">
        <v>564</v>
      </c>
      <c r="AP35" s="542" t="s">
        <v>564</v>
      </c>
      <c r="AQ35" s="542" t="s">
        <v>564</v>
      </c>
      <c r="AR35" s="541" t="e">
        <f t="shared" si="32"/>
        <v>#VALUE!</v>
      </c>
      <c r="AS35" s="673"/>
      <c r="AT35" s="541" t="s">
        <v>564</v>
      </c>
      <c r="AU35" s="542" t="s">
        <v>564</v>
      </c>
      <c r="AV35" s="542" t="s">
        <v>564</v>
      </c>
      <c r="AW35" s="541" t="e">
        <f t="shared" si="34"/>
        <v>#VALUE!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/>
      <c r="E36" s="518"/>
      <c r="F36" s="516"/>
      <c r="G36" s="517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K$24:$K$41)</f>
        <v>#VALUE!</v>
      </c>
      <c r="N36" s="663"/>
      <c r="O36" s="663"/>
      <c r="P36" s="541" t="s">
        <v>564</v>
      </c>
      <c r="Q36" s="542" t="s">
        <v>564</v>
      </c>
      <c r="R36" s="542" t="s">
        <v>564</v>
      </c>
      <c r="S36" s="541" t="e">
        <f t="shared" si="22"/>
        <v>#VALUE!</v>
      </c>
      <c r="T36" s="673"/>
      <c r="U36" s="541" t="s">
        <v>564</v>
      </c>
      <c r="V36" s="542" t="s">
        <v>564</v>
      </c>
      <c r="W36" s="542" t="s">
        <v>564</v>
      </c>
      <c r="X36" s="541" t="e">
        <f t="shared" si="24"/>
        <v>#VALUE!</v>
      </c>
      <c r="Y36" s="673"/>
      <c r="Z36" s="541" t="s">
        <v>564</v>
      </c>
      <c r="AA36" s="542" t="s">
        <v>564</v>
      </c>
      <c r="AB36" s="542" t="s">
        <v>564</v>
      </c>
      <c r="AC36" s="541" t="e">
        <f t="shared" si="26"/>
        <v>#VALUE!</v>
      </c>
      <c r="AD36" s="673"/>
      <c r="AE36" s="541" t="s">
        <v>564</v>
      </c>
      <c r="AF36" s="542" t="s">
        <v>564</v>
      </c>
      <c r="AG36" s="542" t="s">
        <v>564</v>
      </c>
      <c r="AH36" s="541" t="e">
        <f t="shared" si="28"/>
        <v>#VALUE!</v>
      </c>
      <c r="AI36" s="673"/>
      <c r="AJ36" s="541" t="s">
        <v>564</v>
      </c>
      <c r="AK36" s="542" t="s">
        <v>564</v>
      </c>
      <c r="AL36" s="542" t="s">
        <v>564</v>
      </c>
      <c r="AM36" s="541" t="e">
        <f t="shared" si="30"/>
        <v>#VALUE!</v>
      </c>
      <c r="AN36" s="673"/>
      <c r="AO36" s="541" t="s">
        <v>564</v>
      </c>
      <c r="AP36" s="542" t="s">
        <v>564</v>
      </c>
      <c r="AQ36" s="542" t="s">
        <v>564</v>
      </c>
      <c r="AR36" s="541" t="e">
        <f t="shared" si="32"/>
        <v>#VALUE!</v>
      </c>
      <c r="AS36" s="673"/>
      <c r="AT36" s="541" t="s">
        <v>564</v>
      </c>
      <c r="AU36" s="542" t="s">
        <v>564</v>
      </c>
      <c r="AV36" s="542" t="s">
        <v>564</v>
      </c>
      <c r="AW36" s="541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8"/>
      <c r="F37" s="516"/>
      <c r="G37" s="517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41" t="s">
        <v>564</v>
      </c>
      <c r="Q37" s="542" t="s">
        <v>564</v>
      </c>
      <c r="R37" s="542" t="s">
        <v>564</v>
      </c>
      <c r="S37" s="541" t="e">
        <f t="shared" si="22"/>
        <v>#VALUE!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4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6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8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30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2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8"/>
      <c r="F38" s="516"/>
      <c r="G38" s="517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2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4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6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8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30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2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8"/>
      <c r="F39" s="516"/>
      <c r="G39" s="517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2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4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6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8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30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2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8"/>
      <c r="F40" s="516"/>
      <c r="G40" s="517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2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4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6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8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30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2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8"/>
      <c r="F41" s="516"/>
      <c r="G41" s="517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2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4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6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8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30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2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362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528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374</v>
      </c>
      <c r="C47" s="369">
        <v>1</v>
      </c>
      <c r="D47" s="220"/>
      <c r="E47" s="518"/>
      <c r="F47" s="516"/>
      <c r="G47" s="517"/>
      <c r="H47" s="702" t="e">
        <f>AVERAGE(G47:G61)</f>
        <v>#DIV/0!</v>
      </c>
      <c r="I47" s="370" t="str">
        <f t="shared" ref="I47:I60" si="38">IFERROR(AVERAGE(P47,U47,Z47,AE47,AJ47,AO47,AT47),"-")</f>
        <v>-</v>
      </c>
      <c r="J47" s="370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44" t="str">
        <f>IFERROR(AVERAGE(K47:K61),"-")</f>
        <v>-</v>
      </c>
      <c r="M47" s="391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41">RANK(AY47, AY$47:AY$61)</f>
        <v>#N/A</v>
      </c>
      <c r="BA47" s="686" t="e">
        <f t="shared" ref="BA47" si="42">AVERAGE(AY47:AY61)</f>
        <v>#DIV/0!</v>
      </c>
    </row>
    <row r="48" spans="2:53">
      <c r="B48" s="671"/>
      <c r="C48" s="369">
        <v>2</v>
      </c>
      <c r="D48" s="220"/>
      <c r="E48" s="518"/>
      <c r="F48" s="516"/>
      <c r="G48" s="517"/>
      <c r="H48" s="703"/>
      <c r="I48" s="370" t="str">
        <f t="shared" si="38"/>
        <v>-</v>
      </c>
      <c r="J48" s="370" t="str">
        <f t="shared" si="39"/>
        <v>-</v>
      </c>
      <c r="K48" s="194" t="str">
        <f t="shared" si="40"/>
        <v>-</v>
      </c>
      <c r="L48" s="645"/>
      <c r="M48" s="391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57" t="e">
        <f t="shared" si="41"/>
        <v>#N/A</v>
      </c>
      <c r="BA48" s="687"/>
    </row>
    <row r="49" spans="2:53">
      <c r="B49" s="671"/>
      <c r="C49" s="369">
        <v>3</v>
      </c>
      <c r="D49" s="220"/>
      <c r="E49" s="518"/>
      <c r="F49" s="516"/>
      <c r="G49" s="517"/>
      <c r="H49" s="703"/>
      <c r="I49" s="370" t="str">
        <f t="shared" si="38"/>
        <v>-</v>
      </c>
      <c r="J49" s="370" t="str">
        <f t="shared" si="39"/>
        <v>-</v>
      </c>
      <c r="K49" s="194" t="str">
        <f t="shared" si="40"/>
        <v>-</v>
      </c>
      <c r="L49" s="645"/>
      <c r="M49" s="391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57" t="e">
        <f t="shared" si="41"/>
        <v>#N/A</v>
      </c>
      <c r="BA49" s="687"/>
    </row>
    <row r="50" spans="2:53">
      <c r="B50" s="671"/>
      <c r="C50" s="369">
        <v>4</v>
      </c>
      <c r="D50" s="220"/>
      <c r="E50" s="518"/>
      <c r="F50" s="516"/>
      <c r="G50" s="517"/>
      <c r="H50" s="703"/>
      <c r="I50" s="370" t="str">
        <f t="shared" si="38"/>
        <v>-</v>
      </c>
      <c r="J50" s="370" t="str">
        <f t="shared" si="39"/>
        <v>-</v>
      </c>
      <c r="K50" s="194" t="str">
        <f t="shared" si="40"/>
        <v>-</v>
      </c>
      <c r="L50" s="645"/>
      <c r="M50" s="391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57" t="e">
        <f t="shared" si="41"/>
        <v>#N/A</v>
      </c>
      <c r="BA50" s="687"/>
    </row>
    <row r="51" spans="2:53">
      <c r="B51" s="671"/>
      <c r="C51" s="369">
        <v>5</v>
      </c>
      <c r="D51" s="220"/>
      <c r="E51" s="518"/>
      <c r="F51" s="516"/>
      <c r="G51" s="517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57" t="e">
        <f t="shared" si="41"/>
        <v>#N/A</v>
      </c>
      <c r="BA51" s="687"/>
    </row>
    <row r="52" spans="2:53">
      <c r="B52" s="671"/>
      <c r="C52" s="369">
        <v>6</v>
      </c>
      <c r="D52" s="220"/>
      <c r="E52" s="518"/>
      <c r="F52" s="516"/>
      <c r="G52" s="517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57" t="e">
        <f t="shared" si="41"/>
        <v>#N/A</v>
      </c>
      <c r="BA52" s="687"/>
    </row>
    <row r="53" spans="2:53">
      <c r="B53" s="671"/>
      <c r="C53" s="369">
        <v>7</v>
      </c>
      <c r="D53" s="220"/>
      <c r="E53" s="518"/>
      <c r="F53" s="516"/>
      <c r="G53" s="517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57" t="e">
        <f t="shared" si="41"/>
        <v>#N/A</v>
      </c>
      <c r="BA53" s="687"/>
    </row>
    <row r="54" spans="2:53">
      <c r="B54" s="671"/>
      <c r="C54" s="369">
        <v>8</v>
      </c>
      <c r="D54" s="220"/>
      <c r="E54" s="518"/>
      <c r="F54" s="516"/>
      <c r="G54" s="517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57" t="e">
        <f t="shared" si="41"/>
        <v>#N/A</v>
      </c>
      <c r="BA54" s="687"/>
    </row>
    <row r="55" spans="2:53">
      <c r="B55" s="671"/>
      <c r="C55" s="369">
        <v>9</v>
      </c>
      <c r="D55" s="220"/>
      <c r="E55" s="518"/>
      <c r="F55" s="516"/>
      <c r="G55" s="517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57" t="e">
        <f t="shared" si="41"/>
        <v>#N/A</v>
      </c>
      <c r="BA55" s="687"/>
    </row>
    <row r="56" spans="2:53">
      <c r="B56" s="671"/>
      <c r="C56" s="369">
        <v>10</v>
      </c>
      <c r="D56" s="220"/>
      <c r="E56" s="518"/>
      <c r="F56" s="516"/>
      <c r="G56" s="517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57" t="e">
        <f t="shared" si="41"/>
        <v>#N/A</v>
      </c>
      <c r="BA56" s="687"/>
    </row>
    <row r="57" spans="2:53">
      <c r="B57" s="671"/>
      <c r="C57" s="369">
        <v>11</v>
      </c>
      <c r="D57" s="220"/>
      <c r="E57" s="518"/>
      <c r="F57" s="516"/>
      <c r="G57" s="517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57" t="e">
        <f t="shared" si="41"/>
        <v>#N/A</v>
      </c>
      <c r="BA57" s="687"/>
    </row>
    <row r="58" spans="2:53">
      <c r="B58" s="671"/>
      <c r="C58" s="369">
        <v>12</v>
      </c>
      <c r="D58" s="220"/>
      <c r="E58" s="518"/>
      <c r="F58" s="516"/>
      <c r="G58" s="517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57" t="e">
        <f t="shared" si="41"/>
        <v>#N/A</v>
      </c>
      <c r="BA58" s="687"/>
    </row>
    <row r="59" spans="2:53">
      <c r="B59" s="671"/>
      <c r="C59" s="369">
        <v>13</v>
      </c>
      <c r="D59" s="220"/>
      <c r="E59" s="518"/>
      <c r="F59" s="516"/>
      <c r="G59" s="517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57" t="e">
        <f t="shared" si="41"/>
        <v>#N/A</v>
      </c>
      <c r="BA59" s="687"/>
    </row>
    <row r="60" spans="2:53">
      <c r="B60" s="671"/>
      <c r="C60" s="369">
        <v>14</v>
      </c>
      <c r="D60" s="220"/>
      <c r="E60" s="518"/>
      <c r="F60" s="516"/>
      <c r="G60" s="517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57" t="e">
        <f t="shared" si="41"/>
        <v>#N/A</v>
      </c>
      <c r="BA60" s="687"/>
    </row>
    <row r="61" spans="2:53">
      <c r="B61" s="671"/>
      <c r="C61" s="369">
        <v>15</v>
      </c>
      <c r="D61" s="220"/>
      <c r="E61" s="518"/>
      <c r="F61" s="516"/>
      <c r="G61" s="517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57" t="e">
        <f t="shared" si="41"/>
        <v>#N/A</v>
      </c>
      <c r="BA61" s="688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362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528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374</v>
      </c>
      <c r="C67" s="369">
        <v>1</v>
      </c>
      <c r="D67" s="220"/>
      <c r="E67" s="518"/>
      <c r="F67" s="516"/>
      <c r="G67" s="517"/>
      <c r="H67" s="702" t="e">
        <f>AVERAGE(G67:G81)</f>
        <v>#DIV/0!</v>
      </c>
      <c r="I67" s="370" t="str">
        <f t="shared" ref="I67:I80" si="43">IFERROR(AVERAGE(P67,U67,Z67,AE67,AJ67,AO67,AT67),"-")</f>
        <v>-</v>
      </c>
      <c r="J67" s="370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44" t="str">
        <f>IFERROR(AVERAGE(K67:K81),"-")</f>
        <v>-</v>
      </c>
      <c r="M67" s="373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46">RANK(AY67, AY$67:AY$81)</f>
        <v>#N/A</v>
      </c>
      <c r="BA67" s="686" t="e">
        <f t="shared" ref="BA67" si="47">AVERAGE(AY67:AY81)</f>
        <v>#DIV/0!</v>
      </c>
    </row>
    <row r="68" spans="2:53">
      <c r="B68" s="671"/>
      <c r="C68" s="369">
        <v>2</v>
      </c>
      <c r="D68" s="220"/>
      <c r="E68" s="518"/>
      <c r="F68" s="516"/>
      <c r="G68" s="517"/>
      <c r="H68" s="703"/>
      <c r="I68" s="370" t="str">
        <f t="shared" si="43"/>
        <v>-</v>
      </c>
      <c r="J68" s="370" t="str">
        <f t="shared" si="44"/>
        <v>-</v>
      </c>
      <c r="K68" s="194" t="str">
        <f t="shared" si="45"/>
        <v>-</v>
      </c>
      <c r="L68" s="645"/>
      <c r="M68" s="373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46"/>
        <v>#N/A</v>
      </c>
      <c r="BA68" s="687"/>
    </row>
    <row r="69" spans="2:53">
      <c r="B69" s="671"/>
      <c r="C69" s="369">
        <v>3</v>
      </c>
      <c r="D69" s="220"/>
      <c r="E69" s="518"/>
      <c r="F69" s="516"/>
      <c r="G69" s="517"/>
      <c r="H69" s="703"/>
      <c r="I69" s="370" t="str">
        <f t="shared" si="43"/>
        <v>-</v>
      </c>
      <c r="J69" s="370" t="str">
        <f t="shared" si="44"/>
        <v>-</v>
      </c>
      <c r="K69" s="194" t="str">
        <f t="shared" si="45"/>
        <v>-</v>
      </c>
      <c r="L69" s="645"/>
      <c r="M69" s="373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46"/>
        <v>#N/A</v>
      </c>
      <c r="BA69" s="687"/>
    </row>
    <row r="70" spans="2:53">
      <c r="B70" s="671"/>
      <c r="C70" s="369">
        <v>4</v>
      </c>
      <c r="D70" s="220"/>
      <c r="E70" s="518"/>
      <c r="F70" s="516"/>
      <c r="G70" s="517"/>
      <c r="H70" s="703"/>
      <c r="I70" s="370" t="str">
        <f t="shared" si="43"/>
        <v>-</v>
      </c>
      <c r="J70" s="370" t="str">
        <f t="shared" si="44"/>
        <v>-</v>
      </c>
      <c r="K70" s="194" t="str">
        <f t="shared" si="45"/>
        <v>-</v>
      </c>
      <c r="L70" s="645"/>
      <c r="M70" s="373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46"/>
        <v>#N/A</v>
      </c>
      <c r="BA70" s="687"/>
    </row>
    <row r="71" spans="2:53">
      <c r="B71" s="671"/>
      <c r="C71" s="369">
        <v>5</v>
      </c>
      <c r="D71" s="220"/>
      <c r="E71" s="518"/>
      <c r="F71" s="516"/>
      <c r="G71" s="517"/>
      <c r="H71" s="703"/>
      <c r="I71" s="370" t="str">
        <f t="shared" si="43"/>
        <v>-</v>
      </c>
      <c r="J71" s="370" t="str">
        <f t="shared" si="44"/>
        <v>-</v>
      </c>
      <c r="K71" s="194" t="str">
        <f t="shared" si="45"/>
        <v>-</v>
      </c>
      <c r="L71" s="645"/>
      <c r="M71" s="373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46"/>
        <v>#N/A</v>
      </c>
      <c r="BA71" s="687"/>
    </row>
    <row r="72" spans="2:53">
      <c r="B72" s="671"/>
      <c r="C72" s="369">
        <v>6</v>
      </c>
      <c r="D72" s="220"/>
      <c r="E72" s="518"/>
      <c r="F72" s="516"/>
      <c r="G72" s="517"/>
      <c r="H72" s="703"/>
      <c r="I72" s="370" t="str">
        <f t="shared" si="43"/>
        <v>-</v>
      </c>
      <c r="J72" s="370" t="str">
        <f t="shared" si="44"/>
        <v>-</v>
      </c>
      <c r="K72" s="194" t="str">
        <f t="shared" si="45"/>
        <v>-</v>
      </c>
      <c r="L72" s="645"/>
      <c r="M72" s="373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46"/>
        <v>#N/A</v>
      </c>
      <c r="BA72" s="687"/>
    </row>
    <row r="73" spans="2:53">
      <c r="B73" s="671"/>
      <c r="C73" s="369">
        <v>7</v>
      </c>
      <c r="D73" s="220"/>
      <c r="E73" s="518"/>
      <c r="F73" s="516"/>
      <c r="G73" s="517"/>
      <c r="H73" s="703"/>
      <c r="I73" s="370" t="str">
        <f t="shared" si="43"/>
        <v>-</v>
      </c>
      <c r="J73" s="370" t="str">
        <f t="shared" si="44"/>
        <v>-</v>
      </c>
      <c r="K73" s="194" t="str">
        <f t="shared" si="45"/>
        <v>-</v>
      </c>
      <c r="L73" s="645"/>
      <c r="M73" s="373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46"/>
        <v>#N/A</v>
      </c>
      <c r="BA73" s="687"/>
    </row>
    <row r="74" spans="2:53">
      <c r="B74" s="671"/>
      <c r="C74" s="369">
        <v>8</v>
      </c>
      <c r="D74" s="220"/>
      <c r="E74" s="518"/>
      <c r="F74" s="516"/>
      <c r="G74" s="517"/>
      <c r="H74" s="703"/>
      <c r="I74" s="370" t="str">
        <f t="shared" si="43"/>
        <v>-</v>
      </c>
      <c r="J74" s="370" t="str">
        <f t="shared" si="44"/>
        <v>-</v>
      </c>
      <c r="K74" s="194" t="str">
        <f t="shared" si="45"/>
        <v>-</v>
      </c>
      <c r="L74" s="645"/>
      <c r="M74" s="373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46"/>
        <v>#N/A</v>
      </c>
      <c r="BA74" s="687"/>
    </row>
    <row r="75" spans="2:53">
      <c r="B75" s="671"/>
      <c r="C75" s="369">
        <v>9</v>
      </c>
      <c r="D75" s="220"/>
      <c r="E75" s="518"/>
      <c r="F75" s="516"/>
      <c r="G75" s="517"/>
      <c r="H75" s="703"/>
      <c r="I75" s="370" t="str">
        <f t="shared" si="43"/>
        <v>-</v>
      </c>
      <c r="J75" s="370" t="str">
        <f t="shared" si="44"/>
        <v>-</v>
      </c>
      <c r="K75" s="194" t="str">
        <f t="shared" si="45"/>
        <v>-</v>
      </c>
      <c r="L75" s="645"/>
      <c r="M75" s="373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46"/>
        <v>#N/A</v>
      </c>
      <c r="BA75" s="687"/>
    </row>
    <row r="76" spans="2:53">
      <c r="B76" s="671"/>
      <c r="C76" s="369">
        <v>10</v>
      </c>
      <c r="D76" s="220"/>
      <c r="E76" s="518"/>
      <c r="F76" s="516"/>
      <c r="G76" s="517"/>
      <c r="H76" s="703"/>
      <c r="I76" s="370" t="str">
        <f t="shared" si="43"/>
        <v>-</v>
      </c>
      <c r="J76" s="370" t="str">
        <f t="shared" si="44"/>
        <v>-</v>
      </c>
      <c r="K76" s="194" t="str">
        <f t="shared" si="45"/>
        <v>-</v>
      </c>
      <c r="L76" s="645"/>
      <c r="M76" s="373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46"/>
        <v>#N/A</v>
      </c>
      <c r="BA76" s="687"/>
    </row>
    <row r="77" spans="2:53">
      <c r="B77" s="671"/>
      <c r="C77" s="369">
        <v>11</v>
      </c>
      <c r="D77" s="220"/>
      <c r="E77" s="518"/>
      <c r="F77" s="516"/>
      <c r="G77" s="517"/>
      <c r="H77" s="703"/>
      <c r="I77" s="370" t="str">
        <f t="shared" si="43"/>
        <v>-</v>
      </c>
      <c r="J77" s="370" t="str">
        <f t="shared" si="44"/>
        <v>-</v>
      </c>
      <c r="K77" s="194" t="str">
        <f t="shared" si="45"/>
        <v>-</v>
      </c>
      <c r="L77" s="645"/>
      <c r="M77" s="373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46"/>
        <v>#N/A</v>
      </c>
      <c r="BA77" s="687"/>
    </row>
    <row r="78" spans="2:53">
      <c r="B78" s="671"/>
      <c r="C78" s="369">
        <v>12</v>
      </c>
      <c r="D78" s="220"/>
      <c r="E78" s="518"/>
      <c r="F78" s="516"/>
      <c r="G78" s="517"/>
      <c r="H78" s="703"/>
      <c r="I78" s="370" t="str">
        <f t="shared" si="43"/>
        <v>-</v>
      </c>
      <c r="J78" s="370" t="str">
        <f t="shared" si="44"/>
        <v>-</v>
      </c>
      <c r="K78" s="194" t="str">
        <f t="shared" si="45"/>
        <v>-</v>
      </c>
      <c r="L78" s="645"/>
      <c r="M78" s="373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46"/>
        <v>#N/A</v>
      </c>
      <c r="BA78" s="687"/>
    </row>
    <row r="79" spans="2:53">
      <c r="B79" s="671"/>
      <c r="C79" s="369">
        <v>13</v>
      </c>
      <c r="D79" s="220"/>
      <c r="E79" s="518"/>
      <c r="F79" s="516"/>
      <c r="G79" s="517"/>
      <c r="H79" s="703"/>
      <c r="I79" s="370" t="str">
        <f t="shared" si="43"/>
        <v>-</v>
      </c>
      <c r="J79" s="370" t="str">
        <f t="shared" si="44"/>
        <v>-</v>
      </c>
      <c r="K79" s="194" t="str">
        <f t="shared" si="45"/>
        <v>-</v>
      </c>
      <c r="L79" s="645"/>
      <c r="M79" s="373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46"/>
        <v>#N/A</v>
      </c>
      <c r="BA79" s="687"/>
    </row>
    <row r="80" spans="2:53">
      <c r="B80" s="671"/>
      <c r="C80" s="369">
        <v>14</v>
      </c>
      <c r="D80" s="220"/>
      <c r="E80" s="518"/>
      <c r="F80" s="516"/>
      <c r="G80" s="517"/>
      <c r="H80" s="703"/>
      <c r="I80" s="370" t="str">
        <f t="shared" si="43"/>
        <v>-</v>
      </c>
      <c r="J80" s="370" t="str">
        <f t="shared" si="44"/>
        <v>-</v>
      </c>
      <c r="K80" s="194" t="str">
        <f t="shared" si="45"/>
        <v>-</v>
      </c>
      <c r="L80" s="645"/>
      <c r="M80" s="373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46"/>
        <v>#N/A</v>
      </c>
      <c r="BA80" s="687"/>
    </row>
    <row r="81" spans="2:53">
      <c r="B81" s="671"/>
      <c r="C81" s="369">
        <v>15</v>
      </c>
      <c r="D81" s="220"/>
      <c r="E81" s="518"/>
      <c r="F81" s="516"/>
      <c r="G81" s="517"/>
      <c r="H81" s="707"/>
      <c r="I81" s="369"/>
      <c r="J81" s="369"/>
      <c r="K81" s="369"/>
      <c r="L81" s="646"/>
      <c r="M81" s="373" t="e">
        <f>RANK(K81, K$67:$K$81)</f>
        <v>#N/A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46"/>
        <v>#N/A</v>
      </c>
      <c r="BA81" s="688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382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528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399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48">IFERROR(AVERAGE(P87,U87,Z87,AE87,AJ87,AO87,AT87),"-")</f>
        <v>-</v>
      </c>
      <c r="J87" s="370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51">RANK(AY87, AY$87:AY$101)</f>
        <v>#N/A</v>
      </c>
      <c r="BA87" s="685" t="e">
        <f t="shared" ref="BA87" si="52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48"/>
        <v>-</v>
      </c>
      <c r="J88" s="370" t="str">
        <f t="shared" si="49"/>
        <v>-</v>
      </c>
      <c r="K88" s="194" t="str">
        <f t="shared" si="50"/>
        <v>-</v>
      </c>
      <c r="L88" s="645"/>
      <c r="M88" s="395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51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48"/>
        <v>-</v>
      </c>
      <c r="J89" s="370" t="str">
        <f t="shared" si="49"/>
        <v>-</v>
      </c>
      <c r="K89" s="194" t="str">
        <f t="shared" si="50"/>
        <v>-</v>
      </c>
      <c r="L89" s="645"/>
      <c r="M89" s="395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51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48"/>
        <v>-</v>
      </c>
      <c r="J90" s="370" t="str">
        <f t="shared" si="49"/>
        <v>-</v>
      </c>
      <c r="K90" s="194" t="str">
        <f t="shared" si="50"/>
        <v>-</v>
      </c>
      <c r="L90" s="645"/>
      <c r="M90" s="395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51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48"/>
        <v>-</v>
      </c>
      <c r="J91" s="370" t="str">
        <f t="shared" si="49"/>
        <v>-</v>
      </c>
      <c r="K91" s="194" t="str">
        <f t="shared" si="50"/>
        <v>-</v>
      </c>
      <c r="L91" s="645"/>
      <c r="M91" s="395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51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48"/>
        <v>-</v>
      </c>
      <c r="J92" s="370" t="str">
        <f t="shared" si="49"/>
        <v>-</v>
      </c>
      <c r="K92" s="194" t="str">
        <f t="shared" si="50"/>
        <v>-</v>
      </c>
      <c r="L92" s="645"/>
      <c r="M92" s="395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51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48"/>
        <v>-</v>
      </c>
      <c r="J93" s="370" t="str">
        <f t="shared" si="49"/>
        <v>-</v>
      </c>
      <c r="K93" s="194" t="str">
        <f t="shared" si="50"/>
        <v>-</v>
      </c>
      <c r="L93" s="645"/>
      <c r="M93" s="395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51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48"/>
        <v>-</v>
      </c>
      <c r="J94" s="370" t="str">
        <f t="shared" si="49"/>
        <v>-</v>
      </c>
      <c r="K94" s="194" t="str">
        <f t="shared" si="50"/>
        <v>-</v>
      </c>
      <c r="L94" s="645"/>
      <c r="M94" s="395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51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48"/>
        <v>-</v>
      </c>
      <c r="J95" s="370" t="str">
        <f t="shared" si="49"/>
        <v>-</v>
      </c>
      <c r="K95" s="194" t="str">
        <f t="shared" si="50"/>
        <v>-</v>
      </c>
      <c r="L95" s="645"/>
      <c r="M95" s="395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51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48"/>
        <v>-</v>
      </c>
      <c r="J96" s="370" t="str">
        <f t="shared" si="49"/>
        <v>-</v>
      </c>
      <c r="K96" s="194" t="str">
        <f t="shared" si="50"/>
        <v>-</v>
      </c>
      <c r="L96" s="645"/>
      <c r="M96" s="395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51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48"/>
        <v>-</v>
      </c>
      <c r="J97" s="370" t="str">
        <f t="shared" si="49"/>
        <v>-</v>
      </c>
      <c r="K97" s="194" t="str">
        <f t="shared" si="50"/>
        <v>-</v>
      </c>
      <c r="L97" s="645"/>
      <c r="M97" s="395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51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48"/>
        <v>-</v>
      </c>
      <c r="J98" s="370" t="str">
        <f t="shared" si="49"/>
        <v>-</v>
      </c>
      <c r="K98" s="194" t="str">
        <f t="shared" si="50"/>
        <v>-</v>
      </c>
      <c r="L98" s="645"/>
      <c r="M98" s="395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51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48"/>
        <v>-</v>
      </c>
      <c r="J99" s="370" t="str">
        <f t="shared" si="49"/>
        <v>-</v>
      </c>
      <c r="K99" s="194" t="str">
        <f t="shared" si="50"/>
        <v>-</v>
      </c>
      <c r="L99" s="645"/>
      <c r="M99" s="395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51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48"/>
        <v>-</v>
      </c>
      <c r="J100" s="370" t="str">
        <f t="shared" si="49"/>
        <v>-</v>
      </c>
      <c r="K100" s="194" t="str">
        <f t="shared" si="50"/>
        <v>-</v>
      </c>
      <c r="L100" s="645"/>
      <c r="M100" s="395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51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395" t="e">
        <f>RANK(K101, K$87:$K$101)</f>
        <v>#N/A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51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528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135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8" t="e">
        <f>RANK(AY107, AY$67:AY$81)</f>
        <v>#N/A</v>
      </c>
      <c r="BA107" s="725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45"/>
      <c r="M108" s="338" t="e">
        <f>RANK(K108, K$67:$K$81)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8" t="e">
        <f t="shared" ref="AZ108:AZ121" si="56">RANK(AY108, AY$67:AY$81)</f>
        <v>#N/A</v>
      </c>
      <c r="BA108" s="725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45"/>
      <c r="M109" s="338" t="e">
        <f>RANK(K109, K$67:$K$81)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8" t="e">
        <f t="shared" si="56"/>
        <v>#N/A</v>
      </c>
      <c r="BA109" s="725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45"/>
      <c r="M110" s="338" t="e">
        <f>RANK(K110, K$67:$K$81)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8" t="e">
        <f t="shared" si="56"/>
        <v>#N/A</v>
      </c>
      <c r="BA110" s="725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45"/>
      <c r="M111" s="338" t="e">
        <f>RANK(K111, K$67:$K$81)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8" t="e">
        <f t="shared" si="56"/>
        <v>#N/A</v>
      </c>
      <c r="BA111" s="725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45"/>
      <c r="M112" s="338" t="e">
        <f>RANK(K112, K$67:$K$81)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8" t="e">
        <f t="shared" si="56"/>
        <v>#N/A</v>
      </c>
      <c r="BA112" s="725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45"/>
      <c r="M113" s="338" t="e">
        <f>RANK(K113, K$67:$K$81)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8" t="e">
        <f t="shared" si="56"/>
        <v>#N/A</v>
      </c>
      <c r="BA113" s="725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45"/>
      <c r="M114" s="338" t="e">
        <f>RANK(K114, K$67:$K$81)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8" t="e">
        <f t="shared" si="56"/>
        <v>#N/A</v>
      </c>
      <c r="BA114" s="725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45"/>
      <c r="M115" s="338" t="e">
        <f>RANK(K115, K$67:$K$81)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8" t="e">
        <f t="shared" si="56"/>
        <v>#N/A</v>
      </c>
      <c r="BA115" s="725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45"/>
      <c r="M116" s="338" t="e">
        <f>RANK(K116, K$67:$K$81)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8" t="e">
        <f t="shared" si="56"/>
        <v>#N/A</v>
      </c>
      <c r="BA116" s="725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45"/>
      <c r="M117" s="338" t="e">
        <f>RANK(K117, K$67:$K$81)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8" t="e">
        <f t="shared" si="56"/>
        <v>#N/A</v>
      </c>
      <c r="BA117" s="725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45"/>
      <c r="M118" s="338" t="e">
        <f>RANK(K118, K$67:$K$81)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8" t="e">
        <f t="shared" si="56"/>
        <v>#N/A</v>
      </c>
      <c r="BA118" s="725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45"/>
      <c r="M119" s="338" t="e">
        <f>RANK(K119, K$67:$K$81)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8" t="e">
        <f t="shared" si="56"/>
        <v>#N/A</v>
      </c>
      <c r="BA119" s="725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45"/>
      <c r="M120" s="338" t="e">
        <f>RANK(K120, K$67:$K$81)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8" t="e">
        <f t="shared" si="56"/>
        <v>#N/A</v>
      </c>
      <c r="BA120" s="725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K$67:$K$81)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8" t="e">
        <f t="shared" si="56"/>
        <v>#N/A</v>
      </c>
      <c r="BA121" s="725"/>
    </row>
    <row r="123" spans="2:53" ht="15.75">
      <c r="B123" s="697" t="s">
        <v>478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154</v>
      </c>
      <c r="C125" s="663" t="s">
        <v>372</v>
      </c>
      <c r="D125" s="663"/>
      <c r="E125" s="663" t="s">
        <v>363</v>
      </c>
      <c r="F125" s="663"/>
      <c r="G125" s="663"/>
      <c r="H125" s="679" t="s">
        <v>359</v>
      </c>
      <c r="I125" s="701" t="s">
        <v>364</v>
      </c>
      <c r="J125" s="701"/>
      <c r="K125" s="701"/>
      <c r="L125" s="716" t="s">
        <v>359</v>
      </c>
      <c r="M125" s="719" t="s">
        <v>360</v>
      </c>
    </row>
    <row r="126" spans="2:53">
      <c r="B126" s="663"/>
      <c r="C126" s="663"/>
      <c r="D126" s="663"/>
      <c r="E126" s="663" t="s">
        <v>366</v>
      </c>
      <c r="F126" s="663"/>
      <c r="G126" s="663"/>
      <c r="H126" s="680"/>
      <c r="I126" s="701" t="s">
        <v>366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368</v>
      </c>
      <c r="F127" s="296" t="s">
        <v>369</v>
      </c>
      <c r="G127" s="296" t="s">
        <v>370</v>
      </c>
      <c r="H127" s="681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663" t="s">
        <v>374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7" si="57">AVERAGEIF($D$7:$D$121,$D128,I$7:I$121)</f>
        <v>#DIV/0!</v>
      </c>
      <c r="J128" s="193" t="e">
        <f t="shared" si="57"/>
        <v>#DIV/0!</v>
      </c>
      <c r="K128" s="193" t="e">
        <f t="shared" ref="K128:K137" si="58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57"/>
        <v>#DIV/0!</v>
      </c>
      <c r="J129" s="193" t="e">
        <f t="shared" si="57"/>
        <v>#DIV/0!</v>
      </c>
      <c r="K129" s="193" t="e">
        <f t="shared" si="58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57"/>
        <v>#DIV/0!</v>
      </c>
      <c r="J130" s="193" t="e">
        <f t="shared" si="57"/>
        <v>#DIV/0!</v>
      </c>
      <c r="K130" s="193" t="e">
        <f t="shared" si="58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57"/>
        <v>#DIV/0!</v>
      </c>
      <c r="J131" s="193" t="e">
        <f t="shared" si="57"/>
        <v>#DIV/0!</v>
      </c>
      <c r="K131" s="193" t="e">
        <f t="shared" si="58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57"/>
        <v>#DIV/0!</v>
      </c>
      <c r="J132" s="193" t="e">
        <f t="shared" si="57"/>
        <v>#DIV/0!</v>
      </c>
      <c r="K132" s="193" t="e">
        <f t="shared" si="58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57"/>
        <v>#DIV/0!</v>
      </c>
      <c r="J133" s="193" t="e">
        <f t="shared" si="57"/>
        <v>#DIV/0!</v>
      </c>
      <c r="K133" s="193" t="e">
        <f t="shared" si="58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 t="e">
        <f t="shared" si="57"/>
        <v>#DIV/0!</v>
      </c>
      <c r="J134" s="193" t="e">
        <f t="shared" si="57"/>
        <v>#DIV/0!</v>
      </c>
      <c r="K134" s="193" t="e">
        <f t="shared" si="58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 t="e">
        <f t="shared" si="57"/>
        <v>#DIV/0!</v>
      </c>
      <c r="J135" s="193" t="e">
        <f t="shared" si="57"/>
        <v>#DIV/0!</v>
      </c>
      <c r="K135" s="193" t="e">
        <f t="shared" si="58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 t="e">
        <f t="shared" si="57"/>
        <v>#DIV/0!</v>
      </c>
      <c r="J136" s="193" t="e">
        <f t="shared" si="57"/>
        <v>#DIV/0!</v>
      </c>
      <c r="K136" s="193" t="e">
        <f t="shared" si="58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 t="e">
        <f t="shared" si="57"/>
        <v>#DIV/0!</v>
      </c>
      <c r="J137" s="193" t="e">
        <f t="shared" si="57"/>
        <v>#DIV/0!</v>
      </c>
      <c r="K137" s="193" t="e">
        <f t="shared" si="58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27" sqref="S27:T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128.42011176440411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136</v>
      </c>
      <c r="C7" s="495">
        <v>1</v>
      </c>
      <c r="D7" s="220" t="s">
        <v>344</v>
      </c>
      <c r="E7" s="518">
        <v>20</v>
      </c>
      <c r="F7" s="516">
        <v>2400</v>
      </c>
      <c r="G7" s="517">
        <v>120</v>
      </c>
      <c r="H7" s="702">
        <f>AVERAGE(G7:G21)</f>
        <v>141.03193369453044</v>
      </c>
      <c r="I7" s="496">
        <f t="shared" ref="I7:I20" si="0">IFERROR(AVERAGE(P7,U7,Z7,AE7,AJ7,AO7,AT7),"-")</f>
        <v>20</v>
      </c>
      <c r="J7" s="496">
        <f t="shared" ref="J7:J20" si="1">IFERROR(AVERAGE(Q7,V7,AA7,AF7,AK7,AP7,AU7),"-")</f>
        <v>2320.2547447683232</v>
      </c>
      <c r="K7" s="194">
        <f t="shared" ref="K7:K20" si="2">IFERROR(AVERAGE(R7,W7,AB7,AG7,AL7,AQ7,AV7),"-")</f>
        <v>116.01273723841616</v>
      </c>
      <c r="L7" s="644">
        <f>IFERROR(AVERAGE(K7:K21),"-")</f>
        <v>128.19631560423497</v>
      </c>
      <c r="M7" s="477">
        <f>RANK(K7, K$7:$K$21)</f>
        <v>8</v>
      </c>
      <c r="N7" s="663"/>
      <c r="O7" s="663"/>
      <c r="P7" s="524">
        <v>20</v>
      </c>
      <c r="Q7" s="477">
        <v>2315.1999999999994</v>
      </c>
      <c r="R7" s="477">
        <v>115.75999999999996</v>
      </c>
      <c r="S7" s="524">
        <f t="shared" ref="S7:S21" si="3">RANK(R7, R$7:R$21)</f>
        <v>8</v>
      </c>
      <c r="T7" s="708">
        <f t="shared" ref="T7" si="4">AVERAGE(R7:R21)</f>
        <v>128.77548231243065</v>
      </c>
      <c r="U7" s="524">
        <v>20</v>
      </c>
      <c r="V7" s="477">
        <v>2302.3880597014927</v>
      </c>
      <c r="W7" s="477">
        <v>115.11940298507463</v>
      </c>
      <c r="X7" s="524">
        <f t="shared" ref="X7:X21" si="5">RANK(W7, W$7:W$21)</f>
        <v>8</v>
      </c>
      <c r="Y7" s="708">
        <f t="shared" ref="Y7" si="6">AVERAGE(W7:W21)</f>
        <v>127.7438552725738</v>
      </c>
      <c r="Z7" s="524">
        <v>20</v>
      </c>
      <c r="AA7" s="477">
        <v>2332.9687499999995</v>
      </c>
      <c r="AB7" s="477">
        <v>116.64843749999997</v>
      </c>
      <c r="AC7" s="524">
        <f t="shared" ref="AC7:AC21" si="7">RANK(AB7, AB$7:AB$21)</f>
        <v>8</v>
      </c>
      <c r="AD7" s="708">
        <f t="shared" ref="AD7" si="8">AVERAGE(AB7:AB21)</f>
        <v>127.73991931487537</v>
      </c>
      <c r="AE7" s="524">
        <v>20</v>
      </c>
      <c r="AF7" s="477">
        <v>2301.2903225806444</v>
      </c>
      <c r="AG7" s="477">
        <v>115.06451612903223</v>
      </c>
      <c r="AH7" s="524">
        <f t="shared" ref="AH7:AH21" si="9">RANK(AG7, AG$7:AG$21)</f>
        <v>8</v>
      </c>
      <c r="AI7" s="708">
        <f t="shared" ref="AI7" si="10">AVERAGE(AG7:AG21)</f>
        <v>127.35765202477853</v>
      </c>
      <c r="AJ7" s="524">
        <v>20</v>
      </c>
      <c r="AK7" s="477">
        <v>2362.5563909774437</v>
      </c>
      <c r="AL7" s="477">
        <v>118.12781954887218</v>
      </c>
      <c r="AM7" s="524">
        <f t="shared" ref="AM7:AM21" si="11">RANK(AL7, AL$7:AL$21)</f>
        <v>8</v>
      </c>
      <c r="AN7" s="708">
        <f t="shared" ref="AN7" si="12">AVERAGE(AL7:AL21)</f>
        <v>128.87368220015281</v>
      </c>
      <c r="AO7" s="524">
        <v>20</v>
      </c>
      <c r="AP7" s="477">
        <v>2328.2080924855491</v>
      </c>
      <c r="AQ7" s="477">
        <v>116.41040462427745</v>
      </c>
      <c r="AR7" s="524">
        <f t="shared" ref="AR7:AR21" si="13">RANK(AQ7, AQ$7:AQ$21)</f>
        <v>8</v>
      </c>
      <c r="AS7" s="708">
        <f t="shared" ref="AS7" si="14">AVERAGE(AQ7:AQ21)</f>
        <v>127.49057590206533</v>
      </c>
      <c r="AT7" s="523">
        <v>20</v>
      </c>
      <c r="AU7" s="525">
        <v>2299.1715976331357</v>
      </c>
      <c r="AV7" s="525">
        <v>114.95857988165679</v>
      </c>
      <c r="AW7" s="524">
        <f t="shared" ref="AW7:AW21" si="15">RANK(AV7, AV$7:AV$21)</f>
        <v>8</v>
      </c>
      <c r="AX7" s="708">
        <f t="shared" ref="AX7" si="16">AVERAGE(AV7:AV21)</f>
        <v>129.39304220276824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345</v>
      </c>
      <c r="E8" s="518">
        <v>18</v>
      </c>
      <c r="F8" s="516">
        <v>2769</v>
      </c>
      <c r="G8" s="517">
        <v>153.83333333333334</v>
      </c>
      <c r="H8" s="703"/>
      <c r="I8" s="496">
        <f t="shared" si="0"/>
        <v>18.142857142857142</v>
      </c>
      <c r="J8" s="496">
        <f t="shared" si="1"/>
        <v>2399.2798736515897</v>
      </c>
      <c r="K8" s="194">
        <f t="shared" si="2"/>
        <v>132.2891492045369</v>
      </c>
      <c r="L8" s="645"/>
      <c r="M8" s="477">
        <f>RANK(K8, K$7:$K$21)</f>
        <v>3</v>
      </c>
      <c r="N8" s="663"/>
      <c r="O8" s="663"/>
      <c r="P8" s="524">
        <v>18</v>
      </c>
      <c r="Q8" s="477">
        <v>2417.6470588235306</v>
      </c>
      <c r="R8" s="477">
        <v>134.31372549019613</v>
      </c>
      <c r="S8" s="524">
        <f t="shared" si="3"/>
        <v>2</v>
      </c>
      <c r="T8" s="708"/>
      <c r="U8" s="524">
        <v>18</v>
      </c>
      <c r="V8" s="477">
        <v>2393.6170212765965</v>
      </c>
      <c r="W8" s="477">
        <v>132.97872340425536</v>
      </c>
      <c r="X8" s="524">
        <f t="shared" si="5"/>
        <v>3</v>
      </c>
      <c r="Y8" s="708"/>
      <c r="Z8" s="524">
        <v>18</v>
      </c>
      <c r="AA8" s="477">
        <v>2421.333333333333</v>
      </c>
      <c r="AB8" s="477">
        <v>134.5185185185185</v>
      </c>
      <c r="AC8" s="524">
        <f t="shared" si="7"/>
        <v>2</v>
      </c>
      <c r="AD8" s="708"/>
      <c r="AE8" s="524">
        <v>18</v>
      </c>
      <c r="AF8" s="477">
        <v>2369.36170212766</v>
      </c>
      <c r="AG8" s="477">
        <v>131.6312056737589</v>
      </c>
      <c r="AH8" s="524">
        <f t="shared" si="9"/>
        <v>3</v>
      </c>
      <c r="AI8" s="708"/>
      <c r="AJ8" s="524">
        <v>18</v>
      </c>
      <c r="AK8" s="477">
        <v>2400.0000000000014</v>
      </c>
      <c r="AL8" s="477">
        <v>133.3333333333334</v>
      </c>
      <c r="AM8" s="524">
        <f t="shared" si="11"/>
        <v>3</v>
      </c>
      <c r="AN8" s="708"/>
      <c r="AO8" s="524">
        <v>18</v>
      </c>
      <c r="AP8" s="477">
        <v>2389.0000000000023</v>
      </c>
      <c r="AQ8" s="477">
        <v>132.72222222222234</v>
      </c>
      <c r="AR8" s="524">
        <f t="shared" si="13"/>
        <v>2</v>
      </c>
      <c r="AS8" s="708"/>
      <c r="AT8" s="523">
        <v>19</v>
      </c>
      <c r="AU8" s="525">
        <v>2404.0000000000023</v>
      </c>
      <c r="AV8" s="525">
        <v>126.5263157894738</v>
      </c>
      <c r="AW8" s="524">
        <f t="shared" si="15"/>
        <v>6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220" t="s">
        <v>346</v>
      </c>
      <c r="E9" s="518">
        <v>19</v>
      </c>
      <c r="F9" s="516">
        <v>2769</v>
      </c>
      <c r="G9" s="517">
        <v>145.73684210526315</v>
      </c>
      <c r="H9" s="703"/>
      <c r="I9" s="496">
        <f t="shared" si="0"/>
        <v>19</v>
      </c>
      <c r="J9" s="496">
        <f t="shared" si="1"/>
        <v>2528.9927741431507</v>
      </c>
      <c r="K9" s="194">
        <f t="shared" si="2"/>
        <v>133.10488284963955</v>
      </c>
      <c r="L9" s="645"/>
      <c r="M9" s="477">
        <f>RANK(K9, K$7:$K$21)</f>
        <v>2</v>
      </c>
      <c r="N9" s="663"/>
      <c r="O9" s="663"/>
      <c r="P9" s="524">
        <v>19</v>
      </c>
      <c r="Q9" s="477">
        <v>2545.7142857142885</v>
      </c>
      <c r="R9" s="477">
        <v>133.98496240601517</v>
      </c>
      <c r="S9" s="524">
        <f t="shared" si="3"/>
        <v>3</v>
      </c>
      <c r="T9" s="708"/>
      <c r="U9" s="524">
        <v>19</v>
      </c>
      <c r="V9" s="477">
        <v>2531.7857142857165</v>
      </c>
      <c r="W9" s="477">
        <v>133.25187969924824</v>
      </c>
      <c r="X9" s="524">
        <f t="shared" si="5"/>
        <v>2</v>
      </c>
      <c r="Y9" s="708"/>
      <c r="Z9" s="524">
        <v>19</v>
      </c>
      <c r="AA9" s="477">
        <v>2491.0714285714303</v>
      </c>
      <c r="AB9" s="477">
        <v>131.10902255639107</v>
      </c>
      <c r="AC9" s="524">
        <f t="shared" si="7"/>
        <v>3</v>
      </c>
      <c r="AD9" s="708"/>
      <c r="AE9" s="524">
        <v>19</v>
      </c>
      <c r="AF9" s="477">
        <v>2515.7894736842127</v>
      </c>
      <c r="AG9" s="477">
        <v>132.40997229916908</v>
      </c>
      <c r="AH9" s="524">
        <f t="shared" si="9"/>
        <v>2</v>
      </c>
      <c r="AI9" s="708"/>
      <c r="AJ9" s="524">
        <v>19</v>
      </c>
      <c r="AK9" s="477">
        <v>2547.2727272727302</v>
      </c>
      <c r="AL9" s="477">
        <v>134.06698564593316</v>
      </c>
      <c r="AM9" s="524">
        <f t="shared" si="11"/>
        <v>2</v>
      </c>
      <c r="AN9" s="708"/>
      <c r="AO9" s="524">
        <v>19</v>
      </c>
      <c r="AP9" s="477">
        <v>2511.3157894736823</v>
      </c>
      <c r="AQ9" s="477">
        <v>132.17451523545697</v>
      </c>
      <c r="AR9" s="524">
        <f t="shared" si="13"/>
        <v>3</v>
      </c>
      <c r="AS9" s="708"/>
      <c r="AT9" s="523">
        <v>19</v>
      </c>
      <c r="AU9" s="525">
        <v>2559.9999999999982</v>
      </c>
      <c r="AV9" s="525">
        <v>134.73684210526307</v>
      </c>
      <c r="AW9" s="524">
        <f t="shared" si="15"/>
        <v>3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220" t="s">
        <v>347</v>
      </c>
      <c r="E10" s="518">
        <v>20</v>
      </c>
      <c r="F10" s="516">
        <v>2769</v>
      </c>
      <c r="G10" s="517">
        <v>138.44999999999999</v>
      </c>
      <c r="H10" s="703"/>
      <c r="I10" s="496">
        <f t="shared" si="0"/>
        <v>19.857142857142858</v>
      </c>
      <c r="J10" s="496">
        <f t="shared" si="1"/>
        <v>2539.635661606641</v>
      </c>
      <c r="K10" s="194">
        <f t="shared" si="2"/>
        <v>127.94783457269929</v>
      </c>
      <c r="L10" s="645"/>
      <c r="M10" s="477">
        <f>RANK(K10, K$7:$K$21)</f>
        <v>6</v>
      </c>
      <c r="N10" s="663"/>
      <c r="O10" s="663"/>
      <c r="P10" s="524">
        <v>20</v>
      </c>
      <c r="Q10" s="477">
        <v>2522.1686746987943</v>
      </c>
      <c r="R10" s="477">
        <v>126.10843373493972</v>
      </c>
      <c r="S10" s="524">
        <f t="shared" si="3"/>
        <v>6</v>
      </c>
      <c r="T10" s="708"/>
      <c r="U10" s="524">
        <v>20</v>
      </c>
      <c r="V10" s="477">
        <v>2529.8823529411761</v>
      </c>
      <c r="W10" s="477">
        <v>126.4941176470588</v>
      </c>
      <c r="X10" s="524">
        <f t="shared" si="5"/>
        <v>6</v>
      </c>
      <c r="Y10" s="708"/>
      <c r="Z10" s="524">
        <v>20</v>
      </c>
      <c r="AA10" s="477">
        <v>2546.3414634146334</v>
      </c>
      <c r="AB10" s="477">
        <v>127.31707317073167</v>
      </c>
      <c r="AC10" s="524">
        <f t="shared" si="7"/>
        <v>5</v>
      </c>
      <c r="AD10" s="708"/>
      <c r="AE10" s="524">
        <v>20</v>
      </c>
      <c r="AF10" s="477">
        <v>2522.1951219512189</v>
      </c>
      <c r="AG10" s="477">
        <v>126.10975609756095</v>
      </c>
      <c r="AH10" s="524">
        <f t="shared" si="9"/>
        <v>6</v>
      </c>
      <c r="AI10" s="708"/>
      <c r="AJ10" s="524">
        <v>20</v>
      </c>
      <c r="AK10" s="477">
        <v>2566</v>
      </c>
      <c r="AL10" s="477">
        <v>128.30000000000001</v>
      </c>
      <c r="AM10" s="524">
        <f t="shared" si="11"/>
        <v>6</v>
      </c>
      <c r="AN10" s="708"/>
      <c r="AO10" s="524">
        <v>20</v>
      </c>
      <c r="AP10" s="477">
        <v>2521.1650485436903</v>
      </c>
      <c r="AQ10" s="477">
        <v>126.05825242718451</v>
      </c>
      <c r="AR10" s="524">
        <f t="shared" si="13"/>
        <v>6</v>
      </c>
      <c r="AS10" s="708"/>
      <c r="AT10" s="523">
        <v>19</v>
      </c>
      <c r="AU10" s="525">
        <v>2569.6969696969704</v>
      </c>
      <c r="AV10" s="525">
        <v>135.24720893141949</v>
      </c>
      <c r="AW10" s="524">
        <f t="shared" si="15"/>
        <v>2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220" t="s">
        <v>503</v>
      </c>
      <c r="E11" s="518">
        <v>18</v>
      </c>
      <c r="F11" s="516">
        <v>2400</v>
      </c>
      <c r="G11" s="517">
        <v>133.33333333333334</v>
      </c>
      <c r="H11" s="703"/>
      <c r="I11" s="496">
        <f t="shared" si="0"/>
        <v>18</v>
      </c>
      <c r="J11" s="496">
        <f t="shared" si="1"/>
        <v>2165.6618874959436</v>
      </c>
      <c r="K11" s="194">
        <f t="shared" si="2"/>
        <v>120.31454930533019</v>
      </c>
      <c r="L11" s="645"/>
      <c r="M11" s="477">
        <f>RANK(K11, K$7:$K$21)</f>
        <v>7</v>
      </c>
      <c r="N11" s="663"/>
      <c r="O11" s="663"/>
      <c r="P11" s="524">
        <v>18</v>
      </c>
      <c r="Q11" s="477">
        <v>2150.8695652173915</v>
      </c>
      <c r="R11" s="477">
        <v>119.49275362318842</v>
      </c>
      <c r="S11" s="524">
        <f t="shared" si="3"/>
        <v>7</v>
      </c>
      <c r="T11" s="708"/>
      <c r="U11" s="524">
        <v>18</v>
      </c>
      <c r="V11" s="477">
        <v>2164.2857142857138</v>
      </c>
      <c r="W11" s="477">
        <v>120.23809523809521</v>
      </c>
      <c r="X11" s="524">
        <f t="shared" si="5"/>
        <v>7</v>
      </c>
      <c r="Y11" s="708"/>
      <c r="Z11" s="524">
        <v>18</v>
      </c>
      <c r="AA11" s="477">
        <v>2139.9999999999995</v>
      </c>
      <c r="AB11" s="477">
        <v>118.88888888888886</v>
      </c>
      <c r="AC11" s="524">
        <f t="shared" si="7"/>
        <v>7</v>
      </c>
      <c r="AD11" s="708"/>
      <c r="AE11" s="524">
        <v>18</v>
      </c>
      <c r="AF11" s="477">
        <v>2171.4285714285706</v>
      </c>
      <c r="AG11" s="477">
        <v>120.63492063492059</v>
      </c>
      <c r="AH11" s="524">
        <f t="shared" si="9"/>
        <v>7</v>
      </c>
      <c r="AI11" s="708"/>
      <c r="AJ11" s="524">
        <v>18</v>
      </c>
      <c r="AK11" s="477">
        <v>2173.6363636363635</v>
      </c>
      <c r="AL11" s="477">
        <v>120.75757575757575</v>
      </c>
      <c r="AM11" s="524">
        <f t="shared" si="11"/>
        <v>7</v>
      </c>
      <c r="AN11" s="708"/>
      <c r="AO11" s="524">
        <v>18</v>
      </c>
      <c r="AP11" s="477">
        <v>2188.3018867924538</v>
      </c>
      <c r="AQ11" s="477">
        <v>121.57232704402522</v>
      </c>
      <c r="AR11" s="524">
        <f t="shared" si="13"/>
        <v>7</v>
      </c>
      <c r="AS11" s="708"/>
      <c r="AT11" s="523">
        <v>18</v>
      </c>
      <c r="AU11" s="525">
        <v>2171.1111111111122</v>
      </c>
      <c r="AV11" s="525">
        <v>120.61728395061735</v>
      </c>
      <c r="AW11" s="524">
        <f t="shared" si="15"/>
        <v>7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220" t="s">
        <v>571</v>
      </c>
      <c r="E12" s="518">
        <v>17</v>
      </c>
      <c r="F12" s="516">
        <v>2571</v>
      </c>
      <c r="G12" s="517">
        <v>151.23529411764707</v>
      </c>
      <c r="H12" s="703"/>
      <c r="I12" s="496">
        <f t="shared" si="0"/>
        <v>17</v>
      </c>
      <c r="J12" s="496">
        <f t="shared" si="1"/>
        <v>2306.1430277440131</v>
      </c>
      <c r="K12" s="194">
        <f t="shared" si="2"/>
        <v>135.65547222023608</v>
      </c>
      <c r="L12" s="645"/>
      <c r="M12" s="477">
        <f>RANK(K12, K$7:$K$21)</f>
        <v>1</v>
      </c>
      <c r="N12" s="663"/>
      <c r="O12" s="663"/>
      <c r="P12" s="524">
        <v>17</v>
      </c>
      <c r="Q12" s="477">
        <v>2331.7241379310299</v>
      </c>
      <c r="R12" s="477">
        <v>137.16024340770764</v>
      </c>
      <c r="S12" s="524">
        <f t="shared" si="3"/>
        <v>1</v>
      </c>
      <c r="T12" s="708"/>
      <c r="U12" s="524">
        <v>17</v>
      </c>
      <c r="V12" s="477">
        <v>2299.285714285716</v>
      </c>
      <c r="W12" s="477">
        <v>135.25210084033623</v>
      </c>
      <c r="X12" s="524">
        <f t="shared" si="5"/>
        <v>1</v>
      </c>
      <c r="Y12" s="708"/>
      <c r="Z12" s="524">
        <v>17</v>
      </c>
      <c r="AA12" s="477">
        <v>2346.6666666666679</v>
      </c>
      <c r="AB12" s="477">
        <v>138.03921568627459</v>
      </c>
      <c r="AC12" s="524">
        <f t="shared" si="7"/>
        <v>1</v>
      </c>
      <c r="AD12" s="708"/>
      <c r="AE12" s="524">
        <v>17</v>
      </c>
      <c r="AF12" s="477">
        <v>2275.7142857142876</v>
      </c>
      <c r="AG12" s="477">
        <v>133.86554621848751</v>
      </c>
      <c r="AH12" s="524">
        <f t="shared" si="9"/>
        <v>1</v>
      </c>
      <c r="AI12" s="708"/>
      <c r="AJ12" s="524">
        <v>17</v>
      </c>
      <c r="AK12" s="477">
        <v>2340.0000000000014</v>
      </c>
      <c r="AL12" s="477">
        <v>137.64705882352951</v>
      </c>
      <c r="AM12" s="524">
        <f t="shared" si="11"/>
        <v>1</v>
      </c>
      <c r="AN12" s="708"/>
      <c r="AO12" s="524">
        <v>17</v>
      </c>
      <c r="AP12" s="477">
        <v>2278.1818181818207</v>
      </c>
      <c r="AQ12" s="477">
        <v>134.01069518716594</v>
      </c>
      <c r="AR12" s="524">
        <f t="shared" si="13"/>
        <v>1</v>
      </c>
      <c r="AS12" s="708"/>
      <c r="AT12" s="523">
        <v>17</v>
      </c>
      <c r="AU12" s="525">
        <v>2271.4285714285693</v>
      </c>
      <c r="AV12" s="525">
        <v>133.61344537815114</v>
      </c>
      <c r="AW12" s="524">
        <f t="shared" si="15"/>
        <v>4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220" t="s">
        <v>588</v>
      </c>
      <c r="E13" s="518">
        <v>18</v>
      </c>
      <c r="F13" s="516">
        <v>2571</v>
      </c>
      <c r="G13" s="517">
        <v>142.83333333333334</v>
      </c>
      <c r="H13" s="703"/>
      <c r="I13" s="496">
        <f t="shared" si="0"/>
        <v>17.857142857142858</v>
      </c>
      <c r="J13" s="496">
        <f t="shared" si="1"/>
        <v>2336.2183873607441</v>
      </c>
      <c r="K13" s="194">
        <f t="shared" si="2"/>
        <v>130.89472442756093</v>
      </c>
      <c r="L13" s="645"/>
      <c r="M13" s="477">
        <f>RANK(K13, K$7:$K$21)</f>
        <v>4</v>
      </c>
      <c r="N13" s="663"/>
      <c r="O13" s="663"/>
      <c r="P13" s="524">
        <v>18</v>
      </c>
      <c r="Q13" s="477">
        <v>2381.7073170731701</v>
      </c>
      <c r="R13" s="477">
        <v>132.31707317073167</v>
      </c>
      <c r="S13" s="524">
        <f t="shared" si="3"/>
        <v>4</v>
      </c>
      <c r="T13" s="708"/>
      <c r="U13" s="524">
        <v>18</v>
      </c>
      <c r="V13" s="477">
        <v>2302.5974025974037</v>
      </c>
      <c r="W13" s="477">
        <v>127.92207792207799</v>
      </c>
      <c r="X13" s="524">
        <f t="shared" si="5"/>
        <v>5</v>
      </c>
      <c r="Y13" s="708"/>
      <c r="Z13" s="524">
        <v>18</v>
      </c>
      <c r="AA13" s="477">
        <v>2307.5675675675684</v>
      </c>
      <c r="AB13" s="477">
        <v>128.19819819819824</v>
      </c>
      <c r="AC13" s="524">
        <f t="shared" si="7"/>
        <v>4</v>
      </c>
      <c r="AD13" s="708"/>
      <c r="AE13" s="524">
        <v>18</v>
      </c>
      <c r="AF13" s="477">
        <v>2344.6153846153838</v>
      </c>
      <c r="AG13" s="477">
        <v>130.25641025641022</v>
      </c>
      <c r="AH13" s="524">
        <f t="shared" si="9"/>
        <v>4</v>
      </c>
      <c r="AI13" s="708"/>
      <c r="AJ13" s="524">
        <v>18</v>
      </c>
      <c r="AK13" s="477">
        <v>2328.5294117647063</v>
      </c>
      <c r="AL13" s="477">
        <v>129.36274509803923</v>
      </c>
      <c r="AM13" s="524">
        <f t="shared" si="11"/>
        <v>5</v>
      </c>
      <c r="AN13" s="708"/>
      <c r="AO13" s="524">
        <v>18</v>
      </c>
      <c r="AP13" s="477">
        <v>2322</v>
      </c>
      <c r="AQ13" s="477">
        <v>129</v>
      </c>
      <c r="AR13" s="524">
        <f t="shared" si="13"/>
        <v>4</v>
      </c>
      <c r="AS13" s="708"/>
      <c r="AT13" s="523">
        <v>17</v>
      </c>
      <c r="AU13" s="525">
        <v>2366.5116279069762</v>
      </c>
      <c r="AV13" s="525">
        <v>139.20656634746919</v>
      </c>
      <c r="AW13" s="524">
        <f t="shared" si="15"/>
        <v>1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220" t="s">
        <v>670</v>
      </c>
      <c r="E14" s="518">
        <v>18</v>
      </c>
      <c r="F14" s="516">
        <v>2571</v>
      </c>
      <c r="G14" s="517">
        <v>142.83333333333334</v>
      </c>
      <c r="H14" s="703"/>
      <c r="I14" s="496">
        <f t="shared" si="0"/>
        <v>18</v>
      </c>
      <c r="J14" s="496">
        <f t="shared" si="1"/>
        <v>2328.321150278291</v>
      </c>
      <c r="K14" s="194">
        <f t="shared" si="2"/>
        <v>129.3511750154606</v>
      </c>
      <c r="L14" s="645"/>
      <c r="M14" s="477">
        <f>RANK(K14, K$7:$K$21)</f>
        <v>5</v>
      </c>
      <c r="N14" s="663"/>
      <c r="O14" s="663"/>
      <c r="P14" s="524">
        <v>18</v>
      </c>
      <c r="Q14" s="477">
        <v>2359.2000000000007</v>
      </c>
      <c r="R14" s="477">
        <v>131.06666666666672</v>
      </c>
      <c r="S14" s="524">
        <f t="shared" si="3"/>
        <v>5</v>
      </c>
      <c r="T14" s="708"/>
      <c r="U14" s="524">
        <v>18</v>
      </c>
      <c r="V14" s="477">
        <v>2352.4999999999927</v>
      </c>
      <c r="W14" s="477">
        <v>130.69444444444403</v>
      </c>
      <c r="X14" s="524">
        <f t="shared" si="5"/>
        <v>4</v>
      </c>
      <c r="Y14" s="708"/>
      <c r="Z14" s="524">
        <v>18</v>
      </c>
      <c r="AA14" s="477">
        <v>2289.6000000000008</v>
      </c>
      <c r="AB14" s="477">
        <v>127.20000000000005</v>
      </c>
      <c r="AC14" s="524">
        <f t="shared" si="7"/>
        <v>6</v>
      </c>
      <c r="AD14" s="708"/>
      <c r="AE14" s="524">
        <v>18</v>
      </c>
      <c r="AF14" s="477">
        <v>2320.0000000000009</v>
      </c>
      <c r="AG14" s="477">
        <v>128.88888888888894</v>
      </c>
      <c r="AH14" s="524">
        <f t="shared" si="9"/>
        <v>5</v>
      </c>
      <c r="AI14" s="708"/>
      <c r="AJ14" s="524">
        <v>18</v>
      </c>
      <c r="AK14" s="477">
        <v>2329.090909090909</v>
      </c>
      <c r="AL14" s="477">
        <v>129.39393939393938</v>
      </c>
      <c r="AM14" s="524">
        <f t="shared" si="11"/>
        <v>4</v>
      </c>
      <c r="AN14" s="708"/>
      <c r="AO14" s="524">
        <v>18</v>
      </c>
      <c r="AP14" s="477">
        <v>2303.5714285714234</v>
      </c>
      <c r="AQ14" s="477">
        <v>127.9761904761902</v>
      </c>
      <c r="AR14" s="524">
        <f t="shared" si="13"/>
        <v>5</v>
      </c>
      <c r="AS14" s="708"/>
      <c r="AT14" s="523">
        <v>18</v>
      </c>
      <c r="AU14" s="525">
        <v>2344.2857142857092</v>
      </c>
      <c r="AV14" s="525">
        <v>130.23809523809496</v>
      </c>
      <c r="AW14" s="524">
        <f t="shared" si="15"/>
        <v>5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220"/>
      <c r="E15" s="518"/>
      <c r="F15" s="516"/>
      <c r="G15" s="517"/>
      <c r="H15" s="703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45"/>
      <c r="M15" s="477" t="e">
        <f>RANK(K15, K$7:$K$21)</f>
        <v>#VALUE!</v>
      </c>
      <c r="N15" s="663"/>
      <c r="O15" s="663"/>
      <c r="P15" s="524" t="s">
        <v>564</v>
      </c>
      <c r="Q15" s="477" t="s">
        <v>564</v>
      </c>
      <c r="R15" s="477" t="s">
        <v>564</v>
      </c>
      <c r="S15" s="524" t="e">
        <f t="shared" si="3"/>
        <v>#VALUE!</v>
      </c>
      <c r="T15" s="708"/>
      <c r="U15" s="524" t="s">
        <v>564</v>
      </c>
      <c r="V15" s="477" t="s">
        <v>564</v>
      </c>
      <c r="W15" s="477" t="s">
        <v>564</v>
      </c>
      <c r="X15" s="524" t="e">
        <f t="shared" si="5"/>
        <v>#VALUE!</v>
      </c>
      <c r="Y15" s="708"/>
      <c r="Z15" s="524" t="s">
        <v>564</v>
      </c>
      <c r="AA15" s="477" t="s">
        <v>564</v>
      </c>
      <c r="AB15" s="477" t="s">
        <v>564</v>
      </c>
      <c r="AC15" s="524" t="e">
        <f t="shared" si="7"/>
        <v>#VALUE!</v>
      </c>
      <c r="AD15" s="708"/>
      <c r="AE15" s="524" t="s">
        <v>564</v>
      </c>
      <c r="AF15" s="477" t="s">
        <v>564</v>
      </c>
      <c r="AG15" s="477" t="s">
        <v>564</v>
      </c>
      <c r="AH15" s="524" t="e">
        <f t="shared" si="9"/>
        <v>#VALUE!</v>
      </c>
      <c r="AI15" s="708"/>
      <c r="AJ15" s="524" t="s">
        <v>564</v>
      </c>
      <c r="AK15" s="477" t="s">
        <v>564</v>
      </c>
      <c r="AL15" s="477" t="s">
        <v>564</v>
      </c>
      <c r="AM15" s="524" t="e">
        <f t="shared" si="11"/>
        <v>#VALUE!</v>
      </c>
      <c r="AN15" s="708"/>
      <c r="AO15" s="524" t="s">
        <v>564</v>
      </c>
      <c r="AP15" s="477" t="s">
        <v>564</v>
      </c>
      <c r="AQ15" s="477" t="s">
        <v>564</v>
      </c>
      <c r="AR15" s="524" t="e">
        <f t="shared" si="13"/>
        <v>#VALUE!</v>
      </c>
      <c r="AS15" s="708"/>
      <c r="AT15" s="523" t="s">
        <v>564</v>
      </c>
      <c r="AU15" s="525" t="s">
        <v>564</v>
      </c>
      <c r="AV15" s="525" t="s">
        <v>564</v>
      </c>
      <c r="AW15" s="524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220"/>
      <c r="E16" s="518"/>
      <c r="F16" s="516"/>
      <c r="G16" s="517"/>
      <c r="H16" s="703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45"/>
      <c r="M16" s="477" t="e">
        <f>RANK(K16, K$7:$K$21)</f>
        <v>#VALUE!</v>
      </c>
      <c r="N16" s="663"/>
      <c r="O16" s="663"/>
      <c r="P16" s="524" t="s">
        <v>564</v>
      </c>
      <c r="Q16" s="477" t="s">
        <v>564</v>
      </c>
      <c r="R16" s="477" t="s">
        <v>564</v>
      </c>
      <c r="S16" s="524" t="e">
        <f t="shared" si="3"/>
        <v>#VALUE!</v>
      </c>
      <c r="T16" s="708"/>
      <c r="U16" s="524" t="s">
        <v>564</v>
      </c>
      <c r="V16" s="477" t="s">
        <v>564</v>
      </c>
      <c r="W16" s="477" t="s">
        <v>564</v>
      </c>
      <c r="X16" s="524" t="e">
        <f t="shared" si="5"/>
        <v>#VALUE!</v>
      </c>
      <c r="Y16" s="708"/>
      <c r="Z16" s="524" t="s">
        <v>564</v>
      </c>
      <c r="AA16" s="477" t="s">
        <v>564</v>
      </c>
      <c r="AB16" s="477" t="s">
        <v>564</v>
      </c>
      <c r="AC16" s="524" t="e">
        <f t="shared" si="7"/>
        <v>#VALUE!</v>
      </c>
      <c r="AD16" s="708"/>
      <c r="AE16" s="524" t="s">
        <v>564</v>
      </c>
      <c r="AF16" s="477" t="s">
        <v>564</v>
      </c>
      <c r="AG16" s="477" t="s">
        <v>564</v>
      </c>
      <c r="AH16" s="524" t="e">
        <f t="shared" si="9"/>
        <v>#VALUE!</v>
      </c>
      <c r="AI16" s="708"/>
      <c r="AJ16" s="524" t="s">
        <v>564</v>
      </c>
      <c r="AK16" s="477" t="s">
        <v>564</v>
      </c>
      <c r="AL16" s="477" t="s">
        <v>564</v>
      </c>
      <c r="AM16" s="524" t="e">
        <f t="shared" si="11"/>
        <v>#VALUE!</v>
      </c>
      <c r="AN16" s="708"/>
      <c r="AO16" s="524" t="s">
        <v>564</v>
      </c>
      <c r="AP16" s="477" t="s">
        <v>564</v>
      </c>
      <c r="AQ16" s="477" t="s">
        <v>564</v>
      </c>
      <c r="AR16" s="524" t="e">
        <f t="shared" si="13"/>
        <v>#VALUE!</v>
      </c>
      <c r="AS16" s="708"/>
      <c r="AT16" s="523" t="s">
        <v>564</v>
      </c>
      <c r="AU16" s="525" t="s">
        <v>564</v>
      </c>
      <c r="AV16" s="525" t="s">
        <v>564</v>
      </c>
      <c r="AW16" s="524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220"/>
      <c r="E17" s="518"/>
      <c r="F17" s="516"/>
      <c r="G17" s="517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24" t="s">
        <v>564</v>
      </c>
      <c r="Q17" s="477" t="s">
        <v>564</v>
      </c>
      <c r="R17" s="477" t="s">
        <v>564</v>
      </c>
      <c r="S17" s="524" t="e">
        <f t="shared" si="3"/>
        <v>#VALUE!</v>
      </c>
      <c r="T17" s="708"/>
      <c r="U17" s="524" t="s">
        <v>564</v>
      </c>
      <c r="V17" s="477" t="s">
        <v>564</v>
      </c>
      <c r="W17" s="477" t="s">
        <v>564</v>
      </c>
      <c r="X17" s="524" t="e">
        <f t="shared" si="5"/>
        <v>#VALUE!</v>
      </c>
      <c r="Y17" s="708"/>
      <c r="Z17" s="524" t="s">
        <v>564</v>
      </c>
      <c r="AA17" s="477" t="s">
        <v>564</v>
      </c>
      <c r="AB17" s="477" t="s">
        <v>564</v>
      </c>
      <c r="AC17" s="524" t="e">
        <f t="shared" si="7"/>
        <v>#VALUE!</v>
      </c>
      <c r="AD17" s="708"/>
      <c r="AE17" s="524" t="s">
        <v>564</v>
      </c>
      <c r="AF17" s="477" t="s">
        <v>564</v>
      </c>
      <c r="AG17" s="477" t="s">
        <v>564</v>
      </c>
      <c r="AH17" s="524" t="e">
        <f t="shared" si="9"/>
        <v>#VALUE!</v>
      </c>
      <c r="AI17" s="708"/>
      <c r="AJ17" s="524" t="s">
        <v>564</v>
      </c>
      <c r="AK17" s="477" t="s">
        <v>564</v>
      </c>
      <c r="AL17" s="477" t="s">
        <v>564</v>
      </c>
      <c r="AM17" s="524" t="e">
        <f t="shared" si="11"/>
        <v>#VALUE!</v>
      </c>
      <c r="AN17" s="708"/>
      <c r="AO17" s="524" t="s">
        <v>564</v>
      </c>
      <c r="AP17" s="477" t="s">
        <v>564</v>
      </c>
      <c r="AQ17" s="477" t="s">
        <v>564</v>
      </c>
      <c r="AR17" s="524" t="e">
        <f t="shared" si="13"/>
        <v>#VALUE!</v>
      </c>
      <c r="AS17" s="708"/>
      <c r="AT17" s="523" t="s">
        <v>564</v>
      </c>
      <c r="AU17" s="525" t="s">
        <v>564</v>
      </c>
      <c r="AV17" s="525" t="s">
        <v>564</v>
      </c>
      <c r="AW17" s="524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220"/>
      <c r="E18" s="518"/>
      <c r="F18" s="516"/>
      <c r="G18" s="517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24" t="s">
        <v>564</v>
      </c>
      <c r="Q18" s="477" t="s">
        <v>564</v>
      </c>
      <c r="R18" s="477" t="s">
        <v>564</v>
      </c>
      <c r="S18" s="524" t="e">
        <f t="shared" si="3"/>
        <v>#VALUE!</v>
      </c>
      <c r="T18" s="708"/>
      <c r="U18" s="524" t="s">
        <v>564</v>
      </c>
      <c r="V18" s="477" t="s">
        <v>564</v>
      </c>
      <c r="W18" s="477" t="s">
        <v>564</v>
      </c>
      <c r="X18" s="524" t="e">
        <f t="shared" si="5"/>
        <v>#VALUE!</v>
      </c>
      <c r="Y18" s="708"/>
      <c r="Z18" s="524" t="s">
        <v>564</v>
      </c>
      <c r="AA18" s="477" t="s">
        <v>564</v>
      </c>
      <c r="AB18" s="477" t="s">
        <v>564</v>
      </c>
      <c r="AC18" s="524" t="e">
        <f t="shared" si="7"/>
        <v>#VALUE!</v>
      </c>
      <c r="AD18" s="708"/>
      <c r="AE18" s="524" t="s">
        <v>564</v>
      </c>
      <c r="AF18" s="477" t="s">
        <v>564</v>
      </c>
      <c r="AG18" s="477" t="s">
        <v>564</v>
      </c>
      <c r="AH18" s="524" t="e">
        <f t="shared" si="9"/>
        <v>#VALUE!</v>
      </c>
      <c r="AI18" s="708"/>
      <c r="AJ18" s="524" t="s">
        <v>564</v>
      </c>
      <c r="AK18" s="477" t="s">
        <v>564</v>
      </c>
      <c r="AL18" s="477" t="s">
        <v>564</v>
      </c>
      <c r="AM18" s="524" t="e">
        <f t="shared" si="11"/>
        <v>#VALUE!</v>
      </c>
      <c r="AN18" s="708"/>
      <c r="AO18" s="524" t="s">
        <v>564</v>
      </c>
      <c r="AP18" s="477" t="s">
        <v>564</v>
      </c>
      <c r="AQ18" s="477" t="s">
        <v>564</v>
      </c>
      <c r="AR18" s="524" t="e">
        <f t="shared" si="13"/>
        <v>#VALUE!</v>
      </c>
      <c r="AS18" s="708"/>
      <c r="AT18" s="523" t="s">
        <v>564</v>
      </c>
      <c r="AU18" s="525" t="s">
        <v>564</v>
      </c>
      <c r="AV18" s="525" t="s">
        <v>564</v>
      </c>
      <c r="AW18" s="524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220"/>
      <c r="E19" s="518"/>
      <c r="F19" s="516"/>
      <c r="G19" s="517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24" t="s">
        <v>564</v>
      </c>
      <c r="Q19" s="477" t="s">
        <v>564</v>
      </c>
      <c r="R19" s="477" t="s">
        <v>564</v>
      </c>
      <c r="S19" s="524" t="e">
        <f t="shared" si="3"/>
        <v>#VALUE!</v>
      </c>
      <c r="T19" s="708"/>
      <c r="U19" s="524" t="s">
        <v>564</v>
      </c>
      <c r="V19" s="477" t="s">
        <v>564</v>
      </c>
      <c r="W19" s="477" t="s">
        <v>564</v>
      </c>
      <c r="X19" s="524" t="e">
        <f t="shared" si="5"/>
        <v>#VALUE!</v>
      </c>
      <c r="Y19" s="708"/>
      <c r="Z19" s="524" t="s">
        <v>564</v>
      </c>
      <c r="AA19" s="477" t="s">
        <v>564</v>
      </c>
      <c r="AB19" s="477" t="s">
        <v>564</v>
      </c>
      <c r="AC19" s="524" t="e">
        <f t="shared" si="7"/>
        <v>#VALUE!</v>
      </c>
      <c r="AD19" s="708"/>
      <c r="AE19" s="524" t="s">
        <v>564</v>
      </c>
      <c r="AF19" s="477" t="s">
        <v>564</v>
      </c>
      <c r="AG19" s="477" t="s">
        <v>564</v>
      </c>
      <c r="AH19" s="524" t="e">
        <f t="shared" si="9"/>
        <v>#VALUE!</v>
      </c>
      <c r="AI19" s="708"/>
      <c r="AJ19" s="524" t="s">
        <v>564</v>
      </c>
      <c r="AK19" s="477" t="s">
        <v>564</v>
      </c>
      <c r="AL19" s="477" t="s">
        <v>564</v>
      </c>
      <c r="AM19" s="524" t="e">
        <f t="shared" si="11"/>
        <v>#VALUE!</v>
      </c>
      <c r="AN19" s="708"/>
      <c r="AO19" s="524" t="s">
        <v>564</v>
      </c>
      <c r="AP19" s="477" t="s">
        <v>564</v>
      </c>
      <c r="AQ19" s="477" t="s">
        <v>564</v>
      </c>
      <c r="AR19" s="524" t="e">
        <f t="shared" si="13"/>
        <v>#VALUE!</v>
      </c>
      <c r="AS19" s="708"/>
      <c r="AT19" s="523" t="s">
        <v>564</v>
      </c>
      <c r="AU19" s="525" t="s">
        <v>564</v>
      </c>
      <c r="AV19" s="525" t="s">
        <v>564</v>
      </c>
      <c r="AW19" s="524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220"/>
      <c r="E20" s="518"/>
      <c r="F20" s="516"/>
      <c r="G20" s="517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24" t="s">
        <v>564</v>
      </c>
      <c r="Q20" s="477" t="s">
        <v>564</v>
      </c>
      <c r="R20" s="477" t="s">
        <v>564</v>
      </c>
      <c r="S20" s="524" t="e">
        <f t="shared" si="3"/>
        <v>#VALUE!</v>
      </c>
      <c r="T20" s="708"/>
      <c r="U20" s="524" t="s">
        <v>564</v>
      </c>
      <c r="V20" s="477" t="s">
        <v>564</v>
      </c>
      <c r="W20" s="477" t="s">
        <v>564</v>
      </c>
      <c r="X20" s="524" t="e">
        <f t="shared" si="5"/>
        <v>#VALUE!</v>
      </c>
      <c r="Y20" s="708"/>
      <c r="Z20" s="524" t="s">
        <v>564</v>
      </c>
      <c r="AA20" s="477" t="s">
        <v>564</v>
      </c>
      <c r="AB20" s="477" t="s">
        <v>564</v>
      </c>
      <c r="AC20" s="524" t="e">
        <f t="shared" si="7"/>
        <v>#VALUE!</v>
      </c>
      <c r="AD20" s="708"/>
      <c r="AE20" s="524" t="s">
        <v>564</v>
      </c>
      <c r="AF20" s="477" t="s">
        <v>564</v>
      </c>
      <c r="AG20" s="477" t="s">
        <v>564</v>
      </c>
      <c r="AH20" s="524" t="e">
        <f t="shared" si="9"/>
        <v>#VALUE!</v>
      </c>
      <c r="AI20" s="708"/>
      <c r="AJ20" s="524" t="s">
        <v>564</v>
      </c>
      <c r="AK20" s="477" t="s">
        <v>564</v>
      </c>
      <c r="AL20" s="477" t="s">
        <v>564</v>
      </c>
      <c r="AM20" s="524" t="e">
        <f t="shared" si="11"/>
        <v>#VALUE!</v>
      </c>
      <c r="AN20" s="708"/>
      <c r="AO20" s="524" t="s">
        <v>564</v>
      </c>
      <c r="AP20" s="477" t="s">
        <v>564</v>
      </c>
      <c r="AQ20" s="477" t="s">
        <v>564</v>
      </c>
      <c r="AR20" s="524" t="e">
        <f t="shared" si="13"/>
        <v>#VALUE!</v>
      </c>
      <c r="AS20" s="708"/>
      <c r="AT20" s="523" t="s">
        <v>564</v>
      </c>
      <c r="AU20" s="525" t="s">
        <v>564</v>
      </c>
      <c r="AV20" s="525" t="s">
        <v>564</v>
      </c>
      <c r="AW20" s="524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220"/>
      <c r="E21" s="518"/>
      <c r="F21" s="516"/>
      <c r="G21" s="517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24" t="s">
        <v>564</v>
      </c>
      <c r="Q21" s="477" t="s">
        <v>564</v>
      </c>
      <c r="R21" s="477" t="s">
        <v>564</v>
      </c>
      <c r="S21" s="524" t="e">
        <f t="shared" si="3"/>
        <v>#VALUE!</v>
      </c>
      <c r="T21" s="708"/>
      <c r="U21" s="524" t="s">
        <v>564</v>
      </c>
      <c r="V21" s="477" t="s">
        <v>564</v>
      </c>
      <c r="W21" s="477" t="s">
        <v>564</v>
      </c>
      <c r="X21" s="524" t="e">
        <f t="shared" si="5"/>
        <v>#VALUE!</v>
      </c>
      <c r="Y21" s="708"/>
      <c r="Z21" s="524" t="s">
        <v>564</v>
      </c>
      <c r="AA21" s="477" t="s">
        <v>564</v>
      </c>
      <c r="AB21" s="477" t="s">
        <v>564</v>
      </c>
      <c r="AC21" s="524" t="e">
        <f t="shared" si="7"/>
        <v>#VALUE!</v>
      </c>
      <c r="AD21" s="708"/>
      <c r="AE21" s="524" t="s">
        <v>564</v>
      </c>
      <c r="AF21" s="477" t="s">
        <v>564</v>
      </c>
      <c r="AG21" s="477" t="s">
        <v>564</v>
      </c>
      <c r="AH21" s="524" t="e">
        <f t="shared" si="9"/>
        <v>#VALUE!</v>
      </c>
      <c r="AI21" s="708"/>
      <c r="AJ21" s="524" t="s">
        <v>564</v>
      </c>
      <c r="AK21" s="477" t="s">
        <v>564</v>
      </c>
      <c r="AL21" s="477" t="s">
        <v>564</v>
      </c>
      <c r="AM21" s="524" t="e">
        <f t="shared" si="11"/>
        <v>#VALUE!</v>
      </c>
      <c r="AN21" s="708"/>
      <c r="AO21" s="524" t="s">
        <v>564</v>
      </c>
      <c r="AP21" s="477" t="s">
        <v>564</v>
      </c>
      <c r="AQ21" s="477" t="s">
        <v>564</v>
      </c>
      <c r="AR21" s="524" t="e">
        <f t="shared" si="13"/>
        <v>#VALUE!</v>
      </c>
      <c r="AS21" s="708"/>
      <c r="AT21" s="523" t="s">
        <v>564</v>
      </c>
      <c r="AU21" s="525" t="s">
        <v>564</v>
      </c>
      <c r="AV21" s="525" t="s">
        <v>564</v>
      </c>
      <c r="AW21" s="524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154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433</v>
      </c>
      <c r="C27" s="369">
        <v>1</v>
      </c>
      <c r="D27" s="220" t="s">
        <v>344</v>
      </c>
      <c r="E27" s="518">
        <v>20</v>
      </c>
      <c r="F27" s="516">
        <v>2400</v>
      </c>
      <c r="G27" s="517">
        <v>120</v>
      </c>
      <c r="H27" s="702">
        <f>AVERAGE(G27:G41)</f>
        <v>141.03193369453044</v>
      </c>
      <c r="I27" s="370">
        <f t="shared" ref="I27:I40" si="19">IFERROR(AVERAGE(P27,U27,Z27,AE27,AJ27,AO27,AT27),"-")</f>
        <v>20</v>
      </c>
      <c r="J27" s="370">
        <f t="shared" ref="J27:J40" si="20">IFERROR(AVERAGE(Q27,V27,AA27,AF27,AK27,AP27,AU27),"-")</f>
        <v>2326.9529945001423</v>
      </c>
      <c r="K27" s="194">
        <f t="shared" ref="K27:K40" si="21">IFERROR(AVERAGE(R27,W27,AB27,AG27,AL27,AQ27,AV27),"-")</f>
        <v>116.34764972500713</v>
      </c>
      <c r="L27" s="644">
        <f>IFERROR(AVERAGE(K27:K41),"-")</f>
        <v>128.64390792457328</v>
      </c>
      <c r="M27" s="373">
        <f>RANK(K27, K$24:$K$41)</f>
        <v>8</v>
      </c>
      <c r="N27" s="663"/>
      <c r="O27" s="663"/>
      <c r="P27" s="541">
        <v>20</v>
      </c>
      <c r="Q27" s="542">
        <v>2332.4528301886789</v>
      </c>
      <c r="R27" s="542">
        <v>116.62264150943395</v>
      </c>
      <c r="S27" s="541">
        <f t="shared" ref="S27:S41" si="22">RANK(R27, R$27:R$41)</f>
        <v>8</v>
      </c>
      <c r="T27" s="672">
        <f t="shared" ref="T27" si="23">AVERAGE(R27:R41)</f>
        <v>129.29744458349552</v>
      </c>
      <c r="U27" s="541">
        <v>20</v>
      </c>
      <c r="V27" s="542">
        <v>2319.3103448275851</v>
      </c>
      <c r="W27" s="542">
        <v>115.96551724137926</v>
      </c>
      <c r="X27" s="541">
        <f t="shared" ref="X27:X41" si="24">RANK(W27, W$27:W$41)</f>
        <v>8</v>
      </c>
      <c r="Y27" s="672">
        <f t="shared" ref="Y27" si="25">AVERAGE(W27:W41)</f>
        <v>129.70242614559618</v>
      </c>
      <c r="Z27" s="541">
        <v>20</v>
      </c>
      <c r="AA27" s="542">
        <v>2336.3358778625952</v>
      </c>
      <c r="AB27" s="542">
        <v>116.81679389312976</v>
      </c>
      <c r="AC27" s="541">
        <f t="shared" ref="AC27:AC41" si="26">RANK(AB27, AB$27:AB$41)</f>
        <v>8</v>
      </c>
      <c r="AD27" s="672">
        <f t="shared" ref="AD27" si="27">AVERAGE(AB27:AB41)</f>
        <v>127.89325800032242</v>
      </c>
      <c r="AE27" s="541">
        <v>20</v>
      </c>
      <c r="AF27" s="542">
        <v>2318.3606557377052</v>
      </c>
      <c r="AG27" s="542">
        <v>115.91803278688526</v>
      </c>
      <c r="AH27" s="541">
        <f t="shared" ref="AH27:AH41" si="28">RANK(AG27, AG$27:AG$41)</f>
        <v>8</v>
      </c>
      <c r="AI27" s="672">
        <f t="shared" ref="AI27" si="29">AVERAGE(AG27:AG41)</f>
        <v>128.37841015391069</v>
      </c>
      <c r="AJ27" s="541">
        <v>20</v>
      </c>
      <c r="AK27" s="542">
        <v>2314.6478873239439</v>
      </c>
      <c r="AL27" s="542">
        <v>115.7323943661972</v>
      </c>
      <c r="AM27" s="541">
        <f t="shared" ref="AM27:AM41" si="30">RANK(AL27, AL$27:AL$41)</f>
        <v>8</v>
      </c>
      <c r="AN27" s="672">
        <f t="shared" ref="AN27" si="31">AVERAGE(AL27:AL41)</f>
        <v>128.32562419568782</v>
      </c>
      <c r="AO27" s="541">
        <v>20</v>
      </c>
      <c r="AP27" s="542">
        <v>2296.5168539325841</v>
      </c>
      <c r="AQ27" s="542">
        <v>114.82584269662921</v>
      </c>
      <c r="AR27" s="541">
        <f t="shared" ref="AR27:AR41" si="32">RANK(AQ27, AQ$27:AQ$41)</f>
        <v>8</v>
      </c>
      <c r="AS27" s="672">
        <f t="shared" ref="AS27" si="33">AVERAGE(AQ27:AQ41)</f>
        <v>127.87492665569614</v>
      </c>
      <c r="AT27" s="541">
        <v>20</v>
      </c>
      <c r="AU27" s="542">
        <v>2371.0465116279065</v>
      </c>
      <c r="AV27" s="542">
        <v>118.55232558139532</v>
      </c>
      <c r="AW27" s="541">
        <f t="shared" ref="AW27:AW41" si="34">RANK(AV27, AV$27:AV$41)</f>
        <v>8</v>
      </c>
      <c r="AX27" s="672">
        <f t="shared" ref="AX27" si="35">AVERAGE(AV27:AV41)</f>
        <v>129.03526573730409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345</v>
      </c>
      <c r="E28" s="518">
        <v>18</v>
      </c>
      <c r="F28" s="516">
        <v>2769</v>
      </c>
      <c r="G28" s="517">
        <v>153.83333333333334</v>
      </c>
      <c r="H28" s="703"/>
      <c r="I28" s="370">
        <f t="shared" si="19"/>
        <v>18.285714285714285</v>
      </c>
      <c r="J28" s="370">
        <f t="shared" si="20"/>
        <v>2410.3443217062227</v>
      </c>
      <c r="K28" s="194">
        <f t="shared" si="21"/>
        <v>131.87933733324908</v>
      </c>
      <c r="L28" s="645"/>
      <c r="M28" s="376">
        <f>RANK(K28, K$24:$K$41)</f>
        <v>4</v>
      </c>
      <c r="N28" s="663"/>
      <c r="O28" s="663"/>
      <c r="P28" s="541">
        <v>19</v>
      </c>
      <c r="Q28" s="542">
        <v>2455.3846153846171</v>
      </c>
      <c r="R28" s="542">
        <v>129.23076923076931</v>
      </c>
      <c r="S28" s="541">
        <f t="shared" si="22"/>
        <v>5</v>
      </c>
      <c r="T28" s="673"/>
      <c r="U28" s="541">
        <v>19</v>
      </c>
      <c r="V28" s="542">
        <v>2401.2765957446813</v>
      </c>
      <c r="W28" s="542">
        <v>126.38297872340428</v>
      </c>
      <c r="X28" s="541">
        <f t="shared" si="24"/>
        <v>6</v>
      </c>
      <c r="Y28" s="673"/>
      <c r="Z28" s="541">
        <v>18</v>
      </c>
      <c r="AA28" s="542">
        <v>2390.6666666666665</v>
      </c>
      <c r="AB28" s="542">
        <v>132.81481481481481</v>
      </c>
      <c r="AC28" s="541">
        <f t="shared" si="26"/>
        <v>3</v>
      </c>
      <c r="AD28" s="673"/>
      <c r="AE28" s="541">
        <v>18</v>
      </c>
      <c r="AF28" s="542">
        <v>2403.913043478261</v>
      </c>
      <c r="AG28" s="542">
        <v>133.55072463768116</v>
      </c>
      <c r="AH28" s="541">
        <f t="shared" si="28"/>
        <v>2</v>
      </c>
      <c r="AI28" s="673"/>
      <c r="AJ28" s="541">
        <v>18</v>
      </c>
      <c r="AK28" s="542">
        <v>2388.4615384615395</v>
      </c>
      <c r="AL28" s="542">
        <v>132.69230769230774</v>
      </c>
      <c r="AM28" s="541">
        <f t="shared" si="30"/>
        <v>3</v>
      </c>
      <c r="AN28" s="673"/>
      <c r="AO28" s="541">
        <v>18</v>
      </c>
      <c r="AP28" s="542">
        <v>2431.6363636363653</v>
      </c>
      <c r="AQ28" s="542">
        <v>135.09090909090918</v>
      </c>
      <c r="AR28" s="541">
        <f t="shared" si="32"/>
        <v>1</v>
      </c>
      <c r="AS28" s="673"/>
      <c r="AT28" s="541">
        <v>18</v>
      </c>
      <c r="AU28" s="542">
        <v>2401.0714285714303</v>
      </c>
      <c r="AV28" s="542">
        <v>133.39285714285722</v>
      </c>
      <c r="AW28" s="541">
        <f t="shared" si="34"/>
        <v>3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346</v>
      </c>
      <c r="E29" s="518">
        <v>19</v>
      </c>
      <c r="F29" s="516">
        <v>2769</v>
      </c>
      <c r="G29" s="517">
        <v>145.73684210526315</v>
      </c>
      <c r="H29" s="703"/>
      <c r="I29" s="370">
        <f t="shared" si="19"/>
        <v>19</v>
      </c>
      <c r="J29" s="370">
        <f t="shared" si="20"/>
        <v>2538.3951877132013</v>
      </c>
      <c r="K29" s="194">
        <f t="shared" si="21"/>
        <v>133.59974672174744</v>
      </c>
      <c r="L29" s="645"/>
      <c r="M29" s="376">
        <f>RANK(K29, K$24:$K$41)</f>
        <v>2</v>
      </c>
      <c r="N29" s="663"/>
      <c r="O29" s="663"/>
      <c r="P29" s="541">
        <v>19</v>
      </c>
      <c r="Q29" s="542">
        <v>2499.9999999999973</v>
      </c>
      <c r="R29" s="542">
        <v>131.5789473684209</v>
      </c>
      <c r="S29" s="541">
        <f t="shared" si="22"/>
        <v>4</v>
      </c>
      <c r="T29" s="673"/>
      <c r="U29" s="541">
        <v>19</v>
      </c>
      <c r="V29" s="542">
        <v>2585.2631578947385</v>
      </c>
      <c r="W29" s="542">
        <v>136.06648199445991</v>
      </c>
      <c r="X29" s="541">
        <f t="shared" si="24"/>
        <v>2</v>
      </c>
      <c r="Y29" s="673"/>
      <c r="Z29" s="541">
        <v>19</v>
      </c>
      <c r="AA29" s="542">
        <v>2565.0000000000023</v>
      </c>
      <c r="AB29" s="542">
        <v>135.00000000000011</v>
      </c>
      <c r="AC29" s="541">
        <f t="shared" si="26"/>
        <v>1</v>
      </c>
      <c r="AD29" s="673"/>
      <c r="AE29" s="541">
        <v>19</v>
      </c>
      <c r="AF29" s="542">
        <v>2506.315789473686</v>
      </c>
      <c r="AG29" s="542">
        <v>131.91135734072031</v>
      </c>
      <c r="AH29" s="541">
        <f t="shared" si="28"/>
        <v>4</v>
      </c>
      <c r="AI29" s="673"/>
      <c r="AJ29" s="541">
        <v>19</v>
      </c>
      <c r="AK29" s="542">
        <v>2542.7272727272757</v>
      </c>
      <c r="AL29" s="542">
        <v>133.82775119617241</v>
      </c>
      <c r="AM29" s="541">
        <f t="shared" si="30"/>
        <v>2</v>
      </c>
      <c r="AN29" s="673"/>
      <c r="AO29" s="541">
        <v>19</v>
      </c>
      <c r="AP29" s="542">
        <v>2528.3333333333312</v>
      </c>
      <c r="AQ29" s="542">
        <v>133.07017543859638</v>
      </c>
      <c r="AR29" s="541">
        <f t="shared" si="32"/>
        <v>3</v>
      </c>
      <c r="AS29" s="673"/>
      <c r="AT29" s="541">
        <v>19</v>
      </c>
      <c r="AU29" s="542">
        <v>2541.1267605633775</v>
      </c>
      <c r="AV29" s="542">
        <v>133.74351371386197</v>
      </c>
      <c r="AW29" s="541">
        <f t="shared" si="34"/>
        <v>2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347</v>
      </c>
      <c r="E30" s="518">
        <v>20</v>
      </c>
      <c r="F30" s="516">
        <v>2769</v>
      </c>
      <c r="G30" s="517">
        <v>138.44999999999999</v>
      </c>
      <c r="H30" s="703"/>
      <c r="I30" s="370">
        <f t="shared" si="19"/>
        <v>19.714285714285715</v>
      </c>
      <c r="J30" s="370">
        <f t="shared" si="20"/>
        <v>2534.3491462013358</v>
      </c>
      <c r="K30" s="194">
        <f t="shared" si="21"/>
        <v>128.62768811701582</v>
      </c>
      <c r="L30" s="645"/>
      <c r="M30" s="376">
        <f>RANK(K30, K$24:$K$41)</f>
        <v>6</v>
      </c>
      <c r="N30" s="663"/>
      <c r="O30" s="663"/>
      <c r="P30" s="541">
        <v>19</v>
      </c>
      <c r="Q30" s="542">
        <v>2556.4948453608258</v>
      </c>
      <c r="R30" s="542">
        <v>134.55236028214873</v>
      </c>
      <c r="S30" s="541">
        <f t="shared" si="22"/>
        <v>3</v>
      </c>
      <c r="T30" s="673"/>
      <c r="U30" s="541">
        <v>19</v>
      </c>
      <c r="V30" s="542">
        <v>2524.7191011235955</v>
      </c>
      <c r="W30" s="542">
        <v>132.87995269071556</v>
      </c>
      <c r="X30" s="541">
        <f t="shared" si="24"/>
        <v>4</v>
      </c>
      <c r="Y30" s="673"/>
      <c r="Z30" s="541">
        <v>20</v>
      </c>
      <c r="AA30" s="542">
        <v>2497.0000000000023</v>
      </c>
      <c r="AB30" s="542">
        <v>124.85000000000011</v>
      </c>
      <c r="AC30" s="541">
        <f t="shared" si="26"/>
        <v>6</v>
      </c>
      <c r="AD30" s="673"/>
      <c r="AE30" s="541">
        <v>20</v>
      </c>
      <c r="AF30" s="542">
        <v>2558.8235294117612</v>
      </c>
      <c r="AG30" s="542">
        <v>127.94117647058806</v>
      </c>
      <c r="AH30" s="541">
        <f t="shared" si="28"/>
        <v>6</v>
      </c>
      <c r="AI30" s="673"/>
      <c r="AJ30" s="541">
        <v>20</v>
      </c>
      <c r="AK30" s="542">
        <v>2538.8372093023249</v>
      </c>
      <c r="AL30" s="542">
        <v>126.94186046511625</v>
      </c>
      <c r="AM30" s="541">
        <f t="shared" si="30"/>
        <v>6</v>
      </c>
      <c r="AN30" s="673"/>
      <c r="AO30" s="541">
        <v>20</v>
      </c>
      <c r="AP30" s="542">
        <v>2518.7628865979391</v>
      </c>
      <c r="AQ30" s="542">
        <v>125.93814432989696</v>
      </c>
      <c r="AR30" s="541">
        <f t="shared" si="32"/>
        <v>6</v>
      </c>
      <c r="AS30" s="673"/>
      <c r="AT30" s="541">
        <v>20</v>
      </c>
      <c r="AU30" s="542">
        <v>2545.8064516129034</v>
      </c>
      <c r="AV30" s="542">
        <v>127.29032258064517</v>
      </c>
      <c r="AW30" s="541">
        <f t="shared" si="34"/>
        <v>6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503</v>
      </c>
      <c r="E31" s="518">
        <v>18</v>
      </c>
      <c r="F31" s="516">
        <v>2400</v>
      </c>
      <c r="G31" s="517">
        <v>133.33333333333334</v>
      </c>
      <c r="H31" s="703"/>
      <c r="I31" s="370">
        <f t="shared" si="19"/>
        <v>18</v>
      </c>
      <c r="J31" s="370">
        <f t="shared" si="20"/>
        <v>2169.2350410567701</v>
      </c>
      <c r="K31" s="194">
        <f t="shared" si="21"/>
        <v>120.51305783648725</v>
      </c>
      <c r="L31" s="645"/>
      <c r="M31" s="376">
        <f>RANK(K31, K$24:$K$41)</f>
        <v>7</v>
      </c>
      <c r="N31" s="663"/>
      <c r="O31" s="663"/>
      <c r="P31" s="541">
        <v>18</v>
      </c>
      <c r="Q31" s="542">
        <v>2168.0769230769242</v>
      </c>
      <c r="R31" s="542">
        <v>120.44871794871801</v>
      </c>
      <c r="S31" s="541">
        <f t="shared" si="22"/>
        <v>7</v>
      </c>
      <c r="T31" s="673"/>
      <c r="U31" s="541">
        <v>18</v>
      </c>
      <c r="V31" s="542">
        <v>2184.2553191489369</v>
      </c>
      <c r="W31" s="542">
        <v>121.34751773049649</v>
      </c>
      <c r="X31" s="541">
        <f t="shared" si="24"/>
        <v>7</v>
      </c>
      <c r="Y31" s="673"/>
      <c r="Z31" s="541">
        <v>18</v>
      </c>
      <c r="AA31" s="542">
        <v>2145.6521739130435</v>
      </c>
      <c r="AB31" s="542">
        <v>119.20289855072464</v>
      </c>
      <c r="AC31" s="541">
        <f t="shared" si="26"/>
        <v>7</v>
      </c>
      <c r="AD31" s="673"/>
      <c r="AE31" s="541">
        <v>18</v>
      </c>
      <c r="AF31" s="542">
        <v>2158.6046511627901</v>
      </c>
      <c r="AG31" s="542">
        <v>119.922480620155</v>
      </c>
      <c r="AH31" s="541">
        <f t="shared" si="28"/>
        <v>7</v>
      </c>
      <c r="AI31" s="673"/>
      <c r="AJ31" s="541">
        <v>18</v>
      </c>
      <c r="AK31" s="542">
        <v>2163.7500000000009</v>
      </c>
      <c r="AL31" s="542">
        <v>120.20833333333339</v>
      </c>
      <c r="AM31" s="541">
        <f t="shared" si="30"/>
        <v>7</v>
      </c>
      <c r="AN31" s="673"/>
      <c r="AO31" s="541">
        <v>18</v>
      </c>
      <c r="AP31" s="542">
        <v>2192.7272727272739</v>
      </c>
      <c r="AQ31" s="542">
        <v>121.81818181818188</v>
      </c>
      <c r="AR31" s="541">
        <f t="shared" si="32"/>
        <v>7</v>
      </c>
      <c r="AS31" s="673"/>
      <c r="AT31" s="541">
        <v>18</v>
      </c>
      <c r="AU31" s="542">
        <v>2171.5789473684226</v>
      </c>
      <c r="AV31" s="542">
        <v>120.64327485380126</v>
      </c>
      <c r="AW31" s="541">
        <f t="shared" si="34"/>
        <v>7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571</v>
      </c>
      <c r="E32" s="518">
        <v>17</v>
      </c>
      <c r="F32" s="516">
        <v>2571</v>
      </c>
      <c r="G32" s="517">
        <v>151.23529411764707</v>
      </c>
      <c r="H32" s="703"/>
      <c r="I32" s="370">
        <f t="shared" si="19"/>
        <v>17</v>
      </c>
      <c r="J32" s="370">
        <f t="shared" si="20"/>
        <v>2308.171485260772</v>
      </c>
      <c r="K32" s="194">
        <f t="shared" si="21"/>
        <v>135.77479325063365</v>
      </c>
      <c r="L32" s="645"/>
      <c r="M32" s="376">
        <f>RANK(K32, K$24:$K$41)</f>
        <v>1</v>
      </c>
      <c r="N32" s="663"/>
      <c r="O32" s="663"/>
      <c r="P32" s="541">
        <v>17</v>
      </c>
      <c r="Q32" s="542">
        <v>2317.5000000000027</v>
      </c>
      <c r="R32" s="542">
        <v>136.32352941176487</v>
      </c>
      <c r="S32" s="541">
        <f t="shared" si="22"/>
        <v>2</v>
      </c>
      <c r="T32" s="673"/>
      <c r="U32" s="541">
        <v>17</v>
      </c>
      <c r="V32" s="542">
        <v>2266.8750000000027</v>
      </c>
      <c r="W32" s="542">
        <v>133.34558823529429</v>
      </c>
      <c r="X32" s="541">
        <f t="shared" si="24"/>
        <v>3</v>
      </c>
      <c r="Y32" s="673"/>
      <c r="Z32" s="541">
        <v>17</v>
      </c>
      <c r="AA32" s="542">
        <v>2265.0000000000027</v>
      </c>
      <c r="AB32" s="542">
        <v>133.23529411764721</v>
      </c>
      <c r="AC32" s="541">
        <f t="shared" si="26"/>
        <v>2</v>
      </c>
      <c r="AD32" s="673"/>
      <c r="AE32" s="541">
        <v>17</v>
      </c>
      <c r="AF32" s="542">
        <v>2304.4444444444457</v>
      </c>
      <c r="AG32" s="542">
        <v>135.55555555555563</v>
      </c>
      <c r="AH32" s="541">
        <f t="shared" si="28"/>
        <v>1</v>
      </c>
      <c r="AI32" s="673"/>
      <c r="AJ32" s="541">
        <v>17</v>
      </c>
      <c r="AK32" s="542">
        <v>2348.0000000000023</v>
      </c>
      <c r="AL32" s="542">
        <v>138.11764705882365</v>
      </c>
      <c r="AM32" s="541">
        <f t="shared" si="30"/>
        <v>1</v>
      </c>
      <c r="AN32" s="673"/>
      <c r="AO32" s="541">
        <v>17</v>
      </c>
      <c r="AP32" s="542">
        <v>2293.7142857142835</v>
      </c>
      <c r="AQ32" s="542">
        <v>134.92436974789902</v>
      </c>
      <c r="AR32" s="541">
        <f t="shared" si="32"/>
        <v>2</v>
      </c>
      <c r="AS32" s="673"/>
      <c r="AT32" s="541">
        <v>17</v>
      </c>
      <c r="AU32" s="542">
        <v>2361.6666666666647</v>
      </c>
      <c r="AV32" s="542">
        <v>138.92156862745085</v>
      </c>
      <c r="AW32" s="541">
        <f t="shared" si="34"/>
        <v>1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588</v>
      </c>
      <c r="E33" s="518">
        <v>18</v>
      </c>
      <c r="F33" s="516">
        <v>2571</v>
      </c>
      <c r="G33" s="517">
        <v>142.83333333333334</v>
      </c>
      <c r="H33" s="703"/>
      <c r="I33" s="370">
        <f t="shared" si="19"/>
        <v>17.714285714285715</v>
      </c>
      <c r="J33" s="370">
        <f t="shared" si="20"/>
        <v>2353.9369332992278</v>
      </c>
      <c r="K33" s="194">
        <f t="shared" si="21"/>
        <v>132.97164532837408</v>
      </c>
      <c r="L33" s="645"/>
      <c r="M33" s="376">
        <f>RANK(K33, K$24:$K$41)</f>
        <v>3</v>
      </c>
      <c r="N33" s="663"/>
      <c r="O33" s="663"/>
      <c r="P33" s="541">
        <v>17</v>
      </c>
      <c r="Q33" s="542">
        <v>2330.7692307692296</v>
      </c>
      <c r="R33" s="542">
        <v>137.10407239818997</v>
      </c>
      <c r="S33" s="541">
        <f t="shared" si="22"/>
        <v>1</v>
      </c>
      <c r="T33" s="673"/>
      <c r="U33" s="541">
        <v>17</v>
      </c>
      <c r="V33" s="542">
        <v>2376.0000000000005</v>
      </c>
      <c r="W33" s="542">
        <v>139.76470588235296</v>
      </c>
      <c r="X33" s="541">
        <f t="shared" si="24"/>
        <v>1</v>
      </c>
      <c r="Y33" s="673"/>
      <c r="Z33" s="541">
        <v>18</v>
      </c>
      <c r="AA33" s="542">
        <v>2357.2727272727275</v>
      </c>
      <c r="AB33" s="542">
        <v>130.95959595959596</v>
      </c>
      <c r="AC33" s="541">
        <f t="shared" si="26"/>
        <v>4</v>
      </c>
      <c r="AD33" s="673"/>
      <c r="AE33" s="541">
        <v>18</v>
      </c>
      <c r="AF33" s="542">
        <v>2382.7118644067782</v>
      </c>
      <c r="AG33" s="542">
        <v>132.37288135593212</v>
      </c>
      <c r="AH33" s="541">
        <f t="shared" si="28"/>
        <v>3</v>
      </c>
      <c r="AI33" s="673"/>
      <c r="AJ33" s="541">
        <v>18</v>
      </c>
      <c r="AK33" s="542">
        <v>2368.5245901639337</v>
      </c>
      <c r="AL33" s="542">
        <v>131.58469945355188</v>
      </c>
      <c r="AM33" s="541">
        <f t="shared" si="30"/>
        <v>4</v>
      </c>
      <c r="AN33" s="673"/>
      <c r="AO33" s="541">
        <v>18</v>
      </c>
      <c r="AP33" s="542">
        <v>2349.7499999999991</v>
      </c>
      <c r="AQ33" s="542">
        <v>130.54166666666663</v>
      </c>
      <c r="AR33" s="541">
        <f t="shared" si="32"/>
        <v>4</v>
      </c>
      <c r="AS33" s="673"/>
      <c r="AT33" s="541">
        <v>18</v>
      </c>
      <c r="AU33" s="542">
        <v>2312.5301204819266</v>
      </c>
      <c r="AV33" s="542">
        <v>128.47389558232925</v>
      </c>
      <c r="AW33" s="541">
        <f t="shared" si="34"/>
        <v>5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 t="s">
        <v>670</v>
      </c>
      <c r="E34" s="518">
        <v>18</v>
      </c>
      <c r="F34" s="516">
        <v>2571</v>
      </c>
      <c r="G34" s="517">
        <v>142.83333333333334</v>
      </c>
      <c r="H34" s="703"/>
      <c r="I34" s="370">
        <f t="shared" si="19"/>
        <v>18</v>
      </c>
      <c r="J34" s="370">
        <f t="shared" si="20"/>
        <v>2329.87221151329</v>
      </c>
      <c r="K34" s="194">
        <f t="shared" si="21"/>
        <v>129.43734508407167</v>
      </c>
      <c r="L34" s="645"/>
      <c r="M34" s="376">
        <f>RANK(K34, K$24:$K$41)</f>
        <v>5</v>
      </c>
      <c r="N34" s="663"/>
      <c r="O34" s="663"/>
      <c r="P34" s="541">
        <v>18</v>
      </c>
      <c r="Q34" s="542">
        <v>2313.3333333333348</v>
      </c>
      <c r="R34" s="542">
        <v>128.51851851851859</v>
      </c>
      <c r="S34" s="541">
        <f t="shared" si="22"/>
        <v>6</v>
      </c>
      <c r="T34" s="673"/>
      <c r="U34" s="541">
        <v>18</v>
      </c>
      <c r="V34" s="542">
        <v>2373.6000000000004</v>
      </c>
      <c r="W34" s="542">
        <v>131.86666666666667</v>
      </c>
      <c r="X34" s="541">
        <f t="shared" si="24"/>
        <v>5</v>
      </c>
      <c r="Y34" s="673"/>
      <c r="Z34" s="541">
        <v>18</v>
      </c>
      <c r="AA34" s="542">
        <v>2344.8000000000006</v>
      </c>
      <c r="AB34" s="542">
        <v>130.26666666666671</v>
      </c>
      <c r="AC34" s="541">
        <f t="shared" si="26"/>
        <v>5</v>
      </c>
      <c r="AD34" s="673"/>
      <c r="AE34" s="541">
        <v>18</v>
      </c>
      <c r="AF34" s="542">
        <v>2337.391304347826</v>
      </c>
      <c r="AG34" s="542">
        <v>129.85507246376812</v>
      </c>
      <c r="AH34" s="541">
        <f t="shared" si="28"/>
        <v>5</v>
      </c>
      <c r="AI34" s="673"/>
      <c r="AJ34" s="541">
        <v>18</v>
      </c>
      <c r="AK34" s="542">
        <v>2295.0000000000009</v>
      </c>
      <c r="AL34" s="542">
        <v>127.50000000000006</v>
      </c>
      <c r="AM34" s="541">
        <f t="shared" si="30"/>
        <v>5</v>
      </c>
      <c r="AN34" s="673"/>
      <c r="AO34" s="541">
        <v>18</v>
      </c>
      <c r="AP34" s="542">
        <v>2282.2222222222167</v>
      </c>
      <c r="AQ34" s="542">
        <v>126.79012345678981</v>
      </c>
      <c r="AR34" s="541">
        <f t="shared" si="32"/>
        <v>5</v>
      </c>
      <c r="AS34" s="673"/>
      <c r="AT34" s="541">
        <v>18</v>
      </c>
      <c r="AU34" s="542">
        <v>2362.7586206896503</v>
      </c>
      <c r="AV34" s="542">
        <v>131.26436781609169</v>
      </c>
      <c r="AW34" s="541">
        <f t="shared" si="34"/>
        <v>4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/>
      <c r="E35" s="518"/>
      <c r="F35" s="516"/>
      <c r="G35" s="517"/>
      <c r="H35" s="703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45"/>
      <c r="M35" s="376" t="e">
        <f>RANK(K35, K$24:$K$41)</f>
        <v>#VALUE!</v>
      </c>
      <c r="N35" s="663"/>
      <c r="O35" s="663"/>
      <c r="P35" s="541" t="s">
        <v>564</v>
      </c>
      <c r="Q35" s="542" t="s">
        <v>564</v>
      </c>
      <c r="R35" s="542" t="s">
        <v>564</v>
      </c>
      <c r="S35" s="541" t="e">
        <f t="shared" si="22"/>
        <v>#VALUE!</v>
      </c>
      <c r="T35" s="673"/>
      <c r="U35" s="541" t="s">
        <v>564</v>
      </c>
      <c r="V35" s="542" t="s">
        <v>564</v>
      </c>
      <c r="W35" s="542" t="s">
        <v>564</v>
      </c>
      <c r="X35" s="541" t="e">
        <f t="shared" si="24"/>
        <v>#VALUE!</v>
      </c>
      <c r="Y35" s="673"/>
      <c r="Z35" s="541" t="s">
        <v>564</v>
      </c>
      <c r="AA35" s="542" t="s">
        <v>564</v>
      </c>
      <c r="AB35" s="542" t="s">
        <v>564</v>
      </c>
      <c r="AC35" s="541" t="e">
        <f t="shared" si="26"/>
        <v>#VALUE!</v>
      </c>
      <c r="AD35" s="673"/>
      <c r="AE35" s="541" t="s">
        <v>564</v>
      </c>
      <c r="AF35" s="542" t="s">
        <v>564</v>
      </c>
      <c r="AG35" s="542" t="s">
        <v>564</v>
      </c>
      <c r="AH35" s="541" t="e">
        <f t="shared" si="28"/>
        <v>#VALUE!</v>
      </c>
      <c r="AI35" s="673"/>
      <c r="AJ35" s="541" t="s">
        <v>564</v>
      </c>
      <c r="AK35" s="542" t="s">
        <v>564</v>
      </c>
      <c r="AL35" s="542" t="s">
        <v>564</v>
      </c>
      <c r="AM35" s="541" t="e">
        <f t="shared" si="30"/>
        <v>#VALUE!</v>
      </c>
      <c r="AN35" s="673"/>
      <c r="AO35" s="541" t="s">
        <v>564</v>
      </c>
      <c r="AP35" s="542" t="s">
        <v>564</v>
      </c>
      <c r="AQ35" s="542" t="s">
        <v>564</v>
      </c>
      <c r="AR35" s="541" t="e">
        <f t="shared" si="32"/>
        <v>#VALUE!</v>
      </c>
      <c r="AS35" s="673"/>
      <c r="AT35" s="541" t="s">
        <v>564</v>
      </c>
      <c r="AU35" s="542" t="s">
        <v>564</v>
      </c>
      <c r="AV35" s="542" t="s">
        <v>564</v>
      </c>
      <c r="AW35" s="541" t="e">
        <f t="shared" si="34"/>
        <v>#VALUE!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/>
      <c r="E36" s="518"/>
      <c r="F36" s="516"/>
      <c r="G36" s="517"/>
      <c r="H36" s="703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45"/>
      <c r="M36" s="376" t="e">
        <f>RANK(K36, K$24:$K$41)</f>
        <v>#VALUE!</v>
      </c>
      <c r="N36" s="663"/>
      <c r="O36" s="663"/>
      <c r="P36" s="541" t="s">
        <v>564</v>
      </c>
      <c r="Q36" s="542" t="s">
        <v>564</v>
      </c>
      <c r="R36" s="542" t="s">
        <v>564</v>
      </c>
      <c r="S36" s="541" t="e">
        <f t="shared" si="22"/>
        <v>#VALUE!</v>
      </c>
      <c r="T36" s="673"/>
      <c r="U36" s="541" t="s">
        <v>564</v>
      </c>
      <c r="V36" s="542" t="s">
        <v>564</v>
      </c>
      <c r="W36" s="542" t="s">
        <v>564</v>
      </c>
      <c r="X36" s="541" t="e">
        <f t="shared" si="24"/>
        <v>#VALUE!</v>
      </c>
      <c r="Y36" s="673"/>
      <c r="Z36" s="541" t="s">
        <v>564</v>
      </c>
      <c r="AA36" s="542" t="s">
        <v>564</v>
      </c>
      <c r="AB36" s="542" t="s">
        <v>564</v>
      </c>
      <c r="AC36" s="541" t="e">
        <f t="shared" si="26"/>
        <v>#VALUE!</v>
      </c>
      <c r="AD36" s="673"/>
      <c r="AE36" s="541" t="s">
        <v>564</v>
      </c>
      <c r="AF36" s="542" t="s">
        <v>564</v>
      </c>
      <c r="AG36" s="542" t="s">
        <v>564</v>
      </c>
      <c r="AH36" s="541" t="e">
        <f t="shared" si="28"/>
        <v>#VALUE!</v>
      </c>
      <c r="AI36" s="673"/>
      <c r="AJ36" s="541" t="s">
        <v>564</v>
      </c>
      <c r="AK36" s="542" t="s">
        <v>564</v>
      </c>
      <c r="AL36" s="542" t="s">
        <v>564</v>
      </c>
      <c r="AM36" s="541" t="e">
        <f t="shared" si="30"/>
        <v>#VALUE!</v>
      </c>
      <c r="AN36" s="673"/>
      <c r="AO36" s="541" t="s">
        <v>564</v>
      </c>
      <c r="AP36" s="542" t="s">
        <v>564</v>
      </c>
      <c r="AQ36" s="542" t="s">
        <v>564</v>
      </c>
      <c r="AR36" s="541" t="e">
        <f t="shared" si="32"/>
        <v>#VALUE!</v>
      </c>
      <c r="AS36" s="673"/>
      <c r="AT36" s="541" t="s">
        <v>564</v>
      </c>
      <c r="AU36" s="542" t="s">
        <v>564</v>
      </c>
      <c r="AV36" s="542" t="s">
        <v>564</v>
      </c>
      <c r="AW36" s="541" t="e">
        <f t="shared" si="34"/>
        <v>#VALUE!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8"/>
      <c r="F37" s="516"/>
      <c r="G37" s="517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41" t="s">
        <v>564</v>
      </c>
      <c r="Q37" s="542" t="s">
        <v>564</v>
      </c>
      <c r="R37" s="542" t="s">
        <v>564</v>
      </c>
      <c r="S37" s="541" t="e">
        <f t="shared" si="22"/>
        <v>#VALUE!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4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6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8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30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2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8"/>
      <c r="F38" s="516"/>
      <c r="G38" s="517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2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4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6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8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30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2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8"/>
      <c r="F39" s="516"/>
      <c r="G39" s="517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2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4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6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8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30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2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8"/>
      <c r="F40" s="516"/>
      <c r="G40" s="517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2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4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6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8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30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2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8"/>
      <c r="F41" s="516"/>
      <c r="G41" s="517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2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4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6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8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30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2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461</v>
      </c>
      <c r="C47" s="369">
        <v>1</v>
      </c>
      <c r="D47" s="220"/>
      <c r="E47" s="518"/>
      <c r="F47" s="516"/>
      <c r="G47" s="517"/>
      <c r="H47" s="702" t="e">
        <f>AVERAGE(G47:G61)</f>
        <v>#DIV/0!</v>
      </c>
      <c r="I47" s="370" t="str">
        <f t="shared" ref="I47:I60" si="38">IFERROR(AVERAGE(P47,U47,Z47,AE47,AJ47,AO47,AT47),"-")</f>
        <v>-</v>
      </c>
      <c r="J47" s="370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44" t="str">
        <f>IFERROR(AVERAGE(K47:K61),"-")</f>
        <v>-</v>
      </c>
      <c r="M47" s="373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41">RANK(AY47, AY$47:AY$61)</f>
        <v>#N/A</v>
      </c>
      <c r="BA47" s="672" t="e">
        <f t="shared" ref="BA47" si="42">AVERAGE(AY47:AY61)</f>
        <v>#DIV/0!</v>
      </c>
    </row>
    <row r="48" spans="2:53">
      <c r="B48" s="671"/>
      <c r="C48" s="369">
        <v>2</v>
      </c>
      <c r="D48" s="220"/>
      <c r="E48" s="518"/>
      <c r="F48" s="516"/>
      <c r="G48" s="517"/>
      <c r="H48" s="703"/>
      <c r="I48" s="370" t="str">
        <f t="shared" si="38"/>
        <v>-</v>
      </c>
      <c r="J48" s="370" t="str">
        <f t="shared" si="39"/>
        <v>-</v>
      </c>
      <c r="K48" s="194" t="str">
        <f t="shared" si="40"/>
        <v>-</v>
      </c>
      <c r="L48" s="645"/>
      <c r="M48" s="391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89" t="e">
        <f t="shared" si="41"/>
        <v>#N/A</v>
      </c>
      <c r="BA48" s="673"/>
    </row>
    <row r="49" spans="2:53">
      <c r="B49" s="671"/>
      <c r="C49" s="369">
        <v>3</v>
      </c>
      <c r="D49" s="220"/>
      <c r="E49" s="518"/>
      <c r="F49" s="516"/>
      <c r="G49" s="517"/>
      <c r="H49" s="703"/>
      <c r="I49" s="370" t="str">
        <f t="shared" si="38"/>
        <v>-</v>
      </c>
      <c r="J49" s="370" t="str">
        <f t="shared" si="39"/>
        <v>-</v>
      </c>
      <c r="K49" s="194" t="str">
        <f t="shared" si="40"/>
        <v>-</v>
      </c>
      <c r="L49" s="645"/>
      <c r="M49" s="391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89" t="e">
        <f t="shared" si="41"/>
        <v>#N/A</v>
      </c>
      <c r="BA49" s="673"/>
    </row>
    <row r="50" spans="2:53">
      <c r="B50" s="671"/>
      <c r="C50" s="369">
        <v>4</v>
      </c>
      <c r="D50" s="220"/>
      <c r="E50" s="518"/>
      <c r="F50" s="516"/>
      <c r="G50" s="517"/>
      <c r="H50" s="703"/>
      <c r="I50" s="370" t="str">
        <f t="shared" si="38"/>
        <v>-</v>
      </c>
      <c r="J50" s="370" t="str">
        <f t="shared" si="39"/>
        <v>-</v>
      </c>
      <c r="K50" s="194" t="str">
        <f t="shared" si="40"/>
        <v>-</v>
      </c>
      <c r="L50" s="645"/>
      <c r="M50" s="391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89" t="e">
        <f t="shared" si="41"/>
        <v>#N/A</v>
      </c>
      <c r="BA50" s="673"/>
    </row>
    <row r="51" spans="2:53">
      <c r="B51" s="671"/>
      <c r="C51" s="369">
        <v>5</v>
      </c>
      <c r="D51" s="220"/>
      <c r="E51" s="518"/>
      <c r="F51" s="516"/>
      <c r="G51" s="517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89" t="e">
        <f t="shared" si="41"/>
        <v>#N/A</v>
      </c>
      <c r="BA51" s="673"/>
    </row>
    <row r="52" spans="2:53">
      <c r="B52" s="671"/>
      <c r="C52" s="369">
        <v>6</v>
      </c>
      <c r="D52" s="220"/>
      <c r="E52" s="518"/>
      <c r="F52" s="516"/>
      <c r="G52" s="517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89" t="e">
        <f t="shared" si="41"/>
        <v>#N/A</v>
      </c>
      <c r="BA52" s="673"/>
    </row>
    <row r="53" spans="2:53">
      <c r="B53" s="671"/>
      <c r="C53" s="369">
        <v>7</v>
      </c>
      <c r="D53" s="220"/>
      <c r="E53" s="518"/>
      <c r="F53" s="516"/>
      <c r="G53" s="517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89" t="e">
        <f t="shared" si="41"/>
        <v>#N/A</v>
      </c>
      <c r="BA53" s="673"/>
    </row>
    <row r="54" spans="2:53">
      <c r="B54" s="671"/>
      <c r="C54" s="369">
        <v>8</v>
      </c>
      <c r="D54" s="220"/>
      <c r="E54" s="518"/>
      <c r="F54" s="516"/>
      <c r="G54" s="517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89" t="e">
        <f t="shared" si="41"/>
        <v>#N/A</v>
      </c>
      <c r="BA54" s="673"/>
    </row>
    <row r="55" spans="2:53">
      <c r="B55" s="671"/>
      <c r="C55" s="369">
        <v>9</v>
      </c>
      <c r="D55" s="220"/>
      <c r="E55" s="518"/>
      <c r="F55" s="516"/>
      <c r="G55" s="517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89" t="e">
        <f t="shared" si="41"/>
        <v>#N/A</v>
      </c>
      <c r="BA55" s="673"/>
    </row>
    <row r="56" spans="2:53">
      <c r="B56" s="671"/>
      <c r="C56" s="369">
        <v>10</v>
      </c>
      <c r="D56" s="220"/>
      <c r="E56" s="518"/>
      <c r="F56" s="516"/>
      <c r="G56" s="517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89" t="e">
        <f t="shared" si="41"/>
        <v>#N/A</v>
      </c>
      <c r="BA56" s="673"/>
    </row>
    <row r="57" spans="2:53">
      <c r="B57" s="671"/>
      <c r="C57" s="369">
        <v>11</v>
      </c>
      <c r="D57" s="220"/>
      <c r="E57" s="518"/>
      <c r="F57" s="516"/>
      <c r="G57" s="517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89" t="e">
        <f t="shared" si="41"/>
        <v>#N/A</v>
      </c>
      <c r="BA57" s="673"/>
    </row>
    <row r="58" spans="2:53">
      <c r="B58" s="671"/>
      <c r="C58" s="369">
        <v>12</v>
      </c>
      <c r="D58" s="220"/>
      <c r="E58" s="518"/>
      <c r="F58" s="516"/>
      <c r="G58" s="517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89" t="e">
        <f t="shared" si="41"/>
        <v>#N/A</v>
      </c>
      <c r="BA58" s="673"/>
    </row>
    <row r="59" spans="2:53">
      <c r="B59" s="671"/>
      <c r="C59" s="369">
        <v>13</v>
      </c>
      <c r="D59" s="220"/>
      <c r="E59" s="518"/>
      <c r="F59" s="516"/>
      <c r="G59" s="517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89" t="e">
        <f t="shared" si="41"/>
        <v>#N/A</v>
      </c>
      <c r="BA59" s="673"/>
    </row>
    <row r="60" spans="2:53">
      <c r="B60" s="671"/>
      <c r="C60" s="369">
        <v>14</v>
      </c>
      <c r="D60" s="220"/>
      <c r="E60" s="518"/>
      <c r="F60" s="516"/>
      <c r="G60" s="517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89" t="e">
        <f t="shared" si="41"/>
        <v>#N/A</v>
      </c>
      <c r="BA60" s="673"/>
    </row>
    <row r="61" spans="2:53">
      <c r="B61" s="671"/>
      <c r="C61" s="369">
        <v>15</v>
      </c>
      <c r="D61" s="220"/>
      <c r="E61" s="518"/>
      <c r="F61" s="516"/>
      <c r="G61" s="517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89" t="e">
        <f t="shared" si="41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400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415</v>
      </c>
      <c r="C67" s="369">
        <v>1</v>
      </c>
      <c r="D67" s="220"/>
      <c r="E67" s="518"/>
      <c r="F67" s="516"/>
      <c r="G67" s="517"/>
      <c r="H67" s="702" t="e">
        <f>AVERAGE(G67:G81)</f>
        <v>#DIV/0!</v>
      </c>
      <c r="I67" s="370" t="str">
        <f t="shared" ref="I67:I80" si="43">IFERROR(AVERAGE(P67,U67,Z67,AE67,AJ67,AO67,AT67),"-")</f>
        <v>-</v>
      </c>
      <c r="J67" s="370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44" t="str">
        <f>IFERROR(AVERAGE(K67:K81),"-")</f>
        <v>-</v>
      </c>
      <c r="M67" s="373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46">RANK(AY67, AY$67:AY$81)</f>
        <v>#N/A</v>
      </c>
      <c r="BA67" s="672" t="e">
        <f t="shared" ref="BA67" si="47">AVERAGE(AY67:AY81)</f>
        <v>#DIV/0!</v>
      </c>
    </row>
    <row r="68" spans="2:53">
      <c r="B68" s="671"/>
      <c r="C68" s="369">
        <v>2</v>
      </c>
      <c r="D68" s="220"/>
      <c r="E68" s="518"/>
      <c r="F68" s="516"/>
      <c r="G68" s="517"/>
      <c r="H68" s="703"/>
      <c r="I68" s="370" t="str">
        <f t="shared" si="43"/>
        <v>-</v>
      </c>
      <c r="J68" s="370" t="str">
        <f t="shared" si="44"/>
        <v>-</v>
      </c>
      <c r="K68" s="194" t="str">
        <f t="shared" si="45"/>
        <v>-</v>
      </c>
      <c r="L68" s="645"/>
      <c r="M68" s="373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46"/>
        <v>#N/A</v>
      </c>
      <c r="BA68" s="673"/>
    </row>
    <row r="69" spans="2:53">
      <c r="B69" s="671"/>
      <c r="C69" s="369">
        <v>3</v>
      </c>
      <c r="D69" s="220"/>
      <c r="E69" s="518"/>
      <c r="F69" s="516"/>
      <c r="G69" s="517"/>
      <c r="H69" s="703"/>
      <c r="I69" s="370" t="str">
        <f t="shared" si="43"/>
        <v>-</v>
      </c>
      <c r="J69" s="370" t="str">
        <f t="shared" si="44"/>
        <v>-</v>
      </c>
      <c r="K69" s="194" t="str">
        <f t="shared" si="45"/>
        <v>-</v>
      </c>
      <c r="L69" s="645"/>
      <c r="M69" s="373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46"/>
        <v>#N/A</v>
      </c>
      <c r="BA69" s="673"/>
    </row>
    <row r="70" spans="2:53">
      <c r="B70" s="671"/>
      <c r="C70" s="369">
        <v>4</v>
      </c>
      <c r="D70" s="220"/>
      <c r="E70" s="518"/>
      <c r="F70" s="516"/>
      <c r="G70" s="517"/>
      <c r="H70" s="703"/>
      <c r="I70" s="370" t="str">
        <f t="shared" si="43"/>
        <v>-</v>
      </c>
      <c r="J70" s="370" t="str">
        <f t="shared" si="44"/>
        <v>-</v>
      </c>
      <c r="K70" s="194" t="str">
        <f t="shared" si="45"/>
        <v>-</v>
      </c>
      <c r="L70" s="645"/>
      <c r="M70" s="373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46"/>
        <v>#N/A</v>
      </c>
      <c r="BA70" s="673"/>
    </row>
    <row r="71" spans="2:53">
      <c r="B71" s="671"/>
      <c r="C71" s="369">
        <v>5</v>
      </c>
      <c r="D71" s="220"/>
      <c r="E71" s="518"/>
      <c r="F71" s="516"/>
      <c r="G71" s="517"/>
      <c r="H71" s="703"/>
      <c r="I71" s="370" t="str">
        <f t="shared" si="43"/>
        <v>-</v>
      </c>
      <c r="J71" s="370" t="str">
        <f t="shared" si="44"/>
        <v>-</v>
      </c>
      <c r="K71" s="194" t="str">
        <f t="shared" si="45"/>
        <v>-</v>
      </c>
      <c r="L71" s="645"/>
      <c r="M71" s="373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46"/>
        <v>#N/A</v>
      </c>
      <c r="BA71" s="673"/>
    </row>
    <row r="72" spans="2:53">
      <c r="B72" s="671"/>
      <c r="C72" s="369">
        <v>6</v>
      </c>
      <c r="D72" s="220"/>
      <c r="E72" s="518"/>
      <c r="F72" s="516"/>
      <c r="G72" s="517"/>
      <c r="H72" s="703"/>
      <c r="I72" s="370" t="str">
        <f t="shared" si="43"/>
        <v>-</v>
      </c>
      <c r="J72" s="370" t="str">
        <f t="shared" si="44"/>
        <v>-</v>
      </c>
      <c r="K72" s="194" t="str">
        <f t="shared" si="45"/>
        <v>-</v>
      </c>
      <c r="L72" s="645"/>
      <c r="M72" s="373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46"/>
        <v>#N/A</v>
      </c>
      <c r="BA72" s="673"/>
    </row>
    <row r="73" spans="2:53">
      <c r="B73" s="671"/>
      <c r="C73" s="369">
        <v>7</v>
      </c>
      <c r="D73" s="220"/>
      <c r="E73" s="518"/>
      <c r="F73" s="516"/>
      <c r="G73" s="517"/>
      <c r="H73" s="703"/>
      <c r="I73" s="370" t="str">
        <f t="shared" si="43"/>
        <v>-</v>
      </c>
      <c r="J73" s="370" t="str">
        <f t="shared" si="44"/>
        <v>-</v>
      </c>
      <c r="K73" s="194" t="str">
        <f t="shared" si="45"/>
        <v>-</v>
      </c>
      <c r="L73" s="645"/>
      <c r="M73" s="373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46"/>
        <v>#N/A</v>
      </c>
      <c r="BA73" s="673"/>
    </row>
    <row r="74" spans="2:53">
      <c r="B74" s="671"/>
      <c r="C74" s="369">
        <v>8</v>
      </c>
      <c r="D74" s="220"/>
      <c r="E74" s="518"/>
      <c r="F74" s="516"/>
      <c r="G74" s="517"/>
      <c r="H74" s="703"/>
      <c r="I74" s="370" t="str">
        <f t="shared" si="43"/>
        <v>-</v>
      </c>
      <c r="J74" s="370" t="str">
        <f t="shared" si="44"/>
        <v>-</v>
      </c>
      <c r="K74" s="194" t="str">
        <f t="shared" si="45"/>
        <v>-</v>
      </c>
      <c r="L74" s="645"/>
      <c r="M74" s="373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46"/>
        <v>#N/A</v>
      </c>
      <c r="BA74" s="673"/>
    </row>
    <row r="75" spans="2:53">
      <c r="B75" s="671"/>
      <c r="C75" s="369">
        <v>9</v>
      </c>
      <c r="D75" s="220"/>
      <c r="E75" s="518"/>
      <c r="F75" s="516"/>
      <c r="G75" s="517"/>
      <c r="H75" s="703"/>
      <c r="I75" s="370" t="str">
        <f t="shared" si="43"/>
        <v>-</v>
      </c>
      <c r="J75" s="370" t="str">
        <f t="shared" si="44"/>
        <v>-</v>
      </c>
      <c r="K75" s="194" t="str">
        <f t="shared" si="45"/>
        <v>-</v>
      </c>
      <c r="L75" s="645"/>
      <c r="M75" s="373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46"/>
        <v>#N/A</v>
      </c>
      <c r="BA75" s="673"/>
    </row>
    <row r="76" spans="2:53">
      <c r="B76" s="671"/>
      <c r="C76" s="369">
        <v>10</v>
      </c>
      <c r="D76" s="220"/>
      <c r="E76" s="518"/>
      <c r="F76" s="516"/>
      <c r="G76" s="517"/>
      <c r="H76" s="703"/>
      <c r="I76" s="370" t="str">
        <f t="shared" si="43"/>
        <v>-</v>
      </c>
      <c r="J76" s="370" t="str">
        <f t="shared" si="44"/>
        <v>-</v>
      </c>
      <c r="K76" s="194" t="str">
        <f t="shared" si="45"/>
        <v>-</v>
      </c>
      <c r="L76" s="645"/>
      <c r="M76" s="373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46"/>
        <v>#N/A</v>
      </c>
      <c r="BA76" s="673"/>
    </row>
    <row r="77" spans="2:53">
      <c r="B77" s="671"/>
      <c r="C77" s="369">
        <v>11</v>
      </c>
      <c r="D77" s="220"/>
      <c r="E77" s="518"/>
      <c r="F77" s="516"/>
      <c r="G77" s="517"/>
      <c r="H77" s="703"/>
      <c r="I77" s="370" t="str">
        <f t="shared" si="43"/>
        <v>-</v>
      </c>
      <c r="J77" s="370" t="str">
        <f t="shared" si="44"/>
        <v>-</v>
      </c>
      <c r="K77" s="194" t="str">
        <f t="shared" si="45"/>
        <v>-</v>
      </c>
      <c r="L77" s="645"/>
      <c r="M77" s="373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46"/>
        <v>#N/A</v>
      </c>
      <c r="BA77" s="673"/>
    </row>
    <row r="78" spans="2:53">
      <c r="B78" s="671"/>
      <c r="C78" s="369">
        <v>12</v>
      </c>
      <c r="D78" s="220"/>
      <c r="E78" s="518"/>
      <c r="F78" s="516"/>
      <c r="G78" s="517"/>
      <c r="H78" s="703"/>
      <c r="I78" s="370" t="str">
        <f t="shared" si="43"/>
        <v>-</v>
      </c>
      <c r="J78" s="370" t="str">
        <f t="shared" si="44"/>
        <v>-</v>
      </c>
      <c r="K78" s="194" t="str">
        <f t="shared" si="45"/>
        <v>-</v>
      </c>
      <c r="L78" s="645"/>
      <c r="M78" s="373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46"/>
        <v>#N/A</v>
      </c>
      <c r="BA78" s="673"/>
    </row>
    <row r="79" spans="2:53">
      <c r="B79" s="671"/>
      <c r="C79" s="369">
        <v>13</v>
      </c>
      <c r="D79" s="220"/>
      <c r="E79" s="518"/>
      <c r="F79" s="516"/>
      <c r="G79" s="517"/>
      <c r="H79" s="703"/>
      <c r="I79" s="370" t="str">
        <f t="shared" si="43"/>
        <v>-</v>
      </c>
      <c r="J79" s="370" t="str">
        <f t="shared" si="44"/>
        <v>-</v>
      </c>
      <c r="K79" s="194" t="str">
        <f t="shared" si="45"/>
        <v>-</v>
      </c>
      <c r="L79" s="645"/>
      <c r="M79" s="373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46"/>
        <v>#N/A</v>
      </c>
      <c r="BA79" s="673"/>
    </row>
    <row r="80" spans="2:53">
      <c r="B80" s="671"/>
      <c r="C80" s="369">
        <v>14</v>
      </c>
      <c r="D80" s="220"/>
      <c r="E80" s="518"/>
      <c r="F80" s="516"/>
      <c r="G80" s="517"/>
      <c r="H80" s="703"/>
      <c r="I80" s="370" t="str">
        <f t="shared" si="43"/>
        <v>-</v>
      </c>
      <c r="J80" s="370" t="str">
        <f t="shared" si="44"/>
        <v>-</v>
      </c>
      <c r="K80" s="194" t="str">
        <f t="shared" si="45"/>
        <v>-</v>
      </c>
      <c r="L80" s="645"/>
      <c r="M80" s="373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46"/>
        <v>#N/A</v>
      </c>
      <c r="BA80" s="673"/>
    </row>
    <row r="81" spans="2:53">
      <c r="B81" s="671"/>
      <c r="C81" s="369">
        <v>15</v>
      </c>
      <c r="D81" s="220"/>
      <c r="E81" s="518"/>
      <c r="F81" s="516"/>
      <c r="G81" s="517"/>
      <c r="H81" s="707"/>
      <c r="I81" s="392" t="str">
        <f t="shared" ref="I81" si="48">IFERROR(AVERAGE(P81,U81,Z81,AE81,AJ81,AO81,AT81),"-")</f>
        <v>-</v>
      </c>
      <c r="J81" s="392" t="str">
        <f t="shared" ref="J81" si="49">IFERROR(AVERAGE(Q81,V81,AA81,AF81,AK81,AP81,AU81),"-")</f>
        <v>-</v>
      </c>
      <c r="K81" s="194" t="str">
        <f t="shared" ref="K81" si="50">IFERROR(AVERAGE(R81,W81,AB81,AG81,AL81,AQ81,AV81),"-")</f>
        <v>-</v>
      </c>
      <c r="L81" s="646"/>
      <c r="M81" s="373" t="e">
        <f>RANK(K81, K$47:$K$61)</f>
        <v>#VALUE!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46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400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415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51">IFERROR(AVERAGE(P87,U87,Z87,AE87,AJ87,AO87,AT87),"-")</f>
        <v>-</v>
      </c>
      <c r="J87" s="370" t="str">
        <f t="shared" ref="J87:J100" si="52">IFERROR(AVERAGE(Q87,V87,AA87,AF87,AK87,AP87,AU87),"-")</f>
        <v>-</v>
      </c>
      <c r="K87" s="194" t="str">
        <f t="shared" ref="K87:K100" si="53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54">RANK(AY87, AY$87:AY$101)</f>
        <v>#N/A</v>
      </c>
      <c r="BA87" s="685" t="e">
        <f t="shared" ref="BA87" si="55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51"/>
        <v>-</v>
      </c>
      <c r="J88" s="370" t="str">
        <f t="shared" si="52"/>
        <v>-</v>
      </c>
      <c r="K88" s="194" t="str">
        <f t="shared" si="53"/>
        <v>-</v>
      </c>
      <c r="L88" s="645"/>
      <c r="M88" s="395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54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51"/>
        <v>-</v>
      </c>
      <c r="J89" s="370" t="str">
        <f t="shared" si="52"/>
        <v>-</v>
      </c>
      <c r="K89" s="194" t="str">
        <f t="shared" si="53"/>
        <v>-</v>
      </c>
      <c r="L89" s="645"/>
      <c r="M89" s="395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54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51"/>
        <v>-</v>
      </c>
      <c r="J90" s="370" t="str">
        <f t="shared" si="52"/>
        <v>-</v>
      </c>
      <c r="K90" s="194" t="str">
        <f t="shared" si="53"/>
        <v>-</v>
      </c>
      <c r="L90" s="645"/>
      <c r="M90" s="395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54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51"/>
        <v>-</v>
      </c>
      <c r="J91" s="370" t="str">
        <f t="shared" si="52"/>
        <v>-</v>
      </c>
      <c r="K91" s="194" t="str">
        <f t="shared" si="53"/>
        <v>-</v>
      </c>
      <c r="L91" s="645"/>
      <c r="M91" s="395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54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51"/>
        <v>-</v>
      </c>
      <c r="J92" s="370" t="str">
        <f t="shared" si="52"/>
        <v>-</v>
      </c>
      <c r="K92" s="194" t="str">
        <f t="shared" si="53"/>
        <v>-</v>
      </c>
      <c r="L92" s="645"/>
      <c r="M92" s="395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54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51"/>
        <v>-</v>
      </c>
      <c r="J93" s="370" t="str">
        <f t="shared" si="52"/>
        <v>-</v>
      </c>
      <c r="K93" s="194" t="str">
        <f t="shared" si="53"/>
        <v>-</v>
      </c>
      <c r="L93" s="645"/>
      <c r="M93" s="395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54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51"/>
        <v>-</v>
      </c>
      <c r="J94" s="370" t="str">
        <f t="shared" si="52"/>
        <v>-</v>
      </c>
      <c r="K94" s="194" t="str">
        <f t="shared" si="53"/>
        <v>-</v>
      </c>
      <c r="L94" s="645"/>
      <c r="M94" s="395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54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51"/>
        <v>-</v>
      </c>
      <c r="J95" s="370" t="str">
        <f t="shared" si="52"/>
        <v>-</v>
      </c>
      <c r="K95" s="194" t="str">
        <f t="shared" si="53"/>
        <v>-</v>
      </c>
      <c r="L95" s="645"/>
      <c r="M95" s="395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54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51"/>
        <v>-</v>
      </c>
      <c r="J96" s="370" t="str">
        <f t="shared" si="52"/>
        <v>-</v>
      </c>
      <c r="K96" s="194" t="str">
        <f t="shared" si="53"/>
        <v>-</v>
      </c>
      <c r="L96" s="645"/>
      <c r="M96" s="395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54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51"/>
        <v>-</v>
      </c>
      <c r="J97" s="370" t="str">
        <f t="shared" si="52"/>
        <v>-</v>
      </c>
      <c r="K97" s="194" t="str">
        <f t="shared" si="53"/>
        <v>-</v>
      </c>
      <c r="L97" s="645"/>
      <c r="M97" s="395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54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51"/>
        <v>-</v>
      </c>
      <c r="J98" s="370" t="str">
        <f t="shared" si="52"/>
        <v>-</v>
      </c>
      <c r="K98" s="194" t="str">
        <f t="shared" si="53"/>
        <v>-</v>
      </c>
      <c r="L98" s="645"/>
      <c r="M98" s="395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54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51"/>
        <v>-</v>
      </c>
      <c r="J99" s="370" t="str">
        <f t="shared" si="52"/>
        <v>-</v>
      </c>
      <c r="K99" s="194" t="str">
        <f t="shared" si="53"/>
        <v>-</v>
      </c>
      <c r="L99" s="645"/>
      <c r="M99" s="395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54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51"/>
        <v>-</v>
      </c>
      <c r="J100" s="370" t="str">
        <f t="shared" si="52"/>
        <v>-</v>
      </c>
      <c r="K100" s="194" t="str">
        <f t="shared" si="53"/>
        <v>-</v>
      </c>
      <c r="L100" s="645"/>
      <c r="M100" s="395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54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395" t="e">
        <f>RANK(K101, K$87:$K$101)</f>
        <v>#N/A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54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136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56">IFERROR(AVERAGE(P107,U107,Z107,AE107,AJ107,AO107,AT107),"-")</f>
        <v>-</v>
      </c>
      <c r="J107" s="352" t="str">
        <f t="shared" ref="J107:J120" si="57">IFERROR(AVERAGE(Q107,V107,AA107,AF107,AK107,AP107,AU107),"-")</f>
        <v>-</v>
      </c>
      <c r="K107" s="194" t="str">
        <f t="shared" ref="K107:K120" si="58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8" t="e">
        <f>RANK(AY107, AY$67:AY$81)</f>
        <v>#N/A</v>
      </c>
      <c r="BA107" s="708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56"/>
        <v>-</v>
      </c>
      <c r="J108" s="352" t="str">
        <f t="shared" si="57"/>
        <v>-</v>
      </c>
      <c r="K108" s="194" t="str">
        <f t="shared" si="58"/>
        <v>-</v>
      </c>
      <c r="L108" s="645"/>
      <c r="M108" s="338" t="e">
        <f>RANK(K108, K$67:$K$81)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8" t="e">
        <f t="shared" ref="AZ108:AZ121" si="59">RANK(AY108, AY$67:AY$81)</f>
        <v>#N/A</v>
      </c>
      <c r="BA108" s="708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56"/>
        <v>-</v>
      </c>
      <c r="J109" s="352" t="str">
        <f t="shared" si="57"/>
        <v>-</v>
      </c>
      <c r="K109" s="194" t="str">
        <f t="shared" si="58"/>
        <v>-</v>
      </c>
      <c r="L109" s="645"/>
      <c r="M109" s="338" t="e">
        <f>RANK(K109, K$67:$K$81)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8" t="e">
        <f t="shared" si="59"/>
        <v>#N/A</v>
      </c>
      <c r="BA109" s="708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56"/>
        <v>-</v>
      </c>
      <c r="J110" s="352" t="str">
        <f t="shared" si="57"/>
        <v>-</v>
      </c>
      <c r="K110" s="194" t="str">
        <f t="shared" si="58"/>
        <v>-</v>
      </c>
      <c r="L110" s="645"/>
      <c r="M110" s="338" t="e">
        <f>RANK(K110, K$67:$K$81)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8" t="e">
        <f t="shared" si="59"/>
        <v>#N/A</v>
      </c>
      <c r="BA110" s="708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56"/>
        <v>-</v>
      </c>
      <c r="J111" s="352" t="str">
        <f t="shared" si="57"/>
        <v>-</v>
      </c>
      <c r="K111" s="194" t="str">
        <f t="shared" si="58"/>
        <v>-</v>
      </c>
      <c r="L111" s="645"/>
      <c r="M111" s="338" t="e">
        <f>RANK(K111, K$67:$K$81)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8" t="e">
        <f t="shared" si="59"/>
        <v>#N/A</v>
      </c>
      <c r="BA111" s="708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56"/>
        <v>-</v>
      </c>
      <c r="J112" s="352" t="str">
        <f t="shared" si="57"/>
        <v>-</v>
      </c>
      <c r="K112" s="194" t="str">
        <f t="shared" si="58"/>
        <v>-</v>
      </c>
      <c r="L112" s="645"/>
      <c r="M112" s="338" t="e">
        <f>RANK(K112, K$67:$K$81)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8" t="e">
        <f t="shared" si="59"/>
        <v>#N/A</v>
      </c>
      <c r="BA112" s="708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56"/>
        <v>-</v>
      </c>
      <c r="J113" s="352" t="str">
        <f t="shared" si="57"/>
        <v>-</v>
      </c>
      <c r="K113" s="194" t="str">
        <f t="shared" si="58"/>
        <v>-</v>
      </c>
      <c r="L113" s="645"/>
      <c r="M113" s="338" t="e">
        <f>RANK(K113, K$67:$K$81)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8" t="e">
        <f t="shared" si="59"/>
        <v>#N/A</v>
      </c>
      <c r="BA113" s="708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56"/>
        <v>-</v>
      </c>
      <c r="J114" s="352" t="str">
        <f t="shared" si="57"/>
        <v>-</v>
      </c>
      <c r="K114" s="194" t="str">
        <f t="shared" si="58"/>
        <v>-</v>
      </c>
      <c r="L114" s="645"/>
      <c r="M114" s="338" t="e">
        <f>RANK(K114, K$67:$K$81)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8" t="e">
        <f t="shared" si="59"/>
        <v>#N/A</v>
      </c>
      <c r="BA114" s="708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56"/>
        <v>-</v>
      </c>
      <c r="J115" s="352" t="str">
        <f t="shared" si="57"/>
        <v>-</v>
      </c>
      <c r="K115" s="194" t="str">
        <f t="shared" si="58"/>
        <v>-</v>
      </c>
      <c r="L115" s="645"/>
      <c r="M115" s="338" t="e">
        <f>RANK(K115, K$67:$K$81)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8" t="e">
        <f t="shared" si="59"/>
        <v>#N/A</v>
      </c>
      <c r="BA115" s="708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56"/>
        <v>-</v>
      </c>
      <c r="J116" s="352" t="str">
        <f t="shared" si="57"/>
        <v>-</v>
      </c>
      <c r="K116" s="194" t="str">
        <f t="shared" si="58"/>
        <v>-</v>
      </c>
      <c r="L116" s="645"/>
      <c r="M116" s="338" t="e">
        <f>RANK(K116, K$67:$K$81)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8" t="e">
        <f t="shared" si="59"/>
        <v>#N/A</v>
      </c>
      <c r="BA116" s="708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56"/>
        <v>-</v>
      </c>
      <c r="J117" s="352" t="str">
        <f t="shared" si="57"/>
        <v>-</v>
      </c>
      <c r="K117" s="194" t="str">
        <f t="shared" si="58"/>
        <v>-</v>
      </c>
      <c r="L117" s="645"/>
      <c r="M117" s="338" t="e">
        <f>RANK(K117, K$67:$K$81)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8" t="e">
        <f t="shared" si="59"/>
        <v>#N/A</v>
      </c>
      <c r="BA117" s="708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56"/>
        <v>-</v>
      </c>
      <c r="J118" s="352" t="str">
        <f t="shared" si="57"/>
        <v>-</v>
      </c>
      <c r="K118" s="194" t="str">
        <f t="shared" si="58"/>
        <v>-</v>
      </c>
      <c r="L118" s="645"/>
      <c r="M118" s="338" t="e">
        <f>RANK(K118, K$67:$K$81)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8" t="e">
        <f t="shared" si="59"/>
        <v>#N/A</v>
      </c>
      <c r="BA118" s="708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56"/>
        <v>-</v>
      </c>
      <c r="J119" s="352" t="str">
        <f t="shared" si="57"/>
        <v>-</v>
      </c>
      <c r="K119" s="194" t="str">
        <f t="shared" si="58"/>
        <v>-</v>
      </c>
      <c r="L119" s="645"/>
      <c r="M119" s="338" t="e">
        <f>RANK(K119, K$67:$K$81)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8" t="e">
        <f t="shared" si="59"/>
        <v>#N/A</v>
      </c>
      <c r="BA119" s="708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56"/>
        <v>-</v>
      </c>
      <c r="J120" s="352" t="str">
        <f t="shared" si="57"/>
        <v>-</v>
      </c>
      <c r="K120" s="194" t="str">
        <f t="shared" si="58"/>
        <v>-</v>
      </c>
      <c r="L120" s="645"/>
      <c r="M120" s="338" t="e">
        <f>RANK(K120, K$67:$K$81)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8" t="e">
        <f t="shared" si="59"/>
        <v>#N/A</v>
      </c>
      <c r="BA120" s="708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K$47:$K$61)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8" t="e">
        <f t="shared" si="59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482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2" si="60">AVERAGEIF($D$7:$D$121,$D128,I$7:I$121)</f>
        <v>#DIV/0!</v>
      </c>
      <c r="J128" s="193" t="e">
        <f t="shared" si="60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60"/>
        <v>#DIV/0!</v>
      </c>
      <c r="J129" s="193" t="e">
        <f t="shared" si="60"/>
        <v>#DIV/0!</v>
      </c>
      <c r="K129" s="193" t="e">
        <f>AVERAGEIF($D$7:$D$121,$D129,K$7:K$121)</f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60"/>
        <v>#DIV/0!</v>
      </c>
      <c r="J130" s="193" t="e">
        <f t="shared" si="60"/>
        <v>#DIV/0!</v>
      </c>
      <c r="K130" s="193" t="e">
        <f>AVERAGEIF($D$7:$D$121,$D130,K$7:K$121)</f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60"/>
        <v>#DIV/0!</v>
      </c>
      <c r="J131" s="193" t="e">
        <f t="shared" si="60"/>
        <v>#DIV/0!</v>
      </c>
      <c r="K131" s="193" t="e">
        <f>AVERAGEIF($D$7:$D$121,$D131,K$7:K$121)</f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60"/>
        <v>#DIV/0!</v>
      </c>
      <c r="J132" s="193" t="e">
        <f t="shared" si="60"/>
        <v>#DIV/0!</v>
      </c>
      <c r="K132" s="193" t="e">
        <f>AVERAGEIF($D$7:$D$121,$D132,K$7:K$121)</f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71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S35" sqref="S35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155.48562195124262</v>
      </c>
    </row>
    <row r="2" spans="1:53" ht="15.75">
      <c r="A2" s="81"/>
      <c r="B2" s="675" t="s">
        <v>162</v>
      </c>
      <c r="C2" s="675"/>
      <c r="D2" s="675"/>
      <c r="E2" s="675"/>
      <c r="F2" s="675"/>
      <c r="G2" s="675"/>
      <c r="H2" s="675"/>
      <c r="I2" s="276"/>
      <c r="J2" s="276"/>
      <c r="K2" s="276"/>
      <c r="L2" s="276"/>
      <c r="M2" s="191"/>
      <c r="N2" s="664" t="s">
        <v>156</v>
      </c>
      <c r="O2" s="664" t="s">
        <v>155</v>
      </c>
      <c r="P2" s="670">
        <v>46266</v>
      </c>
      <c r="Q2" s="671"/>
      <c r="R2" s="671"/>
      <c r="S2" s="671"/>
      <c r="T2" s="671"/>
      <c r="U2" s="667">
        <f>P2+1</f>
        <v>46267</v>
      </c>
      <c r="V2" s="668"/>
      <c r="W2" s="668"/>
      <c r="X2" s="668"/>
      <c r="Y2" s="669"/>
      <c r="Z2" s="667">
        <f>U2+1</f>
        <v>46268</v>
      </c>
      <c r="AA2" s="668"/>
      <c r="AB2" s="668"/>
      <c r="AC2" s="668"/>
      <c r="AD2" s="669"/>
      <c r="AE2" s="667">
        <f>Z2+1</f>
        <v>46269</v>
      </c>
      <c r="AF2" s="668"/>
      <c r="AG2" s="668"/>
      <c r="AH2" s="668"/>
      <c r="AI2" s="669"/>
      <c r="AJ2" s="667">
        <f>AE2+1</f>
        <v>46270</v>
      </c>
      <c r="AK2" s="668"/>
      <c r="AL2" s="668"/>
      <c r="AM2" s="668"/>
      <c r="AN2" s="669"/>
      <c r="AO2" s="667">
        <f>AJ2+1</f>
        <v>46271</v>
      </c>
      <c r="AP2" s="668"/>
      <c r="AQ2" s="668"/>
      <c r="AR2" s="668"/>
      <c r="AS2" s="669"/>
      <c r="AT2" s="667">
        <f>AO2+1</f>
        <v>46272</v>
      </c>
      <c r="AU2" s="668"/>
      <c r="AV2" s="668"/>
      <c r="AW2" s="668"/>
      <c r="AX2" s="669"/>
    </row>
    <row r="3" spans="1:53" ht="15.75">
      <c r="A3" s="81"/>
      <c r="B3" s="709"/>
      <c r="C3" s="709"/>
      <c r="D3" s="709"/>
      <c r="E3" s="709"/>
      <c r="F3" s="709"/>
      <c r="G3" s="709"/>
      <c r="H3" s="709"/>
      <c r="I3" s="277"/>
      <c r="J3" s="277"/>
      <c r="K3" s="277"/>
      <c r="L3" s="277"/>
      <c r="M3" s="192"/>
      <c r="N3" s="666"/>
      <c r="O3" s="666"/>
      <c r="P3" s="670" t="s">
        <v>158</v>
      </c>
      <c r="Q3" s="671"/>
      <c r="R3" s="671"/>
      <c r="S3" s="671"/>
      <c r="T3" s="671"/>
      <c r="U3" s="670" t="s">
        <v>114</v>
      </c>
      <c r="V3" s="671"/>
      <c r="W3" s="671"/>
      <c r="X3" s="671"/>
      <c r="Y3" s="671"/>
      <c r="Z3" s="670" t="s">
        <v>159</v>
      </c>
      <c r="AA3" s="671"/>
      <c r="AB3" s="671"/>
      <c r="AC3" s="671"/>
      <c r="AD3" s="671"/>
      <c r="AE3" s="670" t="s">
        <v>157</v>
      </c>
      <c r="AF3" s="671"/>
      <c r="AG3" s="671"/>
      <c r="AH3" s="671"/>
      <c r="AI3" s="671"/>
      <c r="AJ3" s="670" t="s">
        <v>160</v>
      </c>
      <c r="AK3" s="671"/>
      <c r="AL3" s="671"/>
      <c r="AM3" s="671"/>
      <c r="AN3" s="671"/>
      <c r="AO3" s="670" t="s">
        <v>115</v>
      </c>
      <c r="AP3" s="671"/>
      <c r="AQ3" s="671"/>
      <c r="AR3" s="671"/>
      <c r="AS3" s="671"/>
      <c r="AT3" s="670" t="s">
        <v>161</v>
      </c>
      <c r="AU3" s="671"/>
      <c r="AV3" s="671"/>
      <c r="AW3" s="671"/>
      <c r="AX3" s="671"/>
    </row>
    <row r="4" spans="1:53" ht="14.25">
      <c r="A4" s="81"/>
      <c r="B4" s="663" t="s">
        <v>522</v>
      </c>
      <c r="C4" s="663" t="s">
        <v>523</v>
      </c>
      <c r="D4" s="663"/>
      <c r="E4" s="663" t="s">
        <v>524</v>
      </c>
      <c r="F4" s="663"/>
      <c r="G4" s="663"/>
      <c r="H4" s="679" t="s">
        <v>525</v>
      </c>
      <c r="I4" s="663" t="s">
        <v>526</v>
      </c>
      <c r="J4" s="663"/>
      <c r="K4" s="663"/>
      <c r="L4" s="679" t="s">
        <v>359</v>
      </c>
      <c r="M4" s="664" t="s">
        <v>527</v>
      </c>
      <c r="N4" s="663"/>
      <c r="O4" s="663" t="s">
        <v>365</v>
      </c>
      <c r="P4" s="660" t="s">
        <v>361</v>
      </c>
      <c r="Q4" s="661"/>
      <c r="R4" s="661"/>
      <c r="S4" s="662"/>
      <c r="T4" s="663" t="s">
        <v>359</v>
      </c>
      <c r="U4" s="660" t="s">
        <v>361</v>
      </c>
      <c r="V4" s="661"/>
      <c r="W4" s="661"/>
      <c r="X4" s="662"/>
      <c r="Y4" s="663" t="s">
        <v>359</v>
      </c>
      <c r="Z4" s="660" t="s">
        <v>361</v>
      </c>
      <c r="AA4" s="661"/>
      <c r="AB4" s="661"/>
      <c r="AC4" s="662"/>
      <c r="AD4" s="663" t="s">
        <v>359</v>
      </c>
      <c r="AE4" s="660" t="s">
        <v>361</v>
      </c>
      <c r="AF4" s="661"/>
      <c r="AG4" s="661"/>
      <c r="AH4" s="662"/>
      <c r="AI4" s="663" t="s">
        <v>359</v>
      </c>
      <c r="AJ4" s="660" t="s">
        <v>361</v>
      </c>
      <c r="AK4" s="661"/>
      <c r="AL4" s="661"/>
      <c r="AM4" s="662"/>
      <c r="AN4" s="663" t="s">
        <v>359</v>
      </c>
      <c r="AO4" s="660" t="s">
        <v>361</v>
      </c>
      <c r="AP4" s="661"/>
      <c r="AQ4" s="661"/>
      <c r="AR4" s="662"/>
      <c r="AS4" s="663" t="s">
        <v>359</v>
      </c>
      <c r="AT4" s="660" t="s">
        <v>361</v>
      </c>
      <c r="AU4" s="661"/>
      <c r="AV4" s="661"/>
      <c r="AW4" s="662"/>
      <c r="AX4" s="663" t="s">
        <v>359</v>
      </c>
      <c r="BA4" s="663" t="s">
        <v>359</v>
      </c>
    </row>
    <row r="5" spans="1:53" ht="14.25">
      <c r="A5" s="81"/>
      <c r="B5" s="663"/>
      <c r="C5" s="663"/>
      <c r="D5" s="663"/>
      <c r="E5" s="663" t="s">
        <v>529</v>
      </c>
      <c r="F5" s="663"/>
      <c r="G5" s="663"/>
      <c r="H5" s="680"/>
      <c r="I5" s="663" t="s">
        <v>529</v>
      </c>
      <c r="J5" s="663"/>
      <c r="K5" s="663"/>
      <c r="L5" s="680"/>
      <c r="M5" s="665"/>
      <c r="N5" s="663"/>
      <c r="O5" s="663"/>
      <c r="P5" s="660" t="s">
        <v>367</v>
      </c>
      <c r="Q5" s="661"/>
      <c r="R5" s="661"/>
      <c r="S5" s="662"/>
      <c r="T5" s="663"/>
      <c r="U5" s="660" t="s">
        <v>367</v>
      </c>
      <c r="V5" s="661"/>
      <c r="W5" s="661"/>
      <c r="X5" s="662"/>
      <c r="Y5" s="663"/>
      <c r="Z5" s="660" t="s">
        <v>367</v>
      </c>
      <c r="AA5" s="661"/>
      <c r="AB5" s="661"/>
      <c r="AC5" s="662"/>
      <c r="AD5" s="663"/>
      <c r="AE5" s="660" t="s">
        <v>367</v>
      </c>
      <c r="AF5" s="661"/>
      <c r="AG5" s="661"/>
      <c r="AH5" s="662"/>
      <c r="AI5" s="663"/>
      <c r="AJ5" s="660" t="s">
        <v>367</v>
      </c>
      <c r="AK5" s="661"/>
      <c r="AL5" s="661"/>
      <c r="AM5" s="662"/>
      <c r="AN5" s="663"/>
      <c r="AO5" s="660" t="s">
        <v>367</v>
      </c>
      <c r="AP5" s="661"/>
      <c r="AQ5" s="661"/>
      <c r="AR5" s="662"/>
      <c r="AS5" s="663"/>
      <c r="AT5" s="660" t="s">
        <v>367</v>
      </c>
      <c r="AU5" s="661"/>
      <c r="AV5" s="661"/>
      <c r="AW5" s="662"/>
      <c r="AX5" s="663"/>
      <c r="BA5" s="663"/>
    </row>
    <row r="6" spans="1:53" ht="14.25">
      <c r="A6" s="79"/>
      <c r="B6" s="663"/>
      <c r="C6" s="663"/>
      <c r="D6" s="663"/>
      <c r="E6" s="492" t="s">
        <v>530</v>
      </c>
      <c r="F6" s="492" t="s">
        <v>531</v>
      </c>
      <c r="G6" s="492" t="s">
        <v>532</v>
      </c>
      <c r="H6" s="681"/>
      <c r="I6" s="492" t="s">
        <v>530</v>
      </c>
      <c r="J6" s="492" t="s">
        <v>531</v>
      </c>
      <c r="K6" s="492" t="s">
        <v>532</v>
      </c>
      <c r="L6" s="681"/>
      <c r="M6" s="666"/>
      <c r="N6" s="663"/>
      <c r="O6" s="663"/>
      <c r="P6" s="492" t="s">
        <v>368</v>
      </c>
      <c r="Q6" s="492" t="s">
        <v>369</v>
      </c>
      <c r="R6" s="492" t="s">
        <v>370</v>
      </c>
      <c r="S6" s="492" t="s">
        <v>360</v>
      </c>
      <c r="T6" s="663"/>
      <c r="U6" s="492" t="s">
        <v>368</v>
      </c>
      <c r="V6" s="492" t="s">
        <v>369</v>
      </c>
      <c r="W6" s="492" t="s">
        <v>370</v>
      </c>
      <c r="X6" s="492" t="s">
        <v>360</v>
      </c>
      <c r="Y6" s="663"/>
      <c r="Z6" s="492" t="s">
        <v>368</v>
      </c>
      <c r="AA6" s="492" t="s">
        <v>369</v>
      </c>
      <c r="AB6" s="492" t="s">
        <v>370</v>
      </c>
      <c r="AC6" s="492" t="s">
        <v>360</v>
      </c>
      <c r="AD6" s="663"/>
      <c r="AE6" s="492" t="s">
        <v>368</v>
      </c>
      <c r="AF6" s="492" t="s">
        <v>369</v>
      </c>
      <c r="AG6" s="492" t="s">
        <v>370</v>
      </c>
      <c r="AH6" s="492" t="s">
        <v>360</v>
      </c>
      <c r="AI6" s="663"/>
      <c r="AJ6" s="492" t="s">
        <v>368</v>
      </c>
      <c r="AK6" s="492" t="s">
        <v>369</v>
      </c>
      <c r="AL6" s="492" t="s">
        <v>370</v>
      </c>
      <c r="AM6" s="492" t="s">
        <v>360</v>
      </c>
      <c r="AN6" s="663"/>
      <c r="AO6" s="492" t="s">
        <v>368</v>
      </c>
      <c r="AP6" s="492" t="s">
        <v>369</v>
      </c>
      <c r="AQ6" s="492" t="s">
        <v>370</v>
      </c>
      <c r="AR6" s="492" t="s">
        <v>360</v>
      </c>
      <c r="AS6" s="663"/>
      <c r="AT6" s="492" t="s">
        <v>368</v>
      </c>
      <c r="AU6" s="492" t="s">
        <v>369</v>
      </c>
      <c r="AV6" s="492" t="s">
        <v>370</v>
      </c>
      <c r="AW6" s="492" t="s">
        <v>360</v>
      </c>
      <c r="AX6" s="663"/>
      <c r="AZ6" s="356" t="s">
        <v>360</v>
      </c>
      <c r="BA6" s="663"/>
    </row>
    <row r="7" spans="1:53" ht="14.25">
      <c r="A7" s="81"/>
      <c r="B7" s="663" t="s">
        <v>136</v>
      </c>
      <c r="C7" s="495">
        <v>1</v>
      </c>
      <c r="D7" s="220" t="s">
        <v>348</v>
      </c>
      <c r="E7" s="518">
        <v>7</v>
      </c>
      <c r="F7" s="516">
        <v>1500</v>
      </c>
      <c r="G7" s="517">
        <v>214.28571428571428</v>
      </c>
      <c r="H7" s="702">
        <f>AVERAGE(G7:G21)</f>
        <v>172.28217602830608</v>
      </c>
      <c r="I7" s="496">
        <f t="shared" ref="I7:I20" si="0">IFERROR(AVERAGE(P7,U7,Z7,AE7,AJ7,AO7,AT7),"-")</f>
        <v>7</v>
      </c>
      <c r="J7" s="496">
        <f t="shared" ref="J7:J20" si="1">IFERROR(AVERAGE(Q7,V7,AA7,AF7,AK7,AP7,AU7),"-")</f>
        <v>1451.070041022942</v>
      </c>
      <c r="K7" s="194">
        <f t="shared" ref="K7:K20" si="2">IFERROR(AVERAGE(R7,W7,AB7,AG7,AL7,AQ7,AV7),"-")</f>
        <v>207.29572014613453</v>
      </c>
      <c r="L7" s="644">
        <f>IFERROR(AVERAGE(K7:K21),"-")</f>
        <v>154.62316490637193</v>
      </c>
      <c r="M7" s="477">
        <f>RANK(K7, K$7:$K$21)</f>
        <v>4</v>
      </c>
      <c r="N7" s="663"/>
      <c r="O7" s="663"/>
      <c r="P7" s="524">
        <v>7</v>
      </c>
      <c r="Q7" s="477">
        <v>1443.8297872340427</v>
      </c>
      <c r="R7" s="477">
        <v>206.26139817629181</v>
      </c>
      <c r="S7" s="524">
        <f t="shared" ref="S7:S21" si="3">RANK(R7, R$7:R$21)</f>
        <v>4</v>
      </c>
      <c r="T7" s="708">
        <f t="shared" ref="T7" si="4">AVERAGE(R7:R21)</f>
        <v>157.03709479127153</v>
      </c>
      <c r="U7" s="524">
        <v>7</v>
      </c>
      <c r="V7" s="477">
        <v>1447.1428571428567</v>
      </c>
      <c r="W7" s="477">
        <v>206.73469387755094</v>
      </c>
      <c r="X7" s="524">
        <f t="shared" ref="X7:X21" si="5">RANK(W7, W$7:W$21)</f>
        <v>4</v>
      </c>
      <c r="Y7" s="708">
        <f t="shared" ref="Y7" si="6">AVERAGE(W7:W21)</f>
        <v>154.46750202762411</v>
      </c>
      <c r="Z7" s="524">
        <v>7</v>
      </c>
      <c r="AA7" s="477">
        <v>1441.395348837209</v>
      </c>
      <c r="AB7" s="477">
        <v>205.91362126245843</v>
      </c>
      <c r="AC7" s="524">
        <f t="shared" ref="AC7:AC21" si="7">RANK(AB7, AB$7:AB$21)</f>
        <v>5</v>
      </c>
      <c r="AD7" s="708">
        <f t="shared" ref="AD7" si="8">AVERAGE(AB7:AB21)</f>
        <v>159.34858324896479</v>
      </c>
      <c r="AE7" s="524">
        <v>7</v>
      </c>
      <c r="AF7" s="477">
        <v>1430.2702702702707</v>
      </c>
      <c r="AG7" s="477">
        <v>204.32432432432438</v>
      </c>
      <c r="AH7" s="524">
        <f t="shared" ref="AH7:AH21" si="9">RANK(AG7, AG$7:AG$21)</f>
        <v>4</v>
      </c>
      <c r="AI7" s="708">
        <f t="shared" ref="AI7" si="10">AVERAGE(AG7:AG21)</f>
        <v>151.78416265260032</v>
      </c>
      <c r="AJ7" s="524">
        <v>7</v>
      </c>
      <c r="AK7" s="477">
        <v>1465.714285714286</v>
      </c>
      <c r="AL7" s="477">
        <v>209.38775510204087</v>
      </c>
      <c r="AM7" s="524">
        <f t="shared" ref="AM7:AM21" si="11">RANK(AL7, AL$7:AL$21)</f>
        <v>3</v>
      </c>
      <c r="AN7" s="708">
        <f t="shared" ref="AN7" si="12">AVERAGE(AL7:AL21)</f>
        <v>152.11761237929264</v>
      </c>
      <c r="AO7" s="524">
        <v>7</v>
      </c>
      <c r="AP7" s="477">
        <v>1468.0851063829789</v>
      </c>
      <c r="AQ7" s="477">
        <v>209.72644376899697</v>
      </c>
      <c r="AR7" s="524">
        <f t="shared" ref="AR7:AR21" si="13">RANK(AQ7, AQ$7:AQ$21)</f>
        <v>3</v>
      </c>
      <c r="AS7" s="708">
        <f t="shared" ref="AS7" si="14">AVERAGE(AQ7:AQ21)</f>
        <v>152.28603481995955</v>
      </c>
      <c r="AT7" s="523">
        <v>7</v>
      </c>
      <c r="AU7" s="525">
        <v>1461.0526315789484</v>
      </c>
      <c r="AV7" s="525">
        <v>208.72180451127835</v>
      </c>
      <c r="AW7" s="524">
        <f t="shared" ref="AW7:AW21" si="15">RANK(AV7, AV$7:AV$21)</f>
        <v>4</v>
      </c>
      <c r="AX7" s="708">
        <f t="shared" ref="AX7" si="16">AVERAGE(AV7:AV21)</f>
        <v>155.32116442489047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92"/>
      <c r="C8" s="495">
        <v>2</v>
      </c>
      <c r="D8" s="220" t="s">
        <v>349</v>
      </c>
      <c r="E8" s="518">
        <v>7</v>
      </c>
      <c r="F8" s="516">
        <v>1500</v>
      </c>
      <c r="G8" s="517">
        <v>214.28571428571428</v>
      </c>
      <c r="H8" s="703"/>
      <c r="I8" s="496">
        <f t="shared" si="0"/>
        <v>7</v>
      </c>
      <c r="J8" s="496">
        <f t="shared" si="1"/>
        <v>1475.7312240114829</v>
      </c>
      <c r="K8" s="194">
        <f t="shared" si="2"/>
        <v>210.81874628735471</v>
      </c>
      <c r="L8" s="645"/>
      <c r="M8" s="477">
        <f>RANK(K8, K$7:$K$21)</f>
        <v>1</v>
      </c>
      <c r="N8" s="663"/>
      <c r="O8" s="663"/>
      <c r="P8" s="524">
        <v>7</v>
      </c>
      <c r="Q8" s="477">
        <v>1457.8124999999995</v>
      </c>
      <c r="R8" s="477">
        <v>208.2589285714285</v>
      </c>
      <c r="S8" s="524">
        <f t="shared" si="3"/>
        <v>3</v>
      </c>
      <c r="T8" s="708"/>
      <c r="U8" s="524">
        <v>7</v>
      </c>
      <c r="V8" s="477">
        <v>1486.6666666666663</v>
      </c>
      <c r="W8" s="477">
        <v>212.38095238095232</v>
      </c>
      <c r="X8" s="524">
        <f t="shared" si="5"/>
        <v>1</v>
      </c>
      <c r="Y8" s="708"/>
      <c r="Z8" s="524">
        <v>7</v>
      </c>
      <c r="AA8" s="477">
        <v>1493.5537190082646</v>
      </c>
      <c r="AB8" s="477">
        <v>213.36481700118065</v>
      </c>
      <c r="AC8" s="524">
        <f t="shared" si="7"/>
        <v>1</v>
      </c>
      <c r="AD8" s="708"/>
      <c r="AE8" s="524">
        <v>7</v>
      </c>
      <c r="AF8" s="477">
        <v>1485.454545454546</v>
      </c>
      <c r="AG8" s="477">
        <v>212.20779220779227</v>
      </c>
      <c r="AH8" s="524">
        <f t="shared" si="9"/>
        <v>1</v>
      </c>
      <c r="AI8" s="708"/>
      <c r="AJ8" s="524">
        <v>7</v>
      </c>
      <c r="AK8" s="477">
        <v>1452.2222222222219</v>
      </c>
      <c r="AL8" s="477">
        <v>207.46031746031741</v>
      </c>
      <c r="AM8" s="524">
        <f t="shared" si="11"/>
        <v>4</v>
      </c>
      <c r="AN8" s="708"/>
      <c r="AO8" s="524">
        <v>7</v>
      </c>
      <c r="AP8" s="477">
        <v>1482.3255813953485</v>
      </c>
      <c r="AQ8" s="477">
        <v>211.76079734219266</v>
      </c>
      <c r="AR8" s="524">
        <f t="shared" si="13"/>
        <v>1</v>
      </c>
      <c r="AS8" s="708"/>
      <c r="AT8" s="523">
        <v>7</v>
      </c>
      <c r="AU8" s="525">
        <v>1472.0833333333337</v>
      </c>
      <c r="AV8" s="525">
        <v>210.29761904761909</v>
      </c>
      <c r="AW8" s="524">
        <f t="shared" si="15"/>
        <v>2</v>
      </c>
      <c r="AX8" s="708"/>
      <c r="AZ8" s="358" t="e">
        <f t="shared" si="17"/>
        <v>#N/A</v>
      </c>
      <c r="BA8" s="708"/>
    </row>
    <row r="9" spans="1:53" ht="14.25">
      <c r="A9" s="81"/>
      <c r="B9" s="692"/>
      <c r="C9" s="495">
        <v>3</v>
      </c>
      <c r="D9" s="220" t="s">
        <v>350</v>
      </c>
      <c r="E9" s="518">
        <v>17</v>
      </c>
      <c r="F9" s="516">
        <v>1500</v>
      </c>
      <c r="G9" s="517">
        <v>88.235294117647058</v>
      </c>
      <c r="H9" s="703"/>
      <c r="I9" s="496">
        <f t="shared" si="0"/>
        <v>16.428571428571427</v>
      </c>
      <c r="J9" s="496">
        <f t="shared" si="1"/>
        <v>1350.5592895891095</v>
      </c>
      <c r="K9" s="194">
        <f t="shared" si="2"/>
        <v>82.287814175182135</v>
      </c>
      <c r="L9" s="645"/>
      <c r="M9" s="477">
        <f>RANK(K9, K$7:$K$21)</f>
        <v>9</v>
      </c>
      <c r="N9" s="663"/>
      <c r="O9" s="663"/>
      <c r="P9" s="524">
        <v>16</v>
      </c>
      <c r="Q9" s="477">
        <v>1321.2903225806454</v>
      </c>
      <c r="R9" s="477">
        <v>82.580645161290334</v>
      </c>
      <c r="S9" s="524">
        <f t="shared" si="3"/>
        <v>9</v>
      </c>
      <c r="T9" s="708"/>
      <c r="U9" s="524">
        <v>17</v>
      </c>
      <c r="V9" s="477">
        <v>1332.1428571428567</v>
      </c>
      <c r="W9" s="477">
        <v>78.3613445378151</v>
      </c>
      <c r="X9" s="524">
        <f t="shared" si="5"/>
        <v>9</v>
      </c>
      <c r="Y9" s="708"/>
      <c r="Z9" s="524">
        <v>16</v>
      </c>
      <c r="AA9" s="477">
        <v>1373.9240506329106</v>
      </c>
      <c r="AB9" s="477">
        <v>85.870253164556914</v>
      </c>
      <c r="AC9" s="524">
        <f t="shared" si="7"/>
        <v>9</v>
      </c>
      <c r="AD9" s="708"/>
      <c r="AE9" s="524">
        <v>16</v>
      </c>
      <c r="AF9" s="477">
        <v>1358.4374999999998</v>
      </c>
      <c r="AG9" s="477">
        <v>84.902343749999986</v>
      </c>
      <c r="AH9" s="524">
        <f t="shared" si="9"/>
        <v>9</v>
      </c>
      <c r="AI9" s="708"/>
      <c r="AJ9" s="524">
        <v>16</v>
      </c>
      <c r="AK9" s="477">
        <v>1359.705882352941</v>
      </c>
      <c r="AL9" s="477">
        <v>84.981617647058812</v>
      </c>
      <c r="AM9" s="524">
        <f t="shared" si="11"/>
        <v>9</v>
      </c>
      <c r="AN9" s="708"/>
      <c r="AO9" s="524">
        <v>17</v>
      </c>
      <c r="AP9" s="477">
        <v>1367.3333333333333</v>
      </c>
      <c r="AQ9" s="477">
        <v>80.431372549019599</v>
      </c>
      <c r="AR9" s="524">
        <f t="shared" si="13"/>
        <v>9</v>
      </c>
      <c r="AS9" s="708"/>
      <c r="AT9" s="523">
        <v>17</v>
      </c>
      <c r="AU9" s="525">
        <v>1341.081081081081</v>
      </c>
      <c r="AV9" s="525">
        <v>78.887122416534183</v>
      </c>
      <c r="AW9" s="524">
        <f t="shared" si="15"/>
        <v>9</v>
      </c>
      <c r="AX9" s="708"/>
      <c r="AZ9" s="358" t="e">
        <f t="shared" si="17"/>
        <v>#N/A</v>
      </c>
      <c r="BA9" s="708"/>
    </row>
    <row r="10" spans="1:53" ht="14.25">
      <c r="A10" s="81"/>
      <c r="B10" s="692"/>
      <c r="C10" s="495">
        <v>4</v>
      </c>
      <c r="D10" s="220" t="s">
        <v>381</v>
      </c>
      <c r="E10" s="518">
        <v>7</v>
      </c>
      <c r="F10" s="516">
        <v>1500</v>
      </c>
      <c r="G10" s="517">
        <v>214.28571428571428</v>
      </c>
      <c r="H10" s="703"/>
      <c r="I10" s="496">
        <f t="shared" si="0"/>
        <v>7</v>
      </c>
      <c r="J10" s="496">
        <f t="shared" si="1"/>
        <v>1472.205182738237</v>
      </c>
      <c r="K10" s="194">
        <f t="shared" si="2"/>
        <v>210.31502610546244</v>
      </c>
      <c r="L10" s="645"/>
      <c r="M10" s="477">
        <f>RANK(K10, K$7:$K$21)</f>
        <v>2</v>
      </c>
      <c r="N10" s="663"/>
      <c r="O10" s="663"/>
      <c r="P10" s="524">
        <v>7</v>
      </c>
      <c r="Q10" s="477">
        <v>1488.1818181818182</v>
      </c>
      <c r="R10" s="477">
        <v>212.59740259740261</v>
      </c>
      <c r="S10" s="524">
        <f t="shared" si="3"/>
        <v>1</v>
      </c>
      <c r="T10" s="708"/>
      <c r="U10" s="524">
        <v>7</v>
      </c>
      <c r="V10" s="477">
        <v>1479.6610169491528</v>
      </c>
      <c r="W10" s="477">
        <v>211.38014527845039</v>
      </c>
      <c r="X10" s="524">
        <f t="shared" si="5"/>
        <v>2</v>
      </c>
      <c r="Y10" s="708"/>
      <c r="Z10" s="524">
        <v>7</v>
      </c>
      <c r="AA10" s="477">
        <v>1461.4285714285716</v>
      </c>
      <c r="AB10" s="477">
        <v>208.77551020408166</v>
      </c>
      <c r="AC10" s="524">
        <f t="shared" si="7"/>
        <v>3</v>
      </c>
      <c r="AD10" s="708"/>
      <c r="AE10" s="524">
        <v>7</v>
      </c>
      <c r="AF10" s="477">
        <v>1452.7777777777776</v>
      </c>
      <c r="AG10" s="477">
        <v>207.5396825396825</v>
      </c>
      <c r="AH10" s="524">
        <f t="shared" si="9"/>
        <v>2</v>
      </c>
      <c r="AI10" s="708"/>
      <c r="AJ10" s="524">
        <v>7</v>
      </c>
      <c r="AK10" s="477">
        <v>1493.5714285714284</v>
      </c>
      <c r="AL10" s="477">
        <v>213.36734693877548</v>
      </c>
      <c r="AM10" s="524">
        <f t="shared" si="11"/>
        <v>1</v>
      </c>
      <c r="AN10" s="708"/>
      <c r="AO10" s="524">
        <v>7</v>
      </c>
      <c r="AP10" s="477">
        <v>1453.5099337748343</v>
      </c>
      <c r="AQ10" s="477">
        <v>207.64427625354776</v>
      </c>
      <c r="AR10" s="524">
        <f t="shared" si="13"/>
        <v>4</v>
      </c>
      <c r="AS10" s="708"/>
      <c r="AT10" s="523">
        <v>7</v>
      </c>
      <c r="AU10" s="525">
        <v>1476.3057324840763</v>
      </c>
      <c r="AV10" s="525">
        <v>210.90081892629661</v>
      </c>
      <c r="AW10" s="524">
        <f t="shared" si="15"/>
        <v>1</v>
      </c>
      <c r="AX10" s="708"/>
      <c r="AZ10" s="358" t="e">
        <f t="shared" si="17"/>
        <v>#N/A</v>
      </c>
      <c r="BA10" s="708"/>
    </row>
    <row r="11" spans="1:53" ht="14.25">
      <c r="A11" s="81"/>
      <c r="B11" s="692"/>
      <c r="C11" s="495">
        <v>5</v>
      </c>
      <c r="D11" s="220" t="s">
        <v>558</v>
      </c>
      <c r="E11" s="518">
        <v>12</v>
      </c>
      <c r="F11" s="516">
        <v>2000</v>
      </c>
      <c r="G11" s="517">
        <v>166.66666666666666</v>
      </c>
      <c r="H11" s="703"/>
      <c r="I11" s="496">
        <f t="shared" si="0"/>
        <v>12</v>
      </c>
      <c r="J11" s="496">
        <f t="shared" si="1"/>
        <v>1567.8129721272785</v>
      </c>
      <c r="K11" s="194">
        <f t="shared" si="2"/>
        <v>130.65108101060653</v>
      </c>
      <c r="L11" s="645"/>
      <c r="M11" s="477">
        <f>RANK(K11, K$7:$K$21)</f>
        <v>6</v>
      </c>
      <c r="N11" s="663"/>
      <c r="O11" s="663"/>
      <c r="P11" s="524">
        <v>12</v>
      </c>
      <c r="Q11" s="477">
        <v>1573.4634146341459</v>
      </c>
      <c r="R11" s="477">
        <v>131.12195121951217</v>
      </c>
      <c r="S11" s="524">
        <f t="shared" si="3"/>
        <v>6</v>
      </c>
      <c r="T11" s="708"/>
      <c r="U11" s="524">
        <v>12</v>
      </c>
      <c r="V11" s="477">
        <v>1537.1428571428567</v>
      </c>
      <c r="W11" s="477">
        <v>128.09523809523805</v>
      </c>
      <c r="X11" s="524">
        <f t="shared" si="5"/>
        <v>6</v>
      </c>
      <c r="Y11" s="708"/>
      <c r="Z11" s="524">
        <v>12</v>
      </c>
      <c r="AA11" s="477">
        <v>1594.4615384615377</v>
      </c>
      <c r="AB11" s="477">
        <v>132.8717948717948</v>
      </c>
      <c r="AC11" s="524">
        <f t="shared" si="7"/>
        <v>7</v>
      </c>
      <c r="AD11" s="708"/>
      <c r="AE11" s="524">
        <v>12</v>
      </c>
      <c r="AF11" s="477">
        <v>1556.2500000000018</v>
      </c>
      <c r="AG11" s="477">
        <v>129.68750000000014</v>
      </c>
      <c r="AH11" s="524">
        <f t="shared" si="9"/>
        <v>6</v>
      </c>
      <c r="AI11" s="708"/>
      <c r="AJ11" s="524">
        <v>12</v>
      </c>
      <c r="AK11" s="477">
        <v>1588.9411764705906</v>
      </c>
      <c r="AL11" s="477">
        <v>132.41176470588255</v>
      </c>
      <c r="AM11" s="524">
        <f t="shared" si="11"/>
        <v>6</v>
      </c>
      <c r="AN11" s="708"/>
      <c r="AO11" s="524">
        <v>12</v>
      </c>
      <c r="AP11" s="477">
        <v>1559.9999999999986</v>
      </c>
      <c r="AQ11" s="477">
        <v>129.99999999999989</v>
      </c>
      <c r="AR11" s="524">
        <f t="shared" si="13"/>
        <v>7</v>
      </c>
      <c r="AS11" s="708"/>
      <c r="AT11" s="523">
        <v>12</v>
      </c>
      <c r="AU11" s="525">
        <v>1564.4318181818182</v>
      </c>
      <c r="AV11" s="525">
        <v>130.36931818181819</v>
      </c>
      <c r="AW11" s="524">
        <f t="shared" si="15"/>
        <v>6</v>
      </c>
      <c r="AX11" s="708"/>
      <c r="AZ11" s="358" t="e">
        <f t="shared" si="17"/>
        <v>#N/A</v>
      </c>
      <c r="BA11" s="708"/>
    </row>
    <row r="12" spans="1:53" ht="14.25">
      <c r="A12" s="81"/>
      <c r="B12" s="692"/>
      <c r="C12" s="495">
        <v>6</v>
      </c>
      <c r="D12" s="220" t="s">
        <v>553</v>
      </c>
      <c r="E12" s="518">
        <v>7</v>
      </c>
      <c r="F12" s="516">
        <v>1500</v>
      </c>
      <c r="G12" s="517">
        <v>214.28571428571428</v>
      </c>
      <c r="H12" s="703"/>
      <c r="I12" s="496">
        <f t="shared" si="0"/>
        <v>7</v>
      </c>
      <c r="J12" s="496">
        <f t="shared" si="1"/>
        <v>1466.4836211736381</v>
      </c>
      <c r="K12" s="194">
        <f t="shared" si="2"/>
        <v>209.49766016766262</v>
      </c>
      <c r="L12" s="645"/>
      <c r="M12" s="477">
        <f>RANK(K12, K$7:$K$21)</f>
        <v>3</v>
      </c>
      <c r="N12" s="663"/>
      <c r="O12" s="663"/>
      <c r="P12" s="524">
        <v>7</v>
      </c>
      <c r="Q12" s="477">
        <v>1487.7966101694917</v>
      </c>
      <c r="R12" s="477">
        <v>212.54237288135596</v>
      </c>
      <c r="S12" s="524">
        <f t="shared" si="3"/>
        <v>2</v>
      </c>
      <c r="T12" s="708"/>
      <c r="U12" s="524">
        <v>7</v>
      </c>
      <c r="V12" s="477">
        <v>1455.2380952380959</v>
      </c>
      <c r="W12" s="477">
        <v>207.89115646258512</v>
      </c>
      <c r="X12" s="524">
        <f t="shared" si="5"/>
        <v>3</v>
      </c>
      <c r="Y12" s="708"/>
      <c r="Z12" s="524">
        <v>7</v>
      </c>
      <c r="AA12" s="477">
        <v>1463.4374999999995</v>
      </c>
      <c r="AB12" s="477">
        <v>209.06249999999994</v>
      </c>
      <c r="AC12" s="524">
        <f t="shared" si="7"/>
        <v>2</v>
      </c>
      <c r="AD12" s="708"/>
      <c r="AE12" s="524">
        <v>7</v>
      </c>
      <c r="AF12" s="477">
        <v>1442.7272727272727</v>
      </c>
      <c r="AG12" s="477">
        <v>206.10389610389612</v>
      </c>
      <c r="AH12" s="524">
        <f t="shared" si="9"/>
        <v>3</v>
      </c>
      <c r="AI12" s="708"/>
      <c r="AJ12" s="524">
        <v>7</v>
      </c>
      <c r="AK12" s="477">
        <v>1490.6666666666667</v>
      </c>
      <c r="AL12" s="477">
        <v>212.95238095238096</v>
      </c>
      <c r="AM12" s="524">
        <f t="shared" si="11"/>
        <v>2</v>
      </c>
      <c r="AN12" s="708"/>
      <c r="AO12" s="524">
        <v>7</v>
      </c>
      <c r="AP12" s="477">
        <v>1475.7894736842104</v>
      </c>
      <c r="AQ12" s="477">
        <v>210.82706766917292</v>
      </c>
      <c r="AR12" s="524">
        <f t="shared" si="13"/>
        <v>2</v>
      </c>
      <c r="AS12" s="708"/>
      <c r="AT12" s="523">
        <v>7</v>
      </c>
      <c r="AU12" s="525">
        <v>1449.7297297297303</v>
      </c>
      <c r="AV12" s="525">
        <v>207.10424710424718</v>
      </c>
      <c r="AW12" s="524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92"/>
      <c r="C13" s="495">
        <v>7</v>
      </c>
      <c r="D13" s="220" t="s">
        <v>582</v>
      </c>
      <c r="E13" s="518">
        <v>12</v>
      </c>
      <c r="F13" s="516">
        <v>2000</v>
      </c>
      <c r="G13" s="517">
        <v>166.66666666666666</v>
      </c>
      <c r="H13" s="703"/>
      <c r="I13" s="496">
        <f t="shared" si="0"/>
        <v>12</v>
      </c>
      <c r="J13" s="496">
        <f t="shared" si="1"/>
        <v>1522.1594081334019</v>
      </c>
      <c r="K13" s="194">
        <f t="shared" si="2"/>
        <v>126.84661734445015</v>
      </c>
      <c r="L13" s="645"/>
      <c r="M13" s="477">
        <f>RANK(K13, K$7:$K$21)</f>
        <v>7</v>
      </c>
      <c r="N13" s="663"/>
      <c r="O13" s="663"/>
      <c r="P13" s="524">
        <v>12</v>
      </c>
      <c r="Q13" s="477">
        <v>1495.1999999999996</v>
      </c>
      <c r="R13" s="477">
        <v>124.59999999999997</v>
      </c>
      <c r="S13" s="524">
        <f t="shared" si="3"/>
        <v>8</v>
      </c>
      <c r="T13" s="708"/>
      <c r="U13" s="524">
        <v>12</v>
      </c>
      <c r="V13" s="477">
        <v>1513.333333333333</v>
      </c>
      <c r="W13" s="477">
        <v>126.11111111111109</v>
      </c>
      <c r="X13" s="524">
        <f t="shared" si="5"/>
        <v>7</v>
      </c>
      <c r="Y13" s="708"/>
      <c r="Z13" s="524">
        <v>12</v>
      </c>
      <c r="AA13" s="477">
        <v>1513.4482758620693</v>
      </c>
      <c r="AB13" s="477">
        <v>126.12068965517244</v>
      </c>
      <c r="AC13" s="524">
        <f t="shared" si="7"/>
        <v>8</v>
      </c>
      <c r="AD13" s="708"/>
      <c r="AE13" s="524">
        <v>12</v>
      </c>
      <c r="AF13" s="477">
        <v>1530.4918032786879</v>
      </c>
      <c r="AG13" s="477">
        <v>127.54098360655733</v>
      </c>
      <c r="AH13" s="524">
        <f t="shared" si="9"/>
        <v>7</v>
      </c>
      <c r="AI13" s="708"/>
      <c r="AJ13" s="524">
        <v>12</v>
      </c>
      <c r="AK13" s="477">
        <v>1516.1194029850747</v>
      </c>
      <c r="AL13" s="477">
        <v>126.34328358208955</v>
      </c>
      <c r="AM13" s="524">
        <f t="shared" si="11"/>
        <v>7</v>
      </c>
      <c r="AN13" s="708"/>
      <c r="AO13" s="524">
        <v>12</v>
      </c>
      <c r="AP13" s="477">
        <v>1564.0714285714253</v>
      </c>
      <c r="AQ13" s="477">
        <v>130.33928571428544</v>
      </c>
      <c r="AR13" s="524">
        <f t="shared" si="13"/>
        <v>6</v>
      </c>
      <c r="AS13" s="708"/>
      <c r="AT13" s="523">
        <v>12</v>
      </c>
      <c r="AU13" s="525">
        <v>1522.4516129032236</v>
      </c>
      <c r="AV13" s="525">
        <v>126.8709677419353</v>
      </c>
      <c r="AW13" s="524">
        <f t="shared" si="15"/>
        <v>7</v>
      </c>
      <c r="AX13" s="708"/>
      <c r="AZ13" s="358" t="e">
        <f t="shared" si="17"/>
        <v>#N/A</v>
      </c>
      <c r="BA13" s="708"/>
    </row>
    <row r="14" spans="1:53" ht="14.25">
      <c r="A14" s="81"/>
      <c r="B14" s="692"/>
      <c r="C14" s="495">
        <v>8</v>
      </c>
      <c r="D14" s="220" t="s">
        <v>583</v>
      </c>
      <c r="E14" s="518">
        <v>12</v>
      </c>
      <c r="F14" s="516">
        <v>2000</v>
      </c>
      <c r="G14" s="517">
        <v>166.66666666666666</v>
      </c>
      <c r="H14" s="703"/>
      <c r="I14" s="496">
        <f t="shared" si="0"/>
        <v>11.285714285714286</v>
      </c>
      <c r="J14" s="496">
        <f t="shared" si="1"/>
        <v>1283.2514977282772</v>
      </c>
      <c r="K14" s="194">
        <f t="shared" si="2"/>
        <v>115.09900047206543</v>
      </c>
      <c r="L14" s="645"/>
      <c r="M14" s="477">
        <f>RANK(K14, K$7:$K$21)</f>
        <v>8</v>
      </c>
      <c r="N14" s="663"/>
      <c r="O14" s="663"/>
      <c r="P14" s="524">
        <v>10</v>
      </c>
      <c r="Q14" s="477">
        <v>1283.3333333333323</v>
      </c>
      <c r="R14" s="477">
        <v>128.33333333333323</v>
      </c>
      <c r="S14" s="524">
        <f t="shared" si="3"/>
        <v>7</v>
      </c>
      <c r="T14" s="708"/>
      <c r="U14" s="524">
        <v>12</v>
      </c>
      <c r="V14" s="477">
        <v>1285.2631578947357</v>
      </c>
      <c r="W14" s="477">
        <v>107.10526315789464</v>
      </c>
      <c r="X14" s="524">
        <f t="shared" si="5"/>
        <v>8</v>
      </c>
      <c r="Y14" s="708"/>
      <c r="Z14" s="524">
        <v>9</v>
      </c>
      <c r="AA14" s="477">
        <v>1286.6666666666656</v>
      </c>
      <c r="AB14" s="477">
        <v>142.96296296296285</v>
      </c>
      <c r="AC14" s="524">
        <f t="shared" si="7"/>
        <v>6</v>
      </c>
      <c r="AD14" s="708"/>
      <c r="AE14" s="524">
        <v>12</v>
      </c>
      <c r="AF14" s="477">
        <v>1325.4545454545455</v>
      </c>
      <c r="AG14" s="477">
        <v>110.45454545454545</v>
      </c>
      <c r="AH14" s="524">
        <f t="shared" si="9"/>
        <v>8</v>
      </c>
      <c r="AI14" s="708"/>
      <c r="AJ14" s="524">
        <v>12</v>
      </c>
      <c r="AK14" s="477">
        <v>1235.9999999999995</v>
      </c>
      <c r="AL14" s="477">
        <v>102.99999999999996</v>
      </c>
      <c r="AM14" s="524">
        <f t="shared" si="11"/>
        <v>8</v>
      </c>
      <c r="AN14" s="708"/>
      <c r="AO14" s="524">
        <v>12</v>
      </c>
      <c r="AP14" s="477">
        <v>1270.5882352941162</v>
      </c>
      <c r="AQ14" s="477">
        <v>105.88235294117635</v>
      </c>
      <c r="AR14" s="524">
        <f t="shared" si="13"/>
        <v>8</v>
      </c>
      <c r="AS14" s="708"/>
      <c r="AT14" s="523">
        <v>12</v>
      </c>
      <c r="AU14" s="525">
        <v>1295.4545454545455</v>
      </c>
      <c r="AV14" s="525">
        <v>107.95454545454545</v>
      </c>
      <c r="AW14" s="524">
        <f t="shared" si="15"/>
        <v>8</v>
      </c>
      <c r="AX14" s="708"/>
      <c r="AZ14" s="358" t="e">
        <f t="shared" si="17"/>
        <v>#N/A</v>
      </c>
      <c r="BA14" s="708"/>
    </row>
    <row r="15" spans="1:53" ht="14.25">
      <c r="A15" s="81"/>
      <c r="B15" s="692"/>
      <c r="C15" s="495">
        <v>9</v>
      </c>
      <c r="D15" s="220" t="s">
        <v>590</v>
      </c>
      <c r="E15" s="518">
        <v>7</v>
      </c>
      <c r="F15" s="516">
        <v>1500</v>
      </c>
      <c r="G15" s="517">
        <v>214.28571428571428</v>
      </c>
      <c r="H15" s="703"/>
      <c r="I15" s="496">
        <f t="shared" si="0"/>
        <v>7</v>
      </c>
      <c r="J15" s="496">
        <f t="shared" si="1"/>
        <v>1351.8318911772606</v>
      </c>
      <c r="K15" s="194">
        <f t="shared" si="2"/>
        <v>193.11884159675154</v>
      </c>
      <c r="L15" s="645"/>
      <c r="M15" s="477">
        <f>RANK(K15, K$7:$K$21)</f>
        <v>5</v>
      </c>
      <c r="N15" s="663"/>
      <c r="O15" s="663"/>
      <c r="P15" s="524">
        <v>7</v>
      </c>
      <c r="Q15" s="477">
        <v>1437.7777777777785</v>
      </c>
      <c r="R15" s="477">
        <v>205.39682539682551</v>
      </c>
      <c r="S15" s="524">
        <f t="shared" si="3"/>
        <v>5</v>
      </c>
      <c r="T15" s="708"/>
      <c r="U15" s="524">
        <v>7</v>
      </c>
      <c r="V15" s="477">
        <v>1442.0689655172425</v>
      </c>
      <c r="W15" s="477">
        <v>206.00985221674893</v>
      </c>
      <c r="X15" s="524">
        <f t="shared" si="5"/>
        <v>5</v>
      </c>
      <c r="Y15" s="708"/>
      <c r="Z15" s="524">
        <v>7</v>
      </c>
      <c r="AA15" s="477">
        <v>1457.7777777777785</v>
      </c>
      <c r="AB15" s="477">
        <v>208.25396825396837</v>
      </c>
      <c r="AC15" s="524">
        <f t="shared" si="7"/>
        <v>4</v>
      </c>
      <c r="AD15" s="708"/>
      <c r="AE15" s="524">
        <v>7</v>
      </c>
      <c r="AF15" s="477">
        <v>1222.8571428571424</v>
      </c>
      <c r="AG15" s="477">
        <v>174.69387755102034</v>
      </c>
      <c r="AH15" s="524">
        <f t="shared" si="9"/>
        <v>5</v>
      </c>
      <c r="AI15" s="708"/>
      <c r="AJ15" s="524">
        <v>7</v>
      </c>
      <c r="AK15" s="477">
        <v>1205.2173913043478</v>
      </c>
      <c r="AL15" s="477">
        <v>172.17391304347825</v>
      </c>
      <c r="AM15" s="524">
        <f t="shared" si="11"/>
        <v>5</v>
      </c>
      <c r="AN15" s="708"/>
      <c r="AO15" s="524">
        <v>7</v>
      </c>
      <c r="AP15" s="477">
        <v>1228.8888888888896</v>
      </c>
      <c r="AQ15" s="477">
        <v>175.55555555555566</v>
      </c>
      <c r="AR15" s="524">
        <f t="shared" si="13"/>
        <v>5</v>
      </c>
      <c r="AS15" s="708"/>
      <c r="AT15" s="523">
        <v>7</v>
      </c>
      <c r="AU15" s="525">
        <v>1468.2352941176453</v>
      </c>
      <c r="AV15" s="525">
        <v>209.7478991596636</v>
      </c>
      <c r="AW15" s="524">
        <f t="shared" si="15"/>
        <v>3</v>
      </c>
      <c r="AX15" s="708"/>
      <c r="AZ15" s="358" t="e">
        <f t="shared" si="17"/>
        <v>#N/A</v>
      </c>
      <c r="BA15" s="708"/>
    </row>
    <row r="16" spans="1:53" ht="14.25">
      <c r="A16" s="81"/>
      <c r="B16" s="692"/>
      <c r="C16" s="495">
        <v>10</v>
      </c>
      <c r="D16" s="220" t="s">
        <v>735</v>
      </c>
      <c r="E16" s="518">
        <v>19</v>
      </c>
      <c r="F16" s="516">
        <v>1200</v>
      </c>
      <c r="G16" s="517">
        <v>63.157894736842103</v>
      </c>
      <c r="H16" s="703"/>
      <c r="I16" s="496">
        <f t="shared" si="0"/>
        <v>19</v>
      </c>
      <c r="J16" s="496">
        <f t="shared" si="1"/>
        <v>1145.7216934029329</v>
      </c>
      <c r="K16" s="194">
        <f t="shared" si="2"/>
        <v>60.301141758049098</v>
      </c>
      <c r="L16" s="645"/>
      <c r="M16" s="477">
        <f>RANK(K16, K$7:$K$21)</f>
        <v>10</v>
      </c>
      <c r="N16" s="663"/>
      <c r="O16" s="663"/>
      <c r="P16" s="524">
        <v>19</v>
      </c>
      <c r="Q16" s="477">
        <v>1114.8837209302324</v>
      </c>
      <c r="R16" s="477">
        <v>58.678090575275384</v>
      </c>
      <c r="S16" s="524">
        <f t="shared" si="3"/>
        <v>10</v>
      </c>
      <c r="T16" s="708"/>
      <c r="U16" s="524">
        <v>19</v>
      </c>
      <c r="V16" s="477">
        <v>1151.4999999999995</v>
      </c>
      <c r="W16" s="477">
        <v>60.605263157894711</v>
      </c>
      <c r="X16" s="524">
        <f t="shared" si="5"/>
        <v>10</v>
      </c>
      <c r="Y16" s="708"/>
      <c r="Z16" s="524">
        <v>19</v>
      </c>
      <c r="AA16" s="477">
        <v>1145.5045871559639</v>
      </c>
      <c r="AB16" s="477">
        <v>60.289715113471786</v>
      </c>
      <c r="AC16" s="524">
        <f t="shared" si="7"/>
        <v>10</v>
      </c>
      <c r="AD16" s="708"/>
      <c r="AE16" s="524">
        <v>19</v>
      </c>
      <c r="AF16" s="477">
        <v>1147.3469387755104</v>
      </c>
      <c r="AG16" s="477">
        <v>60.386680988184757</v>
      </c>
      <c r="AH16" s="524">
        <f t="shared" si="9"/>
        <v>10</v>
      </c>
      <c r="AI16" s="708"/>
      <c r="AJ16" s="524">
        <v>19</v>
      </c>
      <c r="AK16" s="477">
        <v>1122.857142857144</v>
      </c>
      <c r="AL16" s="477">
        <v>59.097744360902318</v>
      </c>
      <c r="AM16" s="524">
        <f t="shared" si="11"/>
        <v>10</v>
      </c>
      <c r="AN16" s="708"/>
      <c r="AO16" s="524">
        <v>19</v>
      </c>
      <c r="AP16" s="477">
        <v>1153.1707317073151</v>
      </c>
      <c r="AQ16" s="477">
        <v>60.693196405648166</v>
      </c>
      <c r="AR16" s="524">
        <f t="shared" si="13"/>
        <v>10</v>
      </c>
      <c r="AS16" s="708"/>
      <c r="AT16" s="523">
        <v>19</v>
      </c>
      <c r="AU16" s="525">
        <v>1184.7887323943651</v>
      </c>
      <c r="AV16" s="525">
        <v>62.357301704966581</v>
      </c>
      <c r="AW16" s="524">
        <f t="shared" si="15"/>
        <v>10</v>
      </c>
      <c r="AX16" s="708"/>
      <c r="AZ16" s="358" t="e">
        <f t="shared" si="17"/>
        <v>#N/A</v>
      </c>
      <c r="BA16" s="708"/>
    </row>
    <row r="17" spans="2:53">
      <c r="B17" s="692"/>
      <c r="C17" s="495">
        <v>11</v>
      </c>
      <c r="D17" s="220"/>
      <c r="E17" s="518"/>
      <c r="F17" s="516"/>
      <c r="G17" s="517"/>
      <c r="H17" s="703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45"/>
      <c r="M17" s="477" t="e">
        <f>RANK(K17, K$7:$K$21)</f>
        <v>#VALUE!</v>
      </c>
      <c r="N17" s="663"/>
      <c r="O17" s="663"/>
      <c r="P17" s="524" t="s">
        <v>564</v>
      </c>
      <c r="Q17" s="477" t="s">
        <v>564</v>
      </c>
      <c r="R17" s="477" t="s">
        <v>564</v>
      </c>
      <c r="S17" s="524" t="e">
        <f t="shared" si="3"/>
        <v>#VALUE!</v>
      </c>
      <c r="T17" s="708"/>
      <c r="U17" s="524" t="s">
        <v>564</v>
      </c>
      <c r="V17" s="477" t="s">
        <v>564</v>
      </c>
      <c r="W17" s="477" t="s">
        <v>564</v>
      </c>
      <c r="X17" s="524" t="e">
        <f t="shared" si="5"/>
        <v>#VALUE!</v>
      </c>
      <c r="Y17" s="708"/>
      <c r="Z17" s="524" t="s">
        <v>564</v>
      </c>
      <c r="AA17" s="477" t="s">
        <v>564</v>
      </c>
      <c r="AB17" s="477" t="s">
        <v>564</v>
      </c>
      <c r="AC17" s="524" t="e">
        <f t="shared" si="7"/>
        <v>#VALUE!</v>
      </c>
      <c r="AD17" s="708"/>
      <c r="AE17" s="524" t="s">
        <v>564</v>
      </c>
      <c r="AF17" s="477" t="s">
        <v>564</v>
      </c>
      <c r="AG17" s="477" t="s">
        <v>564</v>
      </c>
      <c r="AH17" s="524" t="e">
        <f t="shared" si="9"/>
        <v>#VALUE!</v>
      </c>
      <c r="AI17" s="708"/>
      <c r="AJ17" s="524" t="s">
        <v>564</v>
      </c>
      <c r="AK17" s="477" t="s">
        <v>564</v>
      </c>
      <c r="AL17" s="477" t="s">
        <v>564</v>
      </c>
      <c r="AM17" s="524" t="e">
        <f t="shared" si="11"/>
        <v>#VALUE!</v>
      </c>
      <c r="AN17" s="708"/>
      <c r="AO17" s="524" t="s">
        <v>564</v>
      </c>
      <c r="AP17" s="477" t="s">
        <v>564</v>
      </c>
      <c r="AQ17" s="477" t="s">
        <v>564</v>
      </c>
      <c r="AR17" s="524" t="e">
        <f t="shared" si="13"/>
        <v>#VALUE!</v>
      </c>
      <c r="AS17" s="708"/>
      <c r="AT17" s="523" t="s">
        <v>564</v>
      </c>
      <c r="AU17" s="525" t="s">
        <v>564</v>
      </c>
      <c r="AV17" s="525" t="s">
        <v>564</v>
      </c>
      <c r="AW17" s="524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92"/>
      <c r="C18" s="495">
        <v>12</v>
      </c>
      <c r="D18" s="220"/>
      <c r="E18" s="518"/>
      <c r="F18" s="516"/>
      <c r="G18" s="517"/>
      <c r="H18" s="703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45"/>
      <c r="M18" s="477" t="e">
        <f>RANK(K18, K$7:$K$21)</f>
        <v>#VALUE!</v>
      </c>
      <c r="N18" s="663"/>
      <c r="O18" s="663"/>
      <c r="P18" s="524" t="s">
        <v>564</v>
      </c>
      <c r="Q18" s="477" t="s">
        <v>564</v>
      </c>
      <c r="R18" s="477" t="s">
        <v>564</v>
      </c>
      <c r="S18" s="524" t="e">
        <f t="shared" si="3"/>
        <v>#VALUE!</v>
      </c>
      <c r="T18" s="708"/>
      <c r="U18" s="524" t="s">
        <v>564</v>
      </c>
      <c r="V18" s="477" t="s">
        <v>564</v>
      </c>
      <c r="W18" s="477" t="s">
        <v>564</v>
      </c>
      <c r="X18" s="524" t="e">
        <f t="shared" si="5"/>
        <v>#VALUE!</v>
      </c>
      <c r="Y18" s="708"/>
      <c r="Z18" s="524" t="s">
        <v>564</v>
      </c>
      <c r="AA18" s="477" t="s">
        <v>564</v>
      </c>
      <c r="AB18" s="477" t="s">
        <v>564</v>
      </c>
      <c r="AC18" s="524" t="e">
        <f t="shared" si="7"/>
        <v>#VALUE!</v>
      </c>
      <c r="AD18" s="708"/>
      <c r="AE18" s="524" t="s">
        <v>564</v>
      </c>
      <c r="AF18" s="477" t="s">
        <v>564</v>
      </c>
      <c r="AG18" s="477" t="s">
        <v>564</v>
      </c>
      <c r="AH18" s="524" t="e">
        <f t="shared" si="9"/>
        <v>#VALUE!</v>
      </c>
      <c r="AI18" s="708"/>
      <c r="AJ18" s="524" t="s">
        <v>564</v>
      </c>
      <c r="AK18" s="477" t="s">
        <v>564</v>
      </c>
      <c r="AL18" s="477" t="s">
        <v>564</v>
      </c>
      <c r="AM18" s="524" t="e">
        <f t="shared" si="11"/>
        <v>#VALUE!</v>
      </c>
      <c r="AN18" s="708"/>
      <c r="AO18" s="524" t="s">
        <v>564</v>
      </c>
      <c r="AP18" s="477" t="s">
        <v>564</v>
      </c>
      <c r="AQ18" s="477" t="s">
        <v>564</v>
      </c>
      <c r="AR18" s="524" t="e">
        <f t="shared" si="13"/>
        <v>#VALUE!</v>
      </c>
      <c r="AS18" s="708"/>
      <c r="AT18" s="523" t="s">
        <v>564</v>
      </c>
      <c r="AU18" s="525" t="s">
        <v>564</v>
      </c>
      <c r="AV18" s="525" t="s">
        <v>564</v>
      </c>
      <c r="AW18" s="524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92"/>
      <c r="C19" s="495">
        <v>13</v>
      </c>
      <c r="D19" s="220"/>
      <c r="E19" s="518"/>
      <c r="F19" s="516"/>
      <c r="G19" s="517"/>
      <c r="H19" s="703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45"/>
      <c r="M19" s="477" t="e">
        <f>RANK(K19, K$7:$K$21)</f>
        <v>#VALUE!</v>
      </c>
      <c r="N19" s="663"/>
      <c r="O19" s="663"/>
      <c r="P19" s="524" t="s">
        <v>564</v>
      </c>
      <c r="Q19" s="477" t="s">
        <v>564</v>
      </c>
      <c r="R19" s="477" t="s">
        <v>564</v>
      </c>
      <c r="S19" s="524" t="e">
        <f t="shared" si="3"/>
        <v>#VALUE!</v>
      </c>
      <c r="T19" s="708"/>
      <c r="U19" s="524" t="s">
        <v>564</v>
      </c>
      <c r="V19" s="477" t="s">
        <v>564</v>
      </c>
      <c r="W19" s="477" t="s">
        <v>564</v>
      </c>
      <c r="X19" s="524" t="e">
        <f t="shared" si="5"/>
        <v>#VALUE!</v>
      </c>
      <c r="Y19" s="708"/>
      <c r="Z19" s="524" t="s">
        <v>564</v>
      </c>
      <c r="AA19" s="477" t="s">
        <v>564</v>
      </c>
      <c r="AB19" s="477" t="s">
        <v>564</v>
      </c>
      <c r="AC19" s="524" t="e">
        <f t="shared" si="7"/>
        <v>#VALUE!</v>
      </c>
      <c r="AD19" s="708"/>
      <c r="AE19" s="524" t="s">
        <v>564</v>
      </c>
      <c r="AF19" s="477" t="s">
        <v>564</v>
      </c>
      <c r="AG19" s="477" t="s">
        <v>564</v>
      </c>
      <c r="AH19" s="524" t="e">
        <f t="shared" si="9"/>
        <v>#VALUE!</v>
      </c>
      <c r="AI19" s="708"/>
      <c r="AJ19" s="524" t="s">
        <v>564</v>
      </c>
      <c r="AK19" s="477" t="s">
        <v>564</v>
      </c>
      <c r="AL19" s="477" t="s">
        <v>564</v>
      </c>
      <c r="AM19" s="524" t="e">
        <f t="shared" si="11"/>
        <v>#VALUE!</v>
      </c>
      <c r="AN19" s="708"/>
      <c r="AO19" s="524" t="s">
        <v>564</v>
      </c>
      <c r="AP19" s="477" t="s">
        <v>564</v>
      </c>
      <c r="AQ19" s="477" t="s">
        <v>564</v>
      </c>
      <c r="AR19" s="524" t="e">
        <f t="shared" si="13"/>
        <v>#VALUE!</v>
      </c>
      <c r="AS19" s="708"/>
      <c r="AT19" s="523" t="s">
        <v>564</v>
      </c>
      <c r="AU19" s="525" t="s">
        <v>564</v>
      </c>
      <c r="AV19" s="525" t="s">
        <v>564</v>
      </c>
      <c r="AW19" s="524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92"/>
      <c r="C20" s="495">
        <v>14</v>
      </c>
      <c r="D20" s="220"/>
      <c r="E20" s="518"/>
      <c r="F20" s="516"/>
      <c r="G20" s="517"/>
      <c r="H20" s="703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45"/>
      <c r="M20" s="477" t="e">
        <f>RANK(K20, K$7:$K$21)</f>
        <v>#VALUE!</v>
      </c>
      <c r="N20" s="663"/>
      <c r="O20" s="663"/>
      <c r="P20" s="524" t="s">
        <v>564</v>
      </c>
      <c r="Q20" s="477" t="s">
        <v>564</v>
      </c>
      <c r="R20" s="477" t="s">
        <v>564</v>
      </c>
      <c r="S20" s="524" t="e">
        <f t="shared" si="3"/>
        <v>#VALUE!</v>
      </c>
      <c r="T20" s="708"/>
      <c r="U20" s="524" t="s">
        <v>564</v>
      </c>
      <c r="V20" s="477" t="s">
        <v>564</v>
      </c>
      <c r="W20" s="477" t="s">
        <v>564</v>
      </c>
      <c r="X20" s="524" t="e">
        <f t="shared" si="5"/>
        <v>#VALUE!</v>
      </c>
      <c r="Y20" s="708"/>
      <c r="Z20" s="524" t="s">
        <v>564</v>
      </c>
      <c r="AA20" s="477" t="s">
        <v>564</v>
      </c>
      <c r="AB20" s="477" t="s">
        <v>564</v>
      </c>
      <c r="AC20" s="524" t="e">
        <f t="shared" si="7"/>
        <v>#VALUE!</v>
      </c>
      <c r="AD20" s="708"/>
      <c r="AE20" s="524" t="s">
        <v>564</v>
      </c>
      <c r="AF20" s="477" t="s">
        <v>564</v>
      </c>
      <c r="AG20" s="477" t="s">
        <v>564</v>
      </c>
      <c r="AH20" s="524" t="e">
        <f t="shared" si="9"/>
        <v>#VALUE!</v>
      </c>
      <c r="AI20" s="708"/>
      <c r="AJ20" s="524" t="s">
        <v>564</v>
      </c>
      <c r="AK20" s="477" t="s">
        <v>564</v>
      </c>
      <c r="AL20" s="477" t="s">
        <v>564</v>
      </c>
      <c r="AM20" s="524" t="e">
        <f t="shared" si="11"/>
        <v>#VALUE!</v>
      </c>
      <c r="AN20" s="708"/>
      <c r="AO20" s="524" t="s">
        <v>564</v>
      </c>
      <c r="AP20" s="477" t="s">
        <v>564</v>
      </c>
      <c r="AQ20" s="477" t="s">
        <v>564</v>
      </c>
      <c r="AR20" s="524" t="e">
        <f t="shared" si="13"/>
        <v>#VALUE!</v>
      </c>
      <c r="AS20" s="708"/>
      <c r="AT20" s="523" t="s">
        <v>564</v>
      </c>
      <c r="AU20" s="525" t="s">
        <v>564</v>
      </c>
      <c r="AV20" s="525" t="s">
        <v>564</v>
      </c>
      <c r="AW20" s="524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92"/>
      <c r="C21" s="495">
        <v>15</v>
      </c>
      <c r="D21" s="220"/>
      <c r="E21" s="518"/>
      <c r="F21" s="516"/>
      <c r="G21" s="517"/>
      <c r="H21" s="707"/>
      <c r="I21" s="495"/>
      <c r="J21" s="495"/>
      <c r="K21" s="495"/>
      <c r="L21" s="646"/>
      <c r="M21" s="477" t="e">
        <f>RANK(K21, K$7:$K$21)</f>
        <v>#N/A</v>
      </c>
      <c r="N21" s="663"/>
      <c r="O21" s="663"/>
      <c r="P21" s="524" t="s">
        <v>564</v>
      </c>
      <c r="Q21" s="477" t="s">
        <v>564</v>
      </c>
      <c r="R21" s="477" t="s">
        <v>564</v>
      </c>
      <c r="S21" s="524" t="e">
        <f t="shared" si="3"/>
        <v>#VALUE!</v>
      </c>
      <c r="T21" s="708"/>
      <c r="U21" s="524" t="s">
        <v>564</v>
      </c>
      <c r="V21" s="477" t="s">
        <v>564</v>
      </c>
      <c r="W21" s="477" t="s">
        <v>564</v>
      </c>
      <c r="X21" s="524" t="e">
        <f t="shared" si="5"/>
        <v>#VALUE!</v>
      </c>
      <c r="Y21" s="708"/>
      <c r="Z21" s="524" t="s">
        <v>564</v>
      </c>
      <c r="AA21" s="477" t="s">
        <v>564</v>
      </c>
      <c r="AB21" s="477" t="s">
        <v>564</v>
      </c>
      <c r="AC21" s="524" t="e">
        <f t="shared" si="7"/>
        <v>#VALUE!</v>
      </c>
      <c r="AD21" s="708"/>
      <c r="AE21" s="524" t="s">
        <v>564</v>
      </c>
      <c r="AF21" s="477" t="s">
        <v>564</v>
      </c>
      <c r="AG21" s="477" t="s">
        <v>564</v>
      </c>
      <c r="AH21" s="524" t="e">
        <f t="shared" si="9"/>
        <v>#VALUE!</v>
      </c>
      <c r="AI21" s="708"/>
      <c r="AJ21" s="524" t="s">
        <v>564</v>
      </c>
      <c r="AK21" s="477" t="s">
        <v>564</v>
      </c>
      <c r="AL21" s="477" t="s">
        <v>564</v>
      </c>
      <c r="AM21" s="524" t="e">
        <f t="shared" si="11"/>
        <v>#VALUE!</v>
      </c>
      <c r="AN21" s="708"/>
      <c r="AO21" s="524" t="s">
        <v>564</v>
      </c>
      <c r="AP21" s="477" t="s">
        <v>564</v>
      </c>
      <c r="AQ21" s="477" t="s">
        <v>564</v>
      </c>
      <c r="AR21" s="524" t="e">
        <f t="shared" si="13"/>
        <v>#VALUE!</v>
      </c>
      <c r="AS21" s="708"/>
      <c r="AT21" s="523" t="s">
        <v>564</v>
      </c>
      <c r="AU21" s="525" t="s">
        <v>564</v>
      </c>
      <c r="AV21" s="525" t="s">
        <v>564</v>
      </c>
      <c r="AW21" s="524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89" t="s">
        <v>162</v>
      </c>
      <c r="C22" s="690"/>
      <c r="D22" s="690"/>
      <c r="E22" s="690"/>
      <c r="F22" s="690"/>
      <c r="G22" s="690"/>
      <c r="H22" s="690"/>
      <c r="I22" s="197"/>
      <c r="J22" s="197"/>
      <c r="K22" s="197"/>
      <c r="L22" s="197"/>
      <c r="M22" s="198"/>
      <c r="N22" s="664" t="s">
        <v>156</v>
      </c>
      <c r="O22" s="664" t="s">
        <v>105</v>
      </c>
      <c r="P22" s="670">
        <f>P2+7</f>
        <v>46273</v>
      </c>
      <c r="Q22" s="671"/>
      <c r="R22" s="671"/>
      <c r="S22" s="671"/>
      <c r="T22" s="671"/>
      <c r="U22" s="667">
        <f>P22+1</f>
        <v>46274</v>
      </c>
      <c r="V22" s="668"/>
      <c r="W22" s="668"/>
      <c r="X22" s="668"/>
      <c r="Y22" s="669"/>
      <c r="Z22" s="667">
        <f>U22+1</f>
        <v>46275</v>
      </c>
      <c r="AA22" s="668"/>
      <c r="AB22" s="668"/>
      <c r="AC22" s="668"/>
      <c r="AD22" s="669"/>
      <c r="AE22" s="667">
        <f>Z22+1</f>
        <v>46276</v>
      </c>
      <c r="AF22" s="668"/>
      <c r="AG22" s="668"/>
      <c r="AH22" s="668"/>
      <c r="AI22" s="669"/>
      <c r="AJ22" s="667">
        <f>AE22+1</f>
        <v>46277</v>
      </c>
      <c r="AK22" s="668"/>
      <c r="AL22" s="668"/>
      <c r="AM22" s="668"/>
      <c r="AN22" s="669"/>
      <c r="AO22" s="667">
        <f>AJ22+1</f>
        <v>46278</v>
      </c>
      <c r="AP22" s="668"/>
      <c r="AQ22" s="668"/>
      <c r="AR22" s="668"/>
      <c r="AS22" s="669"/>
      <c r="AT22" s="667">
        <f>AO22+1</f>
        <v>46279</v>
      </c>
      <c r="AU22" s="668"/>
      <c r="AV22" s="668"/>
      <c r="AW22" s="668"/>
      <c r="AX22" s="669"/>
    </row>
    <row r="23" spans="2:53" ht="15.75">
      <c r="B23" s="678"/>
      <c r="C23" s="678"/>
      <c r="D23" s="678"/>
      <c r="E23" s="678"/>
      <c r="F23" s="678"/>
      <c r="G23" s="678"/>
      <c r="H23" s="678"/>
      <c r="I23" s="199"/>
      <c r="J23" s="199"/>
      <c r="K23" s="199"/>
      <c r="L23" s="199"/>
      <c r="M23" s="200"/>
      <c r="N23" s="666"/>
      <c r="O23" s="666"/>
      <c r="P23" s="670" t="s">
        <v>317</v>
      </c>
      <c r="Q23" s="671"/>
      <c r="R23" s="671"/>
      <c r="S23" s="671"/>
      <c r="T23" s="671"/>
      <c r="U23" s="670" t="s">
        <v>318</v>
      </c>
      <c r="V23" s="671"/>
      <c r="W23" s="671"/>
      <c r="X23" s="671"/>
      <c r="Y23" s="671"/>
      <c r="Z23" s="670" t="s">
        <v>319</v>
      </c>
      <c r="AA23" s="671"/>
      <c r="AB23" s="671"/>
      <c r="AC23" s="671"/>
      <c r="AD23" s="671"/>
      <c r="AE23" s="670" t="s">
        <v>320</v>
      </c>
      <c r="AF23" s="671"/>
      <c r="AG23" s="671"/>
      <c r="AH23" s="671"/>
      <c r="AI23" s="671"/>
      <c r="AJ23" s="670" t="s">
        <v>321</v>
      </c>
      <c r="AK23" s="671"/>
      <c r="AL23" s="671"/>
      <c r="AM23" s="671"/>
      <c r="AN23" s="671"/>
      <c r="AO23" s="670" t="s">
        <v>322</v>
      </c>
      <c r="AP23" s="671"/>
      <c r="AQ23" s="671"/>
      <c r="AR23" s="671"/>
      <c r="AS23" s="671"/>
      <c r="AT23" s="670" t="s">
        <v>323</v>
      </c>
      <c r="AU23" s="671"/>
      <c r="AV23" s="671"/>
      <c r="AW23" s="671"/>
      <c r="AX23" s="671"/>
    </row>
    <row r="24" spans="2:53">
      <c r="B24" s="663" t="s">
        <v>434</v>
      </c>
      <c r="C24" s="663" t="s">
        <v>523</v>
      </c>
      <c r="D24" s="663"/>
      <c r="E24" s="663" t="s">
        <v>524</v>
      </c>
      <c r="F24" s="663"/>
      <c r="G24" s="663"/>
      <c r="H24" s="679" t="s">
        <v>525</v>
      </c>
      <c r="I24" s="663" t="s">
        <v>526</v>
      </c>
      <c r="J24" s="663"/>
      <c r="K24" s="663"/>
      <c r="L24" s="679" t="s">
        <v>359</v>
      </c>
      <c r="M24" s="664" t="s">
        <v>527</v>
      </c>
      <c r="N24" s="663"/>
      <c r="O24" s="663" t="s">
        <v>365</v>
      </c>
      <c r="P24" s="660" t="s">
        <v>361</v>
      </c>
      <c r="Q24" s="661"/>
      <c r="R24" s="661"/>
      <c r="S24" s="662"/>
      <c r="T24" s="663" t="s">
        <v>359</v>
      </c>
      <c r="U24" s="660" t="s">
        <v>361</v>
      </c>
      <c r="V24" s="661"/>
      <c r="W24" s="661"/>
      <c r="X24" s="662"/>
      <c r="Y24" s="663" t="s">
        <v>359</v>
      </c>
      <c r="Z24" s="660" t="s">
        <v>361</v>
      </c>
      <c r="AA24" s="661"/>
      <c r="AB24" s="661"/>
      <c r="AC24" s="662"/>
      <c r="AD24" s="663" t="s">
        <v>359</v>
      </c>
      <c r="AE24" s="660" t="s">
        <v>361</v>
      </c>
      <c r="AF24" s="661"/>
      <c r="AG24" s="661"/>
      <c r="AH24" s="662"/>
      <c r="AI24" s="663" t="s">
        <v>359</v>
      </c>
      <c r="AJ24" s="660" t="s">
        <v>361</v>
      </c>
      <c r="AK24" s="661"/>
      <c r="AL24" s="661"/>
      <c r="AM24" s="662"/>
      <c r="AN24" s="663" t="s">
        <v>359</v>
      </c>
      <c r="AO24" s="660" t="s">
        <v>361</v>
      </c>
      <c r="AP24" s="661"/>
      <c r="AQ24" s="661"/>
      <c r="AR24" s="662"/>
      <c r="AS24" s="663" t="s">
        <v>359</v>
      </c>
      <c r="AT24" s="660" t="s">
        <v>361</v>
      </c>
      <c r="AU24" s="661"/>
      <c r="AV24" s="661"/>
      <c r="AW24" s="662"/>
      <c r="AX24" s="663" t="s">
        <v>359</v>
      </c>
      <c r="BA24" s="663" t="s">
        <v>359</v>
      </c>
    </row>
    <row r="25" spans="2:53">
      <c r="B25" s="663"/>
      <c r="C25" s="663"/>
      <c r="D25" s="663"/>
      <c r="E25" s="663" t="s">
        <v>529</v>
      </c>
      <c r="F25" s="663"/>
      <c r="G25" s="663"/>
      <c r="H25" s="680"/>
      <c r="I25" s="663" t="s">
        <v>529</v>
      </c>
      <c r="J25" s="663"/>
      <c r="K25" s="663"/>
      <c r="L25" s="680"/>
      <c r="M25" s="665"/>
      <c r="N25" s="663"/>
      <c r="O25" s="663"/>
      <c r="P25" s="660" t="s">
        <v>367</v>
      </c>
      <c r="Q25" s="661"/>
      <c r="R25" s="661"/>
      <c r="S25" s="662"/>
      <c r="T25" s="663"/>
      <c r="U25" s="660" t="s">
        <v>367</v>
      </c>
      <c r="V25" s="661"/>
      <c r="W25" s="661"/>
      <c r="X25" s="662"/>
      <c r="Y25" s="663"/>
      <c r="Z25" s="660" t="s">
        <v>367</v>
      </c>
      <c r="AA25" s="661"/>
      <c r="AB25" s="661"/>
      <c r="AC25" s="662"/>
      <c r="AD25" s="663"/>
      <c r="AE25" s="660" t="s">
        <v>367</v>
      </c>
      <c r="AF25" s="661"/>
      <c r="AG25" s="661"/>
      <c r="AH25" s="662"/>
      <c r="AI25" s="663"/>
      <c r="AJ25" s="660" t="s">
        <v>367</v>
      </c>
      <c r="AK25" s="661"/>
      <c r="AL25" s="661"/>
      <c r="AM25" s="662"/>
      <c r="AN25" s="663"/>
      <c r="AO25" s="660" t="s">
        <v>367</v>
      </c>
      <c r="AP25" s="661"/>
      <c r="AQ25" s="661"/>
      <c r="AR25" s="662"/>
      <c r="AS25" s="663"/>
      <c r="AT25" s="660" t="s">
        <v>367</v>
      </c>
      <c r="AU25" s="661"/>
      <c r="AV25" s="661"/>
      <c r="AW25" s="662"/>
      <c r="AX25" s="663"/>
      <c r="BA25" s="663"/>
    </row>
    <row r="26" spans="2:53">
      <c r="B26" s="663"/>
      <c r="C26" s="663"/>
      <c r="D26" s="663"/>
      <c r="E26" s="367" t="s">
        <v>530</v>
      </c>
      <c r="F26" s="367" t="s">
        <v>531</v>
      </c>
      <c r="G26" s="367" t="s">
        <v>532</v>
      </c>
      <c r="H26" s="681"/>
      <c r="I26" s="367" t="s">
        <v>530</v>
      </c>
      <c r="J26" s="367" t="s">
        <v>531</v>
      </c>
      <c r="K26" s="367" t="s">
        <v>532</v>
      </c>
      <c r="L26" s="681"/>
      <c r="M26" s="666"/>
      <c r="N26" s="663"/>
      <c r="O26" s="663"/>
      <c r="P26" s="367" t="s">
        <v>368</v>
      </c>
      <c r="Q26" s="367" t="s">
        <v>369</v>
      </c>
      <c r="R26" s="367" t="s">
        <v>370</v>
      </c>
      <c r="S26" s="367" t="s">
        <v>360</v>
      </c>
      <c r="T26" s="663"/>
      <c r="U26" s="367" t="s">
        <v>368</v>
      </c>
      <c r="V26" s="367" t="s">
        <v>369</v>
      </c>
      <c r="W26" s="367" t="s">
        <v>370</v>
      </c>
      <c r="X26" s="367" t="s">
        <v>360</v>
      </c>
      <c r="Y26" s="663"/>
      <c r="Z26" s="367" t="s">
        <v>368</v>
      </c>
      <c r="AA26" s="367" t="s">
        <v>369</v>
      </c>
      <c r="AB26" s="367" t="s">
        <v>370</v>
      </c>
      <c r="AC26" s="367" t="s">
        <v>360</v>
      </c>
      <c r="AD26" s="663"/>
      <c r="AE26" s="367" t="s">
        <v>368</v>
      </c>
      <c r="AF26" s="367" t="s">
        <v>369</v>
      </c>
      <c r="AG26" s="367" t="s">
        <v>370</v>
      </c>
      <c r="AH26" s="367" t="s">
        <v>360</v>
      </c>
      <c r="AI26" s="663"/>
      <c r="AJ26" s="367" t="s">
        <v>368</v>
      </c>
      <c r="AK26" s="367" t="s">
        <v>369</v>
      </c>
      <c r="AL26" s="367" t="s">
        <v>370</v>
      </c>
      <c r="AM26" s="367" t="s">
        <v>360</v>
      </c>
      <c r="AN26" s="663"/>
      <c r="AO26" s="367" t="s">
        <v>368</v>
      </c>
      <c r="AP26" s="367" t="s">
        <v>369</v>
      </c>
      <c r="AQ26" s="367" t="s">
        <v>370</v>
      </c>
      <c r="AR26" s="367" t="s">
        <v>360</v>
      </c>
      <c r="AS26" s="663"/>
      <c r="AT26" s="367" t="s">
        <v>368</v>
      </c>
      <c r="AU26" s="367" t="s">
        <v>369</v>
      </c>
      <c r="AV26" s="367" t="s">
        <v>370</v>
      </c>
      <c r="AW26" s="367" t="s">
        <v>360</v>
      </c>
      <c r="AX26" s="663"/>
      <c r="AZ26" s="356" t="s">
        <v>360</v>
      </c>
      <c r="BA26" s="663"/>
    </row>
    <row r="27" spans="2:53">
      <c r="B27" s="663" t="s">
        <v>435</v>
      </c>
      <c r="C27" s="369">
        <v>1</v>
      </c>
      <c r="D27" s="220" t="s">
        <v>348</v>
      </c>
      <c r="E27" s="518">
        <v>7</v>
      </c>
      <c r="F27" s="516">
        <v>1500</v>
      </c>
      <c r="G27" s="517">
        <v>214.28571428571428</v>
      </c>
      <c r="H27" s="702">
        <f>AVERAGE(G27:G41)</f>
        <v>172.28217602830608</v>
      </c>
      <c r="I27" s="370">
        <f t="shared" ref="I27:I40" si="19">IFERROR(AVERAGE(P27,U27,Z27,AE27,AJ27,AO27,AT27),"-")</f>
        <v>7</v>
      </c>
      <c r="J27" s="370">
        <f t="shared" ref="J27:J40" si="20">IFERROR(AVERAGE(Q27,V27,AA27,AF27,AK27,AP27,AU27),"-")</f>
        <v>1469.5240685954975</v>
      </c>
      <c r="K27" s="194">
        <f t="shared" ref="K27:K40" si="21">IFERROR(AVERAGE(R27,W27,AB27,AG27,AL27,AQ27,AV27),"-")</f>
        <v>209.93200979935679</v>
      </c>
      <c r="L27" s="644">
        <f>IFERROR(AVERAGE(K27:K41),"-")</f>
        <v>156.34807899611332</v>
      </c>
      <c r="M27" s="373">
        <f>RANK(K27, K$24:$K$41)</f>
        <v>3</v>
      </c>
      <c r="N27" s="663"/>
      <c r="O27" s="663"/>
      <c r="P27" s="541">
        <v>7</v>
      </c>
      <c r="Q27" s="542">
        <v>1466.2500000000005</v>
      </c>
      <c r="R27" s="542">
        <v>209.46428571428578</v>
      </c>
      <c r="S27" s="541">
        <f t="shared" ref="S27:S41" si="22">RANK(R27, R$27:R$41)</f>
        <v>3</v>
      </c>
      <c r="T27" s="672">
        <f t="shared" ref="T27" si="23">AVERAGE(R27:R41)</f>
        <v>153.93178308659122</v>
      </c>
      <c r="U27" s="541">
        <v>7</v>
      </c>
      <c r="V27" s="542">
        <v>1451.2500000000005</v>
      </c>
      <c r="W27" s="542">
        <v>207.32142857142864</v>
      </c>
      <c r="X27" s="541">
        <f t="shared" ref="X27:X41" si="24">RANK(W27, W$27:W$41)</f>
        <v>5</v>
      </c>
      <c r="Y27" s="672">
        <f t="shared" ref="Y27" si="25">AVERAGE(W27:W41)</f>
        <v>158.85286261563277</v>
      </c>
      <c r="Z27" s="541">
        <v>7</v>
      </c>
      <c r="AA27" s="542">
        <v>1482.8571428571422</v>
      </c>
      <c r="AB27" s="542">
        <v>211.83673469387745</v>
      </c>
      <c r="AC27" s="541">
        <f t="shared" ref="AC27:AC41" si="26">RANK(AB27, AB$27:AB$41)</f>
        <v>2</v>
      </c>
      <c r="AD27" s="672">
        <f t="shared" ref="AD27" si="27">AVERAGE(AB27:AB41)</f>
        <v>158.58564819787563</v>
      </c>
      <c r="AE27" s="541">
        <v>7</v>
      </c>
      <c r="AF27" s="542">
        <v>1464.3243243243248</v>
      </c>
      <c r="AG27" s="542">
        <v>209.18918918918925</v>
      </c>
      <c r="AH27" s="541">
        <f t="shared" ref="AH27:AH41" si="28">RANK(AG27, AG$27:AG$41)</f>
        <v>3</v>
      </c>
      <c r="AI27" s="672">
        <f t="shared" ref="AI27" si="29">AVERAGE(AG27:AG41)</f>
        <v>155.75402194149012</v>
      </c>
      <c r="AJ27" s="541">
        <v>7</v>
      </c>
      <c r="AK27" s="542">
        <v>1477.714285714286</v>
      </c>
      <c r="AL27" s="542">
        <v>211.10204081632656</v>
      </c>
      <c r="AM27" s="541">
        <f t="shared" ref="AM27:AM41" si="30">RANK(AL27, AL$27:AL$41)</f>
        <v>2</v>
      </c>
      <c r="AN27" s="672">
        <f t="shared" ref="AN27" si="31">AVERAGE(AL27:AL41)</f>
        <v>154.30830119911244</v>
      </c>
      <c r="AO27" s="541">
        <v>7</v>
      </c>
      <c r="AP27" s="542">
        <v>1465.0000000000005</v>
      </c>
      <c r="AQ27" s="542">
        <v>209.28571428571436</v>
      </c>
      <c r="AR27" s="541">
        <f t="shared" ref="AR27:AR41" si="32">RANK(AQ27, AQ$27:AQ$41)</f>
        <v>3</v>
      </c>
      <c r="AS27" s="672">
        <f t="shared" ref="AS27" si="33">AVERAGE(AQ27:AQ41)</f>
        <v>155.06288377984868</v>
      </c>
      <c r="AT27" s="541">
        <v>7</v>
      </c>
      <c r="AU27" s="542">
        <v>1479.2727272727282</v>
      </c>
      <c r="AV27" s="542">
        <v>211.32467532467544</v>
      </c>
      <c r="AW27" s="541">
        <f t="shared" ref="AW27:AW41" si="34">RANK(AV27, AV$27:AV$41)</f>
        <v>1</v>
      </c>
      <c r="AX27" s="672">
        <f t="shared" ref="AX27" si="35">AVERAGE(AV27:AV41)</f>
        <v>157.94105215224238</v>
      </c>
      <c r="AZ27" s="357" t="e">
        <f t="shared" ref="AZ27:AZ41" si="36">RANK(AY27, AY$27:AY$41)</f>
        <v>#N/A</v>
      </c>
      <c r="BA27" s="672" t="e">
        <f t="shared" ref="BA27" si="37">AVERAGE(AY27:AY41)</f>
        <v>#DIV/0!</v>
      </c>
    </row>
    <row r="28" spans="2:53">
      <c r="B28" s="671"/>
      <c r="C28" s="369">
        <v>2</v>
      </c>
      <c r="D28" s="220" t="s">
        <v>349</v>
      </c>
      <c r="E28" s="518">
        <v>7</v>
      </c>
      <c r="F28" s="516">
        <v>1500</v>
      </c>
      <c r="G28" s="517">
        <v>214.28571428571428</v>
      </c>
      <c r="H28" s="703"/>
      <c r="I28" s="370">
        <f t="shared" si="19"/>
        <v>7</v>
      </c>
      <c r="J28" s="370">
        <f t="shared" si="20"/>
        <v>1476.3090063995994</v>
      </c>
      <c r="K28" s="194">
        <f t="shared" si="21"/>
        <v>210.90128662851421</v>
      </c>
      <c r="L28" s="645"/>
      <c r="M28" s="376">
        <f>RANK(K28, K$24:$K$41)</f>
        <v>1</v>
      </c>
      <c r="N28" s="663"/>
      <c r="O28" s="663"/>
      <c r="P28" s="541">
        <v>7</v>
      </c>
      <c r="Q28" s="542">
        <v>1446.0869565217386</v>
      </c>
      <c r="R28" s="542">
        <v>206.58385093167695</v>
      </c>
      <c r="S28" s="541">
        <f t="shared" si="22"/>
        <v>4</v>
      </c>
      <c r="T28" s="673"/>
      <c r="U28" s="541">
        <v>7</v>
      </c>
      <c r="V28" s="542">
        <v>1495.2380952380956</v>
      </c>
      <c r="W28" s="542">
        <v>213.60544217687081</v>
      </c>
      <c r="X28" s="541">
        <f t="shared" si="24"/>
        <v>1</v>
      </c>
      <c r="Y28" s="673"/>
      <c r="Z28" s="541">
        <v>7</v>
      </c>
      <c r="AA28" s="542">
        <v>1486.5000000000005</v>
      </c>
      <c r="AB28" s="542">
        <v>212.35714285714292</v>
      </c>
      <c r="AC28" s="541">
        <f t="shared" si="26"/>
        <v>1</v>
      </c>
      <c r="AD28" s="673"/>
      <c r="AE28" s="541">
        <v>7</v>
      </c>
      <c r="AF28" s="542">
        <v>1485.8823529411773</v>
      </c>
      <c r="AG28" s="542">
        <v>212.26890756302532</v>
      </c>
      <c r="AH28" s="541">
        <f t="shared" si="28"/>
        <v>2</v>
      </c>
      <c r="AI28" s="673"/>
      <c r="AJ28" s="541">
        <v>7</v>
      </c>
      <c r="AK28" s="542">
        <v>1470.545454545454</v>
      </c>
      <c r="AL28" s="542">
        <v>210.07792207792201</v>
      </c>
      <c r="AM28" s="541">
        <f t="shared" si="30"/>
        <v>3</v>
      </c>
      <c r="AN28" s="673"/>
      <c r="AO28" s="541">
        <v>7</v>
      </c>
      <c r="AP28" s="542">
        <v>1488.9705882352935</v>
      </c>
      <c r="AQ28" s="542">
        <v>212.71008403361336</v>
      </c>
      <c r="AR28" s="541">
        <f t="shared" si="32"/>
        <v>2</v>
      </c>
      <c r="AS28" s="673"/>
      <c r="AT28" s="541">
        <v>7</v>
      </c>
      <c r="AU28" s="542">
        <v>1460.9395973154367</v>
      </c>
      <c r="AV28" s="542">
        <v>208.7056567593481</v>
      </c>
      <c r="AW28" s="541">
        <f t="shared" si="34"/>
        <v>4</v>
      </c>
      <c r="AX28" s="673"/>
      <c r="AZ28" s="357" t="e">
        <f t="shared" si="36"/>
        <v>#N/A</v>
      </c>
      <c r="BA28" s="673"/>
    </row>
    <row r="29" spans="2:53">
      <c r="B29" s="671"/>
      <c r="C29" s="369">
        <v>3</v>
      </c>
      <c r="D29" s="220" t="s">
        <v>350</v>
      </c>
      <c r="E29" s="518">
        <v>17</v>
      </c>
      <c r="F29" s="516">
        <v>1500</v>
      </c>
      <c r="G29" s="517">
        <v>88.235294117647058</v>
      </c>
      <c r="H29" s="703"/>
      <c r="I29" s="370">
        <f t="shared" si="19"/>
        <v>16.714285714285715</v>
      </c>
      <c r="J29" s="370">
        <f t="shared" si="20"/>
        <v>1365.3488057480306</v>
      </c>
      <c r="K29" s="194">
        <f t="shared" si="21"/>
        <v>81.746603954230991</v>
      </c>
      <c r="L29" s="645"/>
      <c r="M29" s="376">
        <f>RANK(K29, K$24:$K$41)</f>
        <v>9</v>
      </c>
      <c r="N29" s="663"/>
      <c r="O29" s="663"/>
      <c r="P29" s="541">
        <v>16</v>
      </c>
      <c r="Q29" s="542">
        <v>1371.5217391304348</v>
      </c>
      <c r="R29" s="542">
        <v>85.720108695652172</v>
      </c>
      <c r="S29" s="541">
        <f t="shared" si="22"/>
        <v>9</v>
      </c>
      <c r="T29" s="673"/>
      <c r="U29" s="541">
        <v>16</v>
      </c>
      <c r="V29" s="542">
        <v>1354.9459459459465</v>
      </c>
      <c r="W29" s="542">
        <v>84.684121621621657</v>
      </c>
      <c r="X29" s="541">
        <f t="shared" si="24"/>
        <v>9</v>
      </c>
      <c r="Y29" s="673"/>
      <c r="Z29" s="541">
        <v>17</v>
      </c>
      <c r="AA29" s="542">
        <v>1340.5714285714289</v>
      </c>
      <c r="AB29" s="542">
        <v>78.857142857142875</v>
      </c>
      <c r="AC29" s="541">
        <f t="shared" si="26"/>
        <v>9</v>
      </c>
      <c r="AD29" s="673"/>
      <c r="AE29" s="541">
        <v>17</v>
      </c>
      <c r="AF29" s="542">
        <v>1356.0535714285702</v>
      </c>
      <c r="AG29" s="542">
        <v>79.767857142857068</v>
      </c>
      <c r="AH29" s="541">
        <f t="shared" si="28"/>
        <v>9</v>
      </c>
      <c r="AI29" s="673"/>
      <c r="AJ29" s="541">
        <v>17</v>
      </c>
      <c r="AK29" s="542">
        <v>1373.542372881355</v>
      </c>
      <c r="AL29" s="542">
        <v>80.796610169491473</v>
      </c>
      <c r="AM29" s="541">
        <f t="shared" si="30"/>
        <v>9</v>
      </c>
      <c r="AN29" s="673"/>
      <c r="AO29" s="541">
        <v>17</v>
      </c>
      <c r="AP29" s="542">
        <v>1373.1265822784817</v>
      </c>
      <c r="AQ29" s="542">
        <v>80.772151898734222</v>
      </c>
      <c r="AR29" s="541">
        <f t="shared" si="32"/>
        <v>9</v>
      </c>
      <c r="AS29" s="673"/>
      <c r="AT29" s="541">
        <v>17</v>
      </c>
      <c r="AU29" s="542">
        <v>1387.6799999999976</v>
      </c>
      <c r="AV29" s="542">
        <v>81.628235294117502</v>
      </c>
      <c r="AW29" s="541">
        <f t="shared" si="34"/>
        <v>9</v>
      </c>
      <c r="AX29" s="673"/>
      <c r="AZ29" s="357" t="e">
        <f t="shared" si="36"/>
        <v>#N/A</v>
      </c>
      <c r="BA29" s="673"/>
    </row>
    <row r="30" spans="2:53">
      <c r="B30" s="671"/>
      <c r="C30" s="369">
        <v>4</v>
      </c>
      <c r="D30" s="220" t="s">
        <v>381</v>
      </c>
      <c r="E30" s="518">
        <v>7</v>
      </c>
      <c r="F30" s="516">
        <v>1500</v>
      </c>
      <c r="G30" s="517">
        <v>214.28571428571428</v>
      </c>
      <c r="H30" s="703"/>
      <c r="I30" s="370">
        <f t="shared" si="19"/>
        <v>7</v>
      </c>
      <c r="J30" s="370">
        <f t="shared" si="20"/>
        <v>1475.424513771288</v>
      </c>
      <c r="K30" s="194">
        <f t="shared" si="21"/>
        <v>210.77493053875543</v>
      </c>
      <c r="L30" s="645"/>
      <c r="M30" s="376">
        <f>RANK(K30, K$24:$K$41)</f>
        <v>2</v>
      </c>
      <c r="N30" s="663"/>
      <c r="O30" s="663"/>
      <c r="P30" s="541">
        <v>7</v>
      </c>
      <c r="Q30" s="542">
        <v>1484.583333333333</v>
      </c>
      <c r="R30" s="542">
        <v>212.08333333333329</v>
      </c>
      <c r="S30" s="541">
        <f t="shared" si="22"/>
        <v>1</v>
      </c>
      <c r="T30" s="673"/>
      <c r="U30" s="541">
        <v>7</v>
      </c>
      <c r="V30" s="542">
        <v>1466.4335664335667</v>
      </c>
      <c r="W30" s="542">
        <v>209.49050949050954</v>
      </c>
      <c r="X30" s="541">
        <f t="shared" si="24"/>
        <v>3</v>
      </c>
      <c r="Y30" s="673"/>
      <c r="Z30" s="541">
        <v>7</v>
      </c>
      <c r="AA30" s="542">
        <v>1475.5555555555554</v>
      </c>
      <c r="AB30" s="542">
        <v>210.79365079365078</v>
      </c>
      <c r="AC30" s="541">
        <f t="shared" si="26"/>
        <v>3</v>
      </c>
      <c r="AD30" s="673"/>
      <c r="AE30" s="541">
        <v>7</v>
      </c>
      <c r="AF30" s="542">
        <v>1487.0270270270269</v>
      </c>
      <c r="AG30" s="542">
        <v>212.43243243243242</v>
      </c>
      <c r="AH30" s="541">
        <f t="shared" si="28"/>
        <v>1</v>
      </c>
      <c r="AI30" s="673"/>
      <c r="AJ30" s="541">
        <v>7</v>
      </c>
      <c r="AK30" s="542">
        <v>1449.6774193548388</v>
      </c>
      <c r="AL30" s="542">
        <v>207.09677419354838</v>
      </c>
      <c r="AM30" s="541">
        <f t="shared" si="30"/>
        <v>4</v>
      </c>
      <c r="AN30" s="673"/>
      <c r="AO30" s="541">
        <v>7</v>
      </c>
      <c r="AP30" s="542">
        <v>1494.3243243243244</v>
      </c>
      <c r="AQ30" s="542">
        <v>213.47490347490347</v>
      </c>
      <c r="AR30" s="541">
        <f t="shared" si="32"/>
        <v>1</v>
      </c>
      <c r="AS30" s="673"/>
      <c r="AT30" s="541">
        <v>7</v>
      </c>
      <c r="AU30" s="542">
        <v>1470.3703703703707</v>
      </c>
      <c r="AV30" s="542">
        <v>210.05291005291011</v>
      </c>
      <c r="AW30" s="541">
        <f t="shared" si="34"/>
        <v>3</v>
      </c>
      <c r="AX30" s="673"/>
      <c r="AZ30" s="357" t="e">
        <f t="shared" si="36"/>
        <v>#N/A</v>
      </c>
      <c r="BA30" s="673"/>
    </row>
    <row r="31" spans="2:53">
      <c r="B31" s="671"/>
      <c r="C31" s="369">
        <v>5</v>
      </c>
      <c r="D31" s="220" t="s">
        <v>558</v>
      </c>
      <c r="E31" s="518">
        <v>12</v>
      </c>
      <c r="F31" s="516">
        <v>2000</v>
      </c>
      <c r="G31" s="517">
        <v>166.66666666666666</v>
      </c>
      <c r="H31" s="703"/>
      <c r="I31" s="370">
        <f t="shared" si="19"/>
        <v>12</v>
      </c>
      <c r="J31" s="370">
        <f t="shared" si="20"/>
        <v>1562.7392137905965</v>
      </c>
      <c r="K31" s="194">
        <f t="shared" si="21"/>
        <v>130.22826781588304</v>
      </c>
      <c r="L31" s="645"/>
      <c r="M31" s="376">
        <f>RANK(K31, K$24:$K$41)</f>
        <v>7</v>
      </c>
      <c r="N31" s="663"/>
      <c r="O31" s="663"/>
      <c r="P31" s="541">
        <v>12</v>
      </c>
      <c r="Q31" s="542">
        <v>1504.8292682926824</v>
      </c>
      <c r="R31" s="542">
        <v>125.4024390243902</v>
      </c>
      <c r="S31" s="541">
        <f t="shared" si="22"/>
        <v>8</v>
      </c>
      <c r="T31" s="673"/>
      <c r="U31" s="541">
        <v>12</v>
      </c>
      <c r="V31" s="542">
        <v>1574.1818181818182</v>
      </c>
      <c r="W31" s="542">
        <v>131.18181818181819</v>
      </c>
      <c r="X31" s="541">
        <f t="shared" si="24"/>
        <v>7</v>
      </c>
      <c r="Y31" s="673"/>
      <c r="Z31" s="541">
        <v>12</v>
      </c>
      <c r="AA31" s="542">
        <v>1605.5999999999997</v>
      </c>
      <c r="AB31" s="542">
        <v>133.79999999999998</v>
      </c>
      <c r="AC31" s="541">
        <f t="shared" si="26"/>
        <v>6</v>
      </c>
      <c r="AD31" s="673"/>
      <c r="AE31" s="541">
        <v>12</v>
      </c>
      <c r="AF31" s="542">
        <v>1576.235294117645</v>
      </c>
      <c r="AG31" s="542">
        <v>131.35294117647041</v>
      </c>
      <c r="AH31" s="541">
        <f t="shared" si="28"/>
        <v>7</v>
      </c>
      <c r="AI31" s="673"/>
      <c r="AJ31" s="541">
        <v>12</v>
      </c>
      <c r="AK31" s="542">
        <v>1561.3333333333323</v>
      </c>
      <c r="AL31" s="542">
        <v>130.11111111111103</v>
      </c>
      <c r="AM31" s="541">
        <f t="shared" si="30"/>
        <v>6</v>
      </c>
      <c r="AN31" s="673"/>
      <c r="AO31" s="541">
        <v>12</v>
      </c>
      <c r="AP31" s="542">
        <v>1546.4347826086957</v>
      </c>
      <c r="AQ31" s="542">
        <v>128.86956521739131</v>
      </c>
      <c r="AR31" s="541">
        <f t="shared" si="32"/>
        <v>7</v>
      </c>
      <c r="AS31" s="673"/>
      <c r="AT31" s="541">
        <v>12</v>
      </c>
      <c r="AU31" s="542">
        <v>1570.5600000000009</v>
      </c>
      <c r="AV31" s="542">
        <v>130.88000000000008</v>
      </c>
      <c r="AW31" s="541">
        <f t="shared" si="34"/>
        <v>7</v>
      </c>
      <c r="AX31" s="673"/>
      <c r="AZ31" s="357" t="e">
        <f t="shared" si="36"/>
        <v>#N/A</v>
      </c>
      <c r="BA31" s="673"/>
    </row>
    <row r="32" spans="2:53">
      <c r="B32" s="671"/>
      <c r="C32" s="369">
        <v>6</v>
      </c>
      <c r="D32" s="220" t="s">
        <v>553</v>
      </c>
      <c r="E32" s="518">
        <v>7</v>
      </c>
      <c r="F32" s="516">
        <v>1500</v>
      </c>
      <c r="G32" s="517">
        <v>214.28571428571428</v>
      </c>
      <c r="H32" s="703"/>
      <c r="I32" s="370">
        <f t="shared" si="19"/>
        <v>7</v>
      </c>
      <c r="J32" s="370">
        <f t="shared" si="20"/>
        <v>1466.5031947736429</v>
      </c>
      <c r="K32" s="194">
        <f t="shared" si="21"/>
        <v>209.50045639623474</v>
      </c>
      <c r="L32" s="645"/>
      <c r="M32" s="376">
        <f>RANK(K32, K$24:$K$41)</f>
        <v>4</v>
      </c>
      <c r="N32" s="663"/>
      <c r="O32" s="663"/>
      <c r="P32" s="541">
        <v>7</v>
      </c>
      <c r="Q32" s="542">
        <v>1478.2758620689656</v>
      </c>
      <c r="R32" s="542">
        <v>211.18226600985221</v>
      </c>
      <c r="S32" s="541">
        <f t="shared" si="22"/>
        <v>2</v>
      </c>
      <c r="T32" s="673"/>
      <c r="U32" s="541">
        <v>7</v>
      </c>
      <c r="V32" s="542">
        <v>1458.0952380952388</v>
      </c>
      <c r="W32" s="542">
        <v>208.29931972789126</v>
      </c>
      <c r="X32" s="541">
        <f t="shared" si="24"/>
        <v>4</v>
      </c>
      <c r="Y32" s="673"/>
      <c r="Z32" s="541">
        <v>7</v>
      </c>
      <c r="AA32" s="542">
        <v>1458.0000000000002</v>
      </c>
      <c r="AB32" s="542">
        <v>208.28571428571431</v>
      </c>
      <c r="AC32" s="541">
        <f t="shared" si="26"/>
        <v>5</v>
      </c>
      <c r="AD32" s="673"/>
      <c r="AE32" s="541">
        <v>7</v>
      </c>
      <c r="AF32" s="542">
        <v>1458.3673469387761</v>
      </c>
      <c r="AG32" s="542">
        <v>208.33819241982516</v>
      </c>
      <c r="AH32" s="541">
        <f t="shared" si="28"/>
        <v>4</v>
      </c>
      <c r="AI32" s="673"/>
      <c r="AJ32" s="541">
        <v>7</v>
      </c>
      <c r="AK32" s="542">
        <v>1484.3478260869565</v>
      </c>
      <c r="AL32" s="542">
        <v>212.04968944099377</v>
      </c>
      <c r="AM32" s="541">
        <f t="shared" si="30"/>
        <v>1</v>
      </c>
      <c r="AN32" s="673"/>
      <c r="AO32" s="541">
        <v>7</v>
      </c>
      <c r="AP32" s="542">
        <v>1451.578947368421</v>
      </c>
      <c r="AQ32" s="542">
        <v>207.36842105263159</v>
      </c>
      <c r="AR32" s="541">
        <f t="shared" si="32"/>
        <v>4</v>
      </c>
      <c r="AS32" s="673"/>
      <c r="AT32" s="541">
        <v>7</v>
      </c>
      <c r="AU32" s="542">
        <v>1476.8571428571433</v>
      </c>
      <c r="AV32" s="542">
        <v>210.97959183673476</v>
      </c>
      <c r="AW32" s="541">
        <f t="shared" si="34"/>
        <v>2</v>
      </c>
      <c r="AX32" s="673"/>
      <c r="AZ32" s="357" t="e">
        <f t="shared" si="36"/>
        <v>#N/A</v>
      </c>
      <c r="BA32" s="673"/>
    </row>
    <row r="33" spans="2:53">
      <c r="B33" s="671"/>
      <c r="C33" s="369">
        <v>7</v>
      </c>
      <c r="D33" s="220" t="s">
        <v>582</v>
      </c>
      <c r="E33" s="518">
        <v>12</v>
      </c>
      <c r="F33" s="516">
        <v>2000</v>
      </c>
      <c r="G33" s="517">
        <v>166.66666666666666</v>
      </c>
      <c r="H33" s="703"/>
      <c r="I33" s="370">
        <f t="shared" si="19"/>
        <v>12</v>
      </c>
      <c r="J33" s="370">
        <f t="shared" si="20"/>
        <v>1524.78501871102</v>
      </c>
      <c r="K33" s="194">
        <f t="shared" si="21"/>
        <v>127.06541822591831</v>
      </c>
      <c r="L33" s="645"/>
      <c r="M33" s="376">
        <f>RANK(K33, K$24:$K$41)</f>
        <v>8</v>
      </c>
      <c r="N33" s="663"/>
      <c r="O33" s="663"/>
      <c r="P33" s="541">
        <v>12</v>
      </c>
      <c r="Q33" s="542">
        <v>1518.5624999999995</v>
      </c>
      <c r="R33" s="542">
        <v>126.54687499999996</v>
      </c>
      <c r="S33" s="541">
        <f t="shared" si="22"/>
        <v>6</v>
      </c>
      <c r="T33" s="673"/>
      <c r="U33" s="541">
        <v>12</v>
      </c>
      <c r="V33" s="542">
        <v>1513.7288135593224</v>
      </c>
      <c r="W33" s="542">
        <v>126.1440677966102</v>
      </c>
      <c r="X33" s="541">
        <f t="shared" si="24"/>
        <v>8</v>
      </c>
      <c r="Y33" s="673"/>
      <c r="Z33" s="541">
        <v>12</v>
      </c>
      <c r="AA33" s="542">
        <v>1544.9473684210527</v>
      </c>
      <c r="AB33" s="542">
        <v>128.74561403508773</v>
      </c>
      <c r="AC33" s="541">
        <f t="shared" si="26"/>
        <v>8</v>
      </c>
      <c r="AD33" s="673"/>
      <c r="AE33" s="541">
        <v>12</v>
      </c>
      <c r="AF33" s="542">
        <v>1527.3488372093022</v>
      </c>
      <c r="AG33" s="542">
        <v>127.27906976744185</v>
      </c>
      <c r="AH33" s="541">
        <f t="shared" si="28"/>
        <v>8</v>
      </c>
      <c r="AI33" s="673"/>
      <c r="AJ33" s="541">
        <v>12</v>
      </c>
      <c r="AK33" s="542">
        <v>1534.2765957446813</v>
      </c>
      <c r="AL33" s="542">
        <v>127.85638297872345</v>
      </c>
      <c r="AM33" s="541">
        <f t="shared" si="30"/>
        <v>8</v>
      </c>
      <c r="AN33" s="673"/>
      <c r="AO33" s="541">
        <v>12</v>
      </c>
      <c r="AP33" s="542">
        <v>1504.4545454545455</v>
      </c>
      <c r="AQ33" s="542">
        <v>125.37121212121212</v>
      </c>
      <c r="AR33" s="541">
        <f t="shared" si="32"/>
        <v>8</v>
      </c>
      <c r="AS33" s="673"/>
      <c r="AT33" s="541">
        <v>12</v>
      </c>
      <c r="AU33" s="542">
        <v>1530.1764705882354</v>
      </c>
      <c r="AV33" s="542">
        <v>127.51470588235294</v>
      </c>
      <c r="AW33" s="541">
        <f t="shared" si="34"/>
        <v>8</v>
      </c>
      <c r="AX33" s="673"/>
      <c r="AZ33" s="357" t="e">
        <f t="shared" si="36"/>
        <v>#N/A</v>
      </c>
      <c r="BA33" s="673"/>
    </row>
    <row r="34" spans="2:53">
      <c r="B34" s="671"/>
      <c r="C34" s="369">
        <v>8</v>
      </c>
      <c r="D34" s="220" t="s">
        <v>583</v>
      </c>
      <c r="E34" s="518">
        <v>12</v>
      </c>
      <c r="F34" s="516">
        <v>2000</v>
      </c>
      <c r="G34" s="517">
        <v>166.66666666666666</v>
      </c>
      <c r="H34" s="703"/>
      <c r="I34" s="370">
        <f t="shared" si="19"/>
        <v>12</v>
      </c>
      <c r="J34" s="370">
        <f t="shared" si="20"/>
        <v>1565.1139455782318</v>
      </c>
      <c r="K34" s="194">
        <f t="shared" si="21"/>
        <v>130.42616213151931</v>
      </c>
      <c r="L34" s="645"/>
      <c r="M34" s="376">
        <f>RANK(K34, K$24:$K$41)</f>
        <v>6</v>
      </c>
      <c r="N34" s="663"/>
      <c r="O34" s="663"/>
      <c r="P34" s="541">
        <v>12</v>
      </c>
      <c r="Q34" s="542">
        <v>1517.1428571428582</v>
      </c>
      <c r="R34" s="542">
        <v>126.42857142857152</v>
      </c>
      <c r="S34" s="541">
        <f t="shared" si="22"/>
        <v>7</v>
      </c>
      <c r="T34" s="673"/>
      <c r="U34" s="541">
        <v>12</v>
      </c>
      <c r="V34" s="542">
        <v>1628.5714285714298</v>
      </c>
      <c r="W34" s="542">
        <v>135.71428571428581</v>
      </c>
      <c r="X34" s="541">
        <f t="shared" si="24"/>
        <v>6</v>
      </c>
      <c r="Y34" s="673"/>
      <c r="Z34" s="541">
        <v>12</v>
      </c>
      <c r="AA34" s="542">
        <v>1556.0000000000016</v>
      </c>
      <c r="AB34" s="542">
        <v>129.6666666666668</v>
      </c>
      <c r="AC34" s="541">
        <f t="shared" si="26"/>
        <v>7</v>
      </c>
      <c r="AD34" s="673"/>
      <c r="AE34" s="541">
        <v>12</v>
      </c>
      <c r="AF34" s="542">
        <v>1583.9999999999995</v>
      </c>
      <c r="AG34" s="542">
        <v>131.99999999999997</v>
      </c>
      <c r="AH34" s="541">
        <f t="shared" si="28"/>
        <v>6</v>
      </c>
      <c r="AI34" s="673"/>
      <c r="AJ34" s="541">
        <v>12</v>
      </c>
      <c r="AK34" s="542">
        <v>1547.9999999999993</v>
      </c>
      <c r="AL34" s="542">
        <v>128.99999999999994</v>
      </c>
      <c r="AM34" s="541">
        <f t="shared" si="30"/>
        <v>7</v>
      </c>
      <c r="AN34" s="673"/>
      <c r="AO34" s="541">
        <v>12</v>
      </c>
      <c r="AP34" s="542">
        <v>1548.7500000000018</v>
      </c>
      <c r="AQ34" s="542">
        <v>129.06250000000014</v>
      </c>
      <c r="AR34" s="541">
        <f t="shared" si="32"/>
        <v>6</v>
      </c>
      <c r="AS34" s="673"/>
      <c r="AT34" s="541">
        <v>12</v>
      </c>
      <c r="AU34" s="542">
        <v>1573.3333333333321</v>
      </c>
      <c r="AV34" s="542">
        <v>131.111111111111</v>
      </c>
      <c r="AW34" s="541">
        <f t="shared" si="34"/>
        <v>6</v>
      </c>
      <c r="AX34" s="673"/>
      <c r="AZ34" s="357" t="e">
        <f t="shared" si="36"/>
        <v>#N/A</v>
      </c>
      <c r="BA34" s="673"/>
    </row>
    <row r="35" spans="2:53">
      <c r="B35" s="671"/>
      <c r="C35" s="369">
        <v>9</v>
      </c>
      <c r="D35" s="220" t="s">
        <v>590</v>
      </c>
      <c r="E35" s="518">
        <v>7</v>
      </c>
      <c r="F35" s="516">
        <v>1500</v>
      </c>
      <c r="G35" s="517">
        <v>214.28571428571428</v>
      </c>
      <c r="H35" s="703"/>
      <c r="I35" s="370">
        <f t="shared" si="19"/>
        <v>7</v>
      </c>
      <c r="J35" s="370">
        <f t="shared" si="20"/>
        <v>1337.6792659747696</v>
      </c>
      <c r="K35" s="194">
        <f t="shared" si="21"/>
        <v>191.09703799639561</v>
      </c>
      <c r="L35" s="645"/>
      <c r="M35" s="376">
        <f>RANK(K35, K$24:$K$41)</f>
        <v>5</v>
      </c>
      <c r="N35" s="663"/>
      <c r="O35" s="663"/>
      <c r="P35" s="541">
        <v>7</v>
      </c>
      <c r="Q35" s="542">
        <v>1214.4827586206907</v>
      </c>
      <c r="R35" s="542">
        <v>173.49753694581295</v>
      </c>
      <c r="S35" s="541">
        <f t="shared" si="22"/>
        <v>5</v>
      </c>
      <c r="T35" s="673"/>
      <c r="U35" s="541">
        <v>7</v>
      </c>
      <c r="V35" s="542">
        <v>1471.0344827586218</v>
      </c>
      <c r="W35" s="542">
        <v>210.14778325123169</v>
      </c>
      <c r="X35" s="541">
        <f t="shared" si="24"/>
        <v>2</v>
      </c>
      <c r="Y35" s="673"/>
      <c r="Z35" s="541">
        <v>7</v>
      </c>
      <c r="AA35" s="542">
        <v>1461.6000000000004</v>
      </c>
      <c r="AB35" s="542">
        <v>208.80000000000004</v>
      </c>
      <c r="AC35" s="541">
        <f t="shared" si="26"/>
        <v>4</v>
      </c>
      <c r="AD35" s="673"/>
      <c r="AE35" s="541">
        <v>7</v>
      </c>
      <c r="AF35" s="542">
        <v>1274.2857142857138</v>
      </c>
      <c r="AG35" s="542">
        <v>182.04081632653055</v>
      </c>
      <c r="AH35" s="541">
        <f t="shared" si="28"/>
        <v>5</v>
      </c>
      <c r="AI35" s="673"/>
      <c r="AJ35" s="541">
        <v>7</v>
      </c>
      <c r="AK35" s="542">
        <v>1224.5454545454545</v>
      </c>
      <c r="AL35" s="542">
        <v>174.93506493506493</v>
      </c>
      <c r="AM35" s="541">
        <f t="shared" si="30"/>
        <v>5</v>
      </c>
      <c r="AN35" s="673"/>
      <c r="AO35" s="541">
        <v>7</v>
      </c>
      <c r="AP35" s="542">
        <v>1272.0000000000005</v>
      </c>
      <c r="AQ35" s="542">
        <v>181.71428571428578</v>
      </c>
      <c r="AR35" s="541">
        <f t="shared" si="32"/>
        <v>5</v>
      </c>
      <c r="AS35" s="673"/>
      <c r="AT35" s="541">
        <v>7</v>
      </c>
      <c r="AU35" s="542">
        <v>1445.8064516129045</v>
      </c>
      <c r="AV35" s="542">
        <v>206.5437788018435</v>
      </c>
      <c r="AW35" s="541">
        <f t="shared" si="34"/>
        <v>5</v>
      </c>
      <c r="AX35" s="673"/>
      <c r="AZ35" s="357" t="e">
        <f t="shared" si="36"/>
        <v>#N/A</v>
      </c>
      <c r="BA35" s="673"/>
    </row>
    <row r="36" spans="2:53">
      <c r="B36" s="671"/>
      <c r="C36" s="369">
        <v>10</v>
      </c>
      <c r="D36" s="220" t="s">
        <v>735</v>
      </c>
      <c r="E36" s="518">
        <v>19</v>
      </c>
      <c r="F36" s="516">
        <v>1200</v>
      </c>
      <c r="G36" s="517">
        <v>63.157894736842103</v>
      </c>
      <c r="H36" s="703"/>
      <c r="I36" s="370">
        <f t="shared" si="19"/>
        <v>19</v>
      </c>
      <c r="J36" s="370">
        <f t="shared" si="20"/>
        <v>1174.3637130121701</v>
      </c>
      <c r="K36" s="194">
        <f t="shared" si="21"/>
        <v>61.808616474324758</v>
      </c>
      <c r="L36" s="645"/>
      <c r="M36" s="376">
        <f>RANK(K36, K$24:$K$41)</f>
        <v>10</v>
      </c>
      <c r="N36" s="663"/>
      <c r="O36" s="663"/>
      <c r="P36" s="541">
        <v>19</v>
      </c>
      <c r="Q36" s="542">
        <v>1185.7627118644077</v>
      </c>
      <c r="R36" s="542">
        <v>62.408563782337247</v>
      </c>
      <c r="S36" s="541">
        <f t="shared" si="22"/>
        <v>10</v>
      </c>
      <c r="T36" s="673"/>
      <c r="U36" s="541">
        <v>19</v>
      </c>
      <c r="V36" s="542">
        <v>1176.8571428571418</v>
      </c>
      <c r="W36" s="542">
        <v>61.939849624060095</v>
      </c>
      <c r="X36" s="541">
        <f t="shared" si="24"/>
        <v>10</v>
      </c>
      <c r="Y36" s="673"/>
      <c r="Z36" s="541">
        <v>19</v>
      </c>
      <c r="AA36" s="542">
        <v>1191.5625000000014</v>
      </c>
      <c r="AB36" s="542">
        <v>62.713815789473756</v>
      </c>
      <c r="AC36" s="541">
        <f t="shared" si="26"/>
        <v>10</v>
      </c>
      <c r="AD36" s="673"/>
      <c r="AE36" s="541">
        <v>19</v>
      </c>
      <c r="AF36" s="542">
        <v>1194.5454545454559</v>
      </c>
      <c r="AG36" s="542">
        <v>62.870813397129254</v>
      </c>
      <c r="AH36" s="541">
        <f t="shared" si="28"/>
        <v>10</v>
      </c>
      <c r="AI36" s="673"/>
      <c r="AJ36" s="541">
        <v>19</v>
      </c>
      <c r="AK36" s="542">
        <v>1141.0909090909099</v>
      </c>
      <c r="AL36" s="542">
        <v>60.057416267942628</v>
      </c>
      <c r="AM36" s="541">
        <f t="shared" si="30"/>
        <v>10</v>
      </c>
      <c r="AN36" s="673"/>
      <c r="AO36" s="541">
        <v>19</v>
      </c>
      <c r="AP36" s="542">
        <v>1178.0000000000011</v>
      </c>
      <c r="AQ36" s="542">
        <v>62.000000000000057</v>
      </c>
      <c r="AR36" s="541">
        <f t="shared" si="32"/>
        <v>10</v>
      </c>
      <c r="AS36" s="673"/>
      <c r="AT36" s="541">
        <v>19</v>
      </c>
      <c r="AU36" s="542">
        <v>1152.7272727272739</v>
      </c>
      <c r="AV36" s="542">
        <v>60.669856459330205</v>
      </c>
      <c r="AW36" s="541">
        <f t="shared" si="34"/>
        <v>10</v>
      </c>
      <c r="AX36" s="673"/>
      <c r="AZ36" s="357" t="e">
        <f t="shared" si="36"/>
        <v>#N/A</v>
      </c>
      <c r="BA36" s="673"/>
    </row>
    <row r="37" spans="2:53">
      <c r="B37" s="671"/>
      <c r="C37" s="369">
        <v>11</v>
      </c>
      <c r="D37" s="220"/>
      <c r="E37" s="518"/>
      <c r="F37" s="516"/>
      <c r="G37" s="517"/>
      <c r="H37" s="703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45"/>
      <c r="M37" s="376" t="e">
        <f>RANK(K37, K$24:$K$41)</f>
        <v>#VALUE!</v>
      </c>
      <c r="N37" s="663"/>
      <c r="O37" s="663"/>
      <c r="P37" s="541" t="s">
        <v>564</v>
      </c>
      <c r="Q37" s="542" t="s">
        <v>564</v>
      </c>
      <c r="R37" s="542" t="s">
        <v>564</v>
      </c>
      <c r="S37" s="541" t="e">
        <f t="shared" si="22"/>
        <v>#VALUE!</v>
      </c>
      <c r="T37" s="673"/>
      <c r="U37" s="541" t="s">
        <v>564</v>
      </c>
      <c r="V37" s="542" t="s">
        <v>564</v>
      </c>
      <c r="W37" s="542" t="s">
        <v>564</v>
      </c>
      <c r="X37" s="541" t="e">
        <f t="shared" si="24"/>
        <v>#VALUE!</v>
      </c>
      <c r="Y37" s="673"/>
      <c r="Z37" s="541" t="s">
        <v>564</v>
      </c>
      <c r="AA37" s="542" t="s">
        <v>564</v>
      </c>
      <c r="AB37" s="542" t="s">
        <v>564</v>
      </c>
      <c r="AC37" s="541" t="e">
        <f t="shared" si="26"/>
        <v>#VALUE!</v>
      </c>
      <c r="AD37" s="673"/>
      <c r="AE37" s="541" t="s">
        <v>564</v>
      </c>
      <c r="AF37" s="542" t="s">
        <v>564</v>
      </c>
      <c r="AG37" s="542" t="s">
        <v>564</v>
      </c>
      <c r="AH37" s="541" t="e">
        <f t="shared" si="28"/>
        <v>#VALUE!</v>
      </c>
      <c r="AI37" s="673"/>
      <c r="AJ37" s="541" t="s">
        <v>564</v>
      </c>
      <c r="AK37" s="542" t="s">
        <v>564</v>
      </c>
      <c r="AL37" s="542" t="s">
        <v>564</v>
      </c>
      <c r="AM37" s="541" t="e">
        <f t="shared" si="30"/>
        <v>#VALUE!</v>
      </c>
      <c r="AN37" s="673"/>
      <c r="AO37" s="541" t="s">
        <v>564</v>
      </c>
      <c r="AP37" s="542" t="s">
        <v>564</v>
      </c>
      <c r="AQ37" s="542" t="s">
        <v>564</v>
      </c>
      <c r="AR37" s="541" t="e">
        <f t="shared" si="32"/>
        <v>#VALUE!</v>
      </c>
      <c r="AS37" s="673"/>
      <c r="AT37" s="541" t="s">
        <v>564</v>
      </c>
      <c r="AU37" s="542" t="s">
        <v>564</v>
      </c>
      <c r="AV37" s="542" t="s">
        <v>564</v>
      </c>
      <c r="AW37" s="541" t="e">
        <f t="shared" si="34"/>
        <v>#VALUE!</v>
      </c>
      <c r="AX37" s="673"/>
      <c r="AZ37" s="357" t="e">
        <f t="shared" si="36"/>
        <v>#N/A</v>
      </c>
      <c r="BA37" s="673"/>
    </row>
    <row r="38" spans="2:53">
      <c r="B38" s="671"/>
      <c r="C38" s="369">
        <v>12</v>
      </c>
      <c r="D38" s="220"/>
      <c r="E38" s="518"/>
      <c r="F38" s="516"/>
      <c r="G38" s="517"/>
      <c r="H38" s="703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45"/>
      <c r="M38" s="376" t="e">
        <f>RANK(K38, K$24:$K$41)</f>
        <v>#VALUE!</v>
      </c>
      <c r="N38" s="663"/>
      <c r="O38" s="663"/>
      <c r="P38" s="541" t="s">
        <v>564</v>
      </c>
      <c r="Q38" s="542" t="s">
        <v>564</v>
      </c>
      <c r="R38" s="542" t="s">
        <v>564</v>
      </c>
      <c r="S38" s="541" t="e">
        <f t="shared" si="22"/>
        <v>#VALUE!</v>
      </c>
      <c r="T38" s="673"/>
      <c r="U38" s="541" t="s">
        <v>564</v>
      </c>
      <c r="V38" s="542" t="s">
        <v>564</v>
      </c>
      <c r="W38" s="542" t="s">
        <v>564</v>
      </c>
      <c r="X38" s="541" t="e">
        <f t="shared" si="24"/>
        <v>#VALUE!</v>
      </c>
      <c r="Y38" s="673"/>
      <c r="Z38" s="541" t="s">
        <v>564</v>
      </c>
      <c r="AA38" s="542" t="s">
        <v>564</v>
      </c>
      <c r="AB38" s="542" t="s">
        <v>564</v>
      </c>
      <c r="AC38" s="541" t="e">
        <f t="shared" si="26"/>
        <v>#VALUE!</v>
      </c>
      <c r="AD38" s="673"/>
      <c r="AE38" s="541" t="s">
        <v>564</v>
      </c>
      <c r="AF38" s="542" t="s">
        <v>564</v>
      </c>
      <c r="AG38" s="542" t="s">
        <v>564</v>
      </c>
      <c r="AH38" s="541" t="e">
        <f t="shared" si="28"/>
        <v>#VALUE!</v>
      </c>
      <c r="AI38" s="673"/>
      <c r="AJ38" s="541" t="s">
        <v>564</v>
      </c>
      <c r="AK38" s="542" t="s">
        <v>564</v>
      </c>
      <c r="AL38" s="542" t="s">
        <v>564</v>
      </c>
      <c r="AM38" s="541" t="e">
        <f t="shared" si="30"/>
        <v>#VALUE!</v>
      </c>
      <c r="AN38" s="673"/>
      <c r="AO38" s="541" t="s">
        <v>564</v>
      </c>
      <c r="AP38" s="542" t="s">
        <v>564</v>
      </c>
      <c r="AQ38" s="542" t="s">
        <v>564</v>
      </c>
      <c r="AR38" s="541" t="e">
        <f t="shared" si="32"/>
        <v>#VALUE!</v>
      </c>
      <c r="AS38" s="673"/>
      <c r="AT38" s="541" t="s">
        <v>564</v>
      </c>
      <c r="AU38" s="542" t="s">
        <v>564</v>
      </c>
      <c r="AV38" s="542" t="s">
        <v>564</v>
      </c>
      <c r="AW38" s="541" t="e">
        <f t="shared" si="34"/>
        <v>#VALUE!</v>
      </c>
      <c r="AX38" s="673"/>
      <c r="AZ38" s="357" t="e">
        <f t="shared" si="36"/>
        <v>#N/A</v>
      </c>
      <c r="BA38" s="673"/>
    </row>
    <row r="39" spans="2:53">
      <c r="B39" s="671"/>
      <c r="C39" s="369">
        <v>13</v>
      </c>
      <c r="D39" s="220"/>
      <c r="E39" s="518"/>
      <c r="F39" s="516"/>
      <c r="G39" s="517"/>
      <c r="H39" s="703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45"/>
      <c r="M39" s="376" t="e">
        <f>RANK(K39, K$24:$K$41)</f>
        <v>#VALUE!</v>
      </c>
      <c r="N39" s="663"/>
      <c r="O39" s="663"/>
      <c r="P39" s="541" t="s">
        <v>564</v>
      </c>
      <c r="Q39" s="542" t="s">
        <v>564</v>
      </c>
      <c r="R39" s="542" t="s">
        <v>564</v>
      </c>
      <c r="S39" s="541" t="e">
        <f t="shared" si="22"/>
        <v>#VALUE!</v>
      </c>
      <c r="T39" s="673"/>
      <c r="U39" s="541" t="s">
        <v>564</v>
      </c>
      <c r="V39" s="542" t="s">
        <v>564</v>
      </c>
      <c r="W39" s="542" t="s">
        <v>564</v>
      </c>
      <c r="X39" s="541" t="e">
        <f t="shared" si="24"/>
        <v>#VALUE!</v>
      </c>
      <c r="Y39" s="673"/>
      <c r="Z39" s="541" t="s">
        <v>564</v>
      </c>
      <c r="AA39" s="542" t="s">
        <v>564</v>
      </c>
      <c r="AB39" s="542" t="s">
        <v>564</v>
      </c>
      <c r="AC39" s="541" t="e">
        <f t="shared" si="26"/>
        <v>#VALUE!</v>
      </c>
      <c r="AD39" s="673"/>
      <c r="AE39" s="541" t="s">
        <v>564</v>
      </c>
      <c r="AF39" s="542" t="s">
        <v>564</v>
      </c>
      <c r="AG39" s="542" t="s">
        <v>564</v>
      </c>
      <c r="AH39" s="541" t="e">
        <f t="shared" si="28"/>
        <v>#VALUE!</v>
      </c>
      <c r="AI39" s="673"/>
      <c r="AJ39" s="541" t="s">
        <v>564</v>
      </c>
      <c r="AK39" s="542" t="s">
        <v>564</v>
      </c>
      <c r="AL39" s="542" t="s">
        <v>564</v>
      </c>
      <c r="AM39" s="541" t="e">
        <f t="shared" si="30"/>
        <v>#VALUE!</v>
      </c>
      <c r="AN39" s="673"/>
      <c r="AO39" s="541" t="s">
        <v>564</v>
      </c>
      <c r="AP39" s="542" t="s">
        <v>564</v>
      </c>
      <c r="AQ39" s="542" t="s">
        <v>564</v>
      </c>
      <c r="AR39" s="541" t="e">
        <f t="shared" si="32"/>
        <v>#VALUE!</v>
      </c>
      <c r="AS39" s="673"/>
      <c r="AT39" s="541" t="s">
        <v>564</v>
      </c>
      <c r="AU39" s="542" t="s">
        <v>564</v>
      </c>
      <c r="AV39" s="542" t="s">
        <v>564</v>
      </c>
      <c r="AW39" s="541" t="e">
        <f t="shared" si="34"/>
        <v>#VALUE!</v>
      </c>
      <c r="AX39" s="673"/>
      <c r="AZ39" s="357" t="e">
        <f t="shared" si="36"/>
        <v>#N/A</v>
      </c>
      <c r="BA39" s="673"/>
    </row>
    <row r="40" spans="2:53">
      <c r="B40" s="671"/>
      <c r="C40" s="369">
        <v>14</v>
      </c>
      <c r="D40" s="220"/>
      <c r="E40" s="518"/>
      <c r="F40" s="516"/>
      <c r="G40" s="517"/>
      <c r="H40" s="703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45"/>
      <c r="M40" s="376" t="e">
        <f>RANK(K40, K$24:$K$41)</f>
        <v>#VALUE!</v>
      </c>
      <c r="N40" s="663"/>
      <c r="O40" s="663"/>
      <c r="P40" s="541" t="s">
        <v>564</v>
      </c>
      <c r="Q40" s="542" t="s">
        <v>564</v>
      </c>
      <c r="R40" s="542" t="s">
        <v>564</v>
      </c>
      <c r="S40" s="541" t="e">
        <f t="shared" si="22"/>
        <v>#VALUE!</v>
      </c>
      <c r="T40" s="673"/>
      <c r="U40" s="541" t="s">
        <v>564</v>
      </c>
      <c r="V40" s="542" t="s">
        <v>564</v>
      </c>
      <c r="W40" s="542" t="s">
        <v>564</v>
      </c>
      <c r="X40" s="541" t="e">
        <f t="shared" si="24"/>
        <v>#VALUE!</v>
      </c>
      <c r="Y40" s="673"/>
      <c r="Z40" s="541" t="s">
        <v>564</v>
      </c>
      <c r="AA40" s="542" t="s">
        <v>564</v>
      </c>
      <c r="AB40" s="542" t="s">
        <v>564</v>
      </c>
      <c r="AC40" s="541" t="e">
        <f t="shared" si="26"/>
        <v>#VALUE!</v>
      </c>
      <c r="AD40" s="673"/>
      <c r="AE40" s="541" t="s">
        <v>564</v>
      </c>
      <c r="AF40" s="542" t="s">
        <v>564</v>
      </c>
      <c r="AG40" s="542" t="s">
        <v>564</v>
      </c>
      <c r="AH40" s="541" t="e">
        <f t="shared" si="28"/>
        <v>#VALUE!</v>
      </c>
      <c r="AI40" s="673"/>
      <c r="AJ40" s="541" t="s">
        <v>564</v>
      </c>
      <c r="AK40" s="542" t="s">
        <v>564</v>
      </c>
      <c r="AL40" s="542" t="s">
        <v>564</v>
      </c>
      <c r="AM40" s="541" t="e">
        <f t="shared" si="30"/>
        <v>#VALUE!</v>
      </c>
      <c r="AN40" s="673"/>
      <c r="AO40" s="541" t="s">
        <v>564</v>
      </c>
      <c r="AP40" s="542" t="s">
        <v>564</v>
      </c>
      <c r="AQ40" s="542" t="s">
        <v>564</v>
      </c>
      <c r="AR40" s="541" t="e">
        <f t="shared" si="32"/>
        <v>#VALUE!</v>
      </c>
      <c r="AS40" s="673"/>
      <c r="AT40" s="541" t="s">
        <v>564</v>
      </c>
      <c r="AU40" s="542" t="s">
        <v>564</v>
      </c>
      <c r="AV40" s="542" t="s">
        <v>564</v>
      </c>
      <c r="AW40" s="541" t="e">
        <f t="shared" si="34"/>
        <v>#VALUE!</v>
      </c>
      <c r="AX40" s="673"/>
      <c r="AZ40" s="357" t="e">
        <f t="shared" si="36"/>
        <v>#N/A</v>
      </c>
      <c r="BA40" s="673"/>
    </row>
    <row r="41" spans="2:53">
      <c r="B41" s="671"/>
      <c r="C41" s="369">
        <v>15</v>
      </c>
      <c r="D41" s="220"/>
      <c r="E41" s="518"/>
      <c r="F41" s="516"/>
      <c r="G41" s="517"/>
      <c r="H41" s="707"/>
      <c r="I41" s="369"/>
      <c r="J41" s="369"/>
      <c r="K41" s="369"/>
      <c r="L41" s="646"/>
      <c r="M41" s="376" t="e">
        <f>RANK(K41, K$24:$K$41)</f>
        <v>#N/A</v>
      </c>
      <c r="N41" s="663"/>
      <c r="O41" s="663"/>
      <c r="P41" s="541" t="s">
        <v>564</v>
      </c>
      <c r="Q41" s="542" t="s">
        <v>564</v>
      </c>
      <c r="R41" s="542" t="s">
        <v>564</v>
      </c>
      <c r="S41" s="541" t="e">
        <f t="shared" si="22"/>
        <v>#VALUE!</v>
      </c>
      <c r="T41" s="674"/>
      <c r="U41" s="541" t="s">
        <v>564</v>
      </c>
      <c r="V41" s="542" t="s">
        <v>564</v>
      </c>
      <c r="W41" s="542" t="s">
        <v>564</v>
      </c>
      <c r="X41" s="541" t="e">
        <f t="shared" si="24"/>
        <v>#VALUE!</v>
      </c>
      <c r="Y41" s="674"/>
      <c r="Z41" s="541" t="s">
        <v>564</v>
      </c>
      <c r="AA41" s="542" t="s">
        <v>564</v>
      </c>
      <c r="AB41" s="542" t="s">
        <v>564</v>
      </c>
      <c r="AC41" s="541" t="e">
        <f t="shared" si="26"/>
        <v>#VALUE!</v>
      </c>
      <c r="AD41" s="674"/>
      <c r="AE41" s="541" t="s">
        <v>564</v>
      </c>
      <c r="AF41" s="542" t="s">
        <v>564</v>
      </c>
      <c r="AG41" s="542" t="s">
        <v>564</v>
      </c>
      <c r="AH41" s="541" t="e">
        <f t="shared" si="28"/>
        <v>#VALUE!</v>
      </c>
      <c r="AI41" s="674"/>
      <c r="AJ41" s="541" t="s">
        <v>564</v>
      </c>
      <c r="AK41" s="542" t="s">
        <v>564</v>
      </c>
      <c r="AL41" s="542" t="s">
        <v>564</v>
      </c>
      <c r="AM41" s="541" t="e">
        <f t="shared" si="30"/>
        <v>#VALUE!</v>
      </c>
      <c r="AN41" s="674"/>
      <c r="AO41" s="541" t="s">
        <v>564</v>
      </c>
      <c r="AP41" s="542" t="s">
        <v>564</v>
      </c>
      <c r="AQ41" s="542" t="s">
        <v>564</v>
      </c>
      <c r="AR41" s="541" t="e">
        <f t="shared" si="32"/>
        <v>#VALUE!</v>
      </c>
      <c r="AS41" s="674"/>
      <c r="AT41" s="541" t="s">
        <v>564</v>
      </c>
      <c r="AU41" s="542" t="s">
        <v>564</v>
      </c>
      <c r="AV41" s="542" t="s">
        <v>564</v>
      </c>
      <c r="AW41" s="541" t="e">
        <f t="shared" si="34"/>
        <v>#VALUE!</v>
      </c>
      <c r="AX41" s="674"/>
      <c r="AZ41" s="357" t="e">
        <f t="shared" si="36"/>
        <v>#N/A</v>
      </c>
      <c r="BA41" s="674"/>
    </row>
    <row r="42" spans="2:53" ht="15.75">
      <c r="B42" s="689" t="s">
        <v>162</v>
      </c>
      <c r="C42" s="690"/>
      <c r="D42" s="690"/>
      <c r="E42" s="690"/>
      <c r="F42" s="690"/>
      <c r="G42" s="690"/>
      <c r="H42" s="690"/>
      <c r="I42" s="202"/>
      <c r="J42" s="197"/>
      <c r="K42" s="202"/>
      <c r="L42" s="202"/>
      <c r="M42" s="198"/>
      <c r="N42" s="664" t="s">
        <v>156</v>
      </c>
      <c r="O42" s="664" t="s">
        <v>105</v>
      </c>
      <c r="P42" s="670">
        <f>P22+7</f>
        <v>46280</v>
      </c>
      <c r="Q42" s="671"/>
      <c r="R42" s="671"/>
      <c r="S42" s="671"/>
      <c r="T42" s="671"/>
      <c r="U42" s="667">
        <f>P42+1</f>
        <v>46281</v>
      </c>
      <c r="V42" s="668"/>
      <c r="W42" s="668"/>
      <c r="X42" s="668"/>
      <c r="Y42" s="669"/>
      <c r="Z42" s="667">
        <f>U42+1</f>
        <v>46282</v>
      </c>
      <c r="AA42" s="668"/>
      <c r="AB42" s="668"/>
      <c r="AC42" s="668"/>
      <c r="AD42" s="669"/>
      <c r="AE42" s="667">
        <f>Z42+1</f>
        <v>46283</v>
      </c>
      <c r="AF42" s="668"/>
      <c r="AG42" s="668"/>
      <c r="AH42" s="668"/>
      <c r="AI42" s="669"/>
      <c r="AJ42" s="667">
        <f>AE42+1</f>
        <v>46284</v>
      </c>
      <c r="AK42" s="668"/>
      <c r="AL42" s="668"/>
      <c r="AM42" s="668"/>
      <c r="AN42" s="669"/>
      <c r="AO42" s="667">
        <f>AJ42+1</f>
        <v>46285</v>
      </c>
      <c r="AP42" s="668"/>
      <c r="AQ42" s="668"/>
      <c r="AR42" s="668"/>
      <c r="AS42" s="669"/>
      <c r="AT42" s="667">
        <f>AO42+1</f>
        <v>46286</v>
      </c>
      <c r="AU42" s="668"/>
      <c r="AV42" s="668"/>
      <c r="AW42" s="668"/>
      <c r="AX42" s="669"/>
    </row>
    <row r="43" spans="2:53" ht="15.75">
      <c r="B43" s="678"/>
      <c r="C43" s="678"/>
      <c r="D43" s="678"/>
      <c r="E43" s="678"/>
      <c r="F43" s="678"/>
      <c r="G43" s="678"/>
      <c r="H43" s="678"/>
      <c r="I43" s="199"/>
      <c r="J43" s="199"/>
      <c r="K43" s="199"/>
      <c r="L43" s="199"/>
      <c r="M43" s="200"/>
      <c r="N43" s="666"/>
      <c r="O43" s="666"/>
      <c r="P43" s="670" t="s">
        <v>317</v>
      </c>
      <c r="Q43" s="671"/>
      <c r="R43" s="671"/>
      <c r="S43" s="671"/>
      <c r="T43" s="671"/>
      <c r="U43" s="670" t="s">
        <v>318</v>
      </c>
      <c r="V43" s="671"/>
      <c r="W43" s="671"/>
      <c r="X43" s="671"/>
      <c r="Y43" s="671"/>
      <c r="Z43" s="670" t="s">
        <v>319</v>
      </c>
      <c r="AA43" s="671"/>
      <c r="AB43" s="671"/>
      <c r="AC43" s="671"/>
      <c r="AD43" s="671"/>
      <c r="AE43" s="670" t="s">
        <v>320</v>
      </c>
      <c r="AF43" s="671"/>
      <c r="AG43" s="671"/>
      <c r="AH43" s="671"/>
      <c r="AI43" s="671"/>
      <c r="AJ43" s="670" t="s">
        <v>321</v>
      </c>
      <c r="AK43" s="671"/>
      <c r="AL43" s="671"/>
      <c r="AM43" s="671"/>
      <c r="AN43" s="671"/>
      <c r="AO43" s="670" t="s">
        <v>322</v>
      </c>
      <c r="AP43" s="671"/>
      <c r="AQ43" s="671"/>
      <c r="AR43" s="671"/>
      <c r="AS43" s="671"/>
      <c r="AT43" s="670" t="s">
        <v>323</v>
      </c>
      <c r="AU43" s="671"/>
      <c r="AV43" s="671"/>
      <c r="AW43" s="671"/>
      <c r="AX43" s="671"/>
    </row>
    <row r="44" spans="2:53">
      <c r="B44" s="663" t="s">
        <v>446</v>
      </c>
      <c r="C44" s="663" t="s">
        <v>523</v>
      </c>
      <c r="D44" s="663"/>
      <c r="E44" s="663" t="s">
        <v>524</v>
      </c>
      <c r="F44" s="663"/>
      <c r="G44" s="663"/>
      <c r="H44" s="679" t="s">
        <v>525</v>
      </c>
      <c r="I44" s="663" t="s">
        <v>526</v>
      </c>
      <c r="J44" s="663"/>
      <c r="K44" s="663"/>
      <c r="L44" s="679" t="s">
        <v>359</v>
      </c>
      <c r="M44" s="664" t="s">
        <v>527</v>
      </c>
      <c r="N44" s="663"/>
      <c r="O44" s="663" t="s">
        <v>365</v>
      </c>
      <c r="P44" s="660" t="s">
        <v>361</v>
      </c>
      <c r="Q44" s="661"/>
      <c r="R44" s="661"/>
      <c r="S44" s="662"/>
      <c r="T44" s="663" t="s">
        <v>359</v>
      </c>
      <c r="U44" s="660" t="s">
        <v>361</v>
      </c>
      <c r="V44" s="661"/>
      <c r="W44" s="661"/>
      <c r="X44" s="662"/>
      <c r="Y44" s="663" t="s">
        <v>359</v>
      </c>
      <c r="Z44" s="660" t="s">
        <v>361</v>
      </c>
      <c r="AA44" s="661"/>
      <c r="AB44" s="661"/>
      <c r="AC44" s="662"/>
      <c r="AD44" s="663" t="s">
        <v>359</v>
      </c>
      <c r="AE44" s="660" t="s">
        <v>361</v>
      </c>
      <c r="AF44" s="661"/>
      <c r="AG44" s="661"/>
      <c r="AH44" s="662"/>
      <c r="AI44" s="663" t="s">
        <v>359</v>
      </c>
      <c r="AJ44" s="660" t="s">
        <v>361</v>
      </c>
      <c r="AK44" s="661"/>
      <c r="AL44" s="661"/>
      <c r="AM44" s="662"/>
      <c r="AN44" s="663" t="s">
        <v>359</v>
      </c>
      <c r="AO44" s="660" t="s">
        <v>361</v>
      </c>
      <c r="AP44" s="661"/>
      <c r="AQ44" s="661"/>
      <c r="AR44" s="662"/>
      <c r="AS44" s="663" t="s">
        <v>359</v>
      </c>
      <c r="AT44" s="660" t="s">
        <v>361</v>
      </c>
      <c r="AU44" s="661"/>
      <c r="AV44" s="661"/>
      <c r="AW44" s="662"/>
      <c r="AX44" s="663" t="s">
        <v>359</v>
      </c>
      <c r="BA44" s="663" t="s">
        <v>359</v>
      </c>
    </row>
    <row r="45" spans="2:53">
      <c r="B45" s="663"/>
      <c r="C45" s="663"/>
      <c r="D45" s="663"/>
      <c r="E45" s="663" t="s">
        <v>529</v>
      </c>
      <c r="F45" s="663"/>
      <c r="G45" s="663"/>
      <c r="H45" s="680"/>
      <c r="I45" s="663" t="s">
        <v>529</v>
      </c>
      <c r="J45" s="663"/>
      <c r="K45" s="663"/>
      <c r="L45" s="680"/>
      <c r="M45" s="665"/>
      <c r="N45" s="663"/>
      <c r="O45" s="663"/>
      <c r="P45" s="660" t="s">
        <v>367</v>
      </c>
      <c r="Q45" s="661"/>
      <c r="R45" s="661"/>
      <c r="S45" s="662"/>
      <c r="T45" s="663"/>
      <c r="U45" s="660" t="s">
        <v>367</v>
      </c>
      <c r="V45" s="661"/>
      <c r="W45" s="661"/>
      <c r="X45" s="662"/>
      <c r="Y45" s="663"/>
      <c r="Z45" s="660" t="s">
        <v>367</v>
      </c>
      <c r="AA45" s="661"/>
      <c r="AB45" s="661"/>
      <c r="AC45" s="662"/>
      <c r="AD45" s="663"/>
      <c r="AE45" s="660" t="s">
        <v>367</v>
      </c>
      <c r="AF45" s="661"/>
      <c r="AG45" s="661"/>
      <c r="AH45" s="662"/>
      <c r="AI45" s="663"/>
      <c r="AJ45" s="660" t="s">
        <v>367</v>
      </c>
      <c r="AK45" s="661"/>
      <c r="AL45" s="661"/>
      <c r="AM45" s="662"/>
      <c r="AN45" s="663"/>
      <c r="AO45" s="660" t="s">
        <v>367</v>
      </c>
      <c r="AP45" s="661"/>
      <c r="AQ45" s="661"/>
      <c r="AR45" s="662"/>
      <c r="AS45" s="663"/>
      <c r="AT45" s="660" t="s">
        <v>367</v>
      </c>
      <c r="AU45" s="661"/>
      <c r="AV45" s="661"/>
      <c r="AW45" s="662"/>
      <c r="AX45" s="663"/>
      <c r="BA45" s="663"/>
    </row>
    <row r="46" spans="2:53">
      <c r="B46" s="663"/>
      <c r="C46" s="663"/>
      <c r="D46" s="663"/>
      <c r="E46" s="367" t="s">
        <v>530</v>
      </c>
      <c r="F46" s="367" t="s">
        <v>531</v>
      </c>
      <c r="G46" s="367" t="s">
        <v>532</v>
      </c>
      <c r="H46" s="681"/>
      <c r="I46" s="367" t="s">
        <v>530</v>
      </c>
      <c r="J46" s="367" t="s">
        <v>531</v>
      </c>
      <c r="K46" s="367" t="s">
        <v>532</v>
      </c>
      <c r="L46" s="681"/>
      <c r="M46" s="666"/>
      <c r="N46" s="663"/>
      <c r="O46" s="663"/>
      <c r="P46" s="367" t="s">
        <v>368</v>
      </c>
      <c r="Q46" s="367" t="s">
        <v>369</v>
      </c>
      <c r="R46" s="367" t="s">
        <v>370</v>
      </c>
      <c r="S46" s="367" t="s">
        <v>360</v>
      </c>
      <c r="T46" s="663"/>
      <c r="U46" s="367" t="s">
        <v>368</v>
      </c>
      <c r="V46" s="367" t="s">
        <v>369</v>
      </c>
      <c r="W46" s="367" t="s">
        <v>370</v>
      </c>
      <c r="X46" s="367" t="s">
        <v>360</v>
      </c>
      <c r="Y46" s="663"/>
      <c r="Z46" s="367" t="s">
        <v>368</v>
      </c>
      <c r="AA46" s="367" t="s">
        <v>369</v>
      </c>
      <c r="AB46" s="367" t="s">
        <v>370</v>
      </c>
      <c r="AC46" s="367" t="s">
        <v>360</v>
      </c>
      <c r="AD46" s="663"/>
      <c r="AE46" s="367" t="s">
        <v>368</v>
      </c>
      <c r="AF46" s="367" t="s">
        <v>369</v>
      </c>
      <c r="AG46" s="367" t="s">
        <v>370</v>
      </c>
      <c r="AH46" s="367" t="s">
        <v>360</v>
      </c>
      <c r="AI46" s="663"/>
      <c r="AJ46" s="367" t="s">
        <v>368</v>
      </c>
      <c r="AK46" s="367" t="s">
        <v>369</v>
      </c>
      <c r="AL46" s="367" t="s">
        <v>370</v>
      </c>
      <c r="AM46" s="367" t="s">
        <v>360</v>
      </c>
      <c r="AN46" s="663"/>
      <c r="AO46" s="367" t="s">
        <v>368</v>
      </c>
      <c r="AP46" s="367" t="s">
        <v>369</v>
      </c>
      <c r="AQ46" s="367" t="s">
        <v>370</v>
      </c>
      <c r="AR46" s="367" t="s">
        <v>360</v>
      </c>
      <c r="AS46" s="663"/>
      <c r="AT46" s="367" t="s">
        <v>368</v>
      </c>
      <c r="AU46" s="367" t="s">
        <v>369</v>
      </c>
      <c r="AV46" s="367" t="s">
        <v>370</v>
      </c>
      <c r="AW46" s="367" t="s">
        <v>360</v>
      </c>
      <c r="AX46" s="663"/>
      <c r="AZ46" s="356" t="s">
        <v>551</v>
      </c>
      <c r="BA46" s="663"/>
    </row>
    <row r="47" spans="2:53">
      <c r="B47" s="663" t="s">
        <v>462</v>
      </c>
      <c r="C47" s="369">
        <v>1</v>
      </c>
      <c r="D47" s="220"/>
      <c r="E47" s="518"/>
      <c r="F47" s="516"/>
      <c r="G47" s="517"/>
      <c r="H47" s="702" t="e">
        <f>AVERAGE(G47:G61)</f>
        <v>#DIV/0!</v>
      </c>
      <c r="I47" s="370" t="str">
        <f t="shared" ref="I47:I60" si="38">IFERROR(AVERAGE(P47,U47,Z47,AE47,AJ47,AO47,AT47),"-")</f>
        <v>-</v>
      </c>
      <c r="J47" s="370" t="str">
        <f t="shared" ref="J47:J60" si="39">IFERROR(AVERAGE(Q47,V47,AA47,AF47,AK47,AP47,AU47),"-")</f>
        <v>-</v>
      </c>
      <c r="K47" s="194" t="str">
        <f t="shared" ref="K47:K60" si="40">IFERROR(AVERAGE(R47,W47,AB47,AG47,AL47,AQ47,AV47),"-")</f>
        <v>-</v>
      </c>
      <c r="L47" s="644" t="str">
        <f>IFERROR(AVERAGE(K47:K61),"-")</f>
        <v>-</v>
      </c>
      <c r="M47" s="373" t="e">
        <f>RANK(K47, K$47:$K$61)</f>
        <v>#VALUE!</v>
      </c>
      <c r="N47" s="663"/>
      <c r="O47" s="663"/>
      <c r="P47" s="516"/>
      <c r="Q47" s="518"/>
      <c r="R47" s="518"/>
      <c r="S47" s="516"/>
      <c r="T47" s="672"/>
      <c r="U47" s="516"/>
      <c r="V47" s="518"/>
      <c r="W47" s="518"/>
      <c r="X47" s="516"/>
      <c r="Y47" s="672"/>
      <c r="Z47" s="516"/>
      <c r="AA47" s="518"/>
      <c r="AB47" s="518"/>
      <c r="AC47" s="516"/>
      <c r="AD47" s="672"/>
      <c r="AE47" s="516"/>
      <c r="AF47" s="518"/>
      <c r="AG47" s="518"/>
      <c r="AH47" s="516"/>
      <c r="AI47" s="672"/>
      <c r="AJ47" s="516"/>
      <c r="AK47" s="518"/>
      <c r="AL47" s="518"/>
      <c r="AM47" s="516"/>
      <c r="AN47" s="672"/>
      <c r="AO47" s="516"/>
      <c r="AP47" s="518"/>
      <c r="AQ47" s="518"/>
      <c r="AR47" s="516"/>
      <c r="AS47" s="672"/>
      <c r="AT47" s="516"/>
      <c r="AU47" s="518"/>
      <c r="AV47" s="518"/>
      <c r="AW47" s="516"/>
      <c r="AX47" s="672"/>
      <c r="AZ47" s="357" t="e">
        <f t="shared" ref="AZ47:AZ61" si="41">RANK(AY47, AY$47:AY$61)</f>
        <v>#N/A</v>
      </c>
      <c r="BA47" s="672" t="e">
        <f t="shared" ref="BA47" si="42">AVERAGE(AY47:AY61)</f>
        <v>#DIV/0!</v>
      </c>
    </row>
    <row r="48" spans="2:53">
      <c r="B48" s="671"/>
      <c r="C48" s="369">
        <v>2</v>
      </c>
      <c r="D48" s="220"/>
      <c r="E48" s="518"/>
      <c r="F48" s="516"/>
      <c r="G48" s="517"/>
      <c r="H48" s="703"/>
      <c r="I48" s="370" t="str">
        <f t="shared" si="38"/>
        <v>-</v>
      </c>
      <c r="J48" s="370" t="str">
        <f t="shared" si="39"/>
        <v>-</v>
      </c>
      <c r="K48" s="194" t="str">
        <f t="shared" si="40"/>
        <v>-</v>
      </c>
      <c r="L48" s="645"/>
      <c r="M48" s="391" t="e">
        <f>RANK(K48, K$47:$K$61)</f>
        <v>#VALUE!</v>
      </c>
      <c r="N48" s="663"/>
      <c r="O48" s="663"/>
      <c r="P48" s="516"/>
      <c r="Q48" s="518"/>
      <c r="R48" s="518"/>
      <c r="S48" s="516"/>
      <c r="T48" s="673"/>
      <c r="U48" s="516"/>
      <c r="V48" s="518"/>
      <c r="W48" s="518"/>
      <c r="X48" s="516"/>
      <c r="Y48" s="673"/>
      <c r="Z48" s="516"/>
      <c r="AA48" s="518"/>
      <c r="AB48" s="518"/>
      <c r="AC48" s="516"/>
      <c r="AD48" s="673"/>
      <c r="AE48" s="516"/>
      <c r="AF48" s="518"/>
      <c r="AG48" s="518"/>
      <c r="AH48" s="516"/>
      <c r="AI48" s="673"/>
      <c r="AJ48" s="516"/>
      <c r="AK48" s="518"/>
      <c r="AL48" s="518"/>
      <c r="AM48" s="516"/>
      <c r="AN48" s="673"/>
      <c r="AO48" s="516"/>
      <c r="AP48" s="518"/>
      <c r="AQ48" s="518"/>
      <c r="AR48" s="516"/>
      <c r="AS48" s="673"/>
      <c r="AT48" s="516"/>
      <c r="AU48" s="518"/>
      <c r="AV48" s="518"/>
      <c r="AW48" s="516"/>
      <c r="AX48" s="673"/>
      <c r="AZ48" s="357" t="e">
        <f t="shared" si="41"/>
        <v>#N/A</v>
      </c>
      <c r="BA48" s="673"/>
    </row>
    <row r="49" spans="2:53">
      <c r="B49" s="671"/>
      <c r="C49" s="369">
        <v>3</v>
      </c>
      <c r="D49" s="220"/>
      <c r="E49" s="518"/>
      <c r="F49" s="516"/>
      <c r="G49" s="517"/>
      <c r="H49" s="703"/>
      <c r="I49" s="370" t="str">
        <f t="shared" si="38"/>
        <v>-</v>
      </c>
      <c r="J49" s="370" t="str">
        <f t="shared" si="39"/>
        <v>-</v>
      </c>
      <c r="K49" s="194" t="str">
        <f t="shared" si="40"/>
        <v>-</v>
      </c>
      <c r="L49" s="645"/>
      <c r="M49" s="391" t="e">
        <f>RANK(K49, K$47:$K$61)</f>
        <v>#VALUE!</v>
      </c>
      <c r="N49" s="663"/>
      <c r="O49" s="663"/>
      <c r="P49" s="516"/>
      <c r="Q49" s="518"/>
      <c r="R49" s="518"/>
      <c r="S49" s="516"/>
      <c r="T49" s="673"/>
      <c r="U49" s="516"/>
      <c r="V49" s="518"/>
      <c r="W49" s="518"/>
      <c r="X49" s="516"/>
      <c r="Y49" s="673"/>
      <c r="Z49" s="516"/>
      <c r="AA49" s="518"/>
      <c r="AB49" s="518"/>
      <c r="AC49" s="516"/>
      <c r="AD49" s="673"/>
      <c r="AE49" s="516"/>
      <c r="AF49" s="518"/>
      <c r="AG49" s="518"/>
      <c r="AH49" s="516"/>
      <c r="AI49" s="673"/>
      <c r="AJ49" s="516"/>
      <c r="AK49" s="518"/>
      <c r="AL49" s="518"/>
      <c r="AM49" s="516"/>
      <c r="AN49" s="673"/>
      <c r="AO49" s="516"/>
      <c r="AP49" s="518"/>
      <c r="AQ49" s="518"/>
      <c r="AR49" s="516"/>
      <c r="AS49" s="673"/>
      <c r="AT49" s="516"/>
      <c r="AU49" s="518"/>
      <c r="AV49" s="518"/>
      <c r="AW49" s="516"/>
      <c r="AX49" s="673"/>
      <c r="AZ49" s="357" t="e">
        <f t="shared" si="41"/>
        <v>#N/A</v>
      </c>
      <c r="BA49" s="673"/>
    </row>
    <row r="50" spans="2:53">
      <c r="B50" s="671"/>
      <c r="C50" s="369">
        <v>4</v>
      </c>
      <c r="D50" s="220"/>
      <c r="E50" s="518"/>
      <c r="F50" s="516"/>
      <c r="G50" s="517"/>
      <c r="H50" s="703"/>
      <c r="I50" s="370" t="str">
        <f t="shared" si="38"/>
        <v>-</v>
      </c>
      <c r="J50" s="370" t="str">
        <f t="shared" si="39"/>
        <v>-</v>
      </c>
      <c r="K50" s="194" t="str">
        <f t="shared" si="40"/>
        <v>-</v>
      </c>
      <c r="L50" s="645"/>
      <c r="M50" s="391" t="e">
        <f>RANK(K50, K$47:$K$61)</f>
        <v>#VALUE!</v>
      </c>
      <c r="N50" s="663"/>
      <c r="O50" s="663"/>
      <c r="P50" s="516"/>
      <c r="Q50" s="518"/>
      <c r="R50" s="518"/>
      <c r="S50" s="516"/>
      <c r="T50" s="673"/>
      <c r="U50" s="516"/>
      <c r="V50" s="518"/>
      <c r="W50" s="518"/>
      <c r="X50" s="516"/>
      <c r="Y50" s="673"/>
      <c r="Z50" s="516"/>
      <c r="AA50" s="518"/>
      <c r="AB50" s="518"/>
      <c r="AC50" s="516"/>
      <c r="AD50" s="673"/>
      <c r="AE50" s="516"/>
      <c r="AF50" s="518"/>
      <c r="AG50" s="518"/>
      <c r="AH50" s="516"/>
      <c r="AI50" s="673"/>
      <c r="AJ50" s="516"/>
      <c r="AK50" s="518"/>
      <c r="AL50" s="518"/>
      <c r="AM50" s="516"/>
      <c r="AN50" s="673"/>
      <c r="AO50" s="516"/>
      <c r="AP50" s="518"/>
      <c r="AQ50" s="518"/>
      <c r="AR50" s="516"/>
      <c r="AS50" s="673"/>
      <c r="AT50" s="516"/>
      <c r="AU50" s="518"/>
      <c r="AV50" s="518"/>
      <c r="AW50" s="516"/>
      <c r="AX50" s="673"/>
      <c r="AZ50" s="357" t="e">
        <f t="shared" si="41"/>
        <v>#N/A</v>
      </c>
      <c r="BA50" s="673"/>
    </row>
    <row r="51" spans="2:53">
      <c r="B51" s="671"/>
      <c r="C51" s="369">
        <v>5</v>
      </c>
      <c r="D51" s="220"/>
      <c r="E51" s="518"/>
      <c r="F51" s="516"/>
      <c r="G51" s="517"/>
      <c r="H51" s="703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45"/>
      <c r="M51" s="391" t="e">
        <f>RANK(K51, K$47:$K$61)</f>
        <v>#VALUE!</v>
      </c>
      <c r="N51" s="663"/>
      <c r="O51" s="663"/>
      <c r="P51" s="516"/>
      <c r="Q51" s="518"/>
      <c r="R51" s="518"/>
      <c r="S51" s="516"/>
      <c r="T51" s="673"/>
      <c r="U51" s="516"/>
      <c r="V51" s="518"/>
      <c r="W51" s="518"/>
      <c r="X51" s="516"/>
      <c r="Y51" s="673"/>
      <c r="Z51" s="516"/>
      <c r="AA51" s="518"/>
      <c r="AB51" s="518"/>
      <c r="AC51" s="516"/>
      <c r="AD51" s="673"/>
      <c r="AE51" s="516"/>
      <c r="AF51" s="518"/>
      <c r="AG51" s="518"/>
      <c r="AH51" s="516"/>
      <c r="AI51" s="673"/>
      <c r="AJ51" s="516"/>
      <c r="AK51" s="518"/>
      <c r="AL51" s="518"/>
      <c r="AM51" s="516"/>
      <c r="AN51" s="673"/>
      <c r="AO51" s="516"/>
      <c r="AP51" s="518"/>
      <c r="AQ51" s="518"/>
      <c r="AR51" s="516"/>
      <c r="AS51" s="673"/>
      <c r="AT51" s="516"/>
      <c r="AU51" s="518"/>
      <c r="AV51" s="518"/>
      <c r="AW51" s="516"/>
      <c r="AX51" s="673"/>
      <c r="AZ51" s="357" t="e">
        <f t="shared" si="41"/>
        <v>#N/A</v>
      </c>
      <c r="BA51" s="673"/>
    </row>
    <row r="52" spans="2:53">
      <c r="B52" s="671"/>
      <c r="C52" s="369">
        <v>6</v>
      </c>
      <c r="D52" s="220"/>
      <c r="E52" s="518"/>
      <c r="F52" s="516"/>
      <c r="G52" s="517"/>
      <c r="H52" s="703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45"/>
      <c r="M52" s="391" t="e">
        <f>RANK(K52, K$47:$K$61)</f>
        <v>#VALUE!</v>
      </c>
      <c r="N52" s="663"/>
      <c r="O52" s="663"/>
      <c r="P52" s="516"/>
      <c r="Q52" s="518"/>
      <c r="R52" s="518"/>
      <c r="S52" s="516"/>
      <c r="T52" s="673"/>
      <c r="U52" s="516"/>
      <c r="V52" s="518"/>
      <c r="W52" s="518"/>
      <c r="X52" s="516"/>
      <c r="Y52" s="673"/>
      <c r="Z52" s="516"/>
      <c r="AA52" s="518"/>
      <c r="AB52" s="518"/>
      <c r="AC52" s="516"/>
      <c r="AD52" s="673"/>
      <c r="AE52" s="516"/>
      <c r="AF52" s="518"/>
      <c r="AG52" s="518"/>
      <c r="AH52" s="516"/>
      <c r="AI52" s="673"/>
      <c r="AJ52" s="516"/>
      <c r="AK52" s="518"/>
      <c r="AL52" s="518"/>
      <c r="AM52" s="516"/>
      <c r="AN52" s="673"/>
      <c r="AO52" s="516"/>
      <c r="AP52" s="518"/>
      <c r="AQ52" s="518"/>
      <c r="AR52" s="516"/>
      <c r="AS52" s="673"/>
      <c r="AT52" s="516"/>
      <c r="AU52" s="518"/>
      <c r="AV52" s="518"/>
      <c r="AW52" s="516"/>
      <c r="AX52" s="673"/>
      <c r="AZ52" s="357" t="e">
        <f t="shared" si="41"/>
        <v>#N/A</v>
      </c>
      <c r="BA52" s="673"/>
    </row>
    <row r="53" spans="2:53">
      <c r="B53" s="671"/>
      <c r="C53" s="369">
        <v>7</v>
      </c>
      <c r="D53" s="220"/>
      <c r="E53" s="518"/>
      <c r="F53" s="516"/>
      <c r="G53" s="517"/>
      <c r="H53" s="703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45"/>
      <c r="M53" s="391" t="e">
        <f>RANK(K53, K$47:$K$61)</f>
        <v>#VALUE!</v>
      </c>
      <c r="N53" s="663"/>
      <c r="O53" s="663"/>
      <c r="P53" s="516"/>
      <c r="Q53" s="518"/>
      <c r="R53" s="518"/>
      <c r="S53" s="516"/>
      <c r="T53" s="673"/>
      <c r="U53" s="516"/>
      <c r="V53" s="518"/>
      <c r="W53" s="518"/>
      <c r="X53" s="516"/>
      <c r="Y53" s="673"/>
      <c r="Z53" s="516"/>
      <c r="AA53" s="518"/>
      <c r="AB53" s="518"/>
      <c r="AC53" s="516"/>
      <c r="AD53" s="673"/>
      <c r="AE53" s="516"/>
      <c r="AF53" s="518"/>
      <c r="AG53" s="518"/>
      <c r="AH53" s="516"/>
      <c r="AI53" s="673"/>
      <c r="AJ53" s="516"/>
      <c r="AK53" s="518"/>
      <c r="AL53" s="518"/>
      <c r="AM53" s="516"/>
      <c r="AN53" s="673"/>
      <c r="AO53" s="516"/>
      <c r="AP53" s="518"/>
      <c r="AQ53" s="518"/>
      <c r="AR53" s="516"/>
      <c r="AS53" s="673"/>
      <c r="AT53" s="516"/>
      <c r="AU53" s="518"/>
      <c r="AV53" s="518"/>
      <c r="AW53" s="516"/>
      <c r="AX53" s="673"/>
      <c r="AZ53" s="357" t="e">
        <f t="shared" si="41"/>
        <v>#N/A</v>
      </c>
      <c r="BA53" s="673"/>
    </row>
    <row r="54" spans="2:53">
      <c r="B54" s="671"/>
      <c r="C54" s="369">
        <v>8</v>
      </c>
      <c r="D54" s="220"/>
      <c r="E54" s="518"/>
      <c r="F54" s="516"/>
      <c r="G54" s="517"/>
      <c r="H54" s="703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45"/>
      <c r="M54" s="391" t="e">
        <f>RANK(K54, K$47:$K$61)</f>
        <v>#VALUE!</v>
      </c>
      <c r="N54" s="663"/>
      <c r="O54" s="663"/>
      <c r="P54" s="516"/>
      <c r="Q54" s="518"/>
      <c r="R54" s="518"/>
      <c r="S54" s="516"/>
      <c r="T54" s="673"/>
      <c r="U54" s="516"/>
      <c r="V54" s="518"/>
      <c r="W54" s="518"/>
      <c r="X54" s="516"/>
      <c r="Y54" s="673"/>
      <c r="Z54" s="516"/>
      <c r="AA54" s="518"/>
      <c r="AB54" s="518"/>
      <c r="AC54" s="516"/>
      <c r="AD54" s="673"/>
      <c r="AE54" s="516"/>
      <c r="AF54" s="518"/>
      <c r="AG54" s="518"/>
      <c r="AH54" s="516"/>
      <c r="AI54" s="673"/>
      <c r="AJ54" s="516"/>
      <c r="AK54" s="518"/>
      <c r="AL54" s="518"/>
      <c r="AM54" s="516"/>
      <c r="AN54" s="673"/>
      <c r="AO54" s="516"/>
      <c r="AP54" s="518"/>
      <c r="AQ54" s="518"/>
      <c r="AR54" s="516"/>
      <c r="AS54" s="673"/>
      <c r="AT54" s="516"/>
      <c r="AU54" s="518"/>
      <c r="AV54" s="518"/>
      <c r="AW54" s="516"/>
      <c r="AX54" s="673"/>
      <c r="AZ54" s="357" t="e">
        <f t="shared" si="41"/>
        <v>#N/A</v>
      </c>
      <c r="BA54" s="673"/>
    </row>
    <row r="55" spans="2:53">
      <c r="B55" s="671"/>
      <c r="C55" s="369">
        <v>9</v>
      </c>
      <c r="D55" s="220"/>
      <c r="E55" s="518"/>
      <c r="F55" s="516"/>
      <c r="G55" s="517"/>
      <c r="H55" s="703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45"/>
      <c r="M55" s="391" t="e">
        <f>RANK(K55, K$47:$K$61)</f>
        <v>#VALUE!</v>
      </c>
      <c r="N55" s="663"/>
      <c r="O55" s="663"/>
      <c r="P55" s="516"/>
      <c r="Q55" s="518"/>
      <c r="R55" s="518"/>
      <c r="S55" s="516"/>
      <c r="T55" s="673"/>
      <c r="U55" s="516"/>
      <c r="V55" s="518"/>
      <c r="W55" s="518"/>
      <c r="X55" s="516"/>
      <c r="Y55" s="673"/>
      <c r="Z55" s="516"/>
      <c r="AA55" s="518"/>
      <c r="AB55" s="518"/>
      <c r="AC55" s="516"/>
      <c r="AD55" s="673"/>
      <c r="AE55" s="516"/>
      <c r="AF55" s="518"/>
      <c r="AG55" s="518"/>
      <c r="AH55" s="516"/>
      <c r="AI55" s="673"/>
      <c r="AJ55" s="516"/>
      <c r="AK55" s="518"/>
      <c r="AL55" s="518"/>
      <c r="AM55" s="516"/>
      <c r="AN55" s="673"/>
      <c r="AO55" s="516"/>
      <c r="AP55" s="518"/>
      <c r="AQ55" s="518"/>
      <c r="AR55" s="516"/>
      <c r="AS55" s="673"/>
      <c r="AT55" s="516"/>
      <c r="AU55" s="518"/>
      <c r="AV55" s="518"/>
      <c r="AW55" s="516"/>
      <c r="AX55" s="673"/>
      <c r="AZ55" s="389" t="e">
        <f t="shared" si="41"/>
        <v>#N/A</v>
      </c>
      <c r="BA55" s="673"/>
    </row>
    <row r="56" spans="2:53">
      <c r="B56" s="671"/>
      <c r="C56" s="369">
        <v>10</v>
      </c>
      <c r="D56" s="220"/>
      <c r="E56" s="518"/>
      <c r="F56" s="516"/>
      <c r="G56" s="517"/>
      <c r="H56" s="703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45"/>
      <c r="M56" s="391" t="e">
        <f>RANK(K56, K$47:$K$61)</f>
        <v>#VALUE!</v>
      </c>
      <c r="N56" s="663"/>
      <c r="O56" s="663"/>
      <c r="P56" s="516"/>
      <c r="Q56" s="518"/>
      <c r="R56" s="518"/>
      <c r="S56" s="516"/>
      <c r="T56" s="673"/>
      <c r="U56" s="516"/>
      <c r="V56" s="518"/>
      <c r="W56" s="518"/>
      <c r="X56" s="516"/>
      <c r="Y56" s="673"/>
      <c r="Z56" s="516"/>
      <c r="AA56" s="518"/>
      <c r="AB56" s="518"/>
      <c r="AC56" s="516"/>
      <c r="AD56" s="673"/>
      <c r="AE56" s="516"/>
      <c r="AF56" s="518"/>
      <c r="AG56" s="518"/>
      <c r="AH56" s="516"/>
      <c r="AI56" s="673"/>
      <c r="AJ56" s="516"/>
      <c r="AK56" s="518"/>
      <c r="AL56" s="518"/>
      <c r="AM56" s="516"/>
      <c r="AN56" s="673"/>
      <c r="AO56" s="516"/>
      <c r="AP56" s="518"/>
      <c r="AQ56" s="518"/>
      <c r="AR56" s="516"/>
      <c r="AS56" s="673"/>
      <c r="AT56" s="516"/>
      <c r="AU56" s="518"/>
      <c r="AV56" s="518"/>
      <c r="AW56" s="516"/>
      <c r="AX56" s="673"/>
      <c r="AZ56" s="389" t="e">
        <f t="shared" si="41"/>
        <v>#N/A</v>
      </c>
      <c r="BA56" s="673"/>
    </row>
    <row r="57" spans="2:53">
      <c r="B57" s="671"/>
      <c r="C57" s="369">
        <v>11</v>
      </c>
      <c r="D57" s="220"/>
      <c r="E57" s="518"/>
      <c r="F57" s="516"/>
      <c r="G57" s="517"/>
      <c r="H57" s="703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45"/>
      <c r="M57" s="391" t="e">
        <f>RANK(K57, K$47:$K$61)</f>
        <v>#VALUE!</v>
      </c>
      <c r="N57" s="663"/>
      <c r="O57" s="663"/>
      <c r="P57" s="516"/>
      <c r="Q57" s="518"/>
      <c r="R57" s="518"/>
      <c r="S57" s="516"/>
      <c r="T57" s="673"/>
      <c r="U57" s="516"/>
      <c r="V57" s="518"/>
      <c r="W57" s="518"/>
      <c r="X57" s="516"/>
      <c r="Y57" s="673"/>
      <c r="Z57" s="516"/>
      <c r="AA57" s="518"/>
      <c r="AB57" s="518"/>
      <c r="AC57" s="516"/>
      <c r="AD57" s="673"/>
      <c r="AE57" s="516"/>
      <c r="AF57" s="518"/>
      <c r="AG57" s="518"/>
      <c r="AH57" s="516"/>
      <c r="AI57" s="673"/>
      <c r="AJ57" s="516"/>
      <c r="AK57" s="518"/>
      <c r="AL57" s="518"/>
      <c r="AM57" s="516"/>
      <c r="AN57" s="673"/>
      <c r="AO57" s="516"/>
      <c r="AP57" s="518"/>
      <c r="AQ57" s="518"/>
      <c r="AR57" s="516"/>
      <c r="AS57" s="673"/>
      <c r="AT57" s="516"/>
      <c r="AU57" s="518"/>
      <c r="AV57" s="518"/>
      <c r="AW57" s="516"/>
      <c r="AX57" s="673"/>
      <c r="AZ57" s="389" t="e">
        <f t="shared" si="41"/>
        <v>#N/A</v>
      </c>
      <c r="BA57" s="673"/>
    </row>
    <row r="58" spans="2:53">
      <c r="B58" s="671"/>
      <c r="C58" s="369">
        <v>12</v>
      </c>
      <c r="D58" s="220"/>
      <c r="E58" s="518"/>
      <c r="F58" s="516"/>
      <c r="G58" s="517"/>
      <c r="H58" s="703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45"/>
      <c r="M58" s="391" t="e">
        <f>RANK(K58, K$47:$K$61)</f>
        <v>#VALUE!</v>
      </c>
      <c r="N58" s="663"/>
      <c r="O58" s="663"/>
      <c r="P58" s="516"/>
      <c r="Q58" s="518"/>
      <c r="R58" s="518"/>
      <c r="S58" s="516"/>
      <c r="T58" s="673"/>
      <c r="U58" s="516"/>
      <c r="V58" s="518"/>
      <c r="W58" s="518"/>
      <c r="X58" s="516"/>
      <c r="Y58" s="673"/>
      <c r="Z58" s="516"/>
      <c r="AA58" s="518"/>
      <c r="AB58" s="518"/>
      <c r="AC58" s="516"/>
      <c r="AD58" s="673"/>
      <c r="AE58" s="516"/>
      <c r="AF58" s="518"/>
      <c r="AG58" s="518"/>
      <c r="AH58" s="516"/>
      <c r="AI58" s="673"/>
      <c r="AJ58" s="516"/>
      <c r="AK58" s="518"/>
      <c r="AL58" s="518"/>
      <c r="AM58" s="516"/>
      <c r="AN58" s="673"/>
      <c r="AO58" s="516"/>
      <c r="AP58" s="518"/>
      <c r="AQ58" s="518"/>
      <c r="AR58" s="516"/>
      <c r="AS58" s="673"/>
      <c r="AT58" s="516"/>
      <c r="AU58" s="518"/>
      <c r="AV58" s="518"/>
      <c r="AW58" s="516"/>
      <c r="AX58" s="673"/>
      <c r="AZ58" s="389" t="e">
        <f t="shared" si="41"/>
        <v>#N/A</v>
      </c>
      <c r="BA58" s="673"/>
    </row>
    <row r="59" spans="2:53">
      <c r="B59" s="671"/>
      <c r="C59" s="369">
        <v>13</v>
      </c>
      <c r="D59" s="220"/>
      <c r="E59" s="518"/>
      <c r="F59" s="516"/>
      <c r="G59" s="517"/>
      <c r="H59" s="703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45"/>
      <c r="M59" s="391" t="e">
        <f>RANK(K59, K$47:$K$61)</f>
        <v>#VALUE!</v>
      </c>
      <c r="N59" s="663"/>
      <c r="O59" s="663"/>
      <c r="P59" s="516"/>
      <c r="Q59" s="518"/>
      <c r="R59" s="518"/>
      <c r="S59" s="516"/>
      <c r="T59" s="673"/>
      <c r="U59" s="516"/>
      <c r="V59" s="518"/>
      <c r="W59" s="518"/>
      <c r="X59" s="516"/>
      <c r="Y59" s="673"/>
      <c r="Z59" s="516"/>
      <c r="AA59" s="518"/>
      <c r="AB59" s="518"/>
      <c r="AC59" s="516"/>
      <c r="AD59" s="673"/>
      <c r="AE59" s="516"/>
      <c r="AF59" s="518"/>
      <c r="AG59" s="518"/>
      <c r="AH59" s="516"/>
      <c r="AI59" s="673"/>
      <c r="AJ59" s="516"/>
      <c r="AK59" s="518"/>
      <c r="AL59" s="518"/>
      <c r="AM59" s="516"/>
      <c r="AN59" s="673"/>
      <c r="AO59" s="516"/>
      <c r="AP59" s="518"/>
      <c r="AQ59" s="518"/>
      <c r="AR59" s="516"/>
      <c r="AS59" s="673"/>
      <c r="AT59" s="516"/>
      <c r="AU59" s="518"/>
      <c r="AV59" s="518"/>
      <c r="AW59" s="516"/>
      <c r="AX59" s="673"/>
      <c r="AZ59" s="389" t="e">
        <f t="shared" si="41"/>
        <v>#N/A</v>
      </c>
      <c r="BA59" s="673"/>
    </row>
    <row r="60" spans="2:53">
      <c r="B60" s="671"/>
      <c r="C60" s="369">
        <v>14</v>
      </c>
      <c r="D60" s="220"/>
      <c r="E60" s="518"/>
      <c r="F60" s="516"/>
      <c r="G60" s="517"/>
      <c r="H60" s="703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45"/>
      <c r="M60" s="391" t="e">
        <f>RANK(K60, K$47:$K$61)</f>
        <v>#VALUE!</v>
      </c>
      <c r="N60" s="663"/>
      <c r="O60" s="663"/>
      <c r="P60" s="516"/>
      <c r="Q60" s="518"/>
      <c r="R60" s="518"/>
      <c r="S60" s="516"/>
      <c r="T60" s="673"/>
      <c r="U60" s="516"/>
      <c r="V60" s="518"/>
      <c r="W60" s="518"/>
      <c r="X60" s="516"/>
      <c r="Y60" s="673"/>
      <c r="Z60" s="516"/>
      <c r="AA60" s="518"/>
      <c r="AB60" s="518"/>
      <c r="AC60" s="516"/>
      <c r="AD60" s="673"/>
      <c r="AE60" s="516"/>
      <c r="AF60" s="518"/>
      <c r="AG60" s="518"/>
      <c r="AH60" s="516"/>
      <c r="AI60" s="673"/>
      <c r="AJ60" s="516"/>
      <c r="AK60" s="518"/>
      <c r="AL60" s="518"/>
      <c r="AM60" s="516"/>
      <c r="AN60" s="673"/>
      <c r="AO60" s="516"/>
      <c r="AP60" s="518"/>
      <c r="AQ60" s="518"/>
      <c r="AR60" s="516"/>
      <c r="AS60" s="673"/>
      <c r="AT60" s="516"/>
      <c r="AU60" s="518"/>
      <c r="AV60" s="518"/>
      <c r="AW60" s="516"/>
      <c r="AX60" s="673"/>
      <c r="AZ60" s="389" t="e">
        <f t="shared" si="41"/>
        <v>#N/A</v>
      </c>
      <c r="BA60" s="673"/>
    </row>
    <row r="61" spans="2:53">
      <c r="B61" s="671"/>
      <c r="C61" s="369">
        <v>15</v>
      </c>
      <c r="D61" s="220"/>
      <c r="E61" s="518"/>
      <c r="F61" s="516"/>
      <c r="G61" s="517"/>
      <c r="H61" s="707"/>
      <c r="I61" s="369"/>
      <c r="J61" s="369"/>
      <c r="K61" s="369"/>
      <c r="L61" s="646"/>
      <c r="M61" s="391" t="e">
        <f>RANK(K61, K$47:$K$61)</f>
        <v>#N/A</v>
      </c>
      <c r="N61" s="663"/>
      <c r="O61" s="663"/>
      <c r="P61" s="516"/>
      <c r="Q61" s="518"/>
      <c r="R61" s="518"/>
      <c r="S61" s="516"/>
      <c r="T61" s="674"/>
      <c r="U61" s="516"/>
      <c r="V61" s="518"/>
      <c r="W61" s="518"/>
      <c r="X61" s="516"/>
      <c r="Y61" s="674"/>
      <c r="Z61" s="516"/>
      <c r="AA61" s="518"/>
      <c r="AB61" s="518"/>
      <c r="AC61" s="516"/>
      <c r="AD61" s="674"/>
      <c r="AE61" s="516"/>
      <c r="AF61" s="518"/>
      <c r="AG61" s="518"/>
      <c r="AH61" s="516"/>
      <c r="AI61" s="674"/>
      <c r="AJ61" s="516"/>
      <c r="AK61" s="518"/>
      <c r="AL61" s="518"/>
      <c r="AM61" s="516"/>
      <c r="AN61" s="674"/>
      <c r="AO61" s="516"/>
      <c r="AP61" s="518"/>
      <c r="AQ61" s="518"/>
      <c r="AR61" s="516"/>
      <c r="AS61" s="674"/>
      <c r="AT61" s="516"/>
      <c r="AU61" s="518"/>
      <c r="AV61" s="518"/>
      <c r="AW61" s="516"/>
      <c r="AX61" s="674"/>
      <c r="AZ61" s="389" t="e">
        <f t="shared" si="41"/>
        <v>#N/A</v>
      </c>
      <c r="BA61" s="674"/>
    </row>
    <row r="62" spans="2:53" ht="15.75">
      <c r="B62" s="675" t="s">
        <v>162</v>
      </c>
      <c r="C62" s="676"/>
      <c r="D62" s="676"/>
      <c r="E62" s="676"/>
      <c r="F62" s="676"/>
      <c r="G62" s="676"/>
      <c r="H62" s="677"/>
      <c r="I62" s="202"/>
      <c r="J62" s="202"/>
      <c r="K62" s="202"/>
      <c r="L62" s="202"/>
      <c r="M62" s="201"/>
      <c r="N62" s="664" t="s">
        <v>156</v>
      </c>
      <c r="O62" s="664" t="s">
        <v>105</v>
      </c>
      <c r="P62" s="670">
        <f>P42+7</f>
        <v>46287</v>
      </c>
      <c r="Q62" s="671"/>
      <c r="R62" s="671"/>
      <c r="S62" s="671"/>
      <c r="T62" s="671"/>
      <c r="U62" s="667">
        <f>P62+1</f>
        <v>46288</v>
      </c>
      <c r="V62" s="668"/>
      <c r="W62" s="668"/>
      <c r="X62" s="668"/>
      <c r="Y62" s="669"/>
      <c r="Z62" s="667">
        <f>U62+1</f>
        <v>46289</v>
      </c>
      <c r="AA62" s="668"/>
      <c r="AB62" s="668"/>
      <c r="AC62" s="668"/>
      <c r="AD62" s="669"/>
      <c r="AE62" s="667">
        <f>Z62+1</f>
        <v>46290</v>
      </c>
      <c r="AF62" s="668"/>
      <c r="AG62" s="668"/>
      <c r="AH62" s="668"/>
      <c r="AI62" s="669"/>
      <c r="AJ62" s="667">
        <f>AE62+1</f>
        <v>46291</v>
      </c>
      <c r="AK62" s="668"/>
      <c r="AL62" s="668"/>
      <c r="AM62" s="668"/>
      <c r="AN62" s="669"/>
      <c r="AO62" s="667">
        <f>AJ62+1</f>
        <v>46292</v>
      </c>
      <c r="AP62" s="668"/>
      <c r="AQ62" s="668"/>
      <c r="AR62" s="668"/>
      <c r="AS62" s="669"/>
      <c r="AT62" s="667">
        <f>AO62+1</f>
        <v>46293</v>
      </c>
      <c r="AU62" s="668"/>
      <c r="AV62" s="668"/>
      <c r="AW62" s="668"/>
      <c r="AX62" s="669"/>
    </row>
    <row r="63" spans="2:53" ht="15.75">
      <c r="B63" s="678"/>
      <c r="C63" s="678"/>
      <c r="D63" s="678"/>
      <c r="E63" s="678"/>
      <c r="F63" s="678"/>
      <c r="G63" s="678"/>
      <c r="H63" s="678"/>
      <c r="I63" s="199"/>
      <c r="J63" s="199"/>
      <c r="K63" s="199"/>
      <c r="L63" s="199"/>
      <c r="M63" s="200"/>
      <c r="N63" s="666"/>
      <c r="O63" s="666"/>
      <c r="P63" s="670" t="s">
        <v>317</v>
      </c>
      <c r="Q63" s="671"/>
      <c r="R63" s="671"/>
      <c r="S63" s="671"/>
      <c r="T63" s="671"/>
      <c r="U63" s="670" t="s">
        <v>318</v>
      </c>
      <c r="V63" s="671"/>
      <c r="W63" s="671"/>
      <c r="X63" s="671"/>
      <c r="Y63" s="671"/>
      <c r="Z63" s="670" t="s">
        <v>319</v>
      </c>
      <c r="AA63" s="671"/>
      <c r="AB63" s="671"/>
      <c r="AC63" s="671"/>
      <c r="AD63" s="671"/>
      <c r="AE63" s="670" t="s">
        <v>320</v>
      </c>
      <c r="AF63" s="671"/>
      <c r="AG63" s="671"/>
      <c r="AH63" s="671"/>
      <c r="AI63" s="671"/>
      <c r="AJ63" s="670" t="s">
        <v>321</v>
      </c>
      <c r="AK63" s="671"/>
      <c r="AL63" s="671"/>
      <c r="AM63" s="671"/>
      <c r="AN63" s="671"/>
      <c r="AO63" s="670" t="s">
        <v>322</v>
      </c>
      <c r="AP63" s="671"/>
      <c r="AQ63" s="671"/>
      <c r="AR63" s="671"/>
      <c r="AS63" s="671"/>
      <c r="AT63" s="670" t="s">
        <v>323</v>
      </c>
      <c r="AU63" s="671"/>
      <c r="AV63" s="671"/>
      <c r="AW63" s="671"/>
      <c r="AX63" s="671"/>
    </row>
    <row r="64" spans="2:53">
      <c r="B64" s="663" t="s">
        <v>400</v>
      </c>
      <c r="C64" s="663" t="s">
        <v>523</v>
      </c>
      <c r="D64" s="663"/>
      <c r="E64" s="663" t="s">
        <v>524</v>
      </c>
      <c r="F64" s="663"/>
      <c r="G64" s="663"/>
      <c r="H64" s="679" t="s">
        <v>525</v>
      </c>
      <c r="I64" s="663" t="s">
        <v>526</v>
      </c>
      <c r="J64" s="663"/>
      <c r="K64" s="663"/>
      <c r="L64" s="679" t="s">
        <v>359</v>
      </c>
      <c r="M64" s="664" t="s">
        <v>527</v>
      </c>
      <c r="N64" s="663"/>
      <c r="O64" s="663" t="s">
        <v>365</v>
      </c>
      <c r="P64" s="660" t="s">
        <v>361</v>
      </c>
      <c r="Q64" s="661"/>
      <c r="R64" s="661"/>
      <c r="S64" s="662"/>
      <c r="T64" s="663" t="s">
        <v>359</v>
      </c>
      <c r="U64" s="660" t="s">
        <v>361</v>
      </c>
      <c r="V64" s="661"/>
      <c r="W64" s="661"/>
      <c r="X64" s="662"/>
      <c r="Y64" s="663" t="s">
        <v>359</v>
      </c>
      <c r="Z64" s="660" t="s">
        <v>361</v>
      </c>
      <c r="AA64" s="661"/>
      <c r="AB64" s="661"/>
      <c r="AC64" s="662"/>
      <c r="AD64" s="663" t="s">
        <v>359</v>
      </c>
      <c r="AE64" s="660" t="s">
        <v>361</v>
      </c>
      <c r="AF64" s="661"/>
      <c r="AG64" s="661"/>
      <c r="AH64" s="662"/>
      <c r="AI64" s="663" t="s">
        <v>359</v>
      </c>
      <c r="AJ64" s="660" t="s">
        <v>361</v>
      </c>
      <c r="AK64" s="661"/>
      <c r="AL64" s="661"/>
      <c r="AM64" s="662"/>
      <c r="AN64" s="663" t="s">
        <v>359</v>
      </c>
      <c r="AO64" s="660" t="s">
        <v>361</v>
      </c>
      <c r="AP64" s="661"/>
      <c r="AQ64" s="661"/>
      <c r="AR64" s="662"/>
      <c r="AS64" s="663" t="s">
        <v>359</v>
      </c>
      <c r="AT64" s="660" t="s">
        <v>361</v>
      </c>
      <c r="AU64" s="661"/>
      <c r="AV64" s="661"/>
      <c r="AW64" s="662"/>
      <c r="AX64" s="663" t="s">
        <v>359</v>
      </c>
      <c r="BA64" s="663" t="s">
        <v>359</v>
      </c>
    </row>
    <row r="65" spans="2:53">
      <c r="B65" s="663"/>
      <c r="C65" s="663"/>
      <c r="D65" s="663"/>
      <c r="E65" s="663" t="s">
        <v>529</v>
      </c>
      <c r="F65" s="663"/>
      <c r="G65" s="663"/>
      <c r="H65" s="680"/>
      <c r="I65" s="663" t="s">
        <v>529</v>
      </c>
      <c r="J65" s="663"/>
      <c r="K65" s="663"/>
      <c r="L65" s="680"/>
      <c r="M65" s="665"/>
      <c r="N65" s="663"/>
      <c r="O65" s="663"/>
      <c r="P65" s="660" t="s">
        <v>367</v>
      </c>
      <c r="Q65" s="661"/>
      <c r="R65" s="661"/>
      <c r="S65" s="662"/>
      <c r="T65" s="663"/>
      <c r="U65" s="660" t="s">
        <v>367</v>
      </c>
      <c r="V65" s="661"/>
      <c r="W65" s="661"/>
      <c r="X65" s="662"/>
      <c r="Y65" s="663"/>
      <c r="Z65" s="660" t="s">
        <v>367</v>
      </c>
      <c r="AA65" s="661"/>
      <c r="AB65" s="661"/>
      <c r="AC65" s="662"/>
      <c r="AD65" s="663"/>
      <c r="AE65" s="660" t="s">
        <v>367</v>
      </c>
      <c r="AF65" s="661"/>
      <c r="AG65" s="661"/>
      <c r="AH65" s="662"/>
      <c r="AI65" s="663"/>
      <c r="AJ65" s="660" t="s">
        <v>367</v>
      </c>
      <c r="AK65" s="661"/>
      <c r="AL65" s="661"/>
      <c r="AM65" s="662"/>
      <c r="AN65" s="663"/>
      <c r="AO65" s="660" t="s">
        <v>367</v>
      </c>
      <c r="AP65" s="661"/>
      <c r="AQ65" s="661"/>
      <c r="AR65" s="662"/>
      <c r="AS65" s="663"/>
      <c r="AT65" s="660" t="s">
        <v>367</v>
      </c>
      <c r="AU65" s="661"/>
      <c r="AV65" s="661"/>
      <c r="AW65" s="662"/>
      <c r="AX65" s="663"/>
      <c r="BA65" s="663"/>
    </row>
    <row r="66" spans="2:53">
      <c r="B66" s="663"/>
      <c r="C66" s="663"/>
      <c r="D66" s="663"/>
      <c r="E66" s="367" t="s">
        <v>530</v>
      </c>
      <c r="F66" s="367" t="s">
        <v>531</v>
      </c>
      <c r="G66" s="367" t="s">
        <v>532</v>
      </c>
      <c r="H66" s="681"/>
      <c r="I66" s="367" t="s">
        <v>530</v>
      </c>
      <c r="J66" s="367" t="s">
        <v>531</v>
      </c>
      <c r="K66" s="367" t="s">
        <v>532</v>
      </c>
      <c r="L66" s="681"/>
      <c r="M66" s="666"/>
      <c r="N66" s="663"/>
      <c r="O66" s="663"/>
      <c r="P66" s="367" t="s">
        <v>368</v>
      </c>
      <c r="Q66" s="367" t="s">
        <v>369</v>
      </c>
      <c r="R66" s="367" t="s">
        <v>370</v>
      </c>
      <c r="S66" s="367" t="s">
        <v>360</v>
      </c>
      <c r="T66" s="663"/>
      <c r="U66" s="367" t="s">
        <v>368</v>
      </c>
      <c r="V66" s="367" t="s">
        <v>369</v>
      </c>
      <c r="W66" s="367" t="s">
        <v>370</v>
      </c>
      <c r="X66" s="367" t="s">
        <v>360</v>
      </c>
      <c r="Y66" s="663"/>
      <c r="Z66" s="367" t="s">
        <v>368</v>
      </c>
      <c r="AA66" s="367" t="s">
        <v>369</v>
      </c>
      <c r="AB66" s="367" t="s">
        <v>370</v>
      </c>
      <c r="AC66" s="367" t="s">
        <v>360</v>
      </c>
      <c r="AD66" s="663"/>
      <c r="AE66" s="367" t="s">
        <v>368</v>
      </c>
      <c r="AF66" s="367" t="s">
        <v>369</v>
      </c>
      <c r="AG66" s="367" t="s">
        <v>370</v>
      </c>
      <c r="AH66" s="367" t="s">
        <v>360</v>
      </c>
      <c r="AI66" s="663"/>
      <c r="AJ66" s="367" t="s">
        <v>368</v>
      </c>
      <c r="AK66" s="367" t="s">
        <v>369</v>
      </c>
      <c r="AL66" s="367" t="s">
        <v>370</v>
      </c>
      <c r="AM66" s="367" t="s">
        <v>360</v>
      </c>
      <c r="AN66" s="663"/>
      <c r="AO66" s="367" t="s">
        <v>368</v>
      </c>
      <c r="AP66" s="367" t="s">
        <v>369</v>
      </c>
      <c r="AQ66" s="367" t="s">
        <v>370</v>
      </c>
      <c r="AR66" s="367" t="s">
        <v>360</v>
      </c>
      <c r="AS66" s="663"/>
      <c r="AT66" s="367" t="s">
        <v>368</v>
      </c>
      <c r="AU66" s="367" t="s">
        <v>369</v>
      </c>
      <c r="AV66" s="367" t="s">
        <v>370</v>
      </c>
      <c r="AW66" s="367" t="s">
        <v>360</v>
      </c>
      <c r="AX66" s="663"/>
      <c r="AZ66" s="356" t="s">
        <v>360</v>
      </c>
      <c r="BA66" s="663"/>
    </row>
    <row r="67" spans="2:53">
      <c r="B67" s="663" t="s">
        <v>414</v>
      </c>
      <c r="C67" s="369">
        <v>1</v>
      </c>
      <c r="D67" s="220"/>
      <c r="E67" s="518"/>
      <c r="F67" s="516"/>
      <c r="G67" s="517"/>
      <c r="H67" s="702" t="e">
        <f>AVERAGE(G67:G81)</f>
        <v>#DIV/0!</v>
      </c>
      <c r="I67" s="370" t="str">
        <f t="shared" ref="I67:I80" si="43">IFERROR(AVERAGE(P67,U67,Z67,AE67,AJ67,AO67,AT67),"-")</f>
        <v>-</v>
      </c>
      <c r="J67" s="370" t="str">
        <f t="shared" ref="J67:J80" si="44">IFERROR(AVERAGE(Q67,V67,AA67,AF67,AK67,AP67,AU67),"-")</f>
        <v>-</v>
      </c>
      <c r="K67" s="194" t="str">
        <f t="shared" ref="K67:K80" si="45">IFERROR(AVERAGE(R67,W67,AB67,AG67,AL67,AQ67,AV67),"-")</f>
        <v>-</v>
      </c>
      <c r="L67" s="644" t="str">
        <f>IFERROR(AVERAGE(K67:K81),"-")</f>
        <v>-</v>
      </c>
      <c r="M67" s="373" t="e">
        <f>RANK(K67, K$67:$K$81)</f>
        <v>#VALUE!</v>
      </c>
      <c r="N67" s="663"/>
      <c r="O67" s="663"/>
      <c r="P67" s="516"/>
      <c r="Q67" s="518"/>
      <c r="R67" s="518"/>
      <c r="S67" s="516"/>
      <c r="T67" s="672"/>
      <c r="U67" s="516"/>
      <c r="V67" s="518"/>
      <c r="W67" s="518"/>
      <c r="X67" s="516"/>
      <c r="Y67" s="672"/>
      <c r="Z67" s="516"/>
      <c r="AA67" s="518"/>
      <c r="AB67" s="518"/>
      <c r="AC67" s="516"/>
      <c r="AD67" s="672"/>
      <c r="AE67" s="516"/>
      <c r="AF67" s="518"/>
      <c r="AG67" s="518"/>
      <c r="AH67" s="516"/>
      <c r="AI67" s="672"/>
      <c r="AJ67" s="516"/>
      <c r="AK67" s="518"/>
      <c r="AL67" s="518"/>
      <c r="AM67" s="516"/>
      <c r="AN67" s="672"/>
      <c r="AO67" s="516"/>
      <c r="AP67" s="518"/>
      <c r="AQ67" s="518"/>
      <c r="AR67" s="516"/>
      <c r="AS67" s="672"/>
      <c r="AT67" s="516"/>
      <c r="AU67" s="518"/>
      <c r="AV67" s="518"/>
      <c r="AW67" s="516"/>
      <c r="AX67" s="672"/>
      <c r="AZ67" s="357" t="e">
        <f t="shared" ref="AZ67:AZ81" si="46">RANK(AY67, AY$67:AY$81)</f>
        <v>#N/A</v>
      </c>
      <c r="BA67" s="672" t="e">
        <f t="shared" ref="BA67" si="47">AVERAGE(AY67:AY81)</f>
        <v>#DIV/0!</v>
      </c>
    </row>
    <row r="68" spans="2:53">
      <c r="B68" s="671"/>
      <c r="C68" s="369">
        <v>2</v>
      </c>
      <c r="D68" s="220"/>
      <c r="E68" s="518"/>
      <c r="F68" s="516"/>
      <c r="G68" s="517"/>
      <c r="H68" s="703"/>
      <c r="I68" s="370" t="str">
        <f t="shared" si="43"/>
        <v>-</v>
      </c>
      <c r="J68" s="370" t="str">
        <f t="shared" si="44"/>
        <v>-</v>
      </c>
      <c r="K68" s="194" t="str">
        <f t="shared" si="45"/>
        <v>-</v>
      </c>
      <c r="L68" s="645"/>
      <c r="M68" s="373" t="e">
        <f>RANK(K68, K$67:$K$81)</f>
        <v>#VALUE!</v>
      </c>
      <c r="N68" s="663"/>
      <c r="O68" s="663"/>
      <c r="P68" s="516"/>
      <c r="Q68" s="518"/>
      <c r="R68" s="518"/>
      <c r="S68" s="516"/>
      <c r="T68" s="673"/>
      <c r="U68" s="516"/>
      <c r="V68" s="518"/>
      <c r="W68" s="518"/>
      <c r="X68" s="516"/>
      <c r="Y68" s="673"/>
      <c r="Z68" s="516"/>
      <c r="AA68" s="518"/>
      <c r="AB68" s="518"/>
      <c r="AC68" s="516"/>
      <c r="AD68" s="673"/>
      <c r="AE68" s="516"/>
      <c r="AF68" s="518"/>
      <c r="AG68" s="518"/>
      <c r="AH68" s="516"/>
      <c r="AI68" s="673"/>
      <c r="AJ68" s="516"/>
      <c r="AK68" s="518"/>
      <c r="AL68" s="518"/>
      <c r="AM68" s="516"/>
      <c r="AN68" s="673"/>
      <c r="AO68" s="516"/>
      <c r="AP68" s="518"/>
      <c r="AQ68" s="518"/>
      <c r="AR68" s="516"/>
      <c r="AS68" s="673"/>
      <c r="AT68" s="516"/>
      <c r="AU68" s="518"/>
      <c r="AV68" s="518"/>
      <c r="AW68" s="516"/>
      <c r="AX68" s="673"/>
      <c r="AZ68" s="357" t="e">
        <f t="shared" si="46"/>
        <v>#N/A</v>
      </c>
      <c r="BA68" s="673"/>
    </row>
    <row r="69" spans="2:53">
      <c r="B69" s="671"/>
      <c r="C69" s="369">
        <v>3</v>
      </c>
      <c r="D69" s="220"/>
      <c r="E69" s="518"/>
      <c r="F69" s="516"/>
      <c r="G69" s="517"/>
      <c r="H69" s="703"/>
      <c r="I69" s="370" t="str">
        <f t="shared" si="43"/>
        <v>-</v>
      </c>
      <c r="J69" s="370" t="str">
        <f t="shared" si="44"/>
        <v>-</v>
      </c>
      <c r="K69" s="194" t="str">
        <f t="shared" si="45"/>
        <v>-</v>
      </c>
      <c r="L69" s="645"/>
      <c r="M69" s="373" t="e">
        <f>RANK(K69, K$67:$K$81)</f>
        <v>#VALUE!</v>
      </c>
      <c r="N69" s="663"/>
      <c r="O69" s="663"/>
      <c r="P69" s="516"/>
      <c r="Q69" s="518"/>
      <c r="R69" s="518"/>
      <c r="S69" s="516"/>
      <c r="T69" s="673"/>
      <c r="U69" s="516"/>
      <c r="V69" s="518"/>
      <c r="W69" s="518"/>
      <c r="X69" s="516"/>
      <c r="Y69" s="673"/>
      <c r="Z69" s="516"/>
      <c r="AA69" s="518"/>
      <c r="AB69" s="518"/>
      <c r="AC69" s="516"/>
      <c r="AD69" s="673"/>
      <c r="AE69" s="516"/>
      <c r="AF69" s="518"/>
      <c r="AG69" s="518"/>
      <c r="AH69" s="516"/>
      <c r="AI69" s="673"/>
      <c r="AJ69" s="516"/>
      <c r="AK69" s="518"/>
      <c r="AL69" s="518"/>
      <c r="AM69" s="516"/>
      <c r="AN69" s="673"/>
      <c r="AO69" s="516"/>
      <c r="AP69" s="518"/>
      <c r="AQ69" s="518"/>
      <c r="AR69" s="516"/>
      <c r="AS69" s="673"/>
      <c r="AT69" s="516"/>
      <c r="AU69" s="518"/>
      <c r="AV69" s="518"/>
      <c r="AW69" s="516"/>
      <c r="AX69" s="673"/>
      <c r="AZ69" s="357" t="e">
        <f t="shared" si="46"/>
        <v>#N/A</v>
      </c>
      <c r="BA69" s="673"/>
    </row>
    <row r="70" spans="2:53">
      <c r="B70" s="671"/>
      <c r="C70" s="369">
        <v>4</v>
      </c>
      <c r="D70" s="220"/>
      <c r="E70" s="518"/>
      <c r="F70" s="516"/>
      <c r="G70" s="517"/>
      <c r="H70" s="703"/>
      <c r="I70" s="370" t="str">
        <f t="shared" si="43"/>
        <v>-</v>
      </c>
      <c r="J70" s="370" t="str">
        <f t="shared" si="44"/>
        <v>-</v>
      </c>
      <c r="K70" s="194" t="str">
        <f t="shared" si="45"/>
        <v>-</v>
      </c>
      <c r="L70" s="645"/>
      <c r="M70" s="373" t="e">
        <f>RANK(K70, K$67:$K$81)</f>
        <v>#VALUE!</v>
      </c>
      <c r="N70" s="663"/>
      <c r="O70" s="663"/>
      <c r="P70" s="516"/>
      <c r="Q70" s="518"/>
      <c r="R70" s="518"/>
      <c r="S70" s="516"/>
      <c r="T70" s="673"/>
      <c r="U70" s="516"/>
      <c r="V70" s="518"/>
      <c r="W70" s="518"/>
      <c r="X70" s="516"/>
      <c r="Y70" s="673"/>
      <c r="Z70" s="516"/>
      <c r="AA70" s="518"/>
      <c r="AB70" s="518"/>
      <c r="AC70" s="516"/>
      <c r="AD70" s="673"/>
      <c r="AE70" s="516"/>
      <c r="AF70" s="518"/>
      <c r="AG70" s="518"/>
      <c r="AH70" s="516"/>
      <c r="AI70" s="673"/>
      <c r="AJ70" s="516"/>
      <c r="AK70" s="518"/>
      <c r="AL70" s="518"/>
      <c r="AM70" s="516"/>
      <c r="AN70" s="673"/>
      <c r="AO70" s="516"/>
      <c r="AP70" s="518"/>
      <c r="AQ70" s="518"/>
      <c r="AR70" s="516"/>
      <c r="AS70" s="673"/>
      <c r="AT70" s="516"/>
      <c r="AU70" s="518"/>
      <c r="AV70" s="518"/>
      <c r="AW70" s="516"/>
      <c r="AX70" s="673"/>
      <c r="AZ70" s="357" t="e">
        <f t="shared" si="46"/>
        <v>#N/A</v>
      </c>
      <c r="BA70" s="673"/>
    </row>
    <row r="71" spans="2:53">
      <c r="B71" s="671"/>
      <c r="C71" s="369">
        <v>5</v>
      </c>
      <c r="D71" s="220"/>
      <c r="E71" s="518"/>
      <c r="F71" s="516"/>
      <c r="G71" s="517"/>
      <c r="H71" s="703"/>
      <c r="I71" s="370" t="str">
        <f t="shared" si="43"/>
        <v>-</v>
      </c>
      <c r="J71" s="370" t="str">
        <f t="shared" si="44"/>
        <v>-</v>
      </c>
      <c r="K71" s="194" t="str">
        <f t="shared" si="45"/>
        <v>-</v>
      </c>
      <c r="L71" s="645"/>
      <c r="M71" s="373" t="e">
        <f>RANK(K71, K$67:$K$81)</f>
        <v>#VALUE!</v>
      </c>
      <c r="N71" s="663"/>
      <c r="O71" s="663"/>
      <c r="P71" s="516"/>
      <c r="Q71" s="518"/>
      <c r="R71" s="518"/>
      <c r="S71" s="516"/>
      <c r="T71" s="673"/>
      <c r="U71" s="516"/>
      <c r="V71" s="518"/>
      <c r="W71" s="518"/>
      <c r="X71" s="516"/>
      <c r="Y71" s="673"/>
      <c r="Z71" s="516"/>
      <c r="AA71" s="518"/>
      <c r="AB71" s="518"/>
      <c r="AC71" s="516"/>
      <c r="AD71" s="673"/>
      <c r="AE71" s="516"/>
      <c r="AF71" s="518"/>
      <c r="AG71" s="518"/>
      <c r="AH71" s="516"/>
      <c r="AI71" s="673"/>
      <c r="AJ71" s="516"/>
      <c r="AK71" s="518"/>
      <c r="AL71" s="518"/>
      <c r="AM71" s="516"/>
      <c r="AN71" s="673"/>
      <c r="AO71" s="516"/>
      <c r="AP71" s="518"/>
      <c r="AQ71" s="518"/>
      <c r="AR71" s="516"/>
      <c r="AS71" s="673"/>
      <c r="AT71" s="516"/>
      <c r="AU71" s="518"/>
      <c r="AV71" s="518"/>
      <c r="AW71" s="516"/>
      <c r="AX71" s="673"/>
      <c r="AZ71" s="357" t="e">
        <f t="shared" si="46"/>
        <v>#N/A</v>
      </c>
      <c r="BA71" s="673"/>
    </row>
    <row r="72" spans="2:53">
      <c r="B72" s="671"/>
      <c r="C72" s="369">
        <v>6</v>
      </c>
      <c r="D72" s="220"/>
      <c r="E72" s="518"/>
      <c r="F72" s="516"/>
      <c r="G72" s="517"/>
      <c r="H72" s="703"/>
      <c r="I72" s="370" t="str">
        <f t="shared" si="43"/>
        <v>-</v>
      </c>
      <c r="J72" s="370" t="str">
        <f t="shared" si="44"/>
        <v>-</v>
      </c>
      <c r="K72" s="194" t="str">
        <f t="shared" si="45"/>
        <v>-</v>
      </c>
      <c r="L72" s="645"/>
      <c r="M72" s="373" t="e">
        <f>RANK(K72, K$67:$K$81)</f>
        <v>#VALUE!</v>
      </c>
      <c r="N72" s="663"/>
      <c r="O72" s="663"/>
      <c r="P72" s="516"/>
      <c r="Q72" s="518"/>
      <c r="R72" s="518"/>
      <c r="S72" s="516"/>
      <c r="T72" s="673"/>
      <c r="U72" s="516"/>
      <c r="V72" s="518"/>
      <c r="W72" s="518"/>
      <c r="X72" s="516"/>
      <c r="Y72" s="673"/>
      <c r="Z72" s="516"/>
      <c r="AA72" s="518"/>
      <c r="AB72" s="518"/>
      <c r="AC72" s="516"/>
      <c r="AD72" s="673"/>
      <c r="AE72" s="516"/>
      <c r="AF72" s="518"/>
      <c r="AG72" s="518"/>
      <c r="AH72" s="516"/>
      <c r="AI72" s="673"/>
      <c r="AJ72" s="516"/>
      <c r="AK72" s="518"/>
      <c r="AL72" s="518"/>
      <c r="AM72" s="516"/>
      <c r="AN72" s="673"/>
      <c r="AO72" s="516"/>
      <c r="AP72" s="518"/>
      <c r="AQ72" s="518"/>
      <c r="AR72" s="516"/>
      <c r="AS72" s="673"/>
      <c r="AT72" s="516"/>
      <c r="AU72" s="518"/>
      <c r="AV72" s="518"/>
      <c r="AW72" s="516"/>
      <c r="AX72" s="673"/>
      <c r="AZ72" s="357" t="e">
        <f t="shared" si="46"/>
        <v>#N/A</v>
      </c>
      <c r="BA72" s="673"/>
    </row>
    <row r="73" spans="2:53">
      <c r="B73" s="671"/>
      <c r="C73" s="369">
        <v>7</v>
      </c>
      <c r="D73" s="220"/>
      <c r="E73" s="518"/>
      <c r="F73" s="516"/>
      <c r="G73" s="517"/>
      <c r="H73" s="703"/>
      <c r="I73" s="370" t="str">
        <f t="shared" si="43"/>
        <v>-</v>
      </c>
      <c r="J73" s="370" t="str">
        <f t="shared" si="44"/>
        <v>-</v>
      </c>
      <c r="K73" s="194" t="str">
        <f t="shared" si="45"/>
        <v>-</v>
      </c>
      <c r="L73" s="645"/>
      <c r="M73" s="373" t="e">
        <f>RANK(K73, K$67:$K$81)</f>
        <v>#VALUE!</v>
      </c>
      <c r="N73" s="663"/>
      <c r="O73" s="663"/>
      <c r="P73" s="516"/>
      <c r="Q73" s="518"/>
      <c r="R73" s="518"/>
      <c r="S73" s="516"/>
      <c r="T73" s="673"/>
      <c r="U73" s="516"/>
      <c r="V73" s="518"/>
      <c r="W73" s="518"/>
      <c r="X73" s="516"/>
      <c r="Y73" s="673"/>
      <c r="Z73" s="516"/>
      <c r="AA73" s="518"/>
      <c r="AB73" s="518"/>
      <c r="AC73" s="516"/>
      <c r="AD73" s="673"/>
      <c r="AE73" s="516"/>
      <c r="AF73" s="518"/>
      <c r="AG73" s="518"/>
      <c r="AH73" s="516"/>
      <c r="AI73" s="673"/>
      <c r="AJ73" s="516"/>
      <c r="AK73" s="518"/>
      <c r="AL73" s="518"/>
      <c r="AM73" s="516"/>
      <c r="AN73" s="673"/>
      <c r="AO73" s="516"/>
      <c r="AP73" s="518"/>
      <c r="AQ73" s="518"/>
      <c r="AR73" s="516"/>
      <c r="AS73" s="673"/>
      <c r="AT73" s="516"/>
      <c r="AU73" s="518"/>
      <c r="AV73" s="518"/>
      <c r="AW73" s="516"/>
      <c r="AX73" s="673"/>
      <c r="AZ73" s="357" t="e">
        <f t="shared" si="46"/>
        <v>#N/A</v>
      </c>
      <c r="BA73" s="673"/>
    </row>
    <row r="74" spans="2:53">
      <c r="B74" s="671"/>
      <c r="C74" s="369">
        <v>8</v>
      </c>
      <c r="D74" s="220"/>
      <c r="E74" s="518"/>
      <c r="F74" s="516"/>
      <c r="G74" s="517"/>
      <c r="H74" s="703"/>
      <c r="I74" s="370" t="str">
        <f t="shared" si="43"/>
        <v>-</v>
      </c>
      <c r="J74" s="370" t="str">
        <f t="shared" si="44"/>
        <v>-</v>
      </c>
      <c r="K74" s="194" t="str">
        <f t="shared" si="45"/>
        <v>-</v>
      </c>
      <c r="L74" s="645"/>
      <c r="M74" s="373" t="e">
        <f>RANK(K74, K$67:$K$81)</f>
        <v>#VALUE!</v>
      </c>
      <c r="N74" s="663"/>
      <c r="O74" s="663"/>
      <c r="P74" s="516"/>
      <c r="Q74" s="518"/>
      <c r="R74" s="518"/>
      <c r="S74" s="516"/>
      <c r="T74" s="673"/>
      <c r="U74" s="516"/>
      <c r="V74" s="518"/>
      <c r="W74" s="518"/>
      <c r="X74" s="516"/>
      <c r="Y74" s="673"/>
      <c r="Z74" s="516"/>
      <c r="AA74" s="518"/>
      <c r="AB74" s="518"/>
      <c r="AC74" s="516"/>
      <c r="AD74" s="673"/>
      <c r="AE74" s="516"/>
      <c r="AF74" s="518"/>
      <c r="AG74" s="518"/>
      <c r="AH74" s="516"/>
      <c r="AI74" s="673"/>
      <c r="AJ74" s="516"/>
      <c r="AK74" s="518"/>
      <c r="AL74" s="518"/>
      <c r="AM74" s="516"/>
      <c r="AN74" s="673"/>
      <c r="AO74" s="516"/>
      <c r="AP74" s="518"/>
      <c r="AQ74" s="518"/>
      <c r="AR74" s="516"/>
      <c r="AS74" s="673"/>
      <c r="AT74" s="516"/>
      <c r="AU74" s="518"/>
      <c r="AV74" s="518"/>
      <c r="AW74" s="516"/>
      <c r="AX74" s="673"/>
      <c r="AZ74" s="357" t="e">
        <f t="shared" si="46"/>
        <v>#N/A</v>
      </c>
      <c r="BA74" s="673"/>
    </row>
    <row r="75" spans="2:53">
      <c r="B75" s="671"/>
      <c r="C75" s="369">
        <v>9</v>
      </c>
      <c r="D75" s="220"/>
      <c r="E75" s="518"/>
      <c r="F75" s="516"/>
      <c r="G75" s="517"/>
      <c r="H75" s="703"/>
      <c r="I75" s="370" t="str">
        <f t="shared" si="43"/>
        <v>-</v>
      </c>
      <c r="J75" s="370" t="str">
        <f t="shared" si="44"/>
        <v>-</v>
      </c>
      <c r="K75" s="194" t="str">
        <f t="shared" si="45"/>
        <v>-</v>
      </c>
      <c r="L75" s="645"/>
      <c r="M75" s="373" t="e">
        <f>RANK(K75, K$67:$K$81)</f>
        <v>#VALUE!</v>
      </c>
      <c r="N75" s="663"/>
      <c r="O75" s="663"/>
      <c r="P75" s="516"/>
      <c r="Q75" s="518"/>
      <c r="R75" s="518"/>
      <c r="S75" s="516"/>
      <c r="T75" s="673"/>
      <c r="U75" s="516"/>
      <c r="V75" s="518"/>
      <c r="W75" s="518"/>
      <c r="X75" s="516"/>
      <c r="Y75" s="673"/>
      <c r="Z75" s="516"/>
      <c r="AA75" s="518"/>
      <c r="AB75" s="518"/>
      <c r="AC75" s="516"/>
      <c r="AD75" s="673"/>
      <c r="AE75" s="516"/>
      <c r="AF75" s="518"/>
      <c r="AG75" s="518"/>
      <c r="AH75" s="516"/>
      <c r="AI75" s="673"/>
      <c r="AJ75" s="516"/>
      <c r="AK75" s="518"/>
      <c r="AL75" s="518"/>
      <c r="AM75" s="516"/>
      <c r="AN75" s="673"/>
      <c r="AO75" s="516"/>
      <c r="AP75" s="518"/>
      <c r="AQ75" s="518"/>
      <c r="AR75" s="516"/>
      <c r="AS75" s="673"/>
      <c r="AT75" s="516"/>
      <c r="AU75" s="518"/>
      <c r="AV75" s="518"/>
      <c r="AW75" s="516"/>
      <c r="AX75" s="673"/>
      <c r="AZ75" s="357" t="e">
        <f t="shared" si="46"/>
        <v>#N/A</v>
      </c>
      <c r="BA75" s="673"/>
    </row>
    <row r="76" spans="2:53">
      <c r="B76" s="671"/>
      <c r="C76" s="369">
        <v>10</v>
      </c>
      <c r="D76" s="220"/>
      <c r="E76" s="518"/>
      <c r="F76" s="516"/>
      <c r="G76" s="517"/>
      <c r="H76" s="703"/>
      <c r="I76" s="370" t="str">
        <f t="shared" si="43"/>
        <v>-</v>
      </c>
      <c r="J76" s="370" t="str">
        <f t="shared" si="44"/>
        <v>-</v>
      </c>
      <c r="K76" s="194" t="str">
        <f t="shared" si="45"/>
        <v>-</v>
      </c>
      <c r="L76" s="645"/>
      <c r="M76" s="373" t="e">
        <f>RANK(K76, K$67:$K$81)</f>
        <v>#VALUE!</v>
      </c>
      <c r="N76" s="663"/>
      <c r="O76" s="663"/>
      <c r="P76" s="516"/>
      <c r="Q76" s="518"/>
      <c r="R76" s="518"/>
      <c r="S76" s="516"/>
      <c r="T76" s="673"/>
      <c r="U76" s="516"/>
      <c r="V76" s="518"/>
      <c r="W76" s="518"/>
      <c r="X76" s="516"/>
      <c r="Y76" s="673"/>
      <c r="Z76" s="516"/>
      <c r="AA76" s="518"/>
      <c r="AB76" s="518"/>
      <c r="AC76" s="516"/>
      <c r="AD76" s="673"/>
      <c r="AE76" s="516"/>
      <c r="AF76" s="518"/>
      <c r="AG76" s="518"/>
      <c r="AH76" s="516"/>
      <c r="AI76" s="673"/>
      <c r="AJ76" s="516"/>
      <c r="AK76" s="518"/>
      <c r="AL76" s="518"/>
      <c r="AM76" s="516"/>
      <c r="AN76" s="673"/>
      <c r="AO76" s="516"/>
      <c r="AP76" s="518"/>
      <c r="AQ76" s="518"/>
      <c r="AR76" s="516"/>
      <c r="AS76" s="673"/>
      <c r="AT76" s="516"/>
      <c r="AU76" s="518"/>
      <c r="AV76" s="518"/>
      <c r="AW76" s="516"/>
      <c r="AX76" s="673"/>
      <c r="AZ76" s="357" t="e">
        <f t="shared" si="46"/>
        <v>#N/A</v>
      </c>
      <c r="BA76" s="673"/>
    </row>
    <row r="77" spans="2:53">
      <c r="B77" s="671"/>
      <c r="C77" s="369">
        <v>11</v>
      </c>
      <c r="D77" s="220"/>
      <c r="E77" s="518"/>
      <c r="F77" s="516"/>
      <c r="G77" s="517"/>
      <c r="H77" s="703"/>
      <c r="I77" s="370" t="str">
        <f t="shared" si="43"/>
        <v>-</v>
      </c>
      <c r="J77" s="370" t="str">
        <f t="shared" si="44"/>
        <v>-</v>
      </c>
      <c r="K77" s="194" t="str">
        <f t="shared" si="45"/>
        <v>-</v>
      </c>
      <c r="L77" s="645"/>
      <c r="M77" s="373" t="e">
        <f>RANK(K77, K$67:$K$81)</f>
        <v>#VALUE!</v>
      </c>
      <c r="N77" s="663"/>
      <c r="O77" s="663"/>
      <c r="P77" s="516"/>
      <c r="Q77" s="518"/>
      <c r="R77" s="518"/>
      <c r="S77" s="516"/>
      <c r="T77" s="673"/>
      <c r="U77" s="516"/>
      <c r="V77" s="518"/>
      <c r="W77" s="518"/>
      <c r="X77" s="516"/>
      <c r="Y77" s="673"/>
      <c r="Z77" s="516"/>
      <c r="AA77" s="518"/>
      <c r="AB77" s="518"/>
      <c r="AC77" s="516"/>
      <c r="AD77" s="673"/>
      <c r="AE77" s="516"/>
      <c r="AF77" s="518"/>
      <c r="AG77" s="518"/>
      <c r="AH77" s="516"/>
      <c r="AI77" s="673"/>
      <c r="AJ77" s="516"/>
      <c r="AK77" s="518"/>
      <c r="AL77" s="518"/>
      <c r="AM77" s="516"/>
      <c r="AN77" s="673"/>
      <c r="AO77" s="516"/>
      <c r="AP77" s="518"/>
      <c r="AQ77" s="518"/>
      <c r="AR77" s="516"/>
      <c r="AS77" s="673"/>
      <c r="AT77" s="516"/>
      <c r="AU77" s="518"/>
      <c r="AV77" s="518"/>
      <c r="AW77" s="516"/>
      <c r="AX77" s="673"/>
      <c r="AZ77" s="357" t="e">
        <f t="shared" si="46"/>
        <v>#N/A</v>
      </c>
      <c r="BA77" s="673"/>
    </row>
    <row r="78" spans="2:53">
      <c r="B78" s="671"/>
      <c r="C78" s="369">
        <v>12</v>
      </c>
      <c r="D78" s="220"/>
      <c r="E78" s="518"/>
      <c r="F78" s="516"/>
      <c r="G78" s="517"/>
      <c r="H78" s="703"/>
      <c r="I78" s="370" t="str">
        <f t="shared" si="43"/>
        <v>-</v>
      </c>
      <c r="J78" s="370" t="str">
        <f t="shared" si="44"/>
        <v>-</v>
      </c>
      <c r="K78" s="194" t="str">
        <f t="shared" si="45"/>
        <v>-</v>
      </c>
      <c r="L78" s="645"/>
      <c r="M78" s="373" t="e">
        <f>RANK(K78, K$67:$K$81)</f>
        <v>#VALUE!</v>
      </c>
      <c r="N78" s="663"/>
      <c r="O78" s="663"/>
      <c r="P78" s="516"/>
      <c r="Q78" s="518"/>
      <c r="R78" s="518"/>
      <c r="S78" s="516"/>
      <c r="T78" s="673"/>
      <c r="U78" s="516"/>
      <c r="V78" s="518"/>
      <c r="W78" s="518"/>
      <c r="X78" s="516"/>
      <c r="Y78" s="673"/>
      <c r="Z78" s="516"/>
      <c r="AA78" s="518"/>
      <c r="AB78" s="518"/>
      <c r="AC78" s="516"/>
      <c r="AD78" s="673"/>
      <c r="AE78" s="516"/>
      <c r="AF78" s="518"/>
      <c r="AG78" s="518"/>
      <c r="AH78" s="516"/>
      <c r="AI78" s="673"/>
      <c r="AJ78" s="516"/>
      <c r="AK78" s="518"/>
      <c r="AL78" s="518"/>
      <c r="AM78" s="516"/>
      <c r="AN78" s="673"/>
      <c r="AO78" s="516"/>
      <c r="AP78" s="518"/>
      <c r="AQ78" s="518"/>
      <c r="AR78" s="516"/>
      <c r="AS78" s="673"/>
      <c r="AT78" s="516"/>
      <c r="AU78" s="518"/>
      <c r="AV78" s="518"/>
      <c r="AW78" s="516"/>
      <c r="AX78" s="673"/>
      <c r="AZ78" s="357" t="e">
        <f t="shared" si="46"/>
        <v>#N/A</v>
      </c>
      <c r="BA78" s="673"/>
    </row>
    <row r="79" spans="2:53">
      <c r="B79" s="671"/>
      <c r="C79" s="369">
        <v>13</v>
      </c>
      <c r="D79" s="220"/>
      <c r="E79" s="518"/>
      <c r="F79" s="516"/>
      <c r="G79" s="517"/>
      <c r="H79" s="703"/>
      <c r="I79" s="370" t="str">
        <f t="shared" si="43"/>
        <v>-</v>
      </c>
      <c r="J79" s="370" t="str">
        <f t="shared" si="44"/>
        <v>-</v>
      </c>
      <c r="K79" s="194" t="str">
        <f t="shared" si="45"/>
        <v>-</v>
      </c>
      <c r="L79" s="645"/>
      <c r="M79" s="373" t="e">
        <f>RANK(K79, K$67:$K$81)</f>
        <v>#VALUE!</v>
      </c>
      <c r="N79" s="663"/>
      <c r="O79" s="663"/>
      <c r="P79" s="516"/>
      <c r="Q79" s="518"/>
      <c r="R79" s="518"/>
      <c r="S79" s="516"/>
      <c r="T79" s="673"/>
      <c r="U79" s="516"/>
      <c r="V79" s="518"/>
      <c r="W79" s="518"/>
      <c r="X79" s="516"/>
      <c r="Y79" s="673"/>
      <c r="Z79" s="516"/>
      <c r="AA79" s="518"/>
      <c r="AB79" s="518"/>
      <c r="AC79" s="516"/>
      <c r="AD79" s="673"/>
      <c r="AE79" s="516"/>
      <c r="AF79" s="518"/>
      <c r="AG79" s="518"/>
      <c r="AH79" s="516"/>
      <c r="AI79" s="673"/>
      <c r="AJ79" s="516"/>
      <c r="AK79" s="518"/>
      <c r="AL79" s="518"/>
      <c r="AM79" s="516"/>
      <c r="AN79" s="673"/>
      <c r="AO79" s="516"/>
      <c r="AP79" s="518"/>
      <c r="AQ79" s="518"/>
      <c r="AR79" s="516"/>
      <c r="AS79" s="673"/>
      <c r="AT79" s="516"/>
      <c r="AU79" s="518"/>
      <c r="AV79" s="518"/>
      <c r="AW79" s="516"/>
      <c r="AX79" s="673"/>
      <c r="AZ79" s="357" t="e">
        <f t="shared" si="46"/>
        <v>#N/A</v>
      </c>
      <c r="BA79" s="673"/>
    </row>
    <row r="80" spans="2:53">
      <c r="B80" s="671"/>
      <c r="C80" s="369">
        <v>14</v>
      </c>
      <c r="D80" s="220"/>
      <c r="E80" s="518"/>
      <c r="F80" s="516"/>
      <c r="G80" s="517"/>
      <c r="H80" s="703"/>
      <c r="I80" s="370" t="str">
        <f t="shared" si="43"/>
        <v>-</v>
      </c>
      <c r="J80" s="370" t="str">
        <f t="shared" si="44"/>
        <v>-</v>
      </c>
      <c r="K80" s="194" t="str">
        <f t="shared" si="45"/>
        <v>-</v>
      </c>
      <c r="L80" s="645"/>
      <c r="M80" s="373" t="e">
        <f>RANK(K80, K$67:$K$81)</f>
        <v>#VALUE!</v>
      </c>
      <c r="N80" s="663"/>
      <c r="O80" s="663"/>
      <c r="P80" s="516"/>
      <c r="Q80" s="518"/>
      <c r="R80" s="518"/>
      <c r="S80" s="516"/>
      <c r="T80" s="673"/>
      <c r="U80" s="516"/>
      <c r="V80" s="518"/>
      <c r="W80" s="518"/>
      <c r="X80" s="516"/>
      <c r="Y80" s="673"/>
      <c r="Z80" s="516"/>
      <c r="AA80" s="518"/>
      <c r="AB80" s="518"/>
      <c r="AC80" s="516"/>
      <c r="AD80" s="673"/>
      <c r="AE80" s="516"/>
      <c r="AF80" s="518"/>
      <c r="AG80" s="518"/>
      <c r="AH80" s="516"/>
      <c r="AI80" s="673"/>
      <c r="AJ80" s="516"/>
      <c r="AK80" s="518"/>
      <c r="AL80" s="518"/>
      <c r="AM80" s="516"/>
      <c r="AN80" s="673"/>
      <c r="AO80" s="516"/>
      <c r="AP80" s="518"/>
      <c r="AQ80" s="518"/>
      <c r="AR80" s="516"/>
      <c r="AS80" s="673"/>
      <c r="AT80" s="516"/>
      <c r="AU80" s="518"/>
      <c r="AV80" s="518"/>
      <c r="AW80" s="516"/>
      <c r="AX80" s="673"/>
      <c r="AZ80" s="357" t="e">
        <f t="shared" si="46"/>
        <v>#N/A</v>
      </c>
      <c r="BA80" s="673"/>
    </row>
    <row r="81" spans="2:53">
      <c r="B81" s="671"/>
      <c r="C81" s="369">
        <v>15</v>
      </c>
      <c r="D81" s="220"/>
      <c r="E81" s="518"/>
      <c r="F81" s="516"/>
      <c r="G81" s="517"/>
      <c r="H81" s="707"/>
      <c r="I81" s="369"/>
      <c r="J81" s="369"/>
      <c r="K81" s="369"/>
      <c r="L81" s="646"/>
      <c r="M81" s="373" t="e">
        <f>RANK(K81, K$47:$K$61)</f>
        <v>#N/A</v>
      </c>
      <c r="N81" s="663"/>
      <c r="O81" s="663"/>
      <c r="P81" s="516"/>
      <c r="Q81" s="518"/>
      <c r="R81" s="518"/>
      <c r="S81" s="516"/>
      <c r="T81" s="674"/>
      <c r="U81" s="516"/>
      <c r="V81" s="518"/>
      <c r="W81" s="518"/>
      <c r="X81" s="516"/>
      <c r="Y81" s="674"/>
      <c r="Z81" s="516"/>
      <c r="AA81" s="518"/>
      <c r="AB81" s="518"/>
      <c r="AC81" s="516"/>
      <c r="AD81" s="674"/>
      <c r="AE81" s="516"/>
      <c r="AF81" s="518"/>
      <c r="AG81" s="518"/>
      <c r="AH81" s="516"/>
      <c r="AI81" s="674"/>
      <c r="AJ81" s="516"/>
      <c r="AK81" s="518"/>
      <c r="AL81" s="518"/>
      <c r="AM81" s="516"/>
      <c r="AN81" s="674"/>
      <c r="AO81" s="516"/>
      <c r="AP81" s="518"/>
      <c r="AQ81" s="518"/>
      <c r="AR81" s="516"/>
      <c r="AS81" s="674"/>
      <c r="AT81" s="516"/>
      <c r="AU81" s="518"/>
      <c r="AV81" s="518"/>
      <c r="AW81" s="516"/>
      <c r="AX81" s="674"/>
      <c r="AZ81" s="357" t="e">
        <f t="shared" si="46"/>
        <v>#N/A</v>
      </c>
      <c r="BA81" s="674"/>
    </row>
    <row r="82" spans="2:53" ht="15.75">
      <c r="B82" s="675" t="s">
        <v>162</v>
      </c>
      <c r="C82" s="676"/>
      <c r="D82" s="676"/>
      <c r="E82" s="676"/>
      <c r="F82" s="676"/>
      <c r="G82" s="676"/>
      <c r="H82" s="677"/>
      <c r="I82" s="202"/>
      <c r="J82" s="202"/>
      <c r="K82" s="202"/>
      <c r="L82" s="202"/>
      <c r="M82" s="201"/>
      <c r="N82" s="664" t="s">
        <v>156</v>
      </c>
      <c r="O82" s="664" t="s">
        <v>105</v>
      </c>
      <c r="P82" s="670">
        <f>P62+7</f>
        <v>46294</v>
      </c>
      <c r="Q82" s="671"/>
      <c r="R82" s="671"/>
      <c r="S82" s="671"/>
      <c r="T82" s="671"/>
      <c r="U82" s="667">
        <f>P82+1</f>
        <v>46295</v>
      </c>
      <c r="V82" s="668"/>
      <c r="W82" s="668"/>
      <c r="X82" s="668"/>
      <c r="Y82" s="669"/>
      <c r="Z82" s="667">
        <f>U82+1</f>
        <v>46296</v>
      </c>
      <c r="AA82" s="668"/>
      <c r="AB82" s="668"/>
      <c r="AC82" s="668"/>
      <c r="AD82" s="669"/>
      <c r="AE82" s="667">
        <f>Z82+1</f>
        <v>46297</v>
      </c>
      <c r="AF82" s="668"/>
      <c r="AG82" s="668"/>
      <c r="AH82" s="668"/>
      <c r="AI82" s="669"/>
      <c r="AJ82" s="667">
        <f>AE82+1</f>
        <v>46298</v>
      </c>
      <c r="AK82" s="668"/>
      <c r="AL82" s="668"/>
      <c r="AM82" s="668"/>
      <c r="AN82" s="669"/>
      <c r="AO82" s="667">
        <f>AJ82+1</f>
        <v>46299</v>
      </c>
      <c r="AP82" s="668"/>
      <c r="AQ82" s="668"/>
      <c r="AR82" s="668"/>
      <c r="AS82" s="669"/>
      <c r="AT82" s="667">
        <f>AO82+1</f>
        <v>46300</v>
      </c>
      <c r="AU82" s="668"/>
      <c r="AV82" s="668"/>
      <c r="AW82" s="668"/>
      <c r="AX82" s="669"/>
    </row>
    <row r="83" spans="2:53" ht="15.75">
      <c r="B83" s="678"/>
      <c r="C83" s="678"/>
      <c r="D83" s="678"/>
      <c r="E83" s="678"/>
      <c r="F83" s="678"/>
      <c r="G83" s="678"/>
      <c r="H83" s="678"/>
      <c r="I83" s="199"/>
      <c r="J83" s="199"/>
      <c r="K83" s="199"/>
      <c r="L83" s="199"/>
      <c r="M83" s="200"/>
      <c r="N83" s="666"/>
      <c r="O83" s="666"/>
      <c r="P83" s="670" t="s">
        <v>317</v>
      </c>
      <c r="Q83" s="671"/>
      <c r="R83" s="671"/>
      <c r="S83" s="671"/>
      <c r="T83" s="671"/>
      <c r="U83" s="670" t="s">
        <v>318</v>
      </c>
      <c r="V83" s="671"/>
      <c r="W83" s="671"/>
      <c r="X83" s="671"/>
      <c r="Y83" s="671"/>
      <c r="Z83" s="670" t="s">
        <v>319</v>
      </c>
      <c r="AA83" s="671"/>
      <c r="AB83" s="671"/>
      <c r="AC83" s="671"/>
      <c r="AD83" s="671"/>
      <c r="AE83" s="670" t="s">
        <v>320</v>
      </c>
      <c r="AF83" s="671"/>
      <c r="AG83" s="671"/>
      <c r="AH83" s="671"/>
      <c r="AI83" s="671"/>
      <c r="AJ83" s="670" t="s">
        <v>321</v>
      </c>
      <c r="AK83" s="671"/>
      <c r="AL83" s="671"/>
      <c r="AM83" s="671"/>
      <c r="AN83" s="671"/>
      <c r="AO83" s="670" t="s">
        <v>322</v>
      </c>
      <c r="AP83" s="671"/>
      <c r="AQ83" s="671"/>
      <c r="AR83" s="671"/>
      <c r="AS83" s="671"/>
      <c r="AT83" s="670" t="s">
        <v>323</v>
      </c>
      <c r="AU83" s="671"/>
      <c r="AV83" s="671"/>
      <c r="AW83" s="671"/>
      <c r="AX83" s="671"/>
    </row>
    <row r="84" spans="2:53">
      <c r="B84" s="663" t="s">
        <v>400</v>
      </c>
      <c r="C84" s="663" t="s">
        <v>523</v>
      </c>
      <c r="D84" s="663"/>
      <c r="E84" s="663" t="s">
        <v>524</v>
      </c>
      <c r="F84" s="663"/>
      <c r="G84" s="663"/>
      <c r="H84" s="679" t="s">
        <v>525</v>
      </c>
      <c r="I84" s="663" t="s">
        <v>526</v>
      </c>
      <c r="J84" s="663"/>
      <c r="K84" s="663"/>
      <c r="L84" s="679" t="s">
        <v>359</v>
      </c>
      <c r="M84" s="664" t="s">
        <v>527</v>
      </c>
      <c r="N84" s="663"/>
      <c r="O84" s="663" t="s">
        <v>365</v>
      </c>
      <c r="P84" s="660" t="s">
        <v>361</v>
      </c>
      <c r="Q84" s="661"/>
      <c r="R84" s="661"/>
      <c r="S84" s="662"/>
      <c r="T84" s="663" t="s">
        <v>359</v>
      </c>
      <c r="U84" s="660" t="s">
        <v>361</v>
      </c>
      <c r="V84" s="661"/>
      <c r="W84" s="661"/>
      <c r="X84" s="662"/>
      <c r="Y84" s="663" t="s">
        <v>359</v>
      </c>
      <c r="Z84" s="660" t="s">
        <v>361</v>
      </c>
      <c r="AA84" s="661"/>
      <c r="AB84" s="661"/>
      <c r="AC84" s="662"/>
      <c r="AD84" s="663" t="s">
        <v>359</v>
      </c>
      <c r="AE84" s="660" t="s">
        <v>361</v>
      </c>
      <c r="AF84" s="661"/>
      <c r="AG84" s="661"/>
      <c r="AH84" s="662"/>
      <c r="AI84" s="663" t="s">
        <v>359</v>
      </c>
      <c r="AJ84" s="660" t="s">
        <v>361</v>
      </c>
      <c r="AK84" s="661"/>
      <c r="AL84" s="661"/>
      <c r="AM84" s="662"/>
      <c r="AN84" s="663" t="s">
        <v>359</v>
      </c>
      <c r="AO84" s="660" t="s">
        <v>361</v>
      </c>
      <c r="AP84" s="661"/>
      <c r="AQ84" s="661"/>
      <c r="AR84" s="662"/>
      <c r="AS84" s="663" t="s">
        <v>359</v>
      </c>
      <c r="AT84" s="660" t="s">
        <v>361</v>
      </c>
      <c r="AU84" s="661"/>
      <c r="AV84" s="661"/>
      <c r="AW84" s="662"/>
      <c r="AX84" s="663" t="s">
        <v>359</v>
      </c>
      <c r="BA84" s="663" t="s">
        <v>359</v>
      </c>
    </row>
    <row r="85" spans="2:53">
      <c r="B85" s="663"/>
      <c r="C85" s="663"/>
      <c r="D85" s="663"/>
      <c r="E85" s="663" t="s">
        <v>529</v>
      </c>
      <c r="F85" s="663"/>
      <c r="G85" s="663"/>
      <c r="H85" s="680"/>
      <c r="I85" s="663" t="s">
        <v>529</v>
      </c>
      <c r="J85" s="663"/>
      <c r="K85" s="663"/>
      <c r="L85" s="680"/>
      <c r="M85" s="665"/>
      <c r="N85" s="663"/>
      <c r="O85" s="663"/>
      <c r="P85" s="660" t="s">
        <v>367</v>
      </c>
      <c r="Q85" s="661"/>
      <c r="R85" s="661"/>
      <c r="S85" s="662"/>
      <c r="T85" s="663"/>
      <c r="U85" s="660" t="s">
        <v>367</v>
      </c>
      <c r="V85" s="661"/>
      <c r="W85" s="661"/>
      <c r="X85" s="662"/>
      <c r="Y85" s="663"/>
      <c r="Z85" s="660" t="s">
        <v>367</v>
      </c>
      <c r="AA85" s="661"/>
      <c r="AB85" s="661"/>
      <c r="AC85" s="662"/>
      <c r="AD85" s="663"/>
      <c r="AE85" s="660" t="s">
        <v>367</v>
      </c>
      <c r="AF85" s="661"/>
      <c r="AG85" s="661"/>
      <c r="AH85" s="662"/>
      <c r="AI85" s="663"/>
      <c r="AJ85" s="660" t="s">
        <v>367</v>
      </c>
      <c r="AK85" s="661"/>
      <c r="AL85" s="661"/>
      <c r="AM85" s="662"/>
      <c r="AN85" s="663"/>
      <c r="AO85" s="660" t="s">
        <v>367</v>
      </c>
      <c r="AP85" s="661"/>
      <c r="AQ85" s="661"/>
      <c r="AR85" s="662"/>
      <c r="AS85" s="663"/>
      <c r="AT85" s="660" t="s">
        <v>367</v>
      </c>
      <c r="AU85" s="661"/>
      <c r="AV85" s="661"/>
      <c r="AW85" s="662"/>
      <c r="AX85" s="663"/>
      <c r="BA85" s="663"/>
    </row>
    <row r="86" spans="2:53">
      <c r="B86" s="663"/>
      <c r="C86" s="663"/>
      <c r="D86" s="663"/>
      <c r="E86" s="367" t="s">
        <v>530</v>
      </c>
      <c r="F86" s="367" t="s">
        <v>531</v>
      </c>
      <c r="G86" s="367" t="s">
        <v>532</v>
      </c>
      <c r="H86" s="681"/>
      <c r="I86" s="367" t="s">
        <v>530</v>
      </c>
      <c r="J86" s="367" t="s">
        <v>531</v>
      </c>
      <c r="K86" s="367" t="s">
        <v>532</v>
      </c>
      <c r="L86" s="681"/>
      <c r="M86" s="666"/>
      <c r="N86" s="663"/>
      <c r="O86" s="663"/>
      <c r="P86" s="367" t="s">
        <v>368</v>
      </c>
      <c r="Q86" s="367" t="s">
        <v>369</v>
      </c>
      <c r="R86" s="367" t="s">
        <v>370</v>
      </c>
      <c r="S86" s="367" t="s">
        <v>360</v>
      </c>
      <c r="T86" s="663"/>
      <c r="U86" s="367" t="s">
        <v>368</v>
      </c>
      <c r="V86" s="367" t="s">
        <v>369</v>
      </c>
      <c r="W86" s="367" t="s">
        <v>370</v>
      </c>
      <c r="X86" s="367" t="s">
        <v>360</v>
      </c>
      <c r="Y86" s="663"/>
      <c r="Z86" s="367" t="s">
        <v>368</v>
      </c>
      <c r="AA86" s="367" t="s">
        <v>369</v>
      </c>
      <c r="AB86" s="367" t="s">
        <v>370</v>
      </c>
      <c r="AC86" s="367" t="s">
        <v>360</v>
      </c>
      <c r="AD86" s="663"/>
      <c r="AE86" s="367" t="s">
        <v>368</v>
      </c>
      <c r="AF86" s="367" t="s">
        <v>369</v>
      </c>
      <c r="AG86" s="367" t="s">
        <v>370</v>
      </c>
      <c r="AH86" s="367" t="s">
        <v>360</v>
      </c>
      <c r="AI86" s="663"/>
      <c r="AJ86" s="367" t="s">
        <v>368</v>
      </c>
      <c r="AK86" s="367" t="s">
        <v>369</v>
      </c>
      <c r="AL86" s="367" t="s">
        <v>370</v>
      </c>
      <c r="AM86" s="367" t="s">
        <v>360</v>
      </c>
      <c r="AN86" s="663"/>
      <c r="AO86" s="367" t="s">
        <v>368</v>
      </c>
      <c r="AP86" s="367" t="s">
        <v>369</v>
      </c>
      <c r="AQ86" s="367" t="s">
        <v>370</v>
      </c>
      <c r="AR86" s="367" t="s">
        <v>360</v>
      </c>
      <c r="AS86" s="663"/>
      <c r="AT86" s="367" t="s">
        <v>368</v>
      </c>
      <c r="AU86" s="367" t="s">
        <v>369</v>
      </c>
      <c r="AV86" s="367" t="s">
        <v>370</v>
      </c>
      <c r="AW86" s="367" t="s">
        <v>360</v>
      </c>
      <c r="AX86" s="663"/>
      <c r="AZ86" s="356" t="s">
        <v>360</v>
      </c>
      <c r="BA86" s="663"/>
    </row>
    <row r="87" spans="2:53">
      <c r="B87" s="663" t="s">
        <v>414</v>
      </c>
      <c r="C87" s="369">
        <v>1</v>
      </c>
      <c r="D87" s="220"/>
      <c r="E87" s="483"/>
      <c r="F87" s="480"/>
      <c r="G87" s="479"/>
      <c r="H87" s="702" t="e">
        <f>AVERAGE(G87:G101)</f>
        <v>#DIV/0!</v>
      </c>
      <c r="I87" s="370" t="str">
        <f t="shared" ref="I87:I100" si="48">IFERROR(AVERAGE(P87,U87,Z87,AE87,AJ87,AO87,AT87),"-")</f>
        <v>-</v>
      </c>
      <c r="J87" s="370" t="str">
        <f t="shared" ref="J87:J100" si="49">IFERROR(AVERAGE(Q87,V87,AA87,AF87,AK87,AP87,AU87),"-")</f>
        <v>-</v>
      </c>
      <c r="K87" s="194" t="str">
        <f t="shared" ref="K87:K100" si="50">IFERROR(AVERAGE(R87,W87,AB87,AG87,AL87,AQ87,AV87),"-")</f>
        <v>-</v>
      </c>
      <c r="L87" s="644" t="str">
        <f>IFERROR(AVERAGE(K87:K101),"-")</f>
        <v>-</v>
      </c>
      <c r="M87" s="373" t="e">
        <f>RANK(K87, K$87:$K$101)</f>
        <v>#VALUE!</v>
      </c>
      <c r="N87" s="663"/>
      <c r="O87" s="663"/>
      <c r="P87" s="516"/>
      <c r="Q87" s="518"/>
      <c r="R87" s="518"/>
      <c r="S87" s="516"/>
      <c r="T87" s="672"/>
      <c r="U87" s="516"/>
      <c r="V87" s="518"/>
      <c r="W87" s="518"/>
      <c r="X87" s="516"/>
      <c r="Y87" s="672"/>
      <c r="Z87" s="516"/>
      <c r="AA87" s="518"/>
      <c r="AB87" s="518"/>
      <c r="AC87" s="516"/>
      <c r="AD87" s="672"/>
      <c r="AE87" s="516"/>
      <c r="AF87" s="518"/>
      <c r="AG87" s="518"/>
      <c r="AH87" s="516"/>
      <c r="AI87" s="672"/>
      <c r="AJ87" s="516"/>
      <c r="AK87" s="518"/>
      <c r="AL87" s="518"/>
      <c r="AM87" s="516"/>
      <c r="AN87" s="672"/>
      <c r="AO87" s="516"/>
      <c r="AP87" s="518"/>
      <c r="AQ87" s="518"/>
      <c r="AR87" s="516"/>
      <c r="AS87" s="672"/>
      <c r="AT87" s="516"/>
      <c r="AU87" s="518"/>
      <c r="AV87" s="518"/>
      <c r="AW87" s="516"/>
      <c r="AX87" s="672"/>
      <c r="AZ87" s="357" t="e">
        <f t="shared" ref="AZ87:AZ101" si="51">RANK(AY87, AY$87:AY$101)</f>
        <v>#N/A</v>
      </c>
      <c r="BA87" s="685" t="e">
        <f t="shared" ref="BA87" si="52">AVERAGE(AY87:AY101)</f>
        <v>#DIV/0!</v>
      </c>
    </row>
    <row r="88" spans="2:53">
      <c r="B88" s="671"/>
      <c r="C88" s="369">
        <v>2</v>
      </c>
      <c r="D88" s="220"/>
      <c r="E88" s="483"/>
      <c r="F88" s="480"/>
      <c r="G88" s="479"/>
      <c r="H88" s="703"/>
      <c r="I88" s="370" t="str">
        <f t="shared" si="48"/>
        <v>-</v>
      </c>
      <c r="J88" s="370" t="str">
        <f t="shared" si="49"/>
        <v>-</v>
      </c>
      <c r="K88" s="194" t="str">
        <f t="shared" si="50"/>
        <v>-</v>
      </c>
      <c r="L88" s="645"/>
      <c r="M88" s="439" t="e">
        <f>RANK(K88, K$87:$K$101)</f>
        <v>#VALUE!</v>
      </c>
      <c r="N88" s="663"/>
      <c r="O88" s="663"/>
      <c r="P88" s="516"/>
      <c r="Q88" s="518"/>
      <c r="R88" s="518"/>
      <c r="S88" s="516"/>
      <c r="T88" s="673"/>
      <c r="U88" s="516"/>
      <c r="V88" s="518"/>
      <c r="W88" s="518"/>
      <c r="X88" s="516"/>
      <c r="Y88" s="673"/>
      <c r="Z88" s="516"/>
      <c r="AA88" s="518"/>
      <c r="AB88" s="518"/>
      <c r="AC88" s="516"/>
      <c r="AD88" s="673"/>
      <c r="AE88" s="516"/>
      <c r="AF88" s="518"/>
      <c r="AG88" s="518"/>
      <c r="AH88" s="516"/>
      <c r="AI88" s="673"/>
      <c r="AJ88" s="516"/>
      <c r="AK88" s="518"/>
      <c r="AL88" s="518"/>
      <c r="AM88" s="516"/>
      <c r="AN88" s="673"/>
      <c r="AO88" s="516"/>
      <c r="AP88" s="518"/>
      <c r="AQ88" s="518"/>
      <c r="AR88" s="516"/>
      <c r="AS88" s="673"/>
      <c r="AT88" s="516"/>
      <c r="AU88" s="518"/>
      <c r="AV88" s="518"/>
      <c r="AW88" s="516"/>
      <c r="AX88" s="673"/>
      <c r="AZ88" s="357" t="e">
        <f t="shared" si="51"/>
        <v>#N/A</v>
      </c>
      <c r="BA88" s="685"/>
    </row>
    <row r="89" spans="2:53">
      <c r="B89" s="671"/>
      <c r="C89" s="369">
        <v>3</v>
      </c>
      <c r="D89" s="220"/>
      <c r="E89" s="483"/>
      <c r="F89" s="480"/>
      <c r="G89" s="479"/>
      <c r="H89" s="703"/>
      <c r="I89" s="370" t="str">
        <f t="shared" si="48"/>
        <v>-</v>
      </c>
      <c r="J89" s="370" t="str">
        <f t="shared" si="49"/>
        <v>-</v>
      </c>
      <c r="K89" s="194" t="str">
        <f t="shared" si="50"/>
        <v>-</v>
      </c>
      <c r="L89" s="645"/>
      <c r="M89" s="439" t="e">
        <f>RANK(K89, K$87:$K$101)</f>
        <v>#VALUE!</v>
      </c>
      <c r="N89" s="663"/>
      <c r="O89" s="663"/>
      <c r="P89" s="516"/>
      <c r="Q89" s="518"/>
      <c r="R89" s="518"/>
      <c r="S89" s="516"/>
      <c r="T89" s="673"/>
      <c r="U89" s="516"/>
      <c r="V89" s="518"/>
      <c r="W89" s="518"/>
      <c r="X89" s="516"/>
      <c r="Y89" s="673"/>
      <c r="Z89" s="516"/>
      <c r="AA89" s="518"/>
      <c r="AB89" s="518"/>
      <c r="AC89" s="516"/>
      <c r="AD89" s="673"/>
      <c r="AE89" s="516"/>
      <c r="AF89" s="518"/>
      <c r="AG89" s="518"/>
      <c r="AH89" s="516"/>
      <c r="AI89" s="673"/>
      <c r="AJ89" s="516"/>
      <c r="AK89" s="518"/>
      <c r="AL89" s="518"/>
      <c r="AM89" s="516"/>
      <c r="AN89" s="673"/>
      <c r="AO89" s="516"/>
      <c r="AP89" s="518"/>
      <c r="AQ89" s="518"/>
      <c r="AR89" s="516"/>
      <c r="AS89" s="673"/>
      <c r="AT89" s="516"/>
      <c r="AU89" s="518"/>
      <c r="AV89" s="518"/>
      <c r="AW89" s="516"/>
      <c r="AX89" s="673"/>
      <c r="AZ89" s="357" t="e">
        <f t="shared" si="51"/>
        <v>#N/A</v>
      </c>
      <c r="BA89" s="685"/>
    </row>
    <row r="90" spans="2:53">
      <c r="B90" s="671"/>
      <c r="C90" s="369">
        <v>4</v>
      </c>
      <c r="D90" s="220"/>
      <c r="E90" s="483"/>
      <c r="F90" s="480"/>
      <c r="G90" s="479"/>
      <c r="H90" s="703"/>
      <c r="I90" s="370" t="str">
        <f t="shared" si="48"/>
        <v>-</v>
      </c>
      <c r="J90" s="370" t="str">
        <f t="shared" si="49"/>
        <v>-</v>
      </c>
      <c r="K90" s="194" t="str">
        <f t="shared" si="50"/>
        <v>-</v>
      </c>
      <c r="L90" s="645"/>
      <c r="M90" s="439" t="e">
        <f>RANK(K90, K$87:$K$101)</f>
        <v>#VALUE!</v>
      </c>
      <c r="N90" s="663"/>
      <c r="O90" s="663"/>
      <c r="P90" s="516"/>
      <c r="Q90" s="518"/>
      <c r="R90" s="518"/>
      <c r="S90" s="516"/>
      <c r="T90" s="673"/>
      <c r="U90" s="516"/>
      <c r="V90" s="518"/>
      <c r="W90" s="518"/>
      <c r="X90" s="516"/>
      <c r="Y90" s="673"/>
      <c r="Z90" s="516"/>
      <c r="AA90" s="518"/>
      <c r="AB90" s="518"/>
      <c r="AC90" s="516"/>
      <c r="AD90" s="673"/>
      <c r="AE90" s="516"/>
      <c r="AF90" s="518"/>
      <c r="AG90" s="518"/>
      <c r="AH90" s="516"/>
      <c r="AI90" s="673"/>
      <c r="AJ90" s="516"/>
      <c r="AK90" s="518"/>
      <c r="AL90" s="518"/>
      <c r="AM90" s="516"/>
      <c r="AN90" s="673"/>
      <c r="AO90" s="516"/>
      <c r="AP90" s="518"/>
      <c r="AQ90" s="518"/>
      <c r="AR90" s="516"/>
      <c r="AS90" s="673"/>
      <c r="AT90" s="516"/>
      <c r="AU90" s="518"/>
      <c r="AV90" s="518"/>
      <c r="AW90" s="516"/>
      <c r="AX90" s="673"/>
      <c r="AZ90" s="357" t="e">
        <f t="shared" si="51"/>
        <v>#N/A</v>
      </c>
      <c r="BA90" s="685"/>
    </row>
    <row r="91" spans="2:53">
      <c r="B91" s="671"/>
      <c r="C91" s="369">
        <v>5</v>
      </c>
      <c r="D91" s="220"/>
      <c r="E91" s="483"/>
      <c r="F91" s="480"/>
      <c r="G91" s="479"/>
      <c r="H91" s="703"/>
      <c r="I91" s="370" t="str">
        <f t="shared" si="48"/>
        <v>-</v>
      </c>
      <c r="J91" s="370" t="str">
        <f t="shared" si="49"/>
        <v>-</v>
      </c>
      <c r="K91" s="194" t="str">
        <f t="shared" si="50"/>
        <v>-</v>
      </c>
      <c r="L91" s="645"/>
      <c r="M91" s="439" t="e">
        <f>RANK(K91, K$87:$K$101)</f>
        <v>#VALUE!</v>
      </c>
      <c r="N91" s="663"/>
      <c r="O91" s="663"/>
      <c r="P91" s="516"/>
      <c r="Q91" s="518"/>
      <c r="R91" s="518"/>
      <c r="S91" s="516"/>
      <c r="T91" s="673"/>
      <c r="U91" s="516"/>
      <c r="V91" s="518"/>
      <c r="W91" s="518"/>
      <c r="X91" s="516"/>
      <c r="Y91" s="673"/>
      <c r="Z91" s="516"/>
      <c r="AA91" s="518"/>
      <c r="AB91" s="518"/>
      <c r="AC91" s="516"/>
      <c r="AD91" s="673"/>
      <c r="AE91" s="516"/>
      <c r="AF91" s="518"/>
      <c r="AG91" s="518"/>
      <c r="AH91" s="516"/>
      <c r="AI91" s="673"/>
      <c r="AJ91" s="516"/>
      <c r="AK91" s="518"/>
      <c r="AL91" s="518"/>
      <c r="AM91" s="516"/>
      <c r="AN91" s="673"/>
      <c r="AO91" s="516"/>
      <c r="AP91" s="518"/>
      <c r="AQ91" s="518"/>
      <c r="AR91" s="516"/>
      <c r="AS91" s="673"/>
      <c r="AT91" s="516"/>
      <c r="AU91" s="518"/>
      <c r="AV91" s="518"/>
      <c r="AW91" s="516"/>
      <c r="AX91" s="673"/>
      <c r="AZ91" s="357" t="e">
        <f t="shared" si="51"/>
        <v>#N/A</v>
      </c>
      <c r="BA91" s="685"/>
    </row>
    <row r="92" spans="2:53">
      <c r="B92" s="671"/>
      <c r="C92" s="369">
        <v>6</v>
      </c>
      <c r="D92" s="220"/>
      <c r="E92" s="483"/>
      <c r="F92" s="480"/>
      <c r="G92" s="479"/>
      <c r="H92" s="703"/>
      <c r="I92" s="370" t="str">
        <f t="shared" si="48"/>
        <v>-</v>
      </c>
      <c r="J92" s="370" t="str">
        <f t="shared" si="49"/>
        <v>-</v>
      </c>
      <c r="K92" s="194" t="str">
        <f t="shared" si="50"/>
        <v>-</v>
      </c>
      <c r="L92" s="645"/>
      <c r="M92" s="439" t="e">
        <f>RANK(K92, K$87:$K$101)</f>
        <v>#VALUE!</v>
      </c>
      <c r="N92" s="663"/>
      <c r="O92" s="663"/>
      <c r="P92" s="516"/>
      <c r="Q92" s="518"/>
      <c r="R92" s="518"/>
      <c r="S92" s="516"/>
      <c r="T92" s="673"/>
      <c r="U92" s="516"/>
      <c r="V92" s="518"/>
      <c r="W92" s="518"/>
      <c r="X92" s="516"/>
      <c r="Y92" s="673"/>
      <c r="Z92" s="516"/>
      <c r="AA92" s="518"/>
      <c r="AB92" s="518"/>
      <c r="AC92" s="516"/>
      <c r="AD92" s="673"/>
      <c r="AE92" s="516"/>
      <c r="AF92" s="518"/>
      <c r="AG92" s="518"/>
      <c r="AH92" s="516"/>
      <c r="AI92" s="673"/>
      <c r="AJ92" s="516"/>
      <c r="AK92" s="518"/>
      <c r="AL92" s="518"/>
      <c r="AM92" s="516"/>
      <c r="AN92" s="673"/>
      <c r="AO92" s="516"/>
      <c r="AP92" s="518"/>
      <c r="AQ92" s="518"/>
      <c r="AR92" s="516"/>
      <c r="AS92" s="673"/>
      <c r="AT92" s="516"/>
      <c r="AU92" s="518"/>
      <c r="AV92" s="518"/>
      <c r="AW92" s="516"/>
      <c r="AX92" s="673"/>
      <c r="AZ92" s="357" t="e">
        <f t="shared" si="51"/>
        <v>#N/A</v>
      </c>
      <c r="BA92" s="685"/>
    </row>
    <row r="93" spans="2:53">
      <c r="B93" s="671"/>
      <c r="C93" s="369">
        <v>7</v>
      </c>
      <c r="D93" s="220"/>
      <c r="E93" s="483"/>
      <c r="F93" s="480"/>
      <c r="G93" s="479"/>
      <c r="H93" s="703"/>
      <c r="I93" s="370" t="str">
        <f t="shared" si="48"/>
        <v>-</v>
      </c>
      <c r="J93" s="370" t="str">
        <f t="shared" si="49"/>
        <v>-</v>
      </c>
      <c r="K93" s="194" t="str">
        <f t="shared" si="50"/>
        <v>-</v>
      </c>
      <c r="L93" s="645"/>
      <c r="M93" s="439" t="e">
        <f>RANK(K93, K$87:$K$101)</f>
        <v>#VALUE!</v>
      </c>
      <c r="N93" s="663"/>
      <c r="O93" s="663"/>
      <c r="P93" s="516"/>
      <c r="Q93" s="518"/>
      <c r="R93" s="518"/>
      <c r="S93" s="516"/>
      <c r="T93" s="673"/>
      <c r="U93" s="516"/>
      <c r="V93" s="518"/>
      <c r="W93" s="518"/>
      <c r="X93" s="516"/>
      <c r="Y93" s="673"/>
      <c r="Z93" s="516"/>
      <c r="AA93" s="518"/>
      <c r="AB93" s="518"/>
      <c r="AC93" s="516"/>
      <c r="AD93" s="673"/>
      <c r="AE93" s="516"/>
      <c r="AF93" s="518"/>
      <c r="AG93" s="518"/>
      <c r="AH93" s="516"/>
      <c r="AI93" s="673"/>
      <c r="AJ93" s="516"/>
      <c r="AK93" s="518"/>
      <c r="AL93" s="518"/>
      <c r="AM93" s="516"/>
      <c r="AN93" s="673"/>
      <c r="AO93" s="516"/>
      <c r="AP93" s="518"/>
      <c r="AQ93" s="518"/>
      <c r="AR93" s="516"/>
      <c r="AS93" s="673"/>
      <c r="AT93" s="516"/>
      <c r="AU93" s="518"/>
      <c r="AV93" s="518"/>
      <c r="AW93" s="516"/>
      <c r="AX93" s="673"/>
      <c r="AZ93" s="357" t="e">
        <f t="shared" si="51"/>
        <v>#N/A</v>
      </c>
      <c r="BA93" s="685"/>
    </row>
    <row r="94" spans="2:53">
      <c r="B94" s="671"/>
      <c r="C94" s="369">
        <v>8</v>
      </c>
      <c r="D94" s="220"/>
      <c r="E94" s="483"/>
      <c r="F94" s="480"/>
      <c r="G94" s="479"/>
      <c r="H94" s="703"/>
      <c r="I94" s="370" t="str">
        <f t="shared" si="48"/>
        <v>-</v>
      </c>
      <c r="J94" s="370" t="str">
        <f t="shared" si="49"/>
        <v>-</v>
      </c>
      <c r="K94" s="194" t="str">
        <f t="shared" si="50"/>
        <v>-</v>
      </c>
      <c r="L94" s="645"/>
      <c r="M94" s="439" t="e">
        <f>RANK(K94, K$87:$K$101)</f>
        <v>#VALUE!</v>
      </c>
      <c r="N94" s="663"/>
      <c r="O94" s="663"/>
      <c r="P94" s="516"/>
      <c r="Q94" s="518"/>
      <c r="R94" s="518"/>
      <c r="S94" s="516"/>
      <c r="T94" s="673"/>
      <c r="U94" s="516"/>
      <c r="V94" s="518"/>
      <c r="W94" s="518"/>
      <c r="X94" s="516"/>
      <c r="Y94" s="673"/>
      <c r="Z94" s="516"/>
      <c r="AA94" s="518"/>
      <c r="AB94" s="518"/>
      <c r="AC94" s="516"/>
      <c r="AD94" s="673"/>
      <c r="AE94" s="516"/>
      <c r="AF94" s="518"/>
      <c r="AG94" s="518"/>
      <c r="AH94" s="516"/>
      <c r="AI94" s="673"/>
      <c r="AJ94" s="516"/>
      <c r="AK94" s="518"/>
      <c r="AL94" s="518"/>
      <c r="AM94" s="516"/>
      <c r="AN94" s="673"/>
      <c r="AO94" s="516"/>
      <c r="AP94" s="518"/>
      <c r="AQ94" s="518"/>
      <c r="AR94" s="516"/>
      <c r="AS94" s="673"/>
      <c r="AT94" s="516"/>
      <c r="AU94" s="518"/>
      <c r="AV94" s="518"/>
      <c r="AW94" s="516"/>
      <c r="AX94" s="673"/>
      <c r="AZ94" s="357" t="e">
        <f t="shared" si="51"/>
        <v>#N/A</v>
      </c>
      <c r="BA94" s="685"/>
    </row>
    <row r="95" spans="2:53">
      <c r="B95" s="671"/>
      <c r="C95" s="369">
        <v>9</v>
      </c>
      <c r="D95" s="220"/>
      <c r="E95" s="483"/>
      <c r="F95" s="480"/>
      <c r="G95" s="479"/>
      <c r="H95" s="703"/>
      <c r="I95" s="370" t="str">
        <f t="shared" si="48"/>
        <v>-</v>
      </c>
      <c r="J95" s="370" t="str">
        <f t="shared" si="49"/>
        <v>-</v>
      </c>
      <c r="K95" s="194" t="str">
        <f t="shared" si="50"/>
        <v>-</v>
      </c>
      <c r="L95" s="645"/>
      <c r="M95" s="439" t="e">
        <f>RANK(K95, K$87:$K$101)</f>
        <v>#VALUE!</v>
      </c>
      <c r="N95" s="663"/>
      <c r="O95" s="663"/>
      <c r="P95" s="516"/>
      <c r="Q95" s="518"/>
      <c r="R95" s="518"/>
      <c r="S95" s="516"/>
      <c r="T95" s="673"/>
      <c r="U95" s="516"/>
      <c r="V95" s="518"/>
      <c r="W95" s="518"/>
      <c r="X95" s="516"/>
      <c r="Y95" s="673"/>
      <c r="Z95" s="516"/>
      <c r="AA95" s="518"/>
      <c r="AB95" s="518"/>
      <c r="AC95" s="516"/>
      <c r="AD95" s="673"/>
      <c r="AE95" s="516"/>
      <c r="AF95" s="518"/>
      <c r="AG95" s="518"/>
      <c r="AH95" s="516"/>
      <c r="AI95" s="673"/>
      <c r="AJ95" s="516"/>
      <c r="AK95" s="518"/>
      <c r="AL95" s="518"/>
      <c r="AM95" s="516"/>
      <c r="AN95" s="673"/>
      <c r="AO95" s="516"/>
      <c r="AP95" s="518"/>
      <c r="AQ95" s="518"/>
      <c r="AR95" s="516"/>
      <c r="AS95" s="673"/>
      <c r="AT95" s="516"/>
      <c r="AU95" s="518"/>
      <c r="AV95" s="518"/>
      <c r="AW95" s="516"/>
      <c r="AX95" s="673"/>
      <c r="AZ95" s="357" t="e">
        <f t="shared" si="51"/>
        <v>#N/A</v>
      </c>
      <c r="BA95" s="685"/>
    </row>
    <row r="96" spans="2:53">
      <c r="B96" s="671"/>
      <c r="C96" s="369">
        <v>10</v>
      </c>
      <c r="D96" s="220"/>
      <c r="E96" s="483"/>
      <c r="F96" s="480"/>
      <c r="G96" s="479"/>
      <c r="H96" s="703"/>
      <c r="I96" s="370" t="str">
        <f t="shared" si="48"/>
        <v>-</v>
      </c>
      <c r="J96" s="370" t="str">
        <f t="shared" si="49"/>
        <v>-</v>
      </c>
      <c r="K96" s="194" t="str">
        <f t="shared" si="50"/>
        <v>-</v>
      </c>
      <c r="L96" s="645"/>
      <c r="M96" s="439" t="e">
        <f>RANK(K96, K$87:$K$101)</f>
        <v>#VALUE!</v>
      </c>
      <c r="N96" s="663"/>
      <c r="O96" s="663"/>
      <c r="P96" s="516"/>
      <c r="Q96" s="518"/>
      <c r="R96" s="518"/>
      <c r="S96" s="516"/>
      <c r="T96" s="673"/>
      <c r="U96" s="516"/>
      <c r="V96" s="518"/>
      <c r="W96" s="518"/>
      <c r="X96" s="516"/>
      <c r="Y96" s="673"/>
      <c r="Z96" s="516"/>
      <c r="AA96" s="518"/>
      <c r="AB96" s="518"/>
      <c r="AC96" s="516"/>
      <c r="AD96" s="673"/>
      <c r="AE96" s="516"/>
      <c r="AF96" s="518"/>
      <c r="AG96" s="518"/>
      <c r="AH96" s="516"/>
      <c r="AI96" s="673"/>
      <c r="AJ96" s="516"/>
      <c r="AK96" s="518"/>
      <c r="AL96" s="518"/>
      <c r="AM96" s="516"/>
      <c r="AN96" s="673"/>
      <c r="AO96" s="516"/>
      <c r="AP96" s="518"/>
      <c r="AQ96" s="518"/>
      <c r="AR96" s="516"/>
      <c r="AS96" s="673"/>
      <c r="AT96" s="516"/>
      <c r="AU96" s="518"/>
      <c r="AV96" s="518"/>
      <c r="AW96" s="516"/>
      <c r="AX96" s="673"/>
      <c r="AZ96" s="357" t="e">
        <f t="shared" si="51"/>
        <v>#N/A</v>
      </c>
      <c r="BA96" s="685"/>
    </row>
    <row r="97" spans="2:53">
      <c r="B97" s="671"/>
      <c r="C97" s="369">
        <v>11</v>
      </c>
      <c r="D97" s="220"/>
      <c r="E97" s="483"/>
      <c r="F97" s="480"/>
      <c r="G97" s="479"/>
      <c r="H97" s="703"/>
      <c r="I97" s="370" t="str">
        <f t="shared" si="48"/>
        <v>-</v>
      </c>
      <c r="J97" s="370" t="str">
        <f t="shared" si="49"/>
        <v>-</v>
      </c>
      <c r="K97" s="194" t="str">
        <f t="shared" si="50"/>
        <v>-</v>
      </c>
      <c r="L97" s="645"/>
      <c r="M97" s="439" t="e">
        <f>RANK(K97, K$87:$K$101)</f>
        <v>#VALUE!</v>
      </c>
      <c r="N97" s="663"/>
      <c r="O97" s="663"/>
      <c r="P97" s="516"/>
      <c r="Q97" s="518"/>
      <c r="R97" s="518"/>
      <c r="S97" s="516"/>
      <c r="T97" s="673"/>
      <c r="U97" s="516"/>
      <c r="V97" s="518"/>
      <c r="W97" s="518"/>
      <c r="X97" s="516"/>
      <c r="Y97" s="673"/>
      <c r="Z97" s="516"/>
      <c r="AA97" s="518"/>
      <c r="AB97" s="518"/>
      <c r="AC97" s="516"/>
      <c r="AD97" s="673"/>
      <c r="AE97" s="516"/>
      <c r="AF97" s="518"/>
      <c r="AG97" s="518"/>
      <c r="AH97" s="516"/>
      <c r="AI97" s="673"/>
      <c r="AJ97" s="516"/>
      <c r="AK97" s="518"/>
      <c r="AL97" s="518"/>
      <c r="AM97" s="516"/>
      <c r="AN97" s="673"/>
      <c r="AO97" s="516"/>
      <c r="AP97" s="518"/>
      <c r="AQ97" s="518"/>
      <c r="AR97" s="516"/>
      <c r="AS97" s="673"/>
      <c r="AT97" s="516"/>
      <c r="AU97" s="518"/>
      <c r="AV97" s="518"/>
      <c r="AW97" s="516"/>
      <c r="AX97" s="673"/>
      <c r="AZ97" s="357" t="e">
        <f t="shared" si="51"/>
        <v>#N/A</v>
      </c>
      <c r="BA97" s="685"/>
    </row>
    <row r="98" spans="2:53">
      <c r="B98" s="671"/>
      <c r="C98" s="369">
        <v>12</v>
      </c>
      <c r="D98" s="220"/>
      <c r="E98" s="483"/>
      <c r="F98" s="480"/>
      <c r="G98" s="479"/>
      <c r="H98" s="703"/>
      <c r="I98" s="370" t="str">
        <f t="shared" si="48"/>
        <v>-</v>
      </c>
      <c r="J98" s="370" t="str">
        <f t="shared" si="49"/>
        <v>-</v>
      </c>
      <c r="K98" s="194" t="str">
        <f t="shared" si="50"/>
        <v>-</v>
      </c>
      <c r="L98" s="645"/>
      <c r="M98" s="439" t="e">
        <f>RANK(K98, K$87:$K$101)</f>
        <v>#VALUE!</v>
      </c>
      <c r="N98" s="663"/>
      <c r="O98" s="663"/>
      <c r="P98" s="516"/>
      <c r="Q98" s="518"/>
      <c r="R98" s="518"/>
      <c r="S98" s="516"/>
      <c r="T98" s="673"/>
      <c r="U98" s="516"/>
      <c r="V98" s="518"/>
      <c r="W98" s="518"/>
      <c r="X98" s="516"/>
      <c r="Y98" s="673"/>
      <c r="Z98" s="516"/>
      <c r="AA98" s="518"/>
      <c r="AB98" s="518"/>
      <c r="AC98" s="516"/>
      <c r="AD98" s="673"/>
      <c r="AE98" s="516"/>
      <c r="AF98" s="518"/>
      <c r="AG98" s="518"/>
      <c r="AH98" s="516"/>
      <c r="AI98" s="673"/>
      <c r="AJ98" s="516"/>
      <c r="AK98" s="518"/>
      <c r="AL98" s="518"/>
      <c r="AM98" s="516"/>
      <c r="AN98" s="673"/>
      <c r="AO98" s="516"/>
      <c r="AP98" s="518"/>
      <c r="AQ98" s="518"/>
      <c r="AR98" s="516"/>
      <c r="AS98" s="673"/>
      <c r="AT98" s="516"/>
      <c r="AU98" s="518"/>
      <c r="AV98" s="518"/>
      <c r="AW98" s="516"/>
      <c r="AX98" s="673"/>
      <c r="AZ98" s="357" t="e">
        <f t="shared" si="51"/>
        <v>#N/A</v>
      </c>
      <c r="BA98" s="685"/>
    </row>
    <row r="99" spans="2:53">
      <c r="B99" s="671"/>
      <c r="C99" s="369">
        <v>13</v>
      </c>
      <c r="D99" s="220"/>
      <c r="E99" s="483"/>
      <c r="F99" s="480"/>
      <c r="G99" s="479"/>
      <c r="H99" s="703"/>
      <c r="I99" s="370" t="str">
        <f t="shared" si="48"/>
        <v>-</v>
      </c>
      <c r="J99" s="370" t="str">
        <f t="shared" si="49"/>
        <v>-</v>
      </c>
      <c r="K99" s="194" t="str">
        <f t="shared" si="50"/>
        <v>-</v>
      </c>
      <c r="L99" s="645"/>
      <c r="M99" s="439" t="e">
        <f>RANK(K99, K$87:$K$101)</f>
        <v>#VALUE!</v>
      </c>
      <c r="N99" s="663"/>
      <c r="O99" s="663"/>
      <c r="P99" s="516"/>
      <c r="Q99" s="518"/>
      <c r="R99" s="518"/>
      <c r="S99" s="516"/>
      <c r="T99" s="673"/>
      <c r="U99" s="516"/>
      <c r="V99" s="518"/>
      <c r="W99" s="518"/>
      <c r="X99" s="516"/>
      <c r="Y99" s="673"/>
      <c r="Z99" s="516"/>
      <c r="AA99" s="518"/>
      <c r="AB99" s="518"/>
      <c r="AC99" s="516"/>
      <c r="AD99" s="673"/>
      <c r="AE99" s="516"/>
      <c r="AF99" s="518"/>
      <c r="AG99" s="518"/>
      <c r="AH99" s="516"/>
      <c r="AI99" s="673"/>
      <c r="AJ99" s="516"/>
      <c r="AK99" s="518"/>
      <c r="AL99" s="518"/>
      <c r="AM99" s="516"/>
      <c r="AN99" s="673"/>
      <c r="AO99" s="516"/>
      <c r="AP99" s="518"/>
      <c r="AQ99" s="518"/>
      <c r="AR99" s="516"/>
      <c r="AS99" s="673"/>
      <c r="AT99" s="516"/>
      <c r="AU99" s="518"/>
      <c r="AV99" s="518"/>
      <c r="AW99" s="516"/>
      <c r="AX99" s="673"/>
      <c r="AZ99" s="357" t="e">
        <f t="shared" si="51"/>
        <v>#N/A</v>
      </c>
      <c r="BA99" s="685"/>
    </row>
    <row r="100" spans="2:53">
      <c r="B100" s="671"/>
      <c r="C100" s="369">
        <v>14</v>
      </c>
      <c r="D100" s="220"/>
      <c r="E100" s="483"/>
      <c r="F100" s="480"/>
      <c r="G100" s="479"/>
      <c r="H100" s="703"/>
      <c r="I100" s="370" t="str">
        <f t="shared" si="48"/>
        <v>-</v>
      </c>
      <c r="J100" s="370" t="str">
        <f t="shared" si="49"/>
        <v>-</v>
      </c>
      <c r="K100" s="194" t="str">
        <f t="shared" si="50"/>
        <v>-</v>
      </c>
      <c r="L100" s="645"/>
      <c r="M100" s="439" t="e">
        <f>RANK(K100, K$87:$K$101)</f>
        <v>#VALUE!</v>
      </c>
      <c r="N100" s="663"/>
      <c r="O100" s="663"/>
      <c r="P100" s="516"/>
      <c r="Q100" s="518"/>
      <c r="R100" s="518"/>
      <c r="S100" s="516"/>
      <c r="T100" s="673"/>
      <c r="U100" s="516"/>
      <c r="V100" s="518"/>
      <c r="W100" s="518"/>
      <c r="X100" s="516"/>
      <c r="Y100" s="673"/>
      <c r="Z100" s="516"/>
      <c r="AA100" s="518"/>
      <c r="AB100" s="518"/>
      <c r="AC100" s="516"/>
      <c r="AD100" s="673"/>
      <c r="AE100" s="516"/>
      <c r="AF100" s="518"/>
      <c r="AG100" s="518"/>
      <c r="AH100" s="516"/>
      <c r="AI100" s="673"/>
      <c r="AJ100" s="516"/>
      <c r="AK100" s="518"/>
      <c r="AL100" s="518"/>
      <c r="AM100" s="516"/>
      <c r="AN100" s="673"/>
      <c r="AO100" s="516"/>
      <c r="AP100" s="518"/>
      <c r="AQ100" s="518"/>
      <c r="AR100" s="516"/>
      <c r="AS100" s="673"/>
      <c r="AT100" s="516"/>
      <c r="AU100" s="518"/>
      <c r="AV100" s="518"/>
      <c r="AW100" s="516"/>
      <c r="AX100" s="673"/>
      <c r="AZ100" s="357" t="e">
        <f t="shared" si="51"/>
        <v>#N/A</v>
      </c>
      <c r="BA100" s="685"/>
    </row>
    <row r="101" spans="2:53">
      <c r="B101" s="671"/>
      <c r="C101" s="369">
        <v>15</v>
      </c>
      <c r="D101" s="220"/>
      <c r="E101" s="483"/>
      <c r="F101" s="480"/>
      <c r="G101" s="479"/>
      <c r="H101" s="707"/>
      <c r="I101" s="369"/>
      <c r="J101" s="369"/>
      <c r="K101" s="369"/>
      <c r="L101" s="646"/>
      <c r="M101" s="439" t="e">
        <f>RANK(K101, K$87:$K$101)</f>
        <v>#N/A</v>
      </c>
      <c r="N101" s="663"/>
      <c r="O101" s="663"/>
      <c r="P101" s="516"/>
      <c r="Q101" s="518"/>
      <c r="R101" s="518"/>
      <c r="S101" s="516"/>
      <c r="T101" s="674"/>
      <c r="U101" s="516"/>
      <c r="V101" s="518"/>
      <c r="W101" s="518"/>
      <c r="X101" s="516"/>
      <c r="Y101" s="674"/>
      <c r="Z101" s="516"/>
      <c r="AA101" s="518"/>
      <c r="AB101" s="518"/>
      <c r="AC101" s="516"/>
      <c r="AD101" s="674"/>
      <c r="AE101" s="516"/>
      <c r="AF101" s="518"/>
      <c r="AG101" s="518"/>
      <c r="AH101" s="516"/>
      <c r="AI101" s="674"/>
      <c r="AJ101" s="516"/>
      <c r="AK101" s="518"/>
      <c r="AL101" s="518"/>
      <c r="AM101" s="516"/>
      <c r="AN101" s="674"/>
      <c r="AO101" s="516"/>
      <c r="AP101" s="518"/>
      <c r="AQ101" s="518"/>
      <c r="AR101" s="516"/>
      <c r="AS101" s="674"/>
      <c r="AT101" s="516"/>
      <c r="AU101" s="518"/>
      <c r="AV101" s="518"/>
      <c r="AW101" s="516"/>
      <c r="AX101" s="674"/>
      <c r="AZ101" s="357" t="e">
        <f t="shared" si="51"/>
        <v>#N/A</v>
      </c>
      <c r="BA101" s="685"/>
    </row>
    <row r="102" spans="2:53" ht="15.75">
      <c r="B102" s="675" t="s">
        <v>162</v>
      </c>
      <c r="C102" s="676"/>
      <c r="D102" s="676"/>
      <c r="E102" s="676"/>
      <c r="F102" s="676"/>
      <c r="G102" s="676"/>
      <c r="H102" s="677"/>
      <c r="I102" s="202"/>
      <c r="J102" s="202"/>
      <c r="K102" s="202"/>
      <c r="L102" s="202"/>
      <c r="M102" s="201"/>
      <c r="N102" s="664" t="s">
        <v>156</v>
      </c>
      <c r="O102" s="664" t="s">
        <v>105</v>
      </c>
      <c r="P102" s="670">
        <f>P82+7</f>
        <v>46301</v>
      </c>
      <c r="Q102" s="671"/>
      <c r="R102" s="671"/>
      <c r="S102" s="671"/>
      <c r="T102" s="671"/>
      <c r="U102" s="667">
        <f>P102+1</f>
        <v>46302</v>
      </c>
      <c r="V102" s="668"/>
      <c r="W102" s="668"/>
      <c r="X102" s="668"/>
      <c r="Y102" s="669"/>
      <c r="Z102" s="667">
        <f>U102+1</f>
        <v>46303</v>
      </c>
      <c r="AA102" s="668"/>
      <c r="AB102" s="668"/>
      <c r="AC102" s="668"/>
      <c r="AD102" s="669"/>
      <c r="AE102" s="667">
        <f>Z102+1</f>
        <v>46304</v>
      </c>
      <c r="AF102" s="668"/>
      <c r="AG102" s="668"/>
      <c r="AH102" s="668"/>
      <c r="AI102" s="669"/>
      <c r="AJ102" s="667">
        <f>AE102+1</f>
        <v>46305</v>
      </c>
      <c r="AK102" s="668"/>
      <c r="AL102" s="668"/>
      <c r="AM102" s="668"/>
      <c r="AN102" s="669"/>
      <c r="AO102" s="667">
        <f>AJ102+1</f>
        <v>46306</v>
      </c>
      <c r="AP102" s="668"/>
      <c r="AQ102" s="668"/>
      <c r="AR102" s="668"/>
      <c r="AS102" s="669"/>
      <c r="AT102" s="667">
        <f>AO102+1</f>
        <v>46307</v>
      </c>
      <c r="AU102" s="668"/>
      <c r="AV102" s="668"/>
      <c r="AW102" s="668"/>
      <c r="AX102" s="669"/>
    </row>
    <row r="103" spans="2:53" ht="15.75">
      <c r="B103" s="678"/>
      <c r="C103" s="678"/>
      <c r="D103" s="678"/>
      <c r="E103" s="678"/>
      <c r="F103" s="678"/>
      <c r="G103" s="678"/>
      <c r="H103" s="678"/>
      <c r="I103" s="199"/>
      <c r="J103" s="199"/>
      <c r="K103" s="199"/>
      <c r="L103" s="199"/>
      <c r="M103" s="200"/>
      <c r="N103" s="666"/>
      <c r="O103" s="666"/>
      <c r="P103" s="670" t="s">
        <v>158</v>
      </c>
      <c r="Q103" s="671"/>
      <c r="R103" s="671"/>
      <c r="S103" s="671"/>
      <c r="T103" s="671"/>
      <c r="U103" s="670" t="s">
        <v>114</v>
      </c>
      <c r="V103" s="671"/>
      <c r="W103" s="671"/>
      <c r="X103" s="671"/>
      <c r="Y103" s="671"/>
      <c r="Z103" s="670" t="s">
        <v>159</v>
      </c>
      <c r="AA103" s="671"/>
      <c r="AB103" s="671"/>
      <c r="AC103" s="671"/>
      <c r="AD103" s="671"/>
      <c r="AE103" s="670" t="s">
        <v>157</v>
      </c>
      <c r="AF103" s="671"/>
      <c r="AG103" s="671"/>
      <c r="AH103" s="671"/>
      <c r="AI103" s="671"/>
      <c r="AJ103" s="670" t="s">
        <v>160</v>
      </c>
      <c r="AK103" s="671"/>
      <c r="AL103" s="671"/>
      <c r="AM103" s="671"/>
      <c r="AN103" s="671"/>
      <c r="AO103" s="670" t="s">
        <v>115</v>
      </c>
      <c r="AP103" s="671"/>
      <c r="AQ103" s="671"/>
      <c r="AR103" s="671"/>
      <c r="AS103" s="671"/>
      <c r="AT103" s="670" t="s">
        <v>161</v>
      </c>
      <c r="AU103" s="671"/>
      <c r="AV103" s="671"/>
      <c r="AW103" s="671"/>
      <c r="AX103" s="671"/>
    </row>
    <row r="104" spans="2:53">
      <c r="B104" s="663" t="s">
        <v>522</v>
      </c>
      <c r="C104" s="663" t="s">
        <v>523</v>
      </c>
      <c r="D104" s="663"/>
      <c r="E104" s="663" t="s">
        <v>524</v>
      </c>
      <c r="F104" s="663"/>
      <c r="G104" s="663"/>
      <c r="H104" s="679" t="s">
        <v>525</v>
      </c>
      <c r="I104" s="663" t="s">
        <v>526</v>
      </c>
      <c r="J104" s="663"/>
      <c r="K104" s="663"/>
      <c r="L104" s="679" t="s">
        <v>359</v>
      </c>
      <c r="M104" s="664" t="s">
        <v>527</v>
      </c>
      <c r="N104" s="663"/>
      <c r="O104" s="663" t="s">
        <v>513</v>
      </c>
      <c r="P104" s="660" t="s">
        <v>514</v>
      </c>
      <c r="Q104" s="661"/>
      <c r="R104" s="661"/>
      <c r="S104" s="662"/>
      <c r="T104" s="663" t="s">
        <v>510</v>
      </c>
      <c r="U104" s="660" t="s">
        <v>514</v>
      </c>
      <c r="V104" s="661"/>
      <c r="W104" s="661"/>
      <c r="X104" s="662"/>
      <c r="Y104" s="663" t="s">
        <v>510</v>
      </c>
      <c r="Z104" s="660" t="s">
        <v>514</v>
      </c>
      <c r="AA104" s="661"/>
      <c r="AB104" s="661"/>
      <c r="AC104" s="662"/>
      <c r="AD104" s="663" t="s">
        <v>510</v>
      </c>
      <c r="AE104" s="660" t="s">
        <v>514</v>
      </c>
      <c r="AF104" s="661"/>
      <c r="AG104" s="661"/>
      <c r="AH104" s="662"/>
      <c r="AI104" s="663" t="s">
        <v>510</v>
      </c>
      <c r="AJ104" s="660" t="s">
        <v>514</v>
      </c>
      <c r="AK104" s="661"/>
      <c r="AL104" s="661"/>
      <c r="AM104" s="662"/>
      <c r="AN104" s="663" t="s">
        <v>510</v>
      </c>
      <c r="AO104" s="660" t="s">
        <v>514</v>
      </c>
      <c r="AP104" s="661"/>
      <c r="AQ104" s="661"/>
      <c r="AR104" s="662"/>
      <c r="AS104" s="663" t="s">
        <v>510</v>
      </c>
      <c r="AT104" s="660" t="s">
        <v>514</v>
      </c>
      <c r="AU104" s="661"/>
      <c r="AV104" s="661"/>
      <c r="AW104" s="662"/>
      <c r="AX104" s="663" t="s">
        <v>510</v>
      </c>
      <c r="BA104" s="663" t="s">
        <v>359</v>
      </c>
    </row>
    <row r="105" spans="2:53">
      <c r="B105" s="663"/>
      <c r="C105" s="663"/>
      <c r="D105" s="663"/>
      <c r="E105" s="663" t="s">
        <v>529</v>
      </c>
      <c r="F105" s="663"/>
      <c r="G105" s="663"/>
      <c r="H105" s="680"/>
      <c r="I105" s="663" t="s">
        <v>529</v>
      </c>
      <c r="J105" s="663"/>
      <c r="K105" s="663"/>
      <c r="L105" s="680"/>
      <c r="M105" s="665"/>
      <c r="N105" s="663"/>
      <c r="O105" s="663"/>
      <c r="P105" s="660" t="s">
        <v>516</v>
      </c>
      <c r="Q105" s="661"/>
      <c r="R105" s="661"/>
      <c r="S105" s="662"/>
      <c r="T105" s="663"/>
      <c r="U105" s="660" t="s">
        <v>516</v>
      </c>
      <c r="V105" s="661"/>
      <c r="W105" s="661"/>
      <c r="X105" s="662"/>
      <c r="Y105" s="663"/>
      <c r="Z105" s="660" t="s">
        <v>516</v>
      </c>
      <c r="AA105" s="661"/>
      <c r="AB105" s="661"/>
      <c r="AC105" s="662"/>
      <c r="AD105" s="663"/>
      <c r="AE105" s="660" t="s">
        <v>516</v>
      </c>
      <c r="AF105" s="661"/>
      <c r="AG105" s="661"/>
      <c r="AH105" s="662"/>
      <c r="AI105" s="663"/>
      <c r="AJ105" s="660" t="s">
        <v>516</v>
      </c>
      <c r="AK105" s="661"/>
      <c r="AL105" s="661"/>
      <c r="AM105" s="662"/>
      <c r="AN105" s="663"/>
      <c r="AO105" s="660" t="s">
        <v>516</v>
      </c>
      <c r="AP105" s="661"/>
      <c r="AQ105" s="661"/>
      <c r="AR105" s="662"/>
      <c r="AS105" s="663"/>
      <c r="AT105" s="660" t="s">
        <v>516</v>
      </c>
      <c r="AU105" s="661"/>
      <c r="AV105" s="661"/>
      <c r="AW105" s="662"/>
      <c r="AX105" s="663"/>
      <c r="BA105" s="663"/>
    </row>
    <row r="106" spans="2:53">
      <c r="B106" s="663"/>
      <c r="C106" s="663"/>
      <c r="D106" s="663"/>
      <c r="E106" s="334" t="s">
        <v>530</v>
      </c>
      <c r="F106" s="334" t="s">
        <v>531</v>
      </c>
      <c r="G106" s="334" t="s">
        <v>532</v>
      </c>
      <c r="H106" s="681"/>
      <c r="I106" s="334" t="s">
        <v>530</v>
      </c>
      <c r="J106" s="334" t="s">
        <v>531</v>
      </c>
      <c r="K106" s="334" t="s">
        <v>532</v>
      </c>
      <c r="L106" s="681"/>
      <c r="M106" s="666"/>
      <c r="N106" s="663"/>
      <c r="O106" s="663"/>
      <c r="P106" s="334" t="s">
        <v>517</v>
      </c>
      <c r="Q106" s="334" t="s">
        <v>518</v>
      </c>
      <c r="R106" s="334" t="s">
        <v>519</v>
      </c>
      <c r="S106" s="334" t="s">
        <v>512</v>
      </c>
      <c r="T106" s="663"/>
      <c r="U106" s="334" t="s">
        <v>517</v>
      </c>
      <c r="V106" s="334" t="s">
        <v>518</v>
      </c>
      <c r="W106" s="334" t="s">
        <v>519</v>
      </c>
      <c r="X106" s="334" t="s">
        <v>512</v>
      </c>
      <c r="Y106" s="663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63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63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63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63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63"/>
      <c r="AZ106" s="356" t="s">
        <v>512</v>
      </c>
      <c r="BA106" s="663"/>
    </row>
    <row r="107" spans="2:53">
      <c r="B107" s="663" t="s">
        <v>136</v>
      </c>
      <c r="C107" s="337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53">IFERROR(AVERAGE(P107,U107,Z107,AE107,AJ107,AO107,AT107),"-")</f>
        <v>-</v>
      </c>
      <c r="J107" s="352" t="str">
        <f t="shared" ref="J107:J120" si="54">IFERROR(AVERAGE(Q107,V107,AA107,AF107,AK107,AP107,AU107),"-")</f>
        <v>-</v>
      </c>
      <c r="K107" s="194" t="str">
        <f t="shared" ref="K107:K120" si="55">IFERROR(AVERAGE(R107,W107,AB107,AG107,AL107,AQ107,AV107),"-")</f>
        <v>-</v>
      </c>
      <c r="L107" s="644" t="str">
        <f>IFERROR(AVERAGE(K107:K121),"-")</f>
        <v>-</v>
      </c>
      <c r="M107" s="338" t="e">
        <f>RANK(K107, K$67:$K$81)</f>
        <v>#VALUE!</v>
      </c>
      <c r="N107" s="663"/>
      <c r="O107" s="663"/>
      <c r="P107" s="516"/>
      <c r="Q107" s="518"/>
      <c r="R107" s="518"/>
      <c r="S107" s="516"/>
      <c r="T107" s="672"/>
      <c r="U107" s="516"/>
      <c r="V107" s="518"/>
      <c r="W107" s="518"/>
      <c r="X107" s="516"/>
      <c r="Y107" s="672"/>
      <c r="Z107" s="516"/>
      <c r="AA107" s="518"/>
      <c r="AB107" s="518"/>
      <c r="AC107" s="516"/>
      <c r="AD107" s="672"/>
      <c r="AE107" s="516"/>
      <c r="AF107" s="518"/>
      <c r="AG107" s="518"/>
      <c r="AH107" s="516"/>
      <c r="AI107" s="672"/>
      <c r="AJ107" s="516"/>
      <c r="AK107" s="518"/>
      <c r="AL107" s="518"/>
      <c r="AM107" s="516"/>
      <c r="AN107" s="672"/>
      <c r="AO107" s="516"/>
      <c r="AP107" s="518"/>
      <c r="AQ107" s="518"/>
      <c r="AR107" s="516"/>
      <c r="AS107" s="672"/>
      <c r="AT107" s="516"/>
      <c r="AU107" s="518"/>
      <c r="AV107" s="518"/>
      <c r="AW107" s="516"/>
      <c r="AX107" s="672"/>
      <c r="AZ107" s="358" t="e">
        <f>RANK(AY107, AY$67:AY$81)</f>
        <v>#N/A</v>
      </c>
      <c r="BA107" s="708" t="e">
        <f>AVERAGE(AY107:AY121)</f>
        <v>#DIV/0!</v>
      </c>
    </row>
    <row r="108" spans="2:53">
      <c r="B108" s="692"/>
      <c r="C108" s="337">
        <v>2</v>
      </c>
      <c r="D108" s="220"/>
      <c r="E108" s="176"/>
      <c r="F108" s="342"/>
      <c r="G108" s="343"/>
      <c r="H108" s="703"/>
      <c r="I108" s="352" t="str">
        <f t="shared" si="53"/>
        <v>-</v>
      </c>
      <c r="J108" s="352" t="str">
        <f t="shared" si="54"/>
        <v>-</v>
      </c>
      <c r="K108" s="194" t="str">
        <f t="shared" si="55"/>
        <v>-</v>
      </c>
      <c r="L108" s="645"/>
      <c r="M108" s="338" t="e">
        <f>RANK(K108, K$67:$K$81)</f>
        <v>#VALUE!</v>
      </c>
      <c r="N108" s="663"/>
      <c r="O108" s="663"/>
      <c r="P108" s="516"/>
      <c r="Q108" s="518"/>
      <c r="R108" s="518"/>
      <c r="S108" s="516"/>
      <c r="T108" s="673"/>
      <c r="U108" s="516"/>
      <c r="V108" s="518"/>
      <c r="W108" s="518"/>
      <c r="X108" s="516"/>
      <c r="Y108" s="673"/>
      <c r="Z108" s="516"/>
      <c r="AA108" s="518"/>
      <c r="AB108" s="518"/>
      <c r="AC108" s="516"/>
      <c r="AD108" s="673"/>
      <c r="AE108" s="516"/>
      <c r="AF108" s="518"/>
      <c r="AG108" s="518"/>
      <c r="AH108" s="516"/>
      <c r="AI108" s="673"/>
      <c r="AJ108" s="516"/>
      <c r="AK108" s="518"/>
      <c r="AL108" s="518"/>
      <c r="AM108" s="516"/>
      <c r="AN108" s="673"/>
      <c r="AO108" s="516"/>
      <c r="AP108" s="518"/>
      <c r="AQ108" s="518"/>
      <c r="AR108" s="516"/>
      <c r="AS108" s="673"/>
      <c r="AT108" s="516"/>
      <c r="AU108" s="518"/>
      <c r="AV108" s="518"/>
      <c r="AW108" s="516"/>
      <c r="AX108" s="673"/>
      <c r="AZ108" s="358" t="e">
        <f t="shared" ref="AZ108:AZ121" si="56">RANK(AY108, AY$67:AY$81)</f>
        <v>#N/A</v>
      </c>
      <c r="BA108" s="708"/>
    </row>
    <row r="109" spans="2:53">
      <c r="B109" s="692"/>
      <c r="C109" s="337">
        <v>3</v>
      </c>
      <c r="D109" s="220"/>
      <c r="E109" s="176"/>
      <c r="F109" s="342"/>
      <c r="G109" s="343"/>
      <c r="H109" s="703"/>
      <c r="I109" s="352" t="str">
        <f t="shared" si="53"/>
        <v>-</v>
      </c>
      <c r="J109" s="352" t="str">
        <f t="shared" si="54"/>
        <v>-</v>
      </c>
      <c r="K109" s="194" t="str">
        <f t="shared" si="55"/>
        <v>-</v>
      </c>
      <c r="L109" s="645"/>
      <c r="M109" s="338" t="e">
        <f>RANK(K109, K$67:$K$81)</f>
        <v>#VALUE!</v>
      </c>
      <c r="N109" s="663"/>
      <c r="O109" s="663"/>
      <c r="P109" s="516"/>
      <c r="Q109" s="518"/>
      <c r="R109" s="518"/>
      <c r="S109" s="516"/>
      <c r="T109" s="673"/>
      <c r="U109" s="516"/>
      <c r="V109" s="518"/>
      <c r="W109" s="518"/>
      <c r="X109" s="516"/>
      <c r="Y109" s="673"/>
      <c r="Z109" s="516"/>
      <c r="AA109" s="518"/>
      <c r="AB109" s="518"/>
      <c r="AC109" s="516"/>
      <c r="AD109" s="673"/>
      <c r="AE109" s="516"/>
      <c r="AF109" s="518"/>
      <c r="AG109" s="518"/>
      <c r="AH109" s="516"/>
      <c r="AI109" s="673"/>
      <c r="AJ109" s="516"/>
      <c r="AK109" s="518"/>
      <c r="AL109" s="518"/>
      <c r="AM109" s="516"/>
      <c r="AN109" s="673"/>
      <c r="AO109" s="516"/>
      <c r="AP109" s="518"/>
      <c r="AQ109" s="518"/>
      <c r="AR109" s="516"/>
      <c r="AS109" s="673"/>
      <c r="AT109" s="516"/>
      <c r="AU109" s="518"/>
      <c r="AV109" s="518"/>
      <c r="AW109" s="516"/>
      <c r="AX109" s="673"/>
      <c r="AZ109" s="358" t="e">
        <f t="shared" si="56"/>
        <v>#N/A</v>
      </c>
      <c r="BA109" s="708"/>
    </row>
    <row r="110" spans="2:53">
      <c r="B110" s="692"/>
      <c r="C110" s="337">
        <v>4</v>
      </c>
      <c r="D110" s="220"/>
      <c r="E110" s="176"/>
      <c r="F110" s="342"/>
      <c r="G110" s="343"/>
      <c r="H110" s="703"/>
      <c r="I110" s="352" t="str">
        <f t="shared" si="53"/>
        <v>-</v>
      </c>
      <c r="J110" s="352" t="str">
        <f t="shared" si="54"/>
        <v>-</v>
      </c>
      <c r="K110" s="194" t="str">
        <f t="shared" si="55"/>
        <v>-</v>
      </c>
      <c r="L110" s="645"/>
      <c r="M110" s="338" t="e">
        <f>RANK(K110, K$67:$K$81)</f>
        <v>#VALUE!</v>
      </c>
      <c r="N110" s="663"/>
      <c r="O110" s="663"/>
      <c r="P110" s="516"/>
      <c r="Q110" s="518"/>
      <c r="R110" s="518"/>
      <c r="S110" s="516"/>
      <c r="T110" s="673"/>
      <c r="U110" s="516"/>
      <c r="V110" s="518"/>
      <c r="W110" s="518"/>
      <c r="X110" s="516"/>
      <c r="Y110" s="673"/>
      <c r="Z110" s="516"/>
      <c r="AA110" s="518"/>
      <c r="AB110" s="518"/>
      <c r="AC110" s="516"/>
      <c r="AD110" s="673"/>
      <c r="AE110" s="516"/>
      <c r="AF110" s="518"/>
      <c r="AG110" s="518"/>
      <c r="AH110" s="516"/>
      <c r="AI110" s="673"/>
      <c r="AJ110" s="516"/>
      <c r="AK110" s="518"/>
      <c r="AL110" s="518"/>
      <c r="AM110" s="516"/>
      <c r="AN110" s="673"/>
      <c r="AO110" s="516"/>
      <c r="AP110" s="518"/>
      <c r="AQ110" s="518"/>
      <c r="AR110" s="516"/>
      <c r="AS110" s="673"/>
      <c r="AT110" s="516"/>
      <c r="AU110" s="518"/>
      <c r="AV110" s="518"/>
      <c r="AW110" s="516"/>
      <c r="AX110" s="673"/>
      <c r="AZ110" s="358" t="e">
        <f t="shared" si="56"/>
        <v>#N/A</v>
      </c>
      <c r="BA110" s="708"/>
    </row>
    <row r="111" spans="2:53">
      <c r="B111" s="692"/>
      <c r="C111" s="337">
        <v>5</v>
      </c>
      <c r="D111" s="220"/>
      <c r="E111" s="176"/>
      <c r="F111" s="342"/>
      <c r="G111" s="343"/>
      <c r="H111" s="703"/>
      <c r="I111" s="352" t="str">
        <f t="shared" si="53"/>
        <v>-</v>
      </c>
      <c r="J111" s="352" t="str">
        <f t="shared" si="54"/>
        <v>-</v>
      </c>
      <c r="K111" s="194" t="str">
        <f t="shared" si="55"/>
        <v>-</v>
      </c>
      <c r="L111" s="645"/>
      <c r="M111" s="338" t="e">
        <f>RANK(K111, K$67:$K$81)</f>
        <v>#VALUE!</v>
      </c>
      <c r="N111" s="663"/>
      <c r="O111" s="663"/>
      <c r="P111" s="516"/>
      <c r="Q111" s="518"/>
      <c r="R111" s="518"/>
      <c r="S111" s="516"/>
      <c r="T111" s="673"/>
      <c r="U111" s="516"/>
      <c r="V111" s="518"/>
      <c r="W111" s="518"/>
      <c r="X111" s="516"/>
      <c r="Y111" s="673"/>
      <c r="Z111" s="516"/>
      <c r="AA111" s="518"/>
      <c r="AB111" s="518"/>
      <c r="AC111" s="516"/>
      <c r="AD111" s="673"/>
      <c r="AE111" s="516"/>
      <c r="AF111" s="518"/>
      <c r="AG111" s="518"/>
      <c r="AH111" s="516"/>
      <c r="AI111" s="673"/>
      <c r="AJ111" s="516"/>
      <c r="AK111" s="518"/>
      <c r="AL111" s="518"/>
      <c r="AM111" s="516"/>
      <c r="AN111" s="673"/>
      <c r="AO111" s="516"/>
      <c r="AP111" s="518"/>
      <c r="AQ111" s="518"/>
      <c r="AR111" s="516"/>
      <c r="AS111" s="673"/>
      <c r="AT111" s="516"/>
      <c r="AU111" s="518"/>
      <c r="AV111" s="518"/>
      <c r="AW111" s="516"/>
      <c r="AX111" s="673"/>
      <c r="AZ111" s="358" t="e">
        <f t="shared" si="56"/>
        <v>#N/A</v>
      </c>
      <c r="BA111" s="708"/>
    </row>
    <row r="112" spans="2:53">
      <c r="B112" s="692"/>
      <c r="C112" s="337">
        <v>6</v>
      </c>
      <c r="D112" s="220"/>
      <c r="E112" s="176"/>
      <c r="F112" s="342"/>
      <c r="G112" s="343"/>
      <c r="H112" s="703"/>
      <c r="I112" s="352" t="str">
        <f t="shared" si="53"/>
        <v>-</v>
      </c>
      <c r="J112" s="352" t="str">
        <f t="shared" si="54"/>
        <v>-</v>
      </c>
      <c r="K112" s="194" t="str">
        <f t="shared" si="55"/>
        <v>-</v>
      </c>
      <c r="L112" s="645"/>
      <c r="M112" s="338" t="e">
        <f>RANK(K112, K$67:$K$81)</f>
        <v>#VALUE!</v>
      </c>
      <c r="N112" s="663"/>
      <c r="O112" s="663"/>
      <c r="P112" s="516"/>
      <c r="Q112" s="518"/>
      <c r="R112" s="518"/>
      <c r="S112" s="516"/>
      <c r="T112" s="673"/>
      <c r="U112" s="516"/>
      <c r="V112" s="518"/>
      <c r="W112" s="518"/>
      <c r="X112" s="516"/>
      <c r="Y112" s="673"/>
      <c r="Z112" s="516"/>
      <c r="AA112" s="518"/>
      <c r="AB112" s="518"/>
      <c r="AC112" s="516"/>
      <c r="AD112" s="673"/>
      <c r="AE112" s="516"/>
      <c r="AF112" s="518"/>
      <c r="AG112" s="518"/>
      <c r="AH112" s="516"/>
      <c r="AI112" s="673"/>
      <c r="AJ112" s="516"/>
      <c r="AK112" s="518"/>
      <c r="AL112" s="518"/>
      <c r="AM112" s="516"/>
      <c r="AN112" s="673"/>
      <c r="AO112" s="516"/>
      <c r="AP112" s="518"/>
      <c r="AQ112" s="518"/>
      <c r="AR112" s="516"/>
      <c r="AS112" s="673"/>
      <c r="AT112" s="516"/>
      <c r="AU112" s="518"/>
      <c r="AV112" s="518"/>
      <c r="AW112" s="516"/>
      <c r="AX112" s="673"/>
      <c r="AZ112" s="358" t="e">
        <f t="shared" si="56"/>
        <v>#N/A</v>
      </c>
      <c r="BA112" s="708"/>
    </row>
    <row r="113" spans="2:53">
      <c r="B113" s="692"/>
      <c r="C113" s="337">
        <v>7</v>
      </c>
      <c r="D113" s="220"/>
      <c r="E113" s="176"/>
      <c r="F113" s="342"/>
      <c r="G113" s="343"/>
      <c r="H113" s="703"/>
      <c r="I113" s="352" t="str">
        <f t="shared" si="53"/>
        <v>-</v>
      </c>
      <c r="J113" s="352" t="str">
        <f t="shared" si="54"/>
        <v>-</v>
      </c>
      <c r="K113" s="194" t="str">
        <f t="shared" si="55"/>
        <v>-</v>
      </c>
      <c r="L113" s="645"/>
      <c r="M113" s="338" t="e">
        <f>RANK(K113, K$67:$K$81)</f>
        <v>#VALUE!</v>
      </c>
      <c r="N113" s="663"/>
      <c r="O113" s="663"/>
      <c r="P113" s="516"/>
      <c r="Q113" s="518"/>
      <c r="R113" s="518"/>
      <c r="S113" s="516"/>
      <c r="T113" s="673"/>
      <c r="U113" s="516"/>
      <c r="V113" s="518"/>
      <c r="W113" s="518"/>
      <c r="X113" s="516"/>
      <c r="Y113" s="673"/>
      <c r="Z113" s="516"/>
      <c r="AA113" s="518"/>
      <c r="AB113" s="518"/>
      <c r="AC113" s="516"/>
      <c r="AD113" s="673"/>
      <c r="AE113" s="516"/>
      <c r="AF113" s="518"/>
      <c r="AG113" s="518"/>
      <c r="AH113" s="516"/>
      <c r="AI113" s="673"/>
      <c r="AJ113" s="516"/>
      <c r="AK113" s="518"/>
      <c r="AL113" s="518"/>
      <c r="AM113" s="516"/>
      <c r="AN113" s="673"/>
      <c r="AO113" s="516"/>
      <c r="AP113" s="518"/>
      <c r="AQ113" s="518"/>
      <c r="AR113" s="516"/>
      <c r="AS113" s="673"/>
      <c r="AT113" s="516"/>
      <c r="AU113" s="518"/>
      <c r="AV113" s="518"/>
      <c r="AW113" s="516"/>
      <c r="AX113" s="673"/>
      <c r="AZ113" s="358" t="e">
        <f t="shared" si="56"/>
        <v>#N/A</v>
      </c>
      <c r="BA113" s="708"/>
    </row>
    <row r="114" spans="2:53">
      <c r="B114" s="692"/>
      <c r="C114" s="337">
        <v>8</v>
      </c>
      <c r="D114" s="220"/>
      <c r="E114" s="176"/>
      <c r="F114" s="342"/>
      <c r="G114" s="343"/>
      <c r="H114" s="703"/>
      <c r="I114" s="352" t="str">
        <f t="shared" si="53"/>
        <v>-</v>
      </c>
      <c r="J114" s="352" t="str">
        <f t="shared" si="54"/>
        <v>-</v>
      </c>
      <c r="K114" s="194" t="str">
        <f t="shared" si="55"/>
        <v>-</v>
      </c>
      <c r="L114" s="645"/>
      <c r="M114" s="338" t="e">
        <f>RANK(K114, K$67:$K$81)</f>
        <v>#VALUE!</v>
      </c>
      <c r="N114" s="663"/>
      <c r="O114" s="663"/>
      <c r="P114" s="516"/>
      <c r="Q114" s="518"/>
      <c r="R114" s="518"/>
      <c r="S114" s="516"/>
      <c r="T114" s="673"/>
      <c r="U114" s="516"/>
      <c r="V114" s="518"/>
      <c r="W114" s="518"/>
      <c r="X114" s="516"/>
      <c r="Y114" s="673"/>
      <c r="Z114" s="516"/>
      <c r="AA114" s="518"/>
      <c r="AB114" s="518"/>
      <c r="AC114" s="516"/>
      <c r="AD114" s="673"/>
      <c r="AE114" s="516"/>
      <c r="AF114" s="518"/>
      <c r="AG114" s="518"/>
      <c r="AH114" s="516"/>
      <c r="AI114" s="673"/>
      <c r="AJ114" s="516"/>
      <c r="AK114" s="518"/>
      <c r="AL114" s="518"/>
      <c r="AM114" s="516"/>
      <c r="AN114" s="673"/>
      <c r="AO114" s="516"/>
      <c r="AP114" s="518"/>
      <c r="AQ114" s="518"/>
      <c r="AR114" s="516"/>
      <c r="AS114" s="673"/>
      <c r="AT114" s="516"/>
      <c r="AU114" s="518"/>
      <c r="AV114" s="518"/>
      <c r="AW114" s="516"/>
      <c r="AX114" s="673"/>
      <c r="AZ114" s="358" t="e">
        <f t="shared" si="56"/>
        <v>#N/A</v>
      </c>
      <c r="BA114" s="708"/>
    </row>
    <row r="115" spans="2:53">
      <c r="B115" s="692"/>
      <c r="C115" s="337">
        <v>9</v>
      </c>
      <c r="D115" s="220"/>
      <c r="E115" s="176"/>
      <c r="F115" s="342"/>
      <c r="G115" s="343"/>
      <c r="H115" s="703"/>
      <c r="I115" s="352" t="str">
        <f t="shared" si="53"/>
        <v>-</v>
      </c>
      <c r="J115" s="352" t="str">
        <f t="shared" si="54"/>
        <v>-</v>
      </c>
      <c r="K115" s="194" t="str">
        <f t="shared" si="55"/>
        <v>-</v>
      </c>
      <c r="L115" s="645"/>
      <c r="M115" s="338" t="e">
        <f>RANK(K115, K$67:$K$81)</f>
        <v>#VALUE!</v>
      </c>
      <c r="N115" s="663"/>
      <c r="O115" s="663"/>
      <c r="P115" s="516"/>
      <c r="Q115" s="518"/>
      <c r="R115" s="518"/>
      <c r="S115" s="516"/>
      <c r="T115" s="673"/>
      <c r="U115" s="516"/>
      <c r="V115" s="518"/>
      <c r="W115" s="518"/>
      <c r="X115" s="516"/>
      <c r="Y115" s="673"/>
      <c r="Z115" s="516"/>
      <c r="AA115" s="518"/>
      <c r="AB115" s="518"/>
      <c r="AC115" s="516"/>
      <c r="AD115" s="673"/>
      <c r="AE115" s="516"/>
      <c r="AF115" s="518"/>
      <c r="AG115" s="518"/>
      <c r="AH115" s="516"/>
      <c r="AI115" s="673"/>
      <c r="AJ115" s="516"/>
      <c r="AK115" s="518"/>
      <c r="AL115" s="518"/>
      <c r="AM115" s="516"/>
      <c r="AN115" s="673"/>
      <c r="AO115" s="516"/>
      <c r="AP115" s="518"/>
      <c r="AQ115" s="518"/>
      <c r="AR115" s="516"/>
      <c r="AS115" s="673"/>
      <c r="AT115" s="516"/>
      <c r="AU115" s="518"/>
      <c r="AV115" s="518"/>
      <c r="AW115" s="516"/>
      <c r="AX115" s="673"/>
      <c r="AZ115" s="358" t="e">
        <f t="shared" si="56"/>
        <v>#N/A</v>
      </c>
      <c r="BA115" s="708"/>
    </row>
    <row r="116" spans="2:53">
      <c r="B116" s="692"/>
      <c r="C116" s="337">
        <v>10</v>
      </c>
      <c r="D116" s="220"/>
      <c r="E116" s="176"/>
      <c r="F116" s="342"/>
      <c r="G116" s="343"/>
      <c r="H116" s="703"/>
      <c r="I116" s="352" t="str">
        <f t="shared" si="53"/>
        <v>-</v>
      </c>
      <c r="J116" s="352" t="str">
        <f t="shared" si="54"/>
        <v>-</v>
      </c>
      <c r="K116" s="194" t="str">
        <f t="shared" si="55"/>
        <v>-</v>
      </c>
      <c r="L116" s="645"/>
      <c r="M116" s="338" t="e">
        <f>RANK(K116, K$67:$K$81)</f>
        <v>#VALUE!</v>
      </c>
      <c r="N116" s="663"/>
      <c r="O116" s="663"/>
      <c r="P116" s="516"/>
      <c r="Q116" s="518"/>
      <c r="R116" s="518"/>
      <c r="S116" s="516"/>
      <c r="T116" s="673"/>
      <c r="U116" s="516"/>
      <c r="V116" s="518"/>
      <c r="W116" s="518"/>
      <c r="X116" s="516"/>
      <c r="Y116" s="673"/>
      <c r="Z116" s="516"/>
      <c r="AA116" s="518"/>
      <c r="AB116" s="518"/>
      <c r="AC116" s="516"/>
      <c r="AD116" s="673"/>
      <c r="AE116" s="516"/>
      <c r="AF116" s="518"/>
      <c r="AG116" s="518"/>
      <c r="AH116" s="516"/>
      <c r="AI116" s="673"/>
      <c r="AJ116" s="516"/>
      <c r="AK116" s="518"/>
      <c r="AL116" s="518"/>
      <c r="AM116" s="516"/>
      <c r="AN116" s="673"/>
      <c r="AO116" s="516"/>
      <c r="AP116" s="518"/>
      <c r="AQ116" s="518"/>
      <c r="AR116" s="516"/>
      <c r="AS116" s="673"/>
      <c r="AT116" s="516"/>
      <c r="AU116" s="518"/>
      <c r="AV116" s="518"/>
      <c r="AW116" s="516"/>
      <c r="AX116" s="673"/>
      <c r="AZ116" s="358" t="e">
        <f t="shared" si="56"/>
        <v>#N/A</v>
      </c>
      <c r="BA116" s="708"/>
    </row>
    <row r="117" spans="2:53">
      <c r="B117" s="692"/>
      <c r="C117" s="337">
        <v>11</v>
      </c>
      <c r="D117" s="220"/>
      <c r="E117" s="176"/>
      <c r="F117" s="342"/>
      <c r="G117" s="343"/>
      <c r="H117" s="703"/>
      <c r="I117" s="352" t="str">
        <f t="shared" si="53"/>
        <v>-</v>
      </c>
      <c r="J117" s="352" t="str">
        <f t="shared" si="54"/>
        <v>-</v>
      </c>
      <c r="K117" s="194" t="str">
        <f t="shared" si="55"/>
        <v>-</v>
      </c>
      <c r="L117" s="645"/>
      <c r="M117" s="338" t="e">
        <f>RANK(K117, K$67:$K$81)</f>
        <v>#VALUE!</v>
      </c>
      <c r="N117" s="663"/>
      <c r="O117" s="663"/>
      <c r="P117" s="516"/>
      <c r="Q117" s="518"/>
      <c r="R117" s="518"/>
      <c r="S117" s="516"/>
      <c r="T117" s="673"/>
      <c r="U117" s="516"/>
      <c r="V117" s="518"/>
      <c r="W117" s="518"/>
      <c r="X117" s="516"/>
      <c r="Y117" s="673"/>
      <c r="Z117" s="516"/>
      <c r="AA117" s="518"/>
      <c r="AB117" s="518"/>
      <c r="AC117" s="516"/>
      <c r="AD117" s="673"/>
      <c r="AE117" s="516"/>
      <c r="AF117" s="518"/>
      <c r="AG117" s="518"/>
      <c r="AH117" s="516"/>
      <c r="AI117" s="673"/>
      <c r="AJ117" s="516"/>
      <c r="AK117" s="518"/>
      <c r="AL117" s="518"/>
      <c r="AM117" s="516"/>
      <c r="AN117" s="673"/>
      <c r="AO117" s="516"/>
      <c r="AP117" s="518"/>
      <c r="AQ117" s="518"/>
      <c r="AR117" s="516"/>
      <c r="AS117" s="673"/>
      <c r="AT117" s="516"/>
      <c r="AU117" s="518"/>
      <c r="AV117" s="518"/>
      <c r="AW117" s="516"/>
      <c r="AX117" s="673"/>
      <c r="AZ117" s="358" t="e">
        <f t="shared" si="56"/>
        <v>#N/A</v>
      </c>
      <c r="BA117" s="708"/>
    </row>
    <row r="118" spans="2:53">
      <c r="B118" s="692"/>
      <c r="C118" s="337">
        <v>12</v>
      </c>
      <c r="D118" s="220"/>
      <c r="E118" s="176"/>
      <c r="F118" s="342"/>
      <c r="G118" s="343"/>
      <c r="H118" s="703"/>
      <c r="I118" s="352" t="str">
        <f t="shared" si="53"/>
        <v>-</v>
      </c>
      <c r="J118" s="352" t="str">
        <f t="shared" si="54"/>
        <v>-</v>
      </c>
      <c r="K118" s="194" t="str">
        <f t="shared" si="55"/>
        <v>-</v>
      </c>
      <c r="L118" s="645"/>
      <c r="M118" s="338" t="e">
        <f>RANK(K118, K$67:$K$81)</f>
        <v>#VALUE!</v>
      </c>
      <c r="N118" s="663"/>
      <c r="O118" s="663"/>
      <c r="P118" s="516"/>
      <c r="Q118" s="518"/>
      <c r="R118" s="518"/>
      <c r="S118" s="516"/>
      <c r="T118" s="673"/>
      <c r="U118" s="516"/>
      <c r="V118" s="518"/>
      <c r="W118" s="518"/>
      <c r="X118" s="516"/>
      <c r="Y118" s="673"/>
      <c r="Z118" s="516"/>
      <c r="AA118" s="518"/>
      <c r="AB118" s="518"/>
      <c r="AC118" s="516"/>
      <c r="AD118" s="673"/>
      <c r="AE118" s="516"/>
      <c r="AF118" s="518"/>
      <c r="AG118" s="518"/>
      <c r="AH118" s="516"/>
      <c r="AI118" s="673"/>
      <c r="AJ118" s="516"/>
      <c r="AK118" s="518"/>
      <c r="AL118" s="518"/>
      <c r="AM118" s="516"/>
      <c r="AN118" s="673"/>
      <c r="AO118" s="516"/>
      <c r="AP118" s="518"/>
      <c r="AQ118" s="518"/>
      <c r="AR118" s="516"/>
      <c r="AS118" s="673"/>
      <c r="AT118" s="516"/>
      <c r="AU118" s="518"/>
      <c r="AV118" s="518"/>
      <c r="AW118" s="516"/>
      <c r="AX118" s="673"/>
      <c r="AZ118" s="358" t="e">
        <f t="shared" si="56"/>
        <v>#N/A</v>
      </c>
      <c r="BA118" s="708"/>
    </row>
    <row r="119" spans="2:53">
      <c r="B119" s="692"/>
      <c r="C119" s="337">
        <v>13</v>
      </c>
      <c r="D119" s="220"/>
      <c r="E119" s="176"/>
      <c r="F119" s="342"/>
      <c r="G119" s="343"/>
      <c r="H119" s="703"/>
      <c r="I119" s="352" t="str">
        <f t="shared" si="53"/>
        <v>-</v>
      </c>
      <c r="J119" s="352" t="str">
        <f t="shared" si="54"/>
        <v>-</v>
      </c>
      <c r="K119" s="194" t="str">
        <f t="shared" si="55"/>
        <v>-</v>
      </c>
      <c r="L119" s="645"/>
      <c r="M119" s="338" t="e">
        <f>RANK(K119, K$67:$K$81)</f>
        <v>#VALUE!</v>
      </c>
      <c r="N119" s="663"/>
      <c r="O119" s="663"/>
      <c r="P119" s="516"/>
      <c r="Q119" s="518"/>
      <c r="R119" s="518"/>
      <c r="S119" s="516"/>
      <c r="T119" s="673"/>
      <c r="U119" s="516"/>
      <c r="V119" s="518"/>
      <c r="W119" s="518"/>
      <c r="X119" s="516"/>
      <c r="Y119" s="673"/>
      <c r="Z119" s="516"/>
      <c r="AA119" s="518"/>
      <c r="AB119" s="518"/>
      <c r="AC119" s="516"/>
      <c r="AD119" s="673"/>
      <c r="AE119" s="516"/>
      <c r="AF119" s="518"/>
      <c r="AG119" s="518"/>
      <c r="AH119" s="516"/>
      <c r="AI119" s="673"/>
      <c r="AJ119" s="516"/>
      <c r="AK119" s="518"/>
      <c r="AL119" s="518"/>
      <c r="AM119" s="516"/>
      <c r="AN119" s="673"/>
      <c r="AO119" s="516"/>
      <c r="AP119" s="518"/>
      <c r="AQ119" s="518"/>
      <c r="AR119" s="516"/>
      <c r="AS119" s="673"/>
      <c r="AT119" s="516"/>
      <c r="AU119" s="518"/>
      <c r="AV119" s="518"/>
      <c r="AW119" s="516"/>
      <c r="AX119" s="673"/>
      <c r="AZ119" s="358" t="e">
        <f t="shared" si="56"/>
        <v>#N/A</v>
      </c>
      <c r="BA119" s="708"/>
    </row>
    <row r="120" spans="2:53">
      <c r="B120" s="692"/>
      <c r="C120" s="337">
        <v>14</v>
      </c>
      <c r="D120" s="220"/>
      <c r="E120" s="176"/>
      <c r="F120" s="342"/>
      <c r="G120" s="343"/>
      <c r="H120" s="703"/>
      <c r="I120" s="352" t="str">
        <f t="shared" si="53"/>
        <v>-</v>
      </c>
      <c r="J120" s="352" t="str">
        <f t="shared" si="54"/>
        <v>-</v>
      </c>
      <c r="K120" s="194" t="str">
        <f t="shared" si="55"/>
        <v>-</v>
      </c>
      <c r="L120" s="645"/>
      <c r="M120" s="338" t="e">
        <f>RANK(K120, K$67:$K$81)</f>
        <v>#VALUE!</v>
      </c>
      <c r="N120" s="663"/>
      <c r="O120" s="663"/>
      <c r="P120" s="516"/>
      <c r="Q120" s="518"/>
      <c r="R120" s="518"/>
      <c r="S120" s="516"/>
      <c r="T120" s="673"/>
      <c r="U120" s="516"/>
      <c r="V120" s="518"/>
      <c r="W120" s="518"/>
      <c r="X120" s="516"/>
      <c r="Y120" s="673"/>
      <c r="Z120" s="516"/>
      <c r="AA120" s="518"/>
      <c r="AB120" s="518"/>
      <c r="AC120" s="516"/>
      <c r="AD120" s="673"/>
      <c r="AE120" s="516"/>
      <c r="AF120" s="518"/>
      <c r="AG120" s="518"/>
      <c r="AH120" s="516"/>
      <c r="AI120" s="673"/>
      <c r="AJ120" s="516"/>
      <c r="AK120" s="518"/>
      <c r="AL120" s="518"/>
      <c r="AM120" s="516"/>
      <c r="AN120" s="673"/>
      <c r="AO120" s="516"/>
      <c r="AP120" s="518"/>
      <c r="AQ120" s="518"/>
      <c r="AR120" s="516"/>
      <c r="AS120" s="673"/>
      <c r="AT120" s="516"/>
      <c r="AU120" s="518"/>
      <c r="AV120" s="518"/>
      <c r="AW120" s="516"/>
      <c r="AX120" s="673"/>
      <c r="AZ120" s="358" t="e">
        <f t="shared" si="56"/>
        <v>#N/A</v>
      </c>
      <c r="BA120" s="708"/>
    </row>
    <row r="121" spans="2:53">
      <c r="B121" s="692"/>
      <c r="C121" s="337">
        <v>15</v>
      </c>
      <c r="D121" s="220"/>
      <c r="E121" s="176"/>
      <c r="F121" s="342"/>
      <c r="G121" s="343"/>
      <c r="H121" s="707"/>
      <c r="I121" s="354"/>
      <c r="J121" s="354"/>
      <c r="K121" s="354"/>
      <c r="L121" s="646"/>
      <c r="M121" s="338" t="e">
        <f>RANK(K121, K$47:$K$61)</f>
        <v>#N/A</v>
      </c>
      <c r="N121" s="663"/>
      <c r="O121" s="663"/>
      <c r="P121" s="516"/>
      <c r="Q121" s="518"/>
      <c r="R121" s="518"/>
      <c r="S121" s="516"/>
      <c r="T121" s="674"/>
      <c r="U121" s="516"/>
      <c r="V121" s="518"/>
      <c r="W121" s="518"/>
      <c r="X121" s="516"/>
      <c r="Y121" s="674"/>
      <c r="Z121" s="516"/>
      <c r="AA121" s="518"/>
      <c r="AB121" s="518"/>
      <c r="AC121" s="516"/>
      <c r="AD121" s="674"/>
      <c r="AE121" s="516"/>
      <c r="AF121" s="518"/>
      <c r="AG121" s="518"/>
      <c r="AH121" s="516"/>
      <c r="AI121" s="674"/>
      <c r="AJ121" s="516"/>
      <c r="AK121" s="518"/>
      <c r="AL121" s="518"/>
      <c r="AM121" s="516"/>
      <c r="AN121" s="674"/>
      <c r="AO121" s="516"/>
      <c r="AP121" s="518"/>
      <c r="AQ121" s="518"/>
      <c r="AR121" s="516"/>
      <c r="AS121" s="674"/>
      <c r="AT121" s="516"/>
      <c r="AU121" s="518"/>
      <c r="AV121" s="518"/>
      <c r="AW121" s="516"/>
      <c r="AX121" s="674"/>
      <c r="AZ121" s="358" t="e">
        <f t="shared" si="56"/>
        <v>#N/A</v>
      </c>
      <c r="BA121" s="708"/>
    </row>
    <row r="123" spans="2:53" ht="15.75">
      <c r="B123" s="697" t="s">
        <v>465</v>
      </c>
      <c r="C123" s="698"/>
      <c r="D123" s="698"/>
      <c r="E123" s="698"/>
      <c r="F123" s="698"/>
      <c r="G123" s="698"/>
      <c r="H123" s="699"/>
      <c r="I123" s="299"/>
      <c r="J123" s="299"/>
      <c r="K123" s="299"/>
      <c r="L123" s="299"/>
      <c r="M123" s="300"/>
    </row>
    <row r="124" spans="2:53" ht="15.75">
      <c r="B124" s="700"/>
      <c r="C124" s="700"/>
      <c r="D124" s="700"/>
      <c r="E124" s="700"/>
      <c r="F124" s="700"/>
      <c r="G124" s="700"/>
      <c r="H124" s="700"/>
      <c r="I124" s="301"/>
      <c r="J124" s="301"/>
      <c r="K124" s="301"/>
      <c r="L124" s="301"/>
      <c r="M124" s="302"/>
    </row>
    <row r="125" spans="2:53">
      <c r="B125" s="663" t="s">
        <v>466</v>
      </c>
      <c r="C125" s="663" t="s">
        <v>467</v>
      </c>
      <c r="D125" s="663"/>
      <c r="E125" s="663" t="s">
        <v>468</v>
      </c>
      <c r="F125" s="663"/>
      <c r="G125" s="663"/>
      <c r="H125" s="679" t="s">
        <v>469</v>
      </c>
      <c r="I125" s="701" t="s">
        <v>470</v>
      </c>
      <c r="J125" s="701"/>
      <c r="K125" s="701"/>
      <c r="L125" s="716" t="s">
        <v>469</v>
      </c>
      <c r="M125" s="719" t="s">
        <v>471</v>
      </c>
    </row>
    <row r="126" spans="2:53">
      <c r="B126" s="663"/>
      <c r="C126" s="663"/>
      <c r="D126" s="663"/>
      <c r="E126" s="663" t="s">
        <v>472</v>
      </c>
      <c r="F126" s="663"/>
      <c r="G126" s="663"/>
      <c r="H126" s="680"/>
      <c r="I126" s="701" t="s">
        <v>472</v>
      </c>
      <c r="J126" s="701"/>
      <c r="K126" s="701"/>
      <c r="L126" s="717"/>
      <c r="M126" s="720"/>
    </row>
    <row r="127" spans="2:53">
      <c r="B127" s="663"/>
      <c r="C127" s="663"/>
      <c r="D127" s="663"/>
      <c r="E127" s="296" t="s">
        <v>473</v>
      </c>
      <c r="F127" s="296" t="s">
        <v>474</v>
      </c>
      <c r="G127" s="296" t="s">
        <v>475</v>
      </c>
      <c r="H127" s="681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63" t="s">
        <v>483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3" si="57">AVERAGEIF($D$7:$D$121,$D128,I$7:I$121)</f>
        <v>#DIV/0!</v>
      </c>
      <c r="J128" s="193" t="e">
        <f t="shared" si="57"/>
        <v>#DIV/0!</v>
      </c>
      <c r="K128" s="193" t="e">
        <f t="shared" ref="K128:K133" si="58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13">
      <c r="B129" s="671"/>
      <c r="C129" s="295">
        <v>2</v>
      </c>
      <c r="D129" s="220"/>
      <c r="E129" s="176"/>
      <c r="F129" s="295"/>
      <c r="G129" s="298"/>
      <c r="H129" s="711"/>
      <c r="I129" s="193" t="e">
        <f t="shared" si="57"/>
        <v>#DIV/0!</v>
      </c>
      <c r="J129" s="193" t="e">
        <f t="shared" si="57"/>
        <v>#DIV/0!</v>
      </c>
      <c r="K129" s="193" t="e">
        <f t="shared" si="58"/>
        <v>#DIV/0!</v>
      </c>
      <c r="L129" s="714"/>
      <c r="M129" s="193" t="e">
        <f>RANK(K129, K$128:$K$142)</f>
        <v>#DIV/0!</v>
      </c>
    </row>
    <row r="130" spans="2:13">
      <c r="B130" s="671"/>
      <c r="C130" s="295">
        <v>3</v>
      </c>
      <c r="D130" s="220"/>
      <c r="E130" s="176"/>
      <c r="F130" s="295"/>
      <c r="G130" s="298"/>
      <c r="H130" s="711"/>
      <c r="I130" s="193" t="e">
        <f t="shared" si="57"/>
        <v>#DIV/0!</v>
      </c>
      <c r="J130" s="193" t="e">
        <f t="shared" si="57"/>
        <v>#DIV/0!</v>
      </c>
      <c r="K130" s="193" t="e">
        <f t="shared" si="58"/>
        <v>#DIV/0!</v>
      </c>
      <c r="L130" s="714"/>
      <c r="M130" s="193" t="e">
        <f>RANK(K130, K$128:$K$142)</f>
        <v>#DIV/0!</v>
      </c>
    </row>
    <row r="131" spans="2:13">
      <c r="B131" s="671"/>
      <c r="C131" s="295">
        <v>4</v>
      </c>
      <c r="D131" s="220"/>
      <c r="E131" s="176"/>
      <c r="F131" s="295"/>
      <c r="G131" s="298"/>
      <c r="H131" s="711"/>
      <c r="I131" s="193" t="e">
        <f t="shared" si="57"/>
        <v>#DIV/0!</v>
      </c>
      <c r="J131" s="193" t="e">
        <f t="shared" si="57"/>
        <v>#DIV/0!</v>
      </c>
      <c r="K131" s="193" t="e">
        <f t="shared" si="58"/>
        <v>#DIV/0!</v>
      </c>
      <c r="L131" s="714"/>
      <c r="M131" s="193" t="e">
        <f>RANK(K131, K$128:$K$142)</f>
        <v>#DIV/0!</v>
      </c>
    </row>
    <row r="132" spans="2:13">
      <c r="B132" s="671"/>
      <c r="C132" s="295">
        <v>5</v>
      </c>
      <c r="D132" s="220"/>
      <c r="E132" s="176"/>
      <c r="F132" s="295"/>
      <c r="G132" s="298"/>
      <c r="H132" s="711"/>
      <c r="I132" s="193" t="e">
        <f t="shared" si="57"/>
        <v>#DIV/0!</v>
      </c>
      <c r="J132" s="193" t="e">
        <f t="shared" si="57"/>
        <v>#DIV/0!</v>
      </c>
      <c r="K132" s="193" t="e">
        <f t="shared" si="58"/>
        <v>#DIV/0!</v>
      </c>
      <c r="L132" s="714"/>
      <c r="M132" s="193" t="e">
        <f>RANK(K132, K$128:$K$142)</f>
        <v>#DIV/0!</v>
      </c>
    </row>
    <row r="133" spans="2:13">
      <c r="B133" s="671"/>
      <c r="C133" s="295">
        <v>6</v>
      </c>
      <c r="D133" s="304"/>
      <c r="E133" s="176"/>
      <c r="F133" s="295"/>
      <c r="G133" s="298"/>
      <c r="H133" s="711"/>
      <c r="I133" s="193" t="e">
        <f t="shared" si="57"/>
        <v>#DIV/0!</v>
      </c>
      <c r="J133" s="193" t="e">
        <f t="shared" si="57"/>
        <v>#DIV/0!</v>
      </c>
      <c r="K133" s="193" t="e">
        <f t="shared" si="58"/>
        <v>#DIV/0!</v>
      </c>
      <c r="L133" s="714"/>
      <c r="M133" s="193" t="e">
        <f>RANK(K133, K$128:$K$142)</f>
        <v>#DIV/0!</v>
      </c>
    </row>
    <row r="134" spans="2:13">
      <c r="B134" s="671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</row>
    <row r="135" spans="2:13">
      <c r="B135" s="671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</row>
    <row r="136" spans="2:13">
      <c r="B136" s="671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</row>
    <row r="137" spans="2:13">
      <c r="B137" s="671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</row>
    <row r="138" spans="2:13">
      <c r="B138" s="671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</row>
    <row r="139" spans="2:13">
      <c r="B139" s="671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</row>
    <row r="140" spans="2:13">
      <c r="B140" s="671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</row>
    <row r="141" spans="2:13">
      <c r="B141" s="671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</row>
    <row r="142" spans="2:13">
      <c r="B142" s="671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G52" sqref="G52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49" t="s">
        <v>186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146"/>
    </row>
    <row r="4" spans="1:13" s="115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125"/>
    </row>
    <row r="5" spans="1:13" s="148" customFormat="1" ht="16.350000000000001" customHeight="1">
      <c r="A5" s="733" t="s">
        <v>154</v>
      </c>
      <c r="B5" s="160">
        <v>1</v>
      </c>
      <c r="C5" s="16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33"/>
      <c r="B6" s="161" t="s">
        <v>187</v>
      </c>
      <c r="C6" s="16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34" t="s">
        <v>168</v>
      </c>
      <c r="B7" s="734"/>
      <c r="C7" s="335" t="s">
        <v>378</v>
      </c>
      <c r="D7" s="734" t="s">
        <v>12</v>
      </c>
      <c r="E7" s="741"/>
      <c r="F7" s="741"/>
      <c r="G7" s="335" t="s">
        <v>46</v>
      </c>
      <c r="H7" s="335" t="s">
        <v>499</v>
      </c>
      <c r="I7" s="335" t="s">
        <v>375</v>
      </c>
      <c r="J7" s="216" t="s">
        <v>376</v>
      </c>
      <c r="K7" s="734" t="s">
        <v>377</v>
      </c>
      <c r="L7" s="741"/>
      <c r="M7" s="147"/>
    </row>
    <row r="8" spans="1:13" ht="15.75" customHeight="1">
      <c r="A8" s="733">
        <v>1</v>
      </c>
      <c r="B8" s="734" t="s">
        <v>150</v>
      </c>
      <c r="C8" s="543">
        <v>1</v>
      </c>
      <c r="D8" s="351" t="s">
        <v>713</v>
      </c>
      <c r="E8" s="332"/>
      <c r="F8" s="333"/>
      <c r="G8" s="346">
        <v>3</v>
      </c>
      <c r="H8" s="346">
        <v>3291.1187962046656</v>
      </c>
      <c r="I8" s="346">
        <v>1097.0395987348888</v>
      </c>
      <c r="J8" s="235" t="s">
        <v>661</v>
      </c>
      <c r="K8" s="743" t="s">
        <v>675</v>
      </c>
      <c r="L8" s="744"/>
      <c r="M8" s="125"/>
    </row>
    <row r="9" spans="1:13" ht="15.75" customHeight="1">
      <c r="A9" s="733"/>
      <c r="B9" s="734"/>
      <c r="C9" s="543">
        <v>2</v>
      </c>
      <c r="D9" s="345" t="s">
        <v>336</v>
      </c>
      <c r="E9" s="332"/>
      <c r="F9" s="333"/>
      <c r="G9" s="346">
        <v>3</v>
      </c>
      <c r="H9" s="346">
        <v>3193.7198236357012</v>
      </c>
      <c r="I9" s="346">
        <v>1064.5732745452337</v>
      </c>
      <c r="J9" s="235" t="s">
        <v>661</v>
      </c>
      <c r="K9" s="745"/>
      <c r="L9" s="746"/>
      <c r="M9" s="125"/>
    </row>
    <row r="10" spans="1:13" ht="15.75" customHeight="1">
      <c r="A10" s="733"/>
      <c r="B10" s="734"/>
      <c r="C10" s="543">
        <v>3</v>
      </c>
      <c r="D10" s="351" t="s">
        <v>333</v>
      </c>
      <c r="E10" s="332"/>
      <c r="F10" s="333"/>
      <c r="G10" s="346">
        <v>3</v>
      </c>
      <c r="H10" s="346">
        <v>3184.9914238690367</v>
      </c>
      <c r="I10" s="346">
        <v>1061.6638079563454</v>
      </c>
      <c r="J10" s="365" t="s">
        <v>660</v>
      </c>
      <c r="K10" s="745"/>
      <c r="L10" s="746"/>
      <c r="M10" s="125"/>
    </row>
    <row r="11" spans="1:13" ht="15.75" customHeight="1">
      <c r="A11" s="733"/>
      <c r="B11" s="734"/>
      <c r="C11" s="543">
        <v>4</v>
      </c>
      <c r="D11" s="437" t="s">
        <v>716</v>
      </c>
      <c r="E11" s="332"/>
      <c r="F11" s="333"/>
      <c r="G11" s="346">
        <v>3</v>
      </c>
      <c r="H11" s="346">
        <v>3156.4422949675741</v>
      </c>
      <c r="I11" s="346">
        <v>1052.1474316558581</v>
      </c>
      <c r="J11" s="365" t="s">
        <v>660</v>
      </c>
      <c r="K11" s="745"/>
      <c r="L11" s="746"/>
      <c r="M11" s="125"/>
    </row>
    <row r="12" spans="1:13" ht="15.75" customHeight="1">
      <c r="A12" s="733"/>
      <c r="B12" s="734"/>
      <c r="C12" s="543">
        <v>5</v>
      </c>
      <c r="D12" s="351" t="s">
        <v>579</v>
      </c>
      <c r="E12" s="332"/>
      <c r="F12" s="333"/>
      <c r="G12" s="346">
        <v>3</v>
      </c>
      <c r="H12" s="346">
        <v>3151.6037187828729</v>
      </c>
      <c r="I12" s="346">
        <v>1050.5345729276244</v>
      </c>
      <c r="J12" s="236" t="s">
        <v>662</v>
      </c>
      <c r="K12" s="747"/>
      <c r="L12" s="748"/>
      <c r="M12" s="125"/>
    </row>
    <row r="13" spans="1:13" ht="15.75" customHeight="1">
      <c r="A13" s="733"/>
      <c r="B13" s="734"/>
      <c r="C13" s="159" t="s">
        <v>655</v>
      </c>
      <c r="D13" s="345" t="s">
        <v>572</v>
      </c>
      <c r="E13" s="332"/>
      <c r="F13" s="333"/>
      <c r="G13" s="346">
        <v>8</v>
      </c>
      <c r="H13" s="346">
        <v>1467.8254942370418</v>
      </c>
      <c r="I13" s="346">
        <v>183.47818677963022</v>
      </c>
      <c r="J13" s="365" t="s">
        <v>660</v>
      </c>
      <c r="K13" s="740"/>
      <c r="L13" s="741"/>
      <c r="M13" s="125"/>
    </row>
    <row r="14" spans="1:13" ht="15.75" customHeight="1">
      <c r="A14" s="733"/>
      <c r="B14" s="734"/>
      <c r="C14" s="159" t="s">
        <v>656</v>
      </c>
      <c r="D14" s="345" t="s">
        <v>598</v>
      </c>
      <c r="E14" s="332"/>
      <c r="F14" s="333"/>
      <c r="G14" s="346">
        <v>4</v>
      </c>
      <c r="H14" s="346">
        <v>2295.924242424237</v>
      </c>
      <c r="I14" s="346">
        <v>573.98106060605926</v>
      </c>
      <c r="J14" s="234" t="s">
        <v>660</v>
      </c>
      <c r="K14" s="742"/>
      <c r="L14" s="742"/>
      <c r="M14" s="125"/>
    </row>
    <row r="15" spans="1:13" ht="15.75" customHeight="1">
      <c r="A15" s="733"/>
      <c r="B15" s="734"/>
      <c r="C15" s="159" t="s">
        <v>657</v>
      </c>
      <c r="D15" s="435" t="s">
        <v>717</v>
      </c>
      <c r="E15" s="332"/>
      <c r="F15" s="333"/>
      <c r="G15" s="346">
        <v>4</v>
      </c>
      <c r="H15" s="346">
        <v>2783.8748336072645</v>
      </c>
      <c r="I15" s="346">
        <v>695.96870840181612</v>
      </c>
      <c r="J15" s="234" t="s">
        <v>660</v>
      </c>
      <c r="K15" s="742"/>
      <c r="L15" s="742"/>
      <c r="M15" s="125"/>
    </row>
    <row r="16" spans="1:13" ht="15.75" customHeight="1">
      <c r="A16" s="733"/>
      <c r="B16" s="734"/>
      <c r="C16" s="159" t="s">
        <v>658</v>
      </c>
      <c r="D16" s="345" t="s">
        <v>671</v>
      </c>
      <c r="E16" s="332"/>
      <c r="F16" s="333"/>
      <c r="G16" s="346">
        <v>4</v>
      </c>
      <c r="H16" s="346">
        <v>2787.4350649350645</v>
      </c>
      <c r="I16" s="346">
        <v>696.85876623376612</v>
      </c>
      <c r="J16" s="234" t="s">
        <v>660</v>
      </c>
      <c r="K16" s="742"/>
      <c r="L16" s="742"/>
      <c r="M16" s="146"/>
    </row>
    <row r="17" spans="1:13" ht="15.75" customHeight="1">
      <c r="A17" s="733"/>
      <c r="B17" s="734"/>
      <c r="C17" s="159" t="s">
        <v>659</v>
      </c>
      <c r="D17" s="437" t="s">
        <v>690</v>
      </c>
      <c r="E17" s="332"/>
      <c r="F17" s="333"/>
      <c r="G17" s="346">
        <v>4</v>
      </c>
      <c r="H17" s="346">
        <v>2896.5710113034934</v>
      </c>
      <c r="I17" s="346">
        <v>724.14275282587334</v>
      </c>
      <c r="J17" s="236" t="s">
        <v>662</v>
      </c>
      <c r="K17" s="740" t="s">
        <v>663</v>
      </c>
      <c r="L17" s="741"/>
      <c r="M17" s="146"/>
    </row>
    <row r="18" spans="1:13" s="156" customFormat="1" ht="15.75" customHeight="1">
      <c r="A18" s="731" t="s">
        <v>167</v>
      </c>
      <c r="B18" s="731"/>
      <c r="C18" s="544" t="s">
        <v>47</v>
      </c>
      <c r="D18" s="731" t="s">
        <v>12</v>
      </c>
      <c r="E18" s="732"/>
      <c r="F18" s="732"/>
      <c r="G18" s="544" t="s">
        <v>46</v>
      </c>
      <c r="H18" s="544" t="s">
        <v>499</v>
      </c>
      <c r="I18" s="544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3">
        <v>2</v>
      </c>
      <c r="B19" s="734" t="s">
        <v>151</v>
      </c>
      <c r="C19" s="543">
        <v>1</v>
      </c>
      <c r="D19" s="331" t="s">
        <v>554</v>
      </c>
      <c r="E19" s="332"/>
      <c r="F19" s="333"/>
      <c r="G19" s="346">
        <v>10</v>
      </c>
      <c r="H19" s="346">
        <v>1461.8181818181831</v>
      </c>
      <c r="I19" s="346">
        <v>146.18181818181827</v>
      </c>
      <c r="J19" s="234" t="s">
        <v>660</v>
      </c>
      <c r="K19" s="729"/>
      <c r="L19" s="730"/>
      <c r="M19" s="146"/>
    </row>
    <row r="20" spans="1:13" ht="15.75" customHeight="1">
      <c r="A20" s="733"/>
      <c r="B20" s="734"/>
      <c r="C20" s="543">
        <v>2</v>
      </c>
      <c r="D20" s="331" t="s">
        <v>570</v>
      </c>
      <c r="E20" s="332"/>
      <c r="F20" s="333"/>
      <c r="G20" s="346">
        <v>12.714285714285714</v>
      </c>
      <c r="H20" s="346">
        <v>1853.1838640719454</v>
      </c>
      <c r="I20" s="346">
        <v>145.86336500187124</v>
      </c>
      <c r="J20" s="235" t="s">
        <v>661</v>
      </c>
      <c r="K20" s="736" t="s">
        <v>775</v>
      </c>
      <c r="L20" s="737"/>
      <c r="M20" s="146"/>
    </row>
    <row r="21" spans="1:13" ht="15.75" customHeight="1">
      <c r="A21" s="733"/>
      <c r="B21" s="734"/>
      <c r="C21" s="543">
        <v>3</v>
      </c>
      <c r="D21" s="347" t="s">
        <v>569</v>
      </c>
      <c r="E21" s="332"/>
      <c r="F21" s="333"/>
      <c r="G21" s="346">
        <v>12.714285714285714</v>
      </c>
      <c r="H21" s="346">
        <v>1795.909279126671</v>
      </c>
      <c r="I21" s="346">
        <v>141.40816188642276</v>
      </c>
      <c r="J21" s="236" t="s">
        <v>662</v>
      </c>
      <c r="K21" s="738"/>
      <c r="L21" s="739"/>
      <c r="M21" s="146"/>
    </row>
    <row r="22" spans="1:13" ht="15.75" customHeight="1">
      <c r="A22" s="733"/>
      <c r="B22" s="734"/>
      <c r="C22" s="543">
        <v>4</v>
      </c>
      <c r="D22" s="347" t="s">
        <v>653</v>
      </c>
      <c r="E22" s="332"/>
      <c r="F22" s="333"/>
      <c r="G22" s="346">
        <v>12.714285714285714</v>
      </c>
      <c r="H22" s="346">
        <v>1726.9896103896117</v>
      </c>
      <c r="I22" s="346">
        <v>135.73912753912765</v>
      </c>
      <c r="J22" s="234" t="s">
        <v>660</v>
      </c>
      <c r="K22" s="729"/>
      <c r="L22" s="730"/>
      <c r="M22" s="146"/>
    </row>
    <row r="23" spans="1:13" ht="15.75" customHeight="1">
      <c r="A23" s="733"/>
      <c r="B23" s="734"/>
      <c r="C23" s="543">
        <v>5</v>
      </c>
      <c r="D23" s="347"/>
      <c r="E23" s="332"/>
      <c r="F23" s="333"/>
      <c r="G23" s="346"/>
      <c r="H23" s="346"/>
      <c r="I23" s="346"/>
      <c r="J23" s="234"/>
      <c r="K23" s="729"/>
      <c r="L23" s="730"/>
      <c r="M23" s="146"/>
    </row>
    <row r="24" spans="1:13" ht="15.75" customHeight="1">
      <c r="A24" s="733"/>
      <c r="B24" s="734"/>
      <c r="C24" s="159" t="s">
        <v>655</v>
      </c>
      <c r="D24" s="331"/>
      <c r="E24" s="332"/>
      <c r="F24" s="333"/>
      <c r="G24" s="346"/>
      <c r="H24" s="346"/>
      <c r="I24" s="346"/>
      <c r="J24" s="234"/>
      <c r="K24" s="735"/>
      <c r="L24" s="730"/>
      <c r="M24" s="146"/>
    </row>
    <row r="25" spans="1:13" ht="15.75" customHeight="1">
      <c r="A25" s="733"/>
      <c r="B25" s="734"/>
      <c r="C25" s="159" t="s">
        <v>656</v>
      </c>
      <c r="D25" s="331"/>
      <c r="E25" s="332"/>
      <c r="F25" s="333"/>
      <c r="G25" s="346"/>
      <c r="H25" s="346"/>
      <c r="I25" s="346"/>
      <c r="J25" s="234"/>
      <c r="K25" s="729"/>
      <c r="L25" s="730"/>
      <c r="M25" s="146"/>
    </row>
    <row r="26" spans="1:13" ht="15.75" customHeight="1">
      <c r="A26" s="733"/>
      <c r="B26" s="734"/>
      <c r="C26" s="159" t="s">
        <v>657</v>
      </c>
      <c r="E26" s="332"/>
      <c r="F26" s="333"/>
      <c r="G26" s="346"/>
      <c r="H26" s="346"/>
      <c r="I26" s="346"/>
      <c r="J26" s="545"/>
      <c r="K26" s="729"/>
      <c r="L26" s="730"/>
      <c r="M26" s="146"/>
    </row>
    <row r="27" spans="1:13" ht="15.75" customHeight="1">
      <c r="A27" s="733"/>
      <c r="B27" s="734"/>
      <c r="C27" s="159" t="s">
        <v>658</v>
      </c>
      <c r="D27" s="331"/>
      <c r="E27" s="332"/>
      <c r="F27" s="333"/>
      <c r="G27" s="346"/>
      <c r="H27" s="346"/>
      <c r="I27" s="346"/>
      <c r="J27" s="545"/>
      <c r="K27" s="729"/>
      <c r="L27" s="730"/>
      <c r="M27" s="146"/>
    </row>
    <row r="28" spans="1:13" ht="15.75" customHeight="1">
      <c r="A28" s="733"/>
      <c r="B28" s="734"/>
      <c r="C28" s="159" t="s">
        <v>659</v>
      </c>
      <c r="D28" s="331"/>
      <c r="E28" s="332"/>
      <c r="F28" s="333"/>
      <c r="G28" s="545"/>
      <c r="H28" s="545"/>
      <c r="I28" s="545"/>
      <c r="J28" s="545"/>
      <c r="K28" s="729"/>
      <c r="L28" s="73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  <row r="36" spans="1:13" ht="15.75" customHeight="1">
      <c r="M36" s="146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I51" sqref="I51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49" t="s">
        <v>186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146"/>
    </row>
    <row r="4" spans="1:13" s="115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125"/>
    </row>
    <row r="5" spans="1:13" s="148" customFormat="1" ht="16.350000000000001" customHeight="1">
      <c r="A5" s="733" t="s">
        <v>154</v>
      </c>
      <c r="B5" s="150">
        <v>1</v>
      </c>
      <c r="C5" s="150">
        <v>2</v>
      </c>
      <c r="D5" s="160">
        <v>3</v>
      </c>
      <c r="E5" s="16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33"/>
      <c r="B6" s="151" t="s">
        <v>187</v>
      </c>
      <c r="C6" s="151" t="s">
        <v>151</v>
      </c>
      <c r="D6" s="161" t="s">
        <v>188</v>
      </c>
      <c r="E6" s="16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34" t="s">
        <v>168</v>
      </c>
      <c r="B7" s="734"/>
      <c r="C7" s="335" t="s">
        <v>378</v>
      </c>
      <c r="D7" s="734" t="s">
        <v>12</v>
      </c>
      <c r="E7" s="741"/>
      <c r="F7" s="741"/>
      <c r="G7" s="350" t="s">
        <v>543</v>
      </c>
      <c r="H7" s="350" t="s">
        <v>544</v>
      </c>
      <c r="I7" s="350" t="s">
        <v>545</v>
      </c>
      <c r="J7" s="216" t="s">
        <v>546</v>
      </c>
      <c r="K7" s="734" t="s">
        <v>547</v>
      </c>
      <c r="L7" s="741"/>
      <c r="M7" s="147"/>
    </row>
    <row r="8" spans="1:13" ht="15.75" customHeight="1">
      <c r="A8" s="733">
        <v>3</v>
      </c>
      <c r="B8" s="734" t="s">
        <v>152</v>
      </c>
      <c r="C8" s="543">
        <v>1</v>
      </c>
      <c r="D8" s="331" t="s">
        <v>352</v>
      </c>
      <c r="E8" s="332"/>
      <c r="F8" s="333"/>
      <c r="G8" s="346">
        <v>5</v>
      </c>
      <c r="H8" s="346">
        <v>2103.1544866264021</v>
      </c>
      <c r="I8" s="346">
        <v>420.63089732528044</v>
      </c>
      <c r="J8" s="234" t="s">
        <v>660</v>
      </c>
      <c r="K8" s="758"/>
      <c r="L8" s="759"/>
      <c r="M8" s="125"/>
    </row>
    <row r="9" spans="1:13" ht="15.75" customHeight="1">
      <c r="A9" s="733"/>
      <c r="B9" s="734"/>
      <c r="C9" s="543">
        <v>2</v>
      </c>
      <c r="D9" s="331" t="s">
        <v>421</v>
      </c>
      <c r="E9" s="332"/>
      <c r="F9" s="333"/>
      <c r="G9" s="346">
        <v>5</v>
      </c>
      <c r="H9" s="346">
        <v>2101.3177232541502</v>
      </c>
      <c r="I9" s="346">
        <v>420.26354465083006</v>
      </c>
      <c r="J9" s="234" t="s">
        <v>660</v>
      </c>
      <c r="K9" s="758"/>
      <c r="L9" s="759"/>
      <c r="M9" s="125"/>
    </row>
    <row r="10" spans="1:13" ht="15.75" customHeight="1">
      <c r="A10" s="733"/>
      <c r="B10" s="734"/>
      <c r="C10" s="543">
        <v>3</v>
      </c>
      <c r="D10" s="331" t="s">
        <v>354</v>
      </c>
      <c r="E10" s="332"/>
      <c r="F10" s="333"/>
      <c r="G10" s="346">
        <v>10</v>
      </c>
      <c r="H10" s="346">
        <v>2449.1676324780342</v>
      </c>
      <c r="I10" s="346">
        <v>244.9167632478034</v>
      </c>
      <c r="J10" s="234" t="s">
        <v>660</v>
      </c>
      <c r="K10" s="758"/>
      <c r="L10" s="759"/>
      <c r="M10" s="125"/>
    </row>
    <row r="11" spans="1:13" ht="15.75" customHeight="1">
      <c r="A11" s="733"/>
      <c r="B11" s="734"/>
      <c r="C11" s="543">
        <v>4</v>
      </c>
      <c r="D11" s="331" t="s">
        <v>683</v>
      </c>
      <c r="E11" s="332"/>
      <c r="F11" s="333"/>
      <c r="G11" s="346">
        <v>11</v>
      </c>
      <c r="H11" s="346">
        <v>2156.0359901292986</v>
      </c>
      <c r="I11" s="346">
        <v>196.00327182993627</v>
      </c>
      <c r="J11" s="234" t="s">
        <v>660</v>
      </c>
      <c r="K11" s="752"/>
      <c r="L11" s="732"/>
      <c r="M11" s="125"/>
    </row>
    <row r="12" spans="1:13" ht="15.75" customHeight="1">
      <c r="A12" s="733"/>
      <c r="B12" s="734"/>
      <c r="C12" s="543">
        <v>5</v>
      </c>
      <c r="D12" s="331" t="s">
        <v>640</v>
      </c>
      <c r="E12" s="332"/>
      <c r="F12" s="333"/>
      <c r="G12" s="346">
        <v>11</v>
      </c>
      <c r="H12" s="346">
        <v>2088.6164484718456</v>
      </c>
      <c r="I12" s="346">
        <v>189.87422258834957</v>
      </c>
      <c r="J12" s="234" t="s">
        <v>660</v>
      </c>
      <c r="K12" s="753"/>
      <c r="L12" s="754"/>
      <c r="M12" s="125"/>
    </row>
    <row r="13" spans="1:13" ht="15.75" customHeight="1">
      <c r="A13" s="733"/>
      <c r="B13" s="734"/>
      <c r="C13" s="159" t="s">
        <v>655</v>
      </c>
      <c r="D13" s="331" t="s">
        <v>591</v>
      </c>
      <c r="E13" s="332"/>
      <c r="F13" s="333"/>
      <c r="G13" s="346">
        <v>18</v>
      </c>
      <c r="H13" s="346">
        <v>1102.7816821394631</v>
      </c>
      <c r="I13" s="346">
        <v>61.265649007747946</v>
      </c>
      <c r="J13" s="234" t="s">
        <v>660</v>
      </c>
      <c r="K13" s="751"/>
      <c r="L13" s="732"/>
      <c r="M13" s="125"/>
    </row>
    <row r="14" spans="1:13" ht="15.75" customHeight="1">
      <c r="A14" s="733"/>
      <c r="B14" s="734"/>
      <c r="C14" s="159" t="s">
        <v>656</v>
      </c>
      <c r="D14" s="331" t="s">
        <v>351</v>
      </c>
      <c r="E14" s="332"/>
      <c r="F14" s="333"/>
      <c r="G14" s="346">
        <v>18</v>
      </c>
      <c r="H14" s="346">
        <v>1103.9130103745779</v>
      </c>
      <c r="I14" s="346">
        <v>61.328500576365442</v>
      </c>
      <c r="J14" s="234" t="s">
        <v>660</v>
      </c>
      <c r="K14" s="751"/>
      <c r="L14" s="732"/>
      <c r="M14" s="125"/>
    </row>
    <row r="15" spans="1:13" ht="15.75" customHeight="1">
      <c r="A15" s="733"/>
      <c r="B15" s="734"/>
      <c r="C15" s="159" t="s">
        <v>657</v>
      </c>
      <c r="D15" s="331" t="s">
        <v>555</v>
      </c>
      <c r="E15" s="332"/>
      <c r="F15" s="333"/>
      <c r="G15" s="346">
        <v>13</v>
      </c>
      <c r="H15" s="346">
        <v>2106.890145362047</v>
      </c>
      <c r="I15" s="346">
        <v>162.06847272015744</v>
      </c>
      <c r="J15" s="234" t="s">
        <v>660</v>
      </c>
      <c r="K15" s="751"/>
      <c r="L15" s="732"/>
      <c r="M15" s="125"/>
    </row>
    <row r="16" spans="1:13" ht="15.75" customHeight="1">
      <c r="A16" s="733"/>
      <c r="B16" s="734"/>
      <c r="C16" s="159" t="s">
        <v>658</v>
      </c>
      <c r="D16" s="331" t="s">
        <v>353</v>
      </c>
      <c r="E16" s="332"/>
      <c r="F16" s="333"/>
      <c r="G16" s="346">
        <v>13</v>
      </c>
      <c r="H16" s="346">
        <v>2179.0924447513976</v>
      </c>
      <c r="I16" s="346">
        <v>167.6224957501075</v>
      </c>
      <c r="J16" s="234" t="s">
        <v>660</v>
      </c>
      <c r="K16" s="751"/>
      <c r="L16" s="732"/>
      <c r="M16" s="146"/>
    </row>
    <row r="17" spans="1:13" ht="15.75" customHeight="1">
      <c r="A17" s="733"/>
      <c r="B17" s="734"/>
      <c r="C17" s="159" t="s">
        <v>659</v>
      </c>
      <c r="D17" s="331"/>
      <c r="E17" s="332"/>
      <c r="F17" s="333"/>
      <c r="G17" s="346"/>
      <c r="H17" s="346"/>
      <c r="I17" s="346"/>
      <c r="J17" s="234"/>
      <c r="K17" s="751"/>
      <c r="L17" s="732"/>
      <c r="M17" s="146"/>
    </row>
    <row r="18" spans="1:13" s="156" customFormat="1" ht="15.75" customHeight="1">
      <c r="A18" s="731" t="s">
        <v>167</v>
      </c>
      <c r="B18" s="731"/>
      <c r="C18" s="527" t="s">
        <v>47</v>
      </c>
      <c r="D18" s="731" t="s">
        <v>12</v>
      </c>
      <c r="E18" s="732"/>
      <c r="F18" s="732"/>
      <c r="G18" s="527" t="s">
        <v>46</v>
      </c>
      <c r="H18" s="527" t="s">
        <v>499</v>
      </c>
      <c r="I18" s="527" t="s">
        <v>375</v>
      </c>
      <c r="J18" s="216" t="s">
        <v>376</v>
      </c>
      <c r="K18" s="731" t="s">
        <v>51</v>
      </c>
      <c r="L18" s="732"/>
      <c r="M18" s="149"/>
    </row>
    <row r="19" spans="1:13" ht="15.75" customHeight="1">
      <c r="A19" s="733">
        <v>4</v>
      </c>
      <c r="B19" s="734" t="s">
        <v>153</v>
      </c>
      <c r="C19" s="526">
        <v>1</v>
      </c>
      <c r="D19" s="436"/>
      <c r="E19" s="332"/>
      <c r="F19" s="333"/>
      <c r="G19" s="346"/>
      <c r="H19" s="346"/>
      <c r="I19" s="346"/>
      <c r="J19" s="235"/>
      <c r="K19" s="756"/>
      <c r="L19" s="730"/>
      <c r="M19" s="146"/>
    </row>
    <row r="20" spans="1:13" ht="15.75" customHeight="1">
      <c r="A20" s="733"/>
      <c r="B20" s="734"/>
      <c r="C20" s="526">
        <v>2</v>
      </c>
      <c r="D20" s="436"/>
      <c r="E20" s="332"/>
      <c r="F20" s="333"/>
      <c r="G20" s="346"/>
      <c r="H20" s="346"/>
      <c r="I20" s="346"/>
      <c r="J20" s="236"/>
      <c r="K20" s="757"/>
      <c r="L20" s="741"/>
      <c r="M20" s="146"/>
    </row>
    <row r="21" spans="1:13" ht="15.75" customHeight="1">
      <c r="A21" s="733"/>
      <c r="B21" s="734"/>
      <c r="C21" s="526">
        <v>3</v>
      </c>
      <c r="D21" s="347"/>
      <c r="E21" s="332"/>
      <c r="F21" s="333"/>
      <c r="G21" s="346"/>
      <c r="H21" s="346"/>
      <c r="I21" s="346"/>
      <c r="J21" s="236"/>
      <c r="K21" s="729"/>
      <c r="L21" s="730"/>
      <c r="M21" s="146"/>
    </row>
    <row r="22" spans="1:13" ht="15.75" customHeight="1">
      <c r="A22" s="733"/>
      <c r="B22" s="734"/>
      <c r="C22" s="526">
        <v>4</v>
      </c>
      <c r="D22" s="347"/>
      <c r="E22" s="332"/>
      <c r="F22" s="333"/>
      <c r="G22" s="528"/>
      <c r="H22" s="346"/>
      <c r="I22" s="346"/>
      <c r="J22" s="234"/>
      <c r="K22" s="729"/>
      <c r="L22" s="730"/>
      <c r="M22" s="146"/>
    </row>
    <row r="23" spans="1:13" ht="15.75" customHeight="1">
      <c r="A23" s="733"/>
      <c r="B23" s="734"/>
      <c r="C23" s="526">
        <v>5</v>
      </c>
      <c r="D23" s="331"/>
      <c r="E23" s="332"/>
      <c r="F23" s="333"/>
      <c r="G23" s="528"/>
      <c r="H23" s="528"/>
      <c r="I23" s="528"/>
      <c r="J23" s="528"/>
      <c r="K23" s="729"/>
      <c r="L23" s="730"/>
      <c r="M23" s="146"/>
    </row>
    <row r="24" spans="1:13" ht="15.75" customHeight="1">
      <c r="A24" s="733"/>
      <c r="B24" s="734"/>
      <c r="C24" s="159" t="s">
        <v>655</v>
      </c>
      <c r="D24" s="347"/>
      <c r="E24" s="332"/>
      <c r="F24" s="333"/>
      <c r="G24" s="346"/>
      <c r="H24" s="346"/>
      <c r="I24" s="346"/>
      <c r="J24" s="234"/>
      <c r="K24" s="755"/>
      <c r="L24" s="730"/>
      <c r="M24" s="146"/>
    </row>
    <row r="25" spans="1:13" ht="15.75" customHeight="1">
      <c r="A25" s="733"/>
      <c r="B25" s="734"/>
      <c r="C25" s="159" t="s">
        <v>656</v>
      </c>
      <c r="D25" s="331"/>
      <c r="E25" s="332"/>
      <c r="F25" s="333"/>
      <c r="G25" s="528"/>
      <c r="H25" s="528"/>
      <c r="I25" s="528"/>
      <c r="J25" s="528"/>
      <c r="K25" s="729"/>
      <c r="L25" s="730"/>
      <c r="M25" s="146"/>
    </row>
    <row r="26" spans="1:13" ht="15.75" customHeight="1">
      <c r="A26" s="733"/>
      <c r="B26" s="734"/>
      <c r="C26" s="159" t="s">
        <v>657</v>
      </c>
      <c r="D26" s="331"/>
      <c r="E26" s="332"/>
      <c r="F26" s="333"/>
      <c r="G26" s="528"/>
      <c r="H26" s="528"/>
      <c r="I26" s="528"/>
      <c r="J26" s="528"/>
      <c r="K26" s="729"/>
      <c r="L26" s="730"/>
      <c r="M26" s="146"/>
    </row>
    <row r="27" spans="1:13" ht="15.75" customHeight="1">
      <c r="A27" s="733"/>
      <c r="B27" s="734"/>
      <c r="C27" s="159" t="s">
        <v>658</v>
      </c>
      <c r="D27" s="331"/>
      <c r="E27" s="332"/>
      <c r="F27" s="333"/>
      <c r="G27" s="528"/>
      <c r="H27" s="528"/>
      <c r="I27" s="528"/>
      <c r="J27" s="528"/>
      <c r="K27" s="729"/>
      <c r="L27" s="730"/>
      <c r="M27" s="146"/>
    </row>
    <row r="28" spans="1:13" ht="15.75" customHeight="1">
      <c r="A28" s="733"/>
      <c r="B28" s="734"/>
      <c r="C28" s="159" t="s">
        <v>659</v>
      </c>
      <c r="D28" s="331"/>
      <c r="E28" s="332"/>
      <c r="F28" s="333"/>
      <c r="G28" s="528"/>
      <c r="H28" s="528"/>
      <c r="I28" s="528"/>
      <c r="J28" s="528"/>
      <c r="K28" s="729"/>
      <c r="L28" s="73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3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14:L14"/>
    <mergeCell ref="K15:L15"/>
    <mergeCell ref="K8:L8"/>
    <mergeCell ref="K9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K51" sqref="K50:K51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8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8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8" ht="15.75" customHeight="1">
      <c r="A3" s="749" t="s">
        <v>186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146"/>
    </row>
    <row r="4" spans="1:18" s="115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125"/>
    </row>
    <row r="5" spans="1:18" s="148" customFormat="1" ht="16.350000000000001" customHeight="1">
      <c r="A5" s="733" t="s">
        <v>154</v>
      </c>
      <c r="B5" s="150">
        <v>1</v>
      </c>
      <c r="C5" s="150">
        <v>2</v>
      </c>
      <c r="D5" s="150">
        <v>3</v>
      </c>
      <c r="E5" s="150">
        <v>4</v>
      </c>
      <c r="F5" s="160">
        <v>5</v>
      </c>
      <c r="G5" s="16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8" ht="16.350000000000001" customHeight="1">
      <c r="A6" s="733"/>
      <c r="B6" s="151" t="s">
        <v>187</v>
      </c>
      <c r="C6" s="151" t="s">
        <v>151</v>
      </c>
      <c r="D6" s="151" t="s">
        <v>188</v>
      </c>
      <c r="E6" s="151" t="s">
        <v>153</v>
      </c>
      <c r="F6" s="162" t="s">
        <v>133</v>
      </c>
      <c r="G6" s="16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8" s="148" customFormat="1" ht="15.75" customHeight="1">
      <c r="A7" s="734" t="s">
        <v>533</v>
      </c>
      <c r="B7" s="734"/>
      <c r="C7" s="335" t="s">
        <v>534</v>
      </c>
      <c r="D7" s="734" t="s">
        <v>12</v>
      </c>
      <c r="E7" s="741"/>
      <c r="F7" s="741"/>
      <c r="G7" s="350" t="s">
        <v>543</v>
      </c>
      <c r="H7" s="350" t="s">
        <v>544</v>
      </c>
      <c r="I7" s="350" t="s">
        <v>545</v>
      </c>
      <c r="J7" s="216" t="s">
        <v>546</v>
      </c>
      <c r="K7" s="734" t="s">
        <v>547</v>
      </c>
      <c r="L7" s="741"/>
      <c r="M7" s="147"/>
    </row>
    <row r="8" spans="1:18" ht="15.75" customHeight="1">
      <c r="A8" s="733">
        <v>5</v>
      </c>
      <c r="B8" s="734" t="s">
        <v>133</v>
      </c>
      <c r="C8" s="543">
        <v>1</v>
      </c>
      <c r="D8" s="360" t="s">
        <v>338</v>
      </c>
      <c r="E8" s="332"/>
      <c r="F8" s="333"/>
      <c r="G8" s="346">
        <v>6</v>
      </c>
      <c r="H8" s="346">
        <v>1471.2234537316119</v>
      </c>
      <c r="I8" s="346">
        <v>245.20390895526864</v>
      </c>
      <c r="J8" s="234" t="s">
        <v>660</v>
      </c>
      <c r="K8" s="760"/>
      <c r="L8" s="741"/>
      <c r="M8" s="125"/>
      <c r="P8" s="244"/>
      <c r="Q8" s="244"/>
      <c r="R8" s="244"/>
    </row>
    <row r="9" spans="1:18" ht="15.75" customHeight="1">
      <c r="A9" s="733"/>
      <c r="B9" s="734"/>
      <c r="C9" s="543">
        <v>2</v>
      </c>
      <c r="D9" s="347" t="s">
        <v>565</v>
      </c>
      <c r="E9" s="332"/>
      <c r="F9" s="333"/>
      <c r="G9" s="346">
        <v>6</v>
      </c>
      <c r="H9" s="346">
        <v>1468.5798085189365</v>
      </c>
      <c r="I9" s="346">
        <v>244.7633014198228</v>
      </c>
      <c r="J9" s="234" t="s">
        <v>660</v>
      </c>
      <c r="K9" s="760"/>
      <c r="L9" s="741"/>
      <c r="M9" s="125"/>
      <c r="P9" s="244"/>
      <c r="Q9" s="244"/>
      <c r="R9" s="244"/>
    </row>
    <row r="10" spans="1:18" ht="15.75" customHeight="1">
      <c r="A10" s="733"/>
      <c r="B10" s="734"/>
      <c r="C10" s="543">
        <v>3</v>
      </c>
      <c r="D10" s="331" t="s">
        <v>688</v>
      </c>
      <c r="E10" s="332"/>
      <c r="F10" s="333"/>
      <c r="G10" s="346">
        <v>13.714285714285714</v>
      </c>
      <c r="H10" s="346">
        <v>1331.567553974168</v>
      </c>
      <c r="I10" s="346">
        <v>97.20366954305824</v>
      </c>
      <c r="J10" s="235" t="s">
        <v>661</v>
      </c>
      <c r="K10" s="761" t="s">
        <v>776</v>
      </c>
      <c r="L10" s="762"/>
      <c r="M10" s="125"/>
      <c r="P10" s="244"/>
      <c r="Q10" s="244"/>
      <c r="R10" s="244"/>
    </row>
    <row r="11" spans="1:18" ht="15.75" customHeight="1">
      <c r="A11" s="733"/>
      <c r="B11" s="734"/>
      <c r="C11" s="543">
        <v>4</v>
      </c>
      <c r="D11" s="436" t="s">
        <v>669</v>
      </c>
      <c r="E11" s="332"/>
      <c r="F11" s="333"/>
      <c r="G11" s="346">
        <v>13.714285714285714</v>
      </c>
      <c r="H11" s="346">
        <v>1325.7968080672774</v>
      </c>
      <c r="I11" s="346">
        <v>96.768566575544597</v>
      </c>
      <c r="J11" s="236" t="s">
        <v>662</v>
      </c>
      <c r="K11" s="763"/>
      <c r="L11" s="764"/>
      <c r="M11" s="125"/>
      <c r="P11" s="244"/>
      <c r="Q11" s="244"/>
      <c r="R11" s="244"/>
    </row>
    <row r="12" spans="1:18" ht="15.75" customHeight="1">
      <c r="A12" s="733"/>
      <c r="B12" s="734"/>
      <c r="C12" s="543">
        <v>5</v>
      </c>
      <c r="D12" s="436" t="s">
        <v>340</v>
      </c>
      <c r="E12" s="332"/>
      <c r="F12" s="333"/>
      <c r="G12" s="346">
        <v>14.714285714285714</v>
      </c>
      <c r="H12" s="346">
        <v>1329.8813684176941</v>
      </c>
      <c r="I12" s="346">
        <v>90.476216512142898</v>
      </c>
      <c r="J12" s="234" t="s">
        <v>660</v>
      </c>
      <c r="K12" s="760"/>
      <c r="L12" s="741"/>
      <c r="M12" s="125"/>
      <c r="P12" s="244"/>
      <c r="Q12" s="244"/>
      <c r="R12" s="244"/>
    </row>
    <row r="13" spans="1:18" ht="15.75" customHeight="1">
      <c r="A13" s="733"/>
      <c r="B13" s="734"/>
      <c r="C13" s="159" t="s">
        <v>655</v>
      </c>
      <c r="D13" s="436" t="s">
        <v>644</v>
      </c>
      <c r="E13" s="332"/>
      <c r="F13" s="333"/>
      <c r="G13" s="346">
        <v>20.428571428571427</v>
      </c>
      <c r="H13" s="346">
        <v>1035.0700954065819</v>
      </c>
      <c r="I13" s="346">
        <v>50.684700105606062</v>
      </c>
      <c r="J13" s="234" t="s">
        <v>660</v>
      </c>
      <c r="K13" s="760"/>
      <c r="L13" s="741"/>
      <c r="M13" s="125"/>
      <c r="P13" s="244"/>
      <c r="Q13" s="244"/>
      <c r="R13" s="244"/>
    </row>
    <row r="14" spans="1:18" ht="15.75" customHeight="1">
      <c r="A14" s="733"/>
      <c r="B14" s="734"/>
      <c r="C14" s="159" t="s">
        <v>656</v>
      </c>
      <c r="D14" s="436" t="s">
        <v>594</v>
      </c>
      <c r="E14" s="332"/>
      <c r="F14" s="333"/>
      <c r="G14" s="346">
        <v>20.285714285714285</v>
      </c>
      <c r="H14" s="346">
        <v>1186.7519843176219</v>
      </c>
      <c r="I14" s="346">
        <v>58.533392971171232</v>
      </c>
      <c r="J14" s="236" t="s">
        <v>662</v>
      </c>
      <c r="K14" s="761" t="s">
        <v>736</v>
      </c>
      <c r="L14" s="762"/>
      <c r="M14" s="125"/>
      <c r="P14" s="244"/>
      <c r="Q14" s="244"/>
      <c r="R14" s="244"/>
    </row>
    <row r="15" spans="1:18" ht="15.75" customHeight="1">
      <c r="A15" s="733"/>
      <c r="B15" s="734"/>
      <c r="C15" s="159" t="s">
        <v>657</v>
      </c>
      <c r="D15" s="331" t="s">
        <v>682</v>
      </c>
      <c r="E15" s="332"/>
      <c r="F15" s="333"/>
      <c r="G15" s="346">
        <v>20.285714285714285</v>
      </c>
      <c r="H15" s="346">
        <v>1204.3275000417855</v>
      </c>
      <c r="I15" s="346">
        <v>59.40832511546796</v>
      </c>
      <c r="J15" s="235" t="s">
        <v>661</v>
      </c>
      <c r="K15" s="763"/>
      <c r="L15" s="764"/>
      <c r="M15" s="125"/>
      <c r="P15" s="244"/>
      <c r="Q15" s="244"/>
      <c r="R15" s="244"/>
    </row>
    <row r="16" spans="1:18" ht="15.75" customHeight="1">
      <c r="A16" s="733"/>
      <c r="B16" s="734"/>
      <c r="C16" s="159" t="s">
        <v>658</v>
      </c>
      <c r="D16" s="347" t="s">
        <v>774</v>
      </c>
      <c r="E16" s="332"/>
      <c r="F16" s="333"/>
      <c r="G16" s="346">
        <v>21</v>
      </c>
      <c r="H16" s="346">
        <v>1317.6666666666656</v>
      </c>
      <c r="I16" s="346">
        <v>62.746031746031697</v>
      </c>
      <c r="J16" s="234" t="s">
        <v>660</v>
      </c>
      <c r="K16" s="760" t="s">
        <v>777</v>
      </c>
      <c r="L16" s="741"/>
      <c r="M16" s="146"/>
      <c r="P16" s="244"/>
      <c r="Q16" s="244"/>
      <c r="R16" s="244"/>
    </row>
    <row r="17" spans="1:18" ht="15.75" customHeight="1">
      <c r="A17" s="733"/>
      <c r="B17" s="734"/>
      <c r="C17" s="159" t="s">
        <v>659</v>
      </c>
      <c r="D17" s="347" t="s">
        <v>729</v>
      </c>
      <c r="E17" s="332"/>
      <c r="F17" s="333"/>
      <c r="G17" s="346">
        <v>20</v>
      </c>
      <c r="H17" s="346">
        <v>1313.4844451521767</v>
      </c>
      <c r="I17" s="346">
        <v>65.674222257608832</v>
      </c>
      <c r="J17" s="235" t="s">
        <v>661</v>
      </c>
      <c r="K17" s="760" t="s">
        <v>664</v>
      </c>
      <c r="L17" s="741"/>
      <c r="M17" s="146"/>
      <c r="P17" s="244"/>
      <c r="Q17" s="244"/>
      <c r="R17" s="244"/>
    </row>
    <row r="18" spans="1:18" s="156" customFormat="1" ht="15.75" customHeight="1">
      <c r="A18" s="731" t="s">
        <v>167</v>
      </c>
      <c r="B18" s="731"/>
      <c r="C18" s="544" t="s">
        <v>47</v>
      </c>
      <c r="D18" s="731" t="s">
        <v>12</v>
      </c>
      <c r="E18" s="732"/>
      <c r="F18" s="732"/>
      <c r="G18" s="544" t="s">
        <v>46</v>
      </c>
      <c r="H18" s="544" t="s">
        <v>499</v>
      </c>
      <c r="I18" s="544" t="s">
        <v>375</v>
      </c>
      <c r="J18" s="216" t="s">
        <v>376</v>
      </c>
      <c r="K18" s="731" t="s">
        <v>51</v>
      </c>
      <c r="L18" s="732"/>
      <c r="M18" s="149"/>
    </row>
    <row r="19" spans="1:18" ht="15.75" customHeight="1">
      <c r="A19" s="733">
        <v>6</v>
      </c>
      <c r="B19" s="734" t="s">
        <v>131</v>
      </c>
      <c r="C19" s="543">
        <v>1</v>
      </c>
      <c r="D19" s="331" t="s">
        <v>502</v>
      </c>
      <c r="E19" s="332"/>
      <c r="F19" s="333"/>
      <c r="G19" s="346">
        <v>16</v>
      </c>
      <c r="H19" s="346">
        <v>1335.4629080822667</v>
      </c>
      <c r="I19" s="346">
        <v>83.46643175514167</v>
      </c>
      <c r="J19" s="234" t="s">
        <v>660</v>
      </c>
      <c r="K19" s="765"/>
      <c r="L19" s="741"/>
      <c r="M19" s="146"/>
      <c r="P19" s="244"/>
      <c r="Q19" s="244"/>
      <c r="R19" s="244"/>
    </row>
    <row r="20" spans="1:18" ht="15.75" customHeight="1">
      <c r="A20" s="733"/>
      <c r="B20" s="734"/>
      <c r="C20" s="543">
        <v>2</v>
      </c>
      <c r="D20" s="331" t="s">
        <v>567</v>
      </c>
      <c r="E20" s="332"/>
      <c r="F20" s="333"/>
      <c r="G20" s="346">
        <v>15.714285714285714</v>
      </c>
      <c r="H20" s="346">
        <v>1296.6837128426134</v>
      </c>
      <c r="I20" s="346">
        <v>82.583928691802171</v>
      </c>
      <c r="J20" s="234" t="s">
        <v>660</v>
      </c>
      <c r="K20" s="765"/>
      <c r="L20" s="741"/>
      <c r="M20" s="146"/>
      <c r="P20" s="244"/>
      <c r="Q20" s="244"/>
      <c r="R20" s="244"/>
    </row>
    <row r="21" spans="1:18" ht="15.75" customHeight="1">
      <c r="A21" s="733"/>
      <c r="B21" s="734"/>
      <c r="C21" s="543">
        <v>3</v>
      </c>
      <c r="D21" s="331" t="s">
        <v>341</v>
      </c>
      <c r="E21" s="332"/>
      <c r="F21" s="333"/>
      <c r="G21" s="346">
        <v>17</v>
      </c>
      <c r="H21" s="346">
        <v>1332.9001231204613</v>
      </c>
      <c r="I21" s="346">
        <v>78.405889595321256</v>
      </c>
      <c r="J21" s="234" t="s">
        <v>660</v>
      </c>
      <c r="K21" s="765"/>
      <c r="L21" s="741"/>
      <c r="M21" s="146"/>
      <c r="P21" s="244"/>
      <c r="Q21" s="244"/>
      <c r="R21" s="244"/>
    </row>
    <row r="22" spans="1:18" ht="15.75" customHeight="1">
      <c r="A22" s="733"/>
      <c r="B22" s="734"/>
      <c r="C22" s="543">
        <v>4</v>
      </c>
      <c r="D22" s="331" t="s">
        <v>581</v>
      </c>
      <c r="E22" s="332"/>
      <c r="F22" s="333"/>
      <c r="G22" s="346">
        <v>17</v>
      </c>
      <c r="H22" s="346">
        <v>1303.7598648423118</v>
      </c>
      <c r="I22" s="346">
        <v>76.691756755430106</v>
      </c>
      <c r="J22" s="234" t="s">
        <v>660</v>
      </c>
      <c r="K22" s="765"/>
      <c r="L22" s="741"/>
      <c r="M22" s="146"/>
      <c r="P22" s="244"/>
      <c r="Q22" s="244"/>
      <c r="R22" s="244"/>
    </row>
    <row r="23" spans="1:18" ht="15.75" customHeight="1">
      <c r="A23" s="733"/>
      <c r="B23" s="734"/>
      <c r="C23" s="543">
        <v>5</v>
      </c>
      <c r="D23" s="331" t="s">
        <v>734</v>
      </c>
      <c r="E23" s="332"/>
      <c r="F23" s="333"/>
      <c r="G23" s="346">
        <v>18</v>
      </c>
      <c r="H23" s="346">
        <v>1337.3011594667612</v>
      </c>
      <c r="I23" s="346">
        <v>74.294508859264511</v>
      </c>
      <c r="J23" s="234" t="s">
        <v>660</v>
      </c>
      <c r="K23" s="765"/>
      <c r="L23" s="741"/>
      <c r="M23" s="146"/>
      <c r="P23" s="244"/>
      <c r="Q23" s="244"/>
      <c r="R23" s="244"/>
    </row>
    <row r="24" spans="1:18" ht="15.75" customHeight="1">
      <c r="A24" s="733"/>
      <c r="B24" s="734"/>
      <c r="C24" s="159" t="s">
        <v>655</v>
      </c>
      <c r="D24" s="436" t="s">
        <v>676</v>
      </c>
      <c r="E24" s="332"/>
      <c r="F24" s="333"/>
      <c r="G24" s="346">
        <v>19</v>
      </c>
      <c r="H24" s="346">
        <v>1080.0000000000039</v>
      </c>
      <c r="I24" s="346">
        <v>56.842105263158096</v>
      </c>
      <c r="J24" s="234" t="s">
        <v>660</v>
      </c>
      <c r="K24" s="766"/>
      <c r="L24" s="741"/>
      <c r="M24" s="146"/>
      <c r="P24" s="244"/>
      <c r="Q24" s="244"/>
      <c r="R24" s="244"/>
    </row>
    <row r="25" spans="1:18" ht="15.75" customHeight="1">
      <c r="A25" s="733"/>
      <c r="B25" s="734"/>
      <c r="C25" s="159" t="s">
        <v>656</v>
      </c>
      <c r="D25" s="529" t="s">
        <v>342</v>
      </c>
      <c r="E25" s="332"/>
      <c r="F25" s="333"/>
      <c r="G25" s="346">
        <v>21</v>
      </c>
      <c r="H25" s="346">
        <v>1275.9771988259738</v>
      </c>
      <c r="I25" s="346">
        <v>60.76081899171303</v>
      </c>
      <c r="J25" s="234" t="s">
        <v>660</v>
      </c>
      <c r="K25" s="766"/>
      <c r="L25" s="741"/>
      <c r="M25" s="146"/>
      <c r="P25" s="244"/>
      <c r="Q25" s="244"/>
      <c r="R25" s="244"/>
    </row>
    <row r="26" spans="1:18" ht="15.75" customHeight="1">
      <c r="A26" s="733"/>
      <c r="B26" s="734"/>
      <c r="C26" s="159" t="s">
        <v>657</v>
      </c>
      <c r="D26" s="436" t="s">
        <v>680</v>
      </c>
      <c r="E26" s="332"/>
      <c r="F26" s="333"/>
      <c r="G26" s="346">
        <v>20</v>
      </c>
      <c r="H26" s="346">
        <v>1274.9350024411685</v>
      </c>
      <c r="I26" s="346">
        <v>63.74675012205843</v>
      </c>
      <c r="J26" s="234" t="s">
        <v>660</v>
      </c>
      <c r="K26" s="766"/>
      <c r="L26" s="741"/>
      <c r="M26" s="146"/>
      <c r="P26" s="244"/>
      <c r="Q26" s="244"/>
      <c r="R26" s="244"/>
    </row>
    <row r="27" spans="1:18" ht="15.75" customHeight="1">
      <c r="A27" s="733"/>
      <c r="B27" s="734"/>
      <c r="C27" s="159" t="s">
        <v>658</v>
      </c>
      <c r="D27" s="436" t="s">
        <v>484</v>
      </c>
      <c r="E27" s="332"/>
      <c r="F27" s="333"/>
      <c r="G27" s="346">
        <v>18</v>
      </c>
      <c r="H27" s="346">
        <v>1238.9540457769185</v>
      </c>
      <c r="I27" s="346">
        <v>68.830780320939922</v>
      </c>
      <c r="J27" s="234" t="s">
        <v>660</v>
      </c>
      <c r="K27" s="766"/>
      <c r="L27" s="741"/>
      <c r="M27" s="146"/>
      <c r="P27" s="244"/>
      <c r="Q27" s="244"/>
      <c r="R27" s="244"/>
    </row>
    <row r="28" spans="1:18" ht="15.75" customHeight="1">
      <c r="A28" s="733"/>
      <c r="B28" s="734"/>
      <c r="C28" s="159" t="s">
        <v>659</v>
      </c>
      <c r="D28" s="331" t="s">
        <v>343</v>
      </c>
      <c r="E28" s="332"/>
      <c r="F28" s="333"/>
      <c r="G28" s="346">
        <v>19</v>
      </c>
      <c r="H28" s="346">
        <v>1322.8716799513506</v>
      </c>
      <c r="I28" s="346">
        <v>69.62482526059739</v>
      </c>
      <c r="J28" s="234" t="s">
        <v>660</v>
      </c>
      <c r="K28" s="766"/>
      <c r="L28" s="741"/>
      <c r="M28" s="146"/>
      <c r="P28" s="244"/>
      <c r="Q28" s="244"/>
      <c r="R28" s="244"/>
    </row>
    <row r="29" spans="1:18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8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8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8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A8:A17"/>
    <mergeCell ref="B8:B17"/>
    <mergeCell ref="K12:L12"/>
    <mergeCell ref="K13:L13"/>
    <mergeCell ref="K14:L15"/>
    <mergeCell ref="A1:L2"/>
    <mergeCell ref="A3:L4"/>
    <mergeCell ref="A5:A6"/>
    <mergeCell ref="A7:B7"/>
    <mergeCell ref="D7:F7"/>
    <mergeCell ref="K7:L7"/>
    <mergeCell ref="A18:B18"/>
    <mergeCell ref="D18:F18"/>
    <mergeCell ref="B19:B28"/>
    <mergeCell ref="A19:A28"/>
    <mergeCell ref="K24:L24"/>
    <mergeCell ref="K23:L23"/>
    <mergeCell ref="K18:L18"/>
    <mergeCell ref="K21:L21"/>
    <mergeCell ref="K22:L22"/>
    <mergeCell ref="K25:L25"/>
    <mergeCell ref="K26:L26"/>
    <mergeCell ref="K27:L27"/>
    <mergeCell ref="K28:L28"/>
    <mergeCell ref="K8:L8"/>
    <mergeCell ref="K9:L9"/>
    <mergeCell ref="K10:L11"/>
    <mergeCell ref="K19:L19"/>
    <mergeCell ref="K20:L20"/>
    <mergeCell ref="K16:L16"/>
    <mergeCell ref="K17:L1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L51" sqref="L51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13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13" ht="15.75" customHeight="1">
      <c r="A3" s="749" t="s">
        <v>186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146"/>
    </row>
    <row r="4" spans="1:13" s="115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125"/>
    </row>
    <row r="5" spans="1:13" s="148" customFormat="1" ht="16.350000000000001" customHeight="1">
      <c r="A5" s="777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60">
        <v>7</v>
      </c>
      <c r="I5" s="160">
        <v>8</v>
      </c>
      <c r="J5" s="150">
        <v>9</v>
      </c>
      <c r="K5" s="147"/>
      <c r="L5" s="147"/>
      <c r="M5" s="147"/>
    </row>
    <row r="6" spans="1:13" ht="16.350000000000001" customHeight="1">
      <c r="A6" s="778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61" t="s">
        <v>189</v>
      </c>
      <c r="I6" s="16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79" t="s">
        <v>533</v>
      </c>
      <c r="B7" s="780"/>
      <c r="C7" s="335" t="s">
        <v>534</v>
      </c>
      <c r="D7" s="779" t="s">
        <v>12</v>
      </c>
      <c r="E7" s="781"/>
      <c r="F7" s="780"/>
      <c r="G7" s="350" t="s">
        <v>46</v>
      </c>
      <c r="H7" s="350" t="s">
        <v>548</v>
      </c>
      <c r="I7" s="350" t="s">
        <v>549</v>
      </c>
      <c r="J7" s="216" t="s">
        <v>550</v>
      </c>
      <c r="K7" s="779" t="s">
        <v>51</v>
      </c>
      <c r="L7" s="780"/>
      <c r="M7" s="147"/>
    </row>
    <row r="8" spans="1:13" ht="15.75" customHeight="1">
      <c r="A8" s="777">
        <v>7</v>
      </c>
      <c r="B8" s="790" t="s">
        <v>135</v>
      </c>
      <c r="C8" s="543">
        <v>1</v>
      </c>
      <c r="D8" s="331" t="s">
        <v>566</v>
      </c>
      <c r="E8" s="332"/>
      <c r="F8" s="333"/>
      <c r="G8" s="346">
        <v>17</v>
      </c>
      <c r="H8" s="346">
        <v>1445.8596387845687</v>
      </c>
      <c r="I8" s="346">
        <v>85.050566987327556</v>
      </c>
      <c r="J8" s="235" t="s">
        <v>661</v>
      </c>
      <c r="K8" s="782" t="s">
        <v>663</v>
      </c>
      <c r="L8" s="783"/>
      <c r="M8" s="125"/>
    </row>
    <row r="9" spans="1:13" ht="15.75" customHeight="1">
      <c r="A9" s="789"/>
      <c r="B9" s="791"/>
      <c r="C9" s="543">
        <v>2</v>
      </c>
      <c r="D9" s="331" t="s">
        <v>684</v>
      </c>
      <c r="E9" s="332"/>
      <c r="F9" s="333"/>
      <c r="G9" s="346">
        <v>17</v>
      </c>
      <c r="H9" s="346">
        <v>1443.0290296980309</v>
      </c>
      <c r="I9" s="346">
        <v>84.884060570472414</v>
      </c>
      <c r="J9" s="236" t="s">
        <v>662</v>
      </c>
      <c r="K9" s="784"/>
      <c r="L9" s="785"/>
      <c r="M9" s="125"/>
    </row>
    <row r="10" spans="1:13" ht="15.75" customHeight="1">
      <c r="A10" s="789"/>
      <c r="B10" s="791"/>
      <c r="C10" s="543">
        <v>3</v>
      </c>
      <c r="D10" s="347" t="s">
        <v>592</v>
      </c>
      <c r="E10" s="332"/>
      <c r="F10" s="333"/>
      <c r="G10" s="346">
        <v>17</v>
      </c>
      <c r="H10" s="346">
        <v>1438.9696291473176</v>
      </c>
      <c r="I10" s="346">
        <v>84.645272302783383</v>
      </c>
      <c r="J10" s="236" t="s">
        <v>662</v>
      </c>
      <c r="K10" s="786"/>
      <c r="L10" s="787"/>
      <c r="M10" s="125"/>
    </row>
    <row r="11" spans="1:13" ht="15.75" customHeight="1">
      <c r="A11" s="789"/>
      <c r="B11" s="791"/>
      <c r="C11" s="543">
        <v>4</v>
      </c>
      <c r="D11" s="331" t="s">
        <v>587</v>
      </c>
      <c r="E11" s="332"/>
      <c r="F11" s="333"/>
      <c r="G11" s="346">
        <v>18</v>
      </c>
      <c r="H11" s="346">
        <v>1434.1592992991116</v>
      </c>
      <c r="I11" s="346">
        <v>79.675516627728413</v>
      </c>
      <c r="J11" s="234" t="s">
        <v>660</v>
      </c>
      <c r="K11" s="767"/>
      <c r="L11" s="768"/>
      <c r="M11" s="125"/>
    </row>
    <row r="12" spans="1:13" ht="15.75" customHeight="1">
      <c r="A12" s="789"/>
      <c r="B12" s="791"/>
      <c r="C12" s="543">
        <v>5</v>
      </c>
      <c r="D12" s="347" t="s">
        <v>691</v>
      </c>
      <c r="E12" s="332"/>
      <c r="F12" s="333"/>
      <c r="G12" s="346">
        <v>18</v>
      </c>
      <c r="H12" s="346">
        <v>1417.4699703674505</v>
      </c>
      <c r="I12" s="346">
        <v>78.748331687080579</v>
      </c>
      <c r="J12" s="234" t="s">
        <v>660</v>
      </c>
      <c r="K12" s="788"/>
      <c r="L12" s="768"/>
      <c r="M12" s="125"/>
    </row>
    <row r="13" spans="1:13" ht="15.75" customHeight="1">
      <c r="A13" s="789"/>
      <c r="B13" s="791"/>
      <c r="C13" s="159" t="s">
        <v>655</v>
      </c>
      <c r="D13" s="347" t="s">
        <v>686</v>
      </c>
      <c r="E13" s="332"/>
      <c r="F13" s="333"/>
      <c r="G13" s="346">
        <v>17</v>
      </c>
      <c r="H13" s="346">
        <v>1287.7496326519267</v>
      </c>
      <c r="I13" s="346">
        <v>75.749978391289815</v>
      </c>
      <c r="J13" s="234" t="s">
        <v>660</v>
      </c>
      <c r="K13" s="767"/>
      <c r="L13" s="768"/>
      <c r="M13" s="125"/>
    </row>
    <row r="14" spans="1:13" ht="15.75" customHeight="1">
      <c r="A14" s="789"/>
      <c r="B14" s="791"/>
      <c r="C14" s="159" t="s">
        <v>656</v>
      </c>
      <c r="D14" s="331" t="s">
        <v>654</v>
      </c>
      <c r="E14" s="332"/>
      <c r="F14" s="333"/>
      <c r="G14" s="346">
        <v>17</v>
      </c>
      <c r="H14" s="346">
        <v>1322.9918539545822</v>
      </c>
      <c r="I14" s="346">
        <v>77.823050232622492</v>
      </c>
      <c r="J14" s="234"/>
      <c r="K14" s="793"/>
      <c r="L14" s="794"/>
      <c r="M14" s="125"/>
    </row>
    <row r="15" spans="1:13" ht="15.75" customHeight="1">
      <c r="A15" s="789"/>
      <c r="B15" s="791"/>
      <c r="C15" s="159" t="s">
        <v>657</v>
      </c>
      <c r="D15" s="331"/>
      <c r="E15" s="332"/>
      <c r="F15" s="333"/>
      <c r="G15" s="346"/>
      <c r="H15" s="346"/>
      <c r="I15" s="346"/>
      <c r="J15" s="234"/>
      <c r="K15" s="793"/>
      <c r="L15" s="794"/>
      <c r="M15" s="125"/>
    </row>
    <row r="16" spans="1:13" ht="15.75" customHeight="1">
      <c r="A16" s="789"/>
      <c r="B16" s="791"/>
      <c r="C16" s="159" t="s">
        <v>658</v>
      </c>
      <c r="D16" s="331"/>
      <c r="E16" s="332"/>
      <c r="F16" s="333"/>
      <c r="G16" s="346"/>
      <c r="H16" s="346"/>
      <c r="I16" s="346"/>
      <c r="J16" s="234"/>
      <c r="K16" s="793"/>
      <c r="L16" s="794"/>
      <c r="M16" s="146"/>
    </row>
    <row r="17" spans="1:13" ht="15.75" customHeight="1">
      <c r="A17" s="778"/>
      <c r="B17" s="792"/>
      <c r="C17" s="159" t="s">
        <v>659</v>
      </c>
      <c r="D17" s="331"/>
      <c r="E17" s="332"/>
      <c r="F17" s="333"/>
      <c r="G17" s="545"/>
      <c r="H17" s="545"/>
      <c r="I17" s="545"/>
      <c r="J17" s="545"/>
      <c r="K17" s="793"/>
      <c r="L17" s="794"/>
      <c r="M17" s="146"/>
    </row>
    <row r="18" spans="1:13" s="156" customFormat="1" ht="15.75" customHeight="1">
      <c r="A18" s="769" t="s">
        <v>167</v>
      </c>
      <c r="B18" s="770"/>
      <c r="C18" s="544" t="s">
        <v>47</v>
      </c>
      <c r="D18" s="769" t="s">
        <v>12</v>
      </c>
      <c r="E18" s="795"/>
      <c r="F18" s="770"/>
      <c r="G18" s="544" t="s">
        <v>46</v>
      </c>
      <c r="H18" s="544" t="s">
        <v>499</v>
      </c>
      <c r="I18" s="544" t="s">
        <v>375</v>
      </c>
      <c r="J18" s="216" t="s">
        <v>376</v>
      </c>
      <c r="K18" s="769" t="s">
        <v>51</v>
      </c>
      <c r="L18" s="770"/>
      <c r="M18" s="149"/>
    </row>
    <row r="19" spans="1:13" ht="15.75" customHeight="1">
      <c r="A19" s="777">
        <v>8</v>
      </c>
      <c r="B19" s="790" t="s">
        <v>136</v>
      </c>
      <c r="C19" s="543">
        <v>1</v>
      </c>
      <c r="D19" s="436" t="s">
        <v>571</v>
      </c>
      <c r="E19" s="332"/>
      <c r="F19" s="333"/>
      <c r="G19" s="346">
        <v>17</v>
      </c>
      <c r="H19" s="346">
        <v>2308.171485260772</v>
      </c>
      <c r="I19" s="346">
        <v>135.77479325063365</v>
      </c>
      <c r="J19" s="234" t="s">
        <v>660</v>
      </c>
      <c r="K19" s="771"/>
      <c r="L19" s="772"/>
      <c r="M19" s="146"/>
    </row>
    <row r="20" spans="1:13" ht="15.75" customHeight="1">
      <c r="A20" s="789"/>
      <c r="B20" s="791"/>
      <c r="C20" s="543">
        <v>2</v>
      </c>
      <c r="D20" s="436" t="s">
        <v>346</v>
      </c>
      <c r="E20" s="332"/>
      <c r="F20" s="333"/>
      <c r="G20" s="346">
        <v>19</v>
      </c>
      <c r="H20" s="346">
        <v>2538.3951877132013</v>
      </c>
      <c r="I20" s="346">
        <v>133.59974672174744</v>
      </c>
      <c r="J20" s="234" t="s">
        <v>660</v>
      </c>
      <c r="K20" s="771"/>
      <c r="L20" s="772"/>
      <c r="M20" s="146"/>
    </row>
    <row r="21" spans="1:13" ht="15.75" customHeight="1">
      <c r="A21" s="789"/>
      <c r="B21" s="791"/>
      <c r="C21" s="543">
        <v>3</v>
      </c>
      <c r="D21" s="331" t="s">
        <v>588</v>
      </c>
      <c r="E21" s="332"/>
      <c r="F21" s="333"/>
      <c r="G21" s="346">
        <v>17.714285714285715</v>
      </c>
      <c r="H21" s="346">
        <v>2353.9369332992278</v>
      </c>
      <c r="I21" s="346">
        <v>132.97164532837408</v>
      </c>
      <c r="J21" s="235" t="s">
        <v>661</v>
      </c>
      <c r="K21" s="773" t="s">
        <v>663</v>
      </c>
      <c r="L21" s="774"/>
      <c r="M21" s="146"/>
    </row>
    <row r="22" spans="1:13" ht="15.75" customHeight="1">
      <c r="A22" s="789"/>
      <c r="B22" s="791"/>
      <c r="C22" s="543">
        <v>4</v>
      </c>
      <c r="D22" s="331" t="s">
        <v>345</v>
      </c>
      <c r="E22" s="332"/>
      <c r="F22" s="333"/>
      <c r="G22" s="346">
        <v>18.285714285714285</v>
      </c>
      <c r="H22" s="346">
        <v>2410.3443217062227</v>
      </c>
      <c r="I22" s="346">
        <v>131.87933733324908</v>
      </c>
      <c r="J22" s="236" t="s">
        <v>662</v>
      </c>
      <c r="K22" s="775"/>
      <c r="L22" s="776"/>
      <c r="M22" s="146"/>
    </row>
    <row r="23" spans="1:13" ht="15.75" customHeight="1">
      <c r="A23" s="789"/>
      <c r="B23" s="791"/>
      <c r="C23" s="543">
        <v>5</v>
      </c>
      <c r="D23" s="331" t="s">
        <v>670</v>
      </c>
      <c r="E23" s="332"/>
      <c r="F23" s="333"/>
      <c r="G23" s="346">
        <v>18</v>
      </c>
      <c r="H23" s="346">
        <v>2329.87221151329</v>
      </c>
      <c r="I23" s="346">
        <v>129.43734508407167</v>
      </c>
      <c r="J23" s="234" t="s">
        <v>660</v>
      </c>
      <c r="K23" s="771"/>
      <c r="L23" s="772"/>
      <c r="M23" s="146"/>
    </row>
    <row r="24" spans="1:13" ht="15.75" customHeight="1">
      <c r="A24" s="789"/>
      <c r="B24" s="791"/>
      <c r="C24" s="159" t="s">
        <v>655</v>
      </c>
      <c r="D24" s="436" t="s">
        <v>344</v>
      </c>
      <c r="E24" s="332"/>
      <c r="F24" s="333"/>
      <c r="G24" s="346">
        <v>20</v>
      </c>
      <c r="H24" s="346">
        <v>2326.9529945001423</v>
      </c>
      <c r="I24" s="346">
        <v>116.34764972500713</v>
      </c>
      <c r="J24" s="234" t="s">
        <v>660</v>
      </c>
      <c r="K24" s="771"/>
      <c r="L24" s="772"/>
      <c r="M24" s="146"/>
    </row>
    <row r="25" spans="1:13" ht="15.75" customHeight="1">
      <c r="A25" s="789"/>
      <c r="B25" s="791"/>
      <c r="C25" s="159" t="s">
        <v>656</v>
      </c>
      <c r="D25" s="436" t="s">
        <v>503</v>
      </c>
      <c r="E25" s="332"/>
      <c r="F25" s="333"/>
      <c r="G25" s="346">
        <v>18</v>
      </c>
      <c r="H25" s="346">
        <v>2169.2350410567701</v>
      </c>
      <c r="I25" s="346">
        <v>120.51305783648725</v>
      </c>
      <c r="J25" s="234" t="s">
        <v>660</v>
      </c>
      <c r="K25" s="771"/>
      <c r="L25" s="772"/>
      <c r="M25" s="146"/>
    </row>
    <row r="26" spans="1:13" ht="15.75" customHeight="1">
      <c r="A26" s="789"/>
      <c r="B26" s="791"/>
      <c r="C26" s="159" t="s">
        <v>657</v>
      </c>
      <c r="D26" s="436" t="s">
        <v>347</v>
      </c>
      <c r="E26" s="332"/>
      <c r="F26" s="333"/>
      <c r="G26" s="346">
        <v>19.714285714285715</v>
      </c>
      <c r="H26" s="346">
        <v>2534.3491462013358</v>
      </c>
      <c r="I26" s="346">
        <v>128.62768811701582</v>
      </c>
      <c r="J26" s="234" t="s">
        <v>660</v>
      </c>
      <c r="K26" s="771"/>
      <c r="L26" s="772"/>
      <c r="M26" s="146"/>
    </row>
    <row r="27" spans="1:13" ht="15.75" customHeight="1">
      <c r="A27" s="789"/>
      <c r="B27" s="791"/>
      <c r="C27" s="159" t="s">
        <v>658</v>
      </c>
      <c r="D27" s="331"/>
      <c r="E27" s="332"/>
      <c r="F27" s="333"/>
      <c r="G27" s="346"/>
      <c r="H27" s="346"/>
      <c r="I27" s="346"/>
      <c r="J27" s="234"/>
      <c r="K27" s="771"/>
      <c r="L27" s="772"/>
      <c r="M27" s="146"/>
    </row>
    <row r="28" spans="1:13" ht="15.75" customHeight="1">
      <c r="A28" s="778"/>
      <c r="B28" s="792"/>
      <c r="C28" s="159" t="s">
        <v>659</v>
      </c>
      <c r="D28" s="331"/>
      <c r="E28" s="332"/>
      <c r="F28" s="333"/>
      <c r="G28" s="346"/>
      <c r="H28" s="346"/>
      <c r="I28" s="346"/>
      <c r="J28" s="234"/>
      <c r="K28" s="771"/>
      <c r="L28" s="772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0">
    <mergeCell ref="K27:L27"/>
    <mergeCell ref="K28:L28"/>
    <mergeCell ref="A8:A17"/>
    <mergeCell ref="B8:B17"/>
    <mergeCell ref="K17:L17"/>
    <mergeCell ref="K16:L16"/>
    <mergeCell ref="K26:L26"/>
    <mergeCell ref="K14:L14"/>
    <mergeCell ref="K15:L15"/>
    <mergeCell ref="A19:A28"/>
    <mergeCell ref="B19:B28"/>
    <mergeCell ref="A18:B18"/>
    <mergeCell ref="D18:F18"/>
    <mergeCell ref="K24:L24"/>
    <mergeCell ref="K25:L25"/>
    <mergeCell ref="A1:L2"/>
    <mergeCell ref="A3:L4"/>
    <mergeCell ref="A5:A6"/>
    <mergeCell ref="A7:B7"/>
    <mergeCell ref="D7:F7"/>
    <mergeCell ref="K7:L7"/>
    <mergeCell ref="K8:L10"/>
    <mergeCell ref="K11:L11"/>
    <mergeCell ref="K12:L12"/>
    <mergeCell ref="K13:L13"/>
    <mergeCell ref="K18:L18"/>
    <mergeCell ref="K23:L23"/>
    <mergeCell ref="K19:L19"/>
    <mergeCell ref="K20:L20"/>
    <mergeCell ref="K21:L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K42" sqref="K42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22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114"/>
    </row>
    <row r="2" spans="1:22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</row>
    <row r="3" spans="1:22" ht="15.75" customHeight="1">
      <c r="A3" s="749" t="s">
        <v>186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146"/>
    </row>
    <row r="4" spans="1:22" s="115" customFormat="1" ht="15.75" customHeight="1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125"/>
    </row>
    <row r="5" spans="1:22" s="148" customFormat="1" ht="16.350000000000001" customHeight="1">
      <c r="A5" s="777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60">
        <v>9</v>
      </c>
      <c r="K5" s="147"/>
      <c r="L5" s="147"/>
      <c r="M5" s="147"/>
      <c r="U5" s="431"/>
      <c r="V5" s="432"/>
    </row>
    <row r="6" spans="1:22" ht="16.350000000000001" customHeight="1">
      <c r="A6" s="778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63" t="s">
        <v>137</v>
      </c>
      <c r="K6" s="149"/>
      <c r="L6" s="149"/>
      <c r="M6" s="125"/>
      <c r="U6" s="244"/>
      <c r="V6" s="433"/>
    </row>
    <row r="7" spans="1:22" s="148" customFormat="1" ht="15.75" customHeight="1">
      <c r="A7" s="779" t="s">
        <v>533</v>
      </c>
      <c r="B7" s="780"/>
      <c r="C7" s="335" t="s">
        <v>534</v>
      </c>
      <c r="D7" s="779" t="s">
        <v>12</v>
      </c>
      <c r="E7" s="781"/>
      <c r="F7" s="780"/>
      <c r="G7" s="350" t="s">
        <v>543</v>
      </c>
      <c r="H7" s="350" t="s">
        <v>544</v>
      </c>
      <c r="I7" s="350" t="s">
        <v>545</v>
      </c>
      <c r="J7" s="216" t="s">
        <v>546</v>
      </c>
      <c r="K7" s="779" t="s">
        <v>547</v>
      </c>
      <c r="L7" s="780"/>
      <c r="M7" s="147"/>
      <c r="U7" s="431"/>
      <c r="V7" s="432"/>
    </row>
    <row r="8" spans="1:22" ht="15.75" customHeight="1">
      <c r="A8" s="777">
        <f>J5</f>
        <v>9</v>
      </c>
      <c r="B8" s="790" t="str">
        <f>J6</f>
        <v>微波小吃</v>
      </c>
      <c r="C8" s="543">
        <v>1</v>
      </c>
      <c r="D8" s="331" t="s">
        <v>349</v>
      </c>
      <c r="E8" s="332"/>
      <c r="F8" s="333"/>
      <c r="G8" s="396">
        <v>7</v>
      </c>
      <c r="H8" s="396">
        <v>1476.3090063995994</v>
      </c>
      <c r="I8" s="396">
        <v>210.90128662851421</v>
      </c>
      <c r="J8" s="234" t="s">
        <v>660</v>
      </c>
      <c r="K8" s="806"/>
      <c r="L8" s="807"/>
      <c r="M8" s="125"/>
      <c r="U8" s="244"/>
      <c r="V8" s="433"/>
    </row>
    <row r="9" spans="1:22" ht="15.75" customHeight="1">
      <c r="A9" s="789"/>
      <c r="B9" s="791"/>
      <c r="C9" s="543">
        <v>2</v>
      </c>
      <c r="D9" s="331" t="s">
        <v>381</v>
      </c>
      <c r="E9" s="332"/>
      <c r="F9" s="333"/>
      <c r="G9" s="396">
        <v>7</v>
      </c>
      <c r="H9" s="396">
        <v>1475.424513771288</v>
      </c>
      <c r="I9" s="396">
        <v>210.77493053875543</v>
      </c>
      <c r="J9" s="234" t="s">
        <v>660</v>
      </c>
      <c r="K9" s="806"/>
      <c r="L9" s="807"/>
      <c r="M9" s="125"/>
      <c r="U9" s="244"/>
      <c r="V9" s="433"/>
    </row>
    <row r="10" spans="1:22" ht="15.75" customHeight="1">
      <c r="A10" s="789"/>
      <c r="B10" s="791"/>
      <c r="C10" s="543">
        <v>3</v>
      </c>
      <c r="D10" s="331" t="s">
        <v>348</v>
      </c>
      <c r="E10" s="332"/>
      <c r="F10" s="333"/>
      <c r="G10" s="396">
        <v>7</v>
      </c>
      <c r="H10" s="396">
        <v>1469.5240685954975</v>
      </c>
      <c r="I10" s="396">
        <v>209.93200979935679</v>
      </c>
      <c r="J10" s="235" t="s">
        <v>661</v>
      </c>
      <c r="K10" s="796" t="s">
        <v>778</v>
      </c>
      <c r="L10" s="797"/>
      <c r="M10" s="125"/>
      <c r="U10" s="244"/>
      <c r="V10" s="433"/>
    </row>
    <row r="11" spans="1:22" ht="15.75" customHeight="1">
      <c r="A11" s="789"/>
      <c r="B11" s="791"/>
      <c r="C11" s="543">
        <v>4</v>
      </c>
      <c r="D11" s="347" t="s">
        <v>553</v>
      </c>
      <c r="E11" s="332"/>
      <c r="F11" s="333"/>
      <c r="G11" s="396">
        <v>7</v>
      </c>
      <c r="H11" s="396">
        <v>1466.5031947736429</v>
      </c>
      <c r="I11" s="396">
        <v>209.50045639623474</v>
      </c>
      <c r="J11" s="236" t="s">
        <v>662</v>
      </c>
      <c r="K11" s="798"/>
      <c r="L11" s="799"/>
      <c r="M11" s="125"/>
      <c r="U11" s="244"/>
      <c r="V11" s="433"/>
    </row>
    <row r="12" spans="1:22" ht="15.75" customHeight="1">
      <c r="A12" s="789"/>
      <c r="B12" s="791"/>
      <c r="C12" s="543">
        <v>5</v>
      </c>
      <c r="D12" s="347" t="s">
        <v>590</v>
      </c>
      <c r="E12" s="332"/>
      <c r="F12" s="333"/>
      <c r="G12" s="396">
        <v>7</v>
      </c>
      <c r="H12" s="396">
        <v>1337.6792659747696</v>
      </c>
      <c r="I12" s="396">
        <v>191.09703799639561</v>
      </c>
      <c r="J12" s="234" t="s">
        <v>660</v>
      </c>
      <c r="K12" s="806"/>
      <c r="L12" s="807"/>
      <c r="M12" s="125"/>
    </row>
    <row r="13" spans="1:22" ht="15.75" customHeight="1">
      <c r="A13" s="789"/>
      <c r="B13" s="791"/>
      <c r="C13" s="159" t="s">
        <v>655</v>
      </c>
      <c r="D13" s="347" t="s">
        <v>735</v>
      </c>
      <c r="E13" s="332"/>
      <c r="F13" s="333"/>
      <c r="G13" s="396">
        <v>19</v>
      </c>
      <c r="H13" s="396">
        <v>1174.3637130121701</v>
      </c>
      <c r="I13" s="396">
        <v>61.808616474324758</v>
      </c>
      <c r="J13" s="234" t="s">
        <v>660</v>
      </c>
      <c r="K13" s="808"/>
      <c r="L13" s="807"/>
      <c r="M13" s="125"/>
    </row>
    <row r="14" spans="1:22" ht="15.75" customHeight="1">
      <c r="A14" s="789"/>
      <c r="B14" s="791"/>
      <c r="C14" s="159" t="s">
        <v>656</v>
      </c>
      <c r="D14" s="331" t="s">
        <v>350</v>
      </c>
      <c r="E14" s="332"/>
      <c r="F14" s="333"/>
      <c r="G14" s="396">
        <v>16.714285714285715</v>
      </c>
      <c r="H14" s="396">
        <v>1365.3488057480306</v>
      </c>
      <c r="I14" s="396">
        <v>81.746603954230991</v>
      </c>
      <c r="J14" s="234" t="s">
        <v>660</v>
      </c>
      <c r="K14" s="806"/>
      <c r="L14" s="807"/>
      <c r="M14" s="125"/>
    </row>
    <row r="15" spans="1:22" ht="15.75" customHeight="1">
      <c r="A15" s="789"/>
      <c r="B15" s="791"/>
      <c r="C15" s="159" t="s">
        <v>657</v>
      </c>
      <c r="D15" s="331" t="s">
        <v>582</v>
      </c>
      <c r="E15" s="332"/>
      <c r="F15" s="333"/>
      <c r="G15" s="346">
        <v>12</v>
      </c>
      <c r="H15" s="346">
        <v>1524.78501871102</v>
      </c>
      <c r="I15" s="346">
        <v>127.06541822591831</v>
      </c>
      <c r="J15" s="236" t="s">
        <v>662</v>
      </c>
      <c r="K15" s="800" t="s">
        <v>779</v>
      </c>
      <c r="L15" s="801"/>
      <c r="M15" s="125"/>
    </row>
    <row r="16" spans="1:22" ht="15.75" customHeight="1">
      <c r="A16" s="789"/>
      <c r="B16" s="791"/>
      <c r="C16" s="159" t="s">
        <v>658</v>
      </c>
      <c r="D16" s="347" t="s">
        <v>558</v>
      </c>
      <c r="E16" s="332"/>
      <c r="F16" s="333"/>
      <c r="G16" s="346">
        <v>12</v>
      </c>
      <c r="H16" s="346">
        <v>1562.7392137905965</v>
      </c>
      <c r="I16" s="346">
        <v>130.22826781588304</v>
      </c>
      <c r="J16" s="236" t="s">
        <v>662</v>
      </c>
      <c r="K16" s="802"/>
      <c r="L16" s="803"/>
      <c r="M16" s="146"/>
    </row>
    <row r="17" spans="1:13" ht="15.75" customHeight="1">
      <c r="A17" s="778"/>
      <c r="B17" s="792"/>
      <c r="C17" s="159" t="s">
        <v>659</v>
      </c>
      <c r="D17" s="347" t="s">
        <v>583</v>
      </c>
      <c r="E17" s="332"/>
      <c r="F17" s="333"/>
      <c r="G17" s="346">
        <v>12</v>
      </c>
      <c r="H17" s="346">
        <v>1565.1139455782318</v>
      </c>
      <c r="I17" s="346">
        <v>130.42616213151931</v>
      </c>
      <c r="J17" s="235" t="s">
        <v>661</v>
      </c>
      <c r="K17" s="804"/>
      <c r="L17" s="805"/>
      <c r="M17" s="146"/>
    </row>
    <row r="18" spans="1:13" s="156" customFormat="1" ht="15.75" customHeight="1">
      <c r="A18" s="769" t="s">
        <v>167</v>
      </c>
      <c r="B18" s="770"/>
      <c r="C18" s="513" t="s">
        <v>47</v>
      </c>
      <c r="D18" s="769" t="s">
        <v>12</v>
      </c>
      <c r="E18" s="795"/>
      <c r="F18" s="770"/>
      <c r="G18" s="513" t="s">
        <v>46</v>
      </c>
      <c r="H18" s="513" t="s">
        <v>499</v>
      </c>
      <c r="I18" s="513" t="s">
        <v>375</v>
      </c>
      <c r="J18" s="216" t="s">
        <v>376</v>
      </c>
      <c r="K18" s="769" t="s">
        <v>51</v>
      </c>
      <c r="L18" s="770"/>
      <c r="M18" s="149"/>
    </row>
    <row r="19" spans="1:13" ht="15.75" customHeight="1">
      <c r="A19" s="777"/>
      <c r="B19" s="790"/>
      <c r="C19" s="512">
        <v>1</v>
      </c>
      <c r="D19" s="331"/>
      <c r="E19" s="332"/>
      <c r="F19" s="333"/>
      <c r="G19" s="514"/>
      <c r="H19" s="514"/>
      <c r="I19" s="514"/>
      <c r="J19" s="514"/>
      <c r="K19" s="806"/>
      <c r="L19" s="807"/>
      <c r="M19" s="146"/>
    </row>
    <row r="20" spans="1:13" ht="15.75" customHeight="1">
      <c r="A20" s="789"/>
      <c r="B20" s="791"/>
      <c r="C20" s="512">
        <v>2</v>
      </c>
      <c r="D20" s="331"/>
      <c r="E20" s="332"/>
      <c r="F20" s="333"/>
      <c r="G20" s="514"/>
      <c r="H20" s="514"/>
      <c r="I20" s="514"/>
      <c r="J20" s="514"/>
      <c r="K20" s="809"/>
      <c r="L20" s="810"/>
      <c r="M20" s="146"/>
    </row>
    <row r="21" spans="1:13" ht="15.75" customHeight="1">
      <c r="A21" s="789"/>
      <c r="B21" s="791"/>
      <c r="C21" s="512">
        <v>3</v>
      </c>
      <c r="D21" s="331"/>
      <c r="E21" s="332"/>
      <c r="F21" s="333"/>
      <c r="G21" s="514"/>
      <c r="H21" s="514"/>
      <c r="I21" s="514"/>
      <c r="J21" s="514"/>
      <c r="K21" s="809"/>
      <c r="L21" s="810"/>
      <c r="M21" s="146"/>
    </row>
    <row r="22" spans="1:13" ht="15.75" customHeight="1">
      <c r="A22" s="789"/>
      <c r="B22" s="791"/>
      <c r="C22" s="512">
        <v>4</v>
      </c>
      <c r="D22" s="331"/>
      <c r="E22" s="332"/>
      <c r="F22" s="333"/>
      <c r="G22" s="514"/>
      <c r="H22" s="514"/>
      <c r="I22" s="514"/>
      <c r="J22" s="514"/>
      <c r="K22" s="809"/>
      <c r="L22" s="810"/>
      <c r="M22" s="146"/>
    </row>
    <row r="23" spans="1:13" ht="15.75" customHeight="1">
      <c r="A23" s="789"/>
      <c r="B23" s="791"/>
      <c r="C23" s="512">
        <v>5</v>
      </c>
      <c r="D23" s="331"/>
      <c r="E23" s="332"/>
      <c r="F23" s="333"/>
      <c r="G23" s="514"/>
      <c r="H23" s="514"/>
      <c r="I23" s="514"/>
      <c r="J23" s="514"/>
      <c r="K23" s="809"/>
      <c r="L23" s="810"/>
      <c r="M23" s="146"/>
    </row>
    <row r="24" spans="1:13" ht="15.75" customHeight="1">
      <c r="A24" s="789"/>
      <c r="B24" s="791"/>
      <c r="C24" s="159" t="s">
        <v>655</v>
      </c>
      <c r="D24" s="331"/>
      <c r="E24" s="332"/>
      <c r="F24" s="333"/>
      <c r="G24" s="514"/>
      <c r="H24" s="514"/>
      <c r="I24" s="514"/>
      <c r="J24" s="514"/>
      <c r="K24" s="806"/>
      <c r="L24" s="807"/>
      <c r="M24" s="146"/>
    </row>
    <row r="25" spans="1:13" ht="15.75" customHeight="1">
      <c r="A25" s="789"/>
      <c r="B25" s="791"/>
      <c r="C25" s="159" t="s">
        <v>656</v>
      </c>
      <c r="D25" s="331"/>
      <c r="E25" s="332"/>
      <c r="F25" s="333"/>
      <c r="G25" s="514"/>
      <c r="H25" s="514"/>
      <c r="I25" s="514"/>
      <c r="J25" s="514"/>
      <c r="K25" s="809"/>
      <c r="L25" s="810"/>
      <c r="M25" s="146"/>
    </row>
    <row r="26" spans="1:13" ht="15.75" customHeight="1">
      <c r="A26" s="789"/>
      <c r="B26" s="791"/>
      <c r="C26" s="159" t="s">
        <v>657</v>
      </c>
      <c r="D26" s="331"/>
      <c r="E26" s="332"/>
      <c r="F26" s="333"/>
      <c r="G26" s="514"/>
      <c r="H26" s="514"/>
      <c r="I26" s="514"/>
      <c r="J26" s="514"/>
      <c r="K26" s="809"/>
      <c r="L26" s="810"/>
      <c r="M26" s="146"/>
    </row>
    <row r="27" spans="1:13" ht="15.75" customHeight="1">
      <c r="A27" s="789"/>
      <c r="B27" s="791"/>
      <c r="C27" s="159" t="s">
        <v>658</v>
      </c>
      <c r="D27" s="331"/>
      <c r="E27" s="332"/>
      <c r="F27" s="333"/>
      <c r="G27" s="514"/>
      <c r="H27" s="514"/>
      <c r="I27" s="514"/>
      <c r="J27" s="514"/>
      <c r="K27" s="809"/>
      <c r="L27" s="810"/>
      <c r="M27" s="146"/>
    </row>
    <row r="28" spans="1:13" ht="15.75" customHeight="1">
      <c r="A28" s="778"/>
      <c r="B28" s="792"/>
      <c r="C28" s="159" t="s">
        <v>659</v>
      </c>
      <c r="D28" s="331"/>
      <c r="E28" s="332"/>
      <c r="F28" s="333"/>
      <c r="G28" s="514"/>
      <c r="H28" s="514"/>
      <c r="I28" s="514"/>
      <c r="J28" s="514"/>
      <c r="K28" s="809"/>
      <c r="L28" s="810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0"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  <mergeCell ref="K10:L11"/>
    <mergeCell ref="K15:L1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12:L12"/>
    <mergeCell ref="K9:L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4" ht="15.75" customHeight="1">
      <c r="A1" s="813" t="s">
        <v>217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</row>
    <row r="2" spans="1:14" s="178" customFormat="1" ht="15.75" customHeight="1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</row>
    <row r="3" spans="1:14" ht="15.75" customHeight="1">
      <c r="A3" s="814" t="s">
        <v>218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179"/>
    </row>
    <row r="4" spans="1:14" s="178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180"/>
    </row>
    <row r="5" spans="1:14" ht="15.75" customHeight="1">
      <c r="A5" s="181" t="s">
        <v>219</v>
      </c>
      <c r="B5" s="182">
        <v>212376150</v>
      </c>
    </row>
    <row r="6" spans="1:14" ht="15.75" customHeight="1">
      <c r="A6" s="815" t="s">
        <v>220</v>
      </c>
      <c r="B6" s="816" t="s">
        <v>10</v>
      </c>
      <c r="C6" s="816"/>
      <c r="D6" s="817"/>
      <c r="E6" s="815" t="s">
        <v>220</v>
      </c>
      <c r="F6" s="819">
        <v>1</v>
      </c>
      <c r="G6" s="819"/>
      <c r="H6" s="819">
        <v>2</v>
      </c>
      <c r="I6" s="819"/>
      <c r="J6" s="819">
        <v>3</v>
      </c>
      <c r="K6" s="819"/>
      <c r="L6" s="819">
        <v>4</v>
      </c>
      <c r="M6" s="819"/>
    </row>
    <row r="7" spans="1:14" ht="31.35" customHeight="1">
      <c r="A7" s="815"/>
      <c r="B7" s="816"/>
      <c r="C7" s="816"/>
      <c r="D7" s="818"/>
      <c r="E7" s="815"/>
      <c r="F7" s="811" t="s">
        <v>231</v>
      </c>
      <c r="G7" s="811"/>
      <c r="H7" s="811" t="s">
        <v>221</v>
      </c>
      <c r="I7" s="811"/>
      <c r="J7" s="811" t="s">
        <v>222</v>
      </c>
      <c r="K7" s="811"/>
      <c r="L7" s="811" t="s">
        <v>223</v>
      </c>
      <c r="M7" s="811"/>
    </row>
    <row r="8" spans="1:14" ht="15.75" customHeight="1">
      <c r="A8" s="815"/>
      <c r="B8" s="210" t="s">
        <v>11</v>
      </c>
      <c r="C8" s="210" t="s">
        <v>224</v>
      </c>
      <c r="D8" s="818"/>
      <c r="E8" s="815"/>
      <c r="F8" s="210" t="s">
        <v>11</v>
      </c>
      <c r="G8" s="210" t="s">
        <v>224</v>
      </c>
      <c r="H8" s="210" t="s">
        <v>11</v>
      </c>
      <c r="I8" s="210" t="s">
        <v>224</v>
      </c>
      <c r="J8" s="210" t="s">
        <v>11</v>
      </c>
      <c r="K8" s="210" t="s">
        <v>224</v>
      </c>
      <c r="L8" s="210" t="s">
        <v>11</v>
      </c>
      <c r="M8" s="210" t="s">
        <v>224</v>
      </c>
    </row>
    <row r="9" spans="1:14" s="188" customFormat="1" ht="19.350000000000001" customHeight="1">
      <c r="A9" s="183" t="s">
        <v>225</v>
      </c>
      <c r="B9" s="184">
        <v>47927.00699999994</v>
      </c>
      <c r="C9" s="185">
        <f>B9/$B$5</f>
        <v>2.256703824793883E-4</v>
      </c>
      <c r="D9" s="818"/>
      <c r="E9" s="183" t="s">
        <v>225</v>
      </c>
      <c r="F9" s="186">
        <v>1423.9050000000002</v>
      </c>
      <c r="G9" s="187">
        <f>IFERROR(F9/$B$9,"")</f>
        <v>2.9709866923256903E-2</v>
      </c>
      <c r="H9" s="186">
        <v>5535.9419999999991</v>
      </c>
      <c r="I9" s="187">
        <f>IFERROR(H9/$B$9,"")</f>
        <v>0.11550777623146812</v>
      </c>
      <c r="J9" s="186">
        <v>6691.5360000000019</v>
      </c>
      <c r="K9" s="187">
        <f>IFERROR(J9/$B$9,"")</f>
        <v>0.13961931735065389</v>
      </c>
      <c r="L9" s="186">
        <v>17258.763000000006</v>
      </c>
      <c r="M9" s="187">
        <f>IFERROR(L9/$B$9,"")</f>
        <v>0.36010516993059943</v>
      </c>
    </row>
    <row r="10" spans="1:14" s="188" customFormat="1" ht="19.350000000000001" customHeight="1">
      <c r="A10" s="189" t="s">
        <v>226</v>
      </c>
      <c r="B10" s="190">
        <v>69974.579191980054</v>
      </c>
      <c r="C10" s="185">
        <f>B10/$B$5</f>
        <v>3.2948416849999424E-4</v>
      </c>
      <c r="D10" s="818"/>
      <c r="E10" s="189" t="s">
        <v>226</v>
      </c>
      <c r="F10" s="186">
        <v>1179.8078200000007</v>
      </c>
      <c r="G10" s="187">
        <f>IFERROR(F10/$B$10,"")</f>
        <v>1.6860520400746062E-2</v>
      </c>
      <c r="H10" s="186">
        <v>3563.9139100000007</v>
      </c>
      <c r="I10" s="187">
        <f>IFERROR(H10/$B$10,"")</f>
        <v>5.0931551874319365E-2</v>
      </c>
      <c r="J10" s="186">
        <v>3130.998689999999</v>
      </c>
      <c r="K10" s="187">
        <f>IFERROR(J10/$B$10,"")</f>
        <v>4.4744801986016804E-2</v>
      </c>
      <c r="L10" s="186">
        <v>14381.948886699534</v>
      </c>
      <c r="M10" s="187">
        <f>IFERROR(L10/$B$10,"")</f>
        <v>0.20553105217312806</v>
      </c>
    </row>
    <row r="11" spans="1:14" ht="15.75" customHeight="1">
      <c r="D11" s="818"/>
      <c r="E11" s="815" t="s">
        <v>220</v>
      </c>
      <c r="F11" s="819">
        <v>5</v>
      </c>
      <c r="G11" s="819"/>
      <c r="H11" s="819">
        <v>6</v>
      </c>
      <c r="I11" s="819"/>
      <c r="J11" s="819">
        <v>7</v>
      </c>
      <c r="K11" s="819"/>
      <c r="L11" s="820">
        <v>8</v>
      </c>
      <c r="M11" s="820"/>
    </row>
    <row r="12" spans="1:14" ht="31.35" customHeight="1">
      <c r="D12" s="818"/>
      <c r="E12" s="815"/>
      <c r="F12" s="811" t="s">
        <v>227</v>
      </c>
      <c r="G12" s="811"/>
      <c r="H12" s="811" t="s">
        <v>228</v>
      </c>
      <c r="I12" s="811"/>
      <c r="J12" s="811" t="s">
        <v>229</v>
      </c>
      <c r="K12" s="811"/>
      <c r="L12" s="812" t="s">
        <v>230</v>
      </c>
      <c r="M12" s="812"/>
    </row>
    <row r="13" spans="1:14" ht="15.75" customHeight="1">
      <c r="D13" s="818"/>
      <c r="E13" s="815"/>
      <c r="F13" s="210" t="s">
        <v>11</v>
      </c>
      <c r="G13" s="210" t="s">
        <v>224</v>
      </c>
      <c r="H13" s="210" t="s">
        <v>11</v>
      </c>
      <c r="I13" s="210" t="s">
        <v>224</v>
      </c>
      <c r="J13" s="210" t="s">
        <v>11</v>
      </c>
      <c r="K13" s="210" t="s">
        <v>224</v>
      </c>
      <c r="L13" s="210" t="s">
        <v>11</v>
      </c>
      <c r="M13" s="210" t="s">
        <v>224</v>
      </c>
    </row>
    <row r="14" spans="1:14" s="188" customFormat="1" ht="19.350000000000001" customHeight="1">
      <c r="D14" s="818"/>
      <c r="E14" s="183" t="s">
        <v>225</v>
      </c>
      <c r="F14" s="186">
        <v>12460.915000000001</v>
      </c>
      <c r="G14" s="187">
        <f>IFERROR(F14/$B$9,"")</f>
        <v>0.25999777119401629</v>
      </c>
      <c r="H14" s="186">
        <v>1494.27</v>
      </c>
      <c r="I14" s="187">
        <f>IFERROR(H14/$B$9,"")</f>
        <v>3.1178037051218365E-2</v>
      </c>
      <c r="J14" s="186">
        <v>3061.675999999999</v>
      </c>
      <c r="K14" s="187">
        <f>IFERROR(J14/$B$9,"")</f>
        <v>6.3882061318788444E-2</v>
      </c>
      <c r="L14" s="186">
        <v>0</v>
      </c>
      <c r="M14" s="187">
        <f>IFERROR(L14/$B$9,"")</f>
        <v>0</v>
      </c>
    </row>
    <row r="15" spans="1:14" s="188" customFormat="1" ht="19.350000000000001" customHeight="1">
      <c r="D15" s="818"/>
      <c r="E15" s="189" t="s">
        <v>226</v>
      </c>
      <c r="F15" s="186">
        <v>30846.731825280494</v>
      </c>
      <c r="G15" s="187">
        <f>IFERROR(F15/$B$10,"")</f>
        <v>0.44082768601795191</v>
      </c>
      <c r="H15" s="186">
        <v>12704.309300000044</v>
      </c>
      <c r="I15" s="187">
        <f>IFERROR(H15/$B$10,"")</f>
        <v>0.18155606574131589</v>
      </c>
      <c r="J15" s="186">
        <v>3994.7131600000112</v>
      </c>
      <c r="K15" s="187">
        <f>IFERROR(J15/$B$10,"")</f>
        <v>5.7088062638293857E-2</v>
      </c>
      <c r="L15" s="186">
        <v>0</v>
      </c>
      <c r="M15" s="18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K24" sqref="K24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9" ht="15.75" customHeight="1">
      <c r="A1" s="813" t="s">
        <v>217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</row>
    <row r="2" spans="1:19" s="178" customFormat="1" ht="15.75" customHeight="1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</row>
    <row r="3" spans="1:19" ht="15.75" customHeight="1">
      <c r="A3" s="814" t="s">
        <v>573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</row>
    <row r="4" spans="1:19" s="178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</row>
    <row r="5" spans="1:19" ht="15.75" customHeight="1" thickBot="1"/>
    <row r="6" spans="1:19" ht="15.75" customHeight="1" thickBot="1">
      <c r="A6" s="547" t="s">
        <v>647</v>
      </c>
      <c r="B6" s="548">
        <v>63490087</v>
      </c>
      <c r="C6" s="549" t="s">
        <v>739</v>
      </c>
      <c r="E6" s="823" t="s">
        <v>740</v>
      </c>
      <c r="F6" s="824"/>
      <c r="G6" s="824"/>
      <c r="H6" s="824"/>
      <c r="I6" s="824"/>
      <c r="J6" s="824"/>
      <c r="K6" s="824"/>
      <c r="L6" s="824"/>
      <c r="M6" s="824"/>
      <c r="N6" s="824"/>
      <c r="O6" s="824"/>
      <c r="P6" s="824"/>
      <c r="Q6" s="824"/>
      <c r="R6" s="824"/>
      <c r="S6" s="825"/>
    </row>
    <row r="7" spans="1:19" ht="15.75" customHeight="1">
      <c r="A7" s="826" t="s">
        <v>642</v>
      </c>
      <c r="B7" s="829" t="s">
        <v>10</v>
      </c>
      <c r="C7" s="830"/>
      <c r="D7" s="546"/>
      <c r="E7" s="833" t="s">
        <v>642</v>
      </c>
      <c r="F7" s="836">
        <v>1</v>
      </c>
      <c r="G7" s="837"/>
      <c r="H7" s="836">
        <v>2</v>
      </c>
      <c r="I7" s="838"/>
      <c r="J7" s="839">
        <v>3</v>
      </c>
      <c r="K7" s="837"/>
      <c r="L7" s="836">
        <v>4</v>
      </c>
      <c r="M7" s="837"/>
      <c r="N7" s="836">
        <v>5</v>
      </c>
      <c r="O7" s="837"/>
      <c r="P7" s="836">
        <v>6</v>
      </c>
      <c r="Q7" s="838"/>
      <c r="R7" s="839">
        <v>7</v>
      </c>
      <c r="S7" s="837"/>
    </row>
    <row r="8" spans="1:19" ht="15.75" customHeight="1">
      <c r="A8" s="827"/>
      <c r="B8" s="831"/>
      <c r="C8" s="832"/>
      <c r="D8" s="546"/>
      <c r="E8" s="834"/>
      <c r="F8" s="840" t="s">
        <v>576</v>
      </c>
      <c r="G8" s="822"/>
      <c r="H8" s="840" t="s">
        <v>741</v>
      </c>
      <c r="I8" s="841"/>
      <c r="J8" s="821" t="s">
        <v>358</v>
      </c>
      <c r="K8" s="822"/>
      <c r="L8" s="840" t="s">
        <v>485</v>
      </c>
      <c r="M8" s="822"/>
      <c r="N8" s="840" t="s">
        <v>193</v>
      </c>
      <c r="O8" s="822"/>
      <c r="P8" s="840" t="s">
        <v>194</v>
      </c>
      <c r="Q8" s="841"/>
      <c r="R8" s="821" t="s">
        <v>498</v>
      </c>
      <c r="S8" s="822"/>
    </row>
    <row r="9" spans="1:19" ht="15.75" customHeight="1">
      <c r="A9" s="828"/>
      <c r="B9" s="531" t="s">
        <v>11</v>
      </c>
      <c r="C9" s="532" t="s">
        <v>641</v>
      </c>
      <c r="D9" s="546"/>
      <c r="E9" s="835"/>
      <c r="F9" s="550" t="s">
        <v>11</v>
      </c>
      <c r="G9" s="532" t="s">
        <v>641</v>
      </c>
      <c r="H9" s="551" t="s">
        <v>11</v>
      </c>
      <c r="I9" s="531" t="s">
        <v>641</v>
      </c>
      <c r="J9" s="531" t="s">
        <v>11</v>
      </c>
      <c r="K9" s="552" t="s">
        <v>641</v>
      </c>
      <c r="L9" s="550" t="s">
        <v>11</v>
      </c>
      <c r="M9" s="532" t="s">
        <v>641</v>
      </c>
      <c r="N9" s="550" t="s">
        <v>11</v>
      </c>
      <c r="O9" s="532" t="s">
        <v>641</v>
      </c>
      <c r="P9" s="551" t="s">
        <v>11</v>
      </c>
      <c r="Q9" s="531" t="s">
        <v>641</v>
      </c>
      <c r="R9" s="531" t="s">
        <v>11</v>
      </c>
      <c r="S9" s="532" t="s">
        <v>641</v>
      </c>
    </row>
    <row r="10" spans="1:19" ht="15.75" customHeight="1">
      <c r="A10" s="553" t="s">
        <v>623</v>
      </c>
      <c r="B10" s="554">
        <v>152945.47500000001</v>
      </c>
      <c r="C10" s="555">
        <v>2.4089662217662402E-3</v>
      </c>
      <c r="D10" s="546"/>
      <c r="E10" s="556" t="s">
        <v>623</v>
      </c>
      <c r="F10" s="557">
        <v>0</v>
      </c>
      <c r="G10" s="558">
        <v>0</v>
      </c>
      <c r="H10" s="557">
        <v>1025.088</v>
      </c>
      <c r="I10" s="187">
        <v>6.7023100879578202E-3</v>
      </c>
      <c r="J10" s="557">
        <v>1113.0840000000001</v>
      </c>
      <c r="K10" s="559">
        <v>7.2776523790586203E-3</v>
      </c>
      <c r="L10" s="557">
        <v>5715.7039999999997</v>
      </c>
      <c r="M10" s="558">
        <v>3.7370860432451497E-2</v>
      </c>
      <c r="N10" s="557">
        <v>13801.627</v>
      </c>
      <c r="O10" s="558">
        <v>9.0238871074806201E-2</v>
      </c>
      <c r="P10" s="557">
        <v>1170.384</v>
      </c>
      <c r="Q10" s="187">
        <v>7.6522956955738597E-3</v>
      </c>
      <c r="R10" s="557">
        <v>0</v>
      </c>
      <c r="S10" s="558">
        <v>0</v>
      </c>
    </row>
    <row r="11" spans="1:19" ht="15.75" customHeight="1" thickBot="1">
      <c r="A11" s="560" t="s">
        <v>643</v>
      </c>
      <c r="B11" s="561">
        <v>253014.11557615301</v>
      </c>
      <c r="C11" s="562">
        <v>3.9850963753783001E-3</v>
      </c>
      <c r="D11" s="546"/>
      <c r="E11" s="563" t="s">
        <v>643</v>
      </c>
      <c r="F11" s="564">
        <v>0</v>
      </c>
      <c r="G11" s="565">
        <v>0</v>
      </c>
      <c r="H11" s="564">
        <v>0</v>
      </c>
      <c r="I11" s="566">
        <v>0</v>
      </c>
      <c r="J11" s="564">
        <v>0</v>
      </c>
      <c r="K11" s="567">
        <v>0</v>
      </c>
      <c r="L11" s="564">
        <v>5410.1855056999902</v>
      </c>
      <c r="M11" s="565">
        <v>2.1382939419724301E-2</v>
      </c>
      <c r="N11" s="564">
        <v>21275.908437999999</v>
      </c>
      <c r="O11" s="565">
        <v>8.4089808149839407E-2</v>
      </c>
      <c r="P11" s="564">
        <v>4068.58878</v>
      </c>
      <c r="Q11" s="566">
        <v>1.6080481402135201E-2</v>
      </c>
      <c r="R11" s="564">
        <v>5317.2150000000001</v>
      </c>
      <c r="S11" s="565">
        <v>2.1015487566343399E-2</v>
      </c>
    </row>
    <row r="12" spans="1:19" ht="15.75" customHeight="1">
      <c r="A12" s="386"/>
      <c r="B12" s="179"/>
      <c r="C12" s="179"/>
      <c r="D12" s="546"/>
    </row>
    <row r="13" spans="1:19" ht="15.75" customHeight="1">
      <c r="A13" s="386"/>
      <c r="B13" s="179"/>
      <c r="C13" s="179"/>
      <c r="D13" s="546"/>
    </row>
    <row r="14" spans="1:19" ht="15.75" customHeight="1">
      <c r="A14" s="386"/>
      <c r="B14" s="179"/>
      <c r="C14" s="179"/>
      <c r="D14" s="546"/>
    </row>
    <row r="15" spans="1:19" ht="15.75" customHeight="1">
      <c r="A15" s="387"/>
      <c r="B15" s="388"/>
      <c r="C15" s="388"/>
      <c r="D15" s="546"/>
    </row>
    <row r="16" spans="1:19" ht="15.75" customHeight="1">
      <c r="A16" s="387"/>
      <c r="B16" s="388"/>
      <c r="C16" s="388"/>
      <c r="D16" s="546"/>
    </row>
  </sheetData>
  <mergeCells count="20"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4" customWidth="1"/>
    <col min="2" max="2" width="11.42578125" style="169" customWidth="1"/>
    <col min="3" max="3" width="4" style="155" customWidth="1"/>
    <col min="4" max="17" width="9.5703125" style="114" customWidth="1"/>
    <col min="18" max="16384" width="12.5703125" style="114"/>
  </cols>
  <sheetData>
    <row r="1" spans="1:17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ht="15.75" customHeight="1">
      <c r="A3" s="749" t="s">
        <v>191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146"/>
    </row>
    <row r="4" spans="1:17" s="115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  <c r="N4" s="125"/>
    </row>
    <row r="5" spans="1:17" ht="15.75" customHeight="1">
      <c r="A5" s="635" t="s">
        <v>171</v>
      </c>
      <c r="B5" s="867">
        <v>1</v>
      </c>
      <c r="C5" s="867"/>
      <c r="D5" s="867">
        <v>2</v>
      </c>
      <c r="E5" s="867"/>
      <c r="F5" s="867">
        <v>3</v>
      </c>
      <c r="G5" s="867"/>
      <c r="H5" s="865">
        <v>4</v>
      </c>
      <c r="I5" s="865"/>
      <c r="J5" s="865">
        <v>5</v>
      </c>
      <c r="K5" s="865"/>
      <c r="L5" s="865">
        <v>6</v>
      </c>
      <c r="M5" s="865"/>
      <c r="N5" s="865">
        <v>7</v>
      </c>
      <c r="O5" s="865"/>
      <c r="P5" s="865">
        <v>8</v>
      </c>
      <c r="Q5" s="865"/>
    </row>
    <row r="6" spans="1:17" ht="15.75" customHeight="1">
      <c r="A6" s="635"/>
      <c r="B6" s="868" t="s">
        <v>302</v>
      </c>
      <c r="C6" s="868"/>
      <c r="D6" s="868" t="s">
        <v>192</v>
      </c>
      <c r="E6" s="868"/>
      <c r="F6" s="868" t="s">
        <v>163</v>
      </c>
      <c r="G6" s="868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66" t="s">
        <v>195</v>
      </c>
      <c r="Q6" s="635"/>
    </row>
    <row r="8" spans="1:17" s="148" customFormat="1" ht="15.75" customHeight="1">
      <c r="A8" s="858" t="s">
        <v>600</v>
      </c>
      <c r="B8" s="859"/>
      <c r="C8" s="535" t="s">
        <v>527</v>
      </c>
      <c r="D8" s="860" t="s">
        <v>12</v>
      </c>
      <c r="E8" s="861"/>
      <c r="F8" s="862"/>
      <c r="G8" s="533" t="s">
        <v>601</v>
      </c>
      <c r="H8" s="534"/>
      <c r="I8" s="535"/>
      <c r="J8" s="164" t="s">
        <v>602</v>
      </c>
      <c r="K8" s="164" t="s">
        <v>603</v>
      </c>
      <c r="L8" s="164" t="s">
        <v>604</v>
      </c>
      <c r="M8" s="164" t="s">
        <v>11</v>
      </c>
      <c r="N8" s="164" t="s">
        <v>13</v>
      </c>
      <c r="O8" s="863" t="s">
        <v>50</v>
      </c>
      <c r="P8" s="864"/>
    </row>
    <row r="9" spans="1:17" ht="15.75" customHeight="1">
      <c r="A9" s="777">
        <v>1</v>
      </c>
      <c r="B9" s="848" t="s">
        <v>576</v>
      </c>
      <c r="C9" s="165">
        <v>1</v>
      </c>
      <c r="D9" s="589">
        <v>0</v>
      </c>
      <c r="E9" s="851"/>
      <c r="F9" s="852"/>
      <c r="G9" s="589">
        <v>0</v>
      </c>
      <c r="H9" s="851"/>
      <c r="I9" s="852"/>
      <c r="J9" s="4">
        <v>0</v>
      </c>
      <c r="K9" s="14">
        <v>0</v>
      </c>
      <c r="L9" s="4">
        <v>0</v>
      </c>
      <c r="M9" s="378">
        <v>0</v>
      </c>
      <c r="N9" s="166"/>
      <c r="O9" s="856"/>
      <c r="P9" s="857"/>
    </row>
    <row r="10" spans="1:17" ht="15.75" customHeight="1">
      <c r="A10" s="789"/>
      <c r="B10" s="849"/>
      <c r="C10" s="165">
        <v>2</v>
      </c>
      <c r="D10" s="589">
        <v>0</v>
      </c>
      <c r="E10" s="851"/>
      <c r="F10" s="852"/>
      <c r="G10" s="589">
        <v>0</v>
      </c>
      <c r="H10" s="851"/>
      <c r="I10" s="852"/>
      <c r="J10" s="4">
        <v>0</v>
      </c>
      <c r="K10" s="14">
        <v>0</v>
      </c>
      <c r="L10" s="4">
        <v>0</v>
      </c>
      <c r="M10" s="378">
        <v>0</v>
      </c>
      <c r="N10" s="166"/>
      <c r="O10" s="856"/>
      <c r="P10" s="857"/>
    </row>
    <row r="11" spans="1:17" ht="15.75" customHeight="1">
      <c r="A11" s="789"/>
      <c r="B11" s="849"/>
      <c r="C11" s="165">
        <v>3</v>
      </c>
      <c r="D11" s="589">
        <v>0</v>
      </c>
      <c r="E11" s="851"/>
      <c r="F11" s="852"/>
      <c r="G11" s="589">
        <v>0</v>
      </c>
      <c r="H11" s="851"/>
      <c r="I11" s="852"/>
      <c r="J11" s="4">
        <v>0</v>
      </c>
      <c r="K11" s="14">
        <v>0</v>
      </c>
      <c r="L11" s="4">
        <v>0</v>
      </c>
      <c r="M11" s="378">
        <v>0</v>
      </c>
      <c r="N11" s="166"/>
      <c r="O11" s="856"/>
      <c r="P11" s="857"/>
    </row>
    <row r="12" spans="1:17" ht="15.75" customHeight="1">
      <c r="A12" s="789"/>
      <c r="B12" s="849"/>
      <c r="C12" s="165">
        <v>4</v>
      </c>
      <c r="D12" s="589">
        <v>0</v>
      </c>
      <c r="E12" s="851"/>
      <c r="F12" s="852"/>
      <c r="G12" s="589">
        <v>0</v>
      </c>
      <c r="H12" s="851"/>
      <c r="I12" s="852"/>
      <c r="J12" s="4">
        <v>0</v>
      </c>
      <c r="K12" s="14">
        <v>0</v>
      </c>
      <c r="L12" s="4">
        <v>0</v>
      </c>
      <c r="M12" s="378">
        <v>0</v>
      </c>
      <c r="N12" s="166"/>
      <c r="O12" s="856"/>
      <c r="P12" s="857"/>
    </row>
    <row r="13" spans="1:17" ht="15.75" customHeight="1" thickBot="1">
      <c r="A13" s="789"/>
      <c r="B13" s="849"/>
      <c r="C13" s="167">
        <v>5</v>
      </c>
      <c r="D13" s="589">
        <v>0</v>
      </c>
      <c r="E13" s="851"/>
      <c r="F13" s="852"/>
      <c r="G13" s="589">
        <v>0</v>
      </c>
      <c r="H13" s="851"/>
      <c r="I13" s="852"/>
      <c r="J13" s="4">
        <v>0</v>
      </c>
      <c r="K13" s="14">
        <v>0</v>
      </c>
      <c r="L13" s="4">
        <v>0</v>
      </c>
      <c r="M13" s="378">
        <v>0</v>
      </c>
      <c r="N13" s="166"/>
      <c r="O13" s="856"/>
      <c r="P13" s="857"/>
    </row>
    <row r="14" spans="1:17" ht="15.75" customHeight="1" thickTop="1" thickBot="1">
      <c r="A14" s="778"/>
      <c r="B14" s="850"/>
      <c r="C14" s="842"/>
      <c r="D14" s="843"/>
      <c r="E14" s="843"/>
      <c r="F14" s="843"/>
      <c r="G14" s="843"/>
      <c r="H14" s="843"/>
      <c r="I14" s="844"/>
      <c r="J14" s="310" t="s">
        <v>605</v>
      </c>
      <c r="K14" s="239">
        <v>0</v>
      </c>
      <c r="L14" s="310" t="s">
        <v>606</v>
      </c>
      <c r="M14" s="379">
        <v>0</v>
      </c>
      <c r="N14" s="845"/>
      <c r="O14" s="846"/>
      <c r="P14" s="847"/>
    </row>
    <row r="15" spans="1:17" ht="15.75" customHeight="1" thickTop="1"/>
    <row r="16" spans="1:17" ht="15.75" customHeight="1">
      <c r="A16" s="858" t="s">
        <v>600</v>
      </c>
      <c r="B16" s="859"/>
      <c r="C16" s="535" t="s">
        <v>527</v>
      </c>
      <c r="D16" s="860" t="s">
        <v>12</v>
      </c>
      <c r="E16" s="861"/>
      <c r="F16" s="862"/>
      <c r="G16" s="533" t="s">
        <v>601</v>
      </c>
      <c r="H16" s="534"/>
      <c r="I16" s="535"/>
      <c r="J16" s="164" t="s">
        <v>602</v>
      </c>
      <c r="K16" s="164" t="s">
        <v>603</v>
      </c>
      <c r="L16" s="164" t="s">
        <v>604</v>
      </c>
      <c r="M16" s="164" t="s">
        <v>11</v>
      </c>
      <c r="N16" s="164" t="s">
        <v>13</v>
      </c>
      <c r="O16" s="863" t="s">
        <v>50</v>
      </c>
      <c r="P16" s="864"/>
    </row>
    <row r="17" spans="1:16" ht="15.75" customHeight="1">
      <c r="A17" s="777">
        <v>2</v>
      </c>
      <c r="B17" s="848" t="s">
        <v>742</v>
      </c>
      <c r="C17" s="165">
        <v>1</v>
      </c>
      <c r="D17" s="589" t="s">
        <v>579</v>
      </c>
      <c r="E17" s="851"/>
      <c r="F17" s="852"/>
      <c r="G17" s="589" t="s">
        <v>743</v>
      </c>
      <c r="H17" s="851"/>
      <c r="I17" s="852"/>
      <c r="J17" s="4">
        <v>112.85</v>
      </c>
      <c r="K17" s="14">
        <v>5.6742323097463299E-2</v>
      </c>
      <c r="L17" s="4">
        <v>1.7</v>
      </c>
      <c r="M17" s="378">
        <v>191.845</v>
      </c>
      <c r="N17" s="166"/>
      <c r="O17" s="869" t="s">
        <v>595</v>
      </c>
      <c r="P17" s="870"/>
    </row>
    <row r="18" spans="1:16" ht="15.75" customHeight="1">
      <c r="A18" s="789"/>
      <c r="B18" s="849"/>
      <c r="C18" s="165">
        <v>2</v>
      </c>
      <c r="D18" s="589" t="s">
        <v>691</v>
      </c>
      <c r="E18" s="851"/>
      <c r="F18" s="852"/>
      <c r="G18" s="589" t="s">
        <v>692</v>
      </c>
      <c r="H18" s="851"/>
      <c r="I18" s="852"/>
      <c r="J18" s="4">
        <v>125.94</v>
      </c>
      <c r="K18" s="14">
        <v>5.1935461533134802E-2</v>
      </c>
      <c r="L18" s="4">
        <v>1.5</v>
      </c>
      <c r="M18" s="378">
        <v>188.91</v>
      </c>
      <c r="N18" s="166"/>
      <c r="O18" s="869" t="s">
        <v>595</v>
      </c>
      <c r="P18" s="870"/>
    </row>
    <row r="19" spans="1:16" ht="15.75" customHeight="1">
      <c r="A19" s="789"/>
      <c r="B19" s="849"/>
      <c r="C19" s="165">
        <v>3</v>
      </c>
      <c r="D19" s="589" t="s">
        <v>645</v>
      </c>
      <c r="E19" s="851"/>
      <c r="F19" s="852"/>
      <c r="G19" s="589" t="s">
        <v>744</v>
      </c>
      <c r="H19" s="851"/>
      <c r="I19" s="852"/>
      <c r="J19" s="4">
        <v>179.84</v>
      </c>
      <c r="K19" s="14">
        <v>5.9937132607575903E-2</v>
      </c>
      <c r="L19" s="4">
        <v>1</v>
      </c>
      <c r="M19" s="378">
        <v>179.84</v>
      </c>
      <c r="N19" s="166"/>
      <c r="O19" s="869" t="s">
        <v>595</v>
      </c>
      <c r="P19" s="870"/>
    </row>
    <row r="20" spans="1:16" ht="15.75" customHeight="1">
      <c r="A20" s="789"/>
      <c r="B20" s="849"/>
      <c r="C20" s="165">
        <v>4</v>
      </c>
      <c r="D20" s="589">
        <v>0</v>
      </c>
      <c r="E20" s="851"/>
      <c r="F20" s="852"/>
      <c r="G20" s="589">
        <v>0</v>
      </c>
      <c r="H20" s="851"/>
      <c r="I20" s="852"/>
      <c r="J20" s="4">
        <v>0</v>
      </c>
      <c r="K20" s="14">
        <v>0</v>
      </c>
      <c r="L20" s="4">
        <v>0</v>
      </c>
      <c r="M20" s="378">
        <v>0</v>
      </c>
      <c r="N20" s="166"/>
      <c r="O20" s="856"/>
      <c r="P20" s="857"/>
    </row>
    <row r="21" spans="1:16" ht="15.75" customHeight="1" thickBot="1">
      <c r="A21" s="789"/>
      <c r="B21" s="849"/>
      <c r="C21" s="167">
        <v>5</v>
      </c>
      <c r="D21" s="589">
        <v>0</v>
      </c>
      <c r="E21" s="851"/>
      <c r="F21" s="852"/>
      <c r="G21" s="589">
        <v>0</v>
      </c>
      <c r="H21" s="851"/>
      <c r="I21" s="852"/>
      <c r="J21" s="4">
        <v>0</v>
      </c>
      <c r="K21" s="14">
        <v>0</v>
      </c>
      <c r="L21" s="4">
        <v>0</v>
      </c>
      <c r="M21" s="378">
        <v>0</v>
      </c>
      <c r="N21" s="168"/>
      <c r="O21" s="856"/>
      <c r="P21" s="857"/>
    </row>
    <row r="22" spans="1:16" ht="15.75" customHeight="1" thickTop="1" thickBot="1">
      <c r="A22" s="778"/>
      <c r="B22" s="850"/>
      <c r="C22" s="853"/>
      <c r="D22" s="854"/>
      <c r="E22" s="854"/>
      <c r="F22" s="854"/>
      <c r="G22" s="854"/>
      <c r="H22" s="854"/>
      <c r="I22" s="855"/>
      <c r="J22" s="310" t="s">
        <v>605</v>
      </c>
      <c r="K22" s="239">
        <v>3.6653258293519301E-3</v>
      </c>
      <c r="L22" s="310" t="s">
        <v>606</v>
      </c>
      <c r="M22" s="379">
        <v>560.59500000000003</v>
      </c>
      <c r="N22" s="845"/>
      <c r="O22" s="846"/>
      <c r="P22" s="847"/>
    </row>
    <row r="23" spans="1:16" ht="15.75" customHeight="1" thickTop="1"/>
    <row r="24" spans="1:16" ht="15.75" customHeight="1">
      <c r="A24" s="858" t="s">
        <v>600</v>
      </c>
      <c r="B24" s="859"/>
      <c r="C24" s="535" t="s">
        <v>527</v>
      </c>
      <c r="D24" s="860" t="s">
        <v>12</v>
      </c>
      <c r="E24" s="861"/>
      <c r="F24" s="862"/>
      <c r="G24" s="533" t="s">
        <v>601</v>
      </c>
      <c r="H24" s="534"/>
      <c r="I24" s="535"/>
      <c r="J24" s="164" t="s">
        <v>602</v>
      </c>
      <c r="K24" s="164" t="s">
        <v>603</v>
      </c>
      <c r="L24" s="164" t="s">
        <v>604</v>
      </c>
      <c r="M24" s="164" t="s">
        <v>11</v>
      </c>
      <c r="N24" s="164" t="s">
        <v>13</v>
      </c>
      <c r="O24" s="863" t="s">
        <v>50</v>
      </c>
      <c r="P24" s="864"/>
    </row>
    <row r="25" spans="1:16" ht="15.75" customHeight="1">
      <c r="A25" s="777">
        <v>3</v>
      </c>
      <c r="B25" s="848" t="s">
        <v>358</v>
      </c>
      <c r="C25" s="165">
        <v>1</v>
      </c>
      <c r="D25" s="589" t="s">
        <v>645</v>
      </c>
      <c r="E25" s="851"/>
      <c r="F25" s="852"/>
      <c r="G25" s="589" t="s">
        <v>744</v>
      </c>
      <c r="H25" s="851"/>
      <c r="I25" s="852"/>
      <c r="J25" s="4">
        <v>179.84</v>
      </c>
      <c r="K25" s="14">
        <v>4.9716765170719497E-2</v>
      </c>
      <c r="L25" s="4">
        <v>1.1000000000000001</v>
      </c>
      <c r="M25" s="378">
        <v>197.82400000000001</v>
      </c>
      <c r="N25" s="166"/>
      <c r="O25" s="856" t="s">
        <v>504</v>
      </c>
      <c r="P25" s="857"/>
    </row>
    <row r="26" spans="1:16" ht="15.75" customHeight="1">
      <c r="A26" s="789"/>
      <c r="B26" s="849"/>
      <c r="C26" s="165">
        <v>2</v>
      </c>
      <c r="D26" s="589" t="s">
        <v>580</v>
      </c>
      <c r="E26" s="851"/>
      <c r="F26" s="852"/>
      <c r="G26" s="589" t="s">
        <v>745</v>
      </c>
      <c r="H26" s="851"/>
      <c r="I26" s="852"/>
      <c r="J26" s="4">
        <v>71.959999999999994</v>
      </c>
      <c r="K26" s="14">
        <v>2.6188166828322E-2</v>
      </c>
      <c r="L26" s="4">
        <v>2.7</v>
      </c>
      <c r="M26" s="378">
        <v>194.292</v>
      </c>
      <c r="N26" s="166"/>
      <c r="O26" s="856" t="s">
        <v>504</v>
      </c>
      <c r="P26" s="857"/>
    </row>
    <row r="27" spans="1:16" ht="15.75" customHeight="1">
      <c r="A27" s="789"/>
      <c r="B27" s="849"/>
      <c r="C27" s="165">
        <v>3</v>
      </c>
      <c r="D27" s="589" t="s">
        <v>725</v>
      </c>
      <c r="E27" s="851"/>
      <c r="F27" s="852"/>
      <c r="G27" s="589" t="s">
        <v>746</v>
      </c>
      <c r="H27" s="851"/>
      <c r="I27" s="852"/>
      <c r="J27" s="4">
        <v>66.989999999999995</v>
      </c>
      <c r="K27" s="14">
        <v>2.3912595341166801E-2</v>
      </c>
      <c r="L27" s="4">
        <v>2.9</v>
      </c>
      <c r="M27" s="378">
        <v>194.27099999999999</v>
      </c>
      <c r="N27" s="166"/>
      <c r="O27" s="856" t="s">
        <v>504</v>
      </c>
      <c r="P27" s="857"/>
    </row>
    <row r="28" spans="1:16" ht="15.75" customHeight="1">
      <c r="A28" s="789"/>
      <c r="B28" s="849"/>
      <c r="C28" s="165">
        <v>4</v>
      </c>
      <c r="D28" s="589" t="s">
        <v>344</v>
      </c>
      <c r="E28" s="851"/>
      <c r="F28" s="852"/>
      <c r="G28" s="589" t="s">
        <v>747</v>
      </c>
      <c r="H28" s="851"/>
      <c r="I28" s="852"/>
      <c r="J28" s="4">
        <v>160.9</v>
      </c>
      <c r="K28" s="14">
        <v>2.76453106641786E-2</v>
      </c>
      <c r="L28" s="4">
        <v>1.2</v>
      </c>
      <c r="M28" s="378">
        <v>193.08</v>
      </c>
      <c r="N28" s="166"/>
      <c r="O28" s="856" t="s">
        <v>504</v>
      </c>
      <c r="P28" s="857"/>
    </row>
    <row r="29" spans="1:16" ht="15.75" customHeight="1" thickBot="1">
      <c r="A29" s="789"/>
      <c r="B29" s="849"/>
      <c r="C29" s="167">
        <v>5</v>
      </c>
      <c r="D29" s="589" t="s">
        <v>700</v>
      </c>
      <c r="E29" s="851"/>
      <c r="F29" s="852"/>
      <c r="G29" s="589" t="s">
        <v>697</v>
      </c>
      <c r="H29" s="851"/>
      <c r="I29" s="852"/>
      <c r="J29" s="4">
        <v>227.16</v>
      </c>
      <c r="K29" s="14">
        <v>2.8828828828828802E-2</v>
      </c>
      <c r="L29" s="4">
        <v>0.8</v>
      </c>
      <c r="M29" s="378">
        <v>181.72800000000001</v>
      </c>
      <c r="N29" s="168"/>
      <c r="O29" s="856" t="s">
        <v>504</v>
      </c>
      <c r="P29" s="857"/>
    </row>
    <row r="30" spans="1:16" ht="15.75" customHeight="1" thickTop="1" thickBot="1">
      <c r="A30" s="778"/>
      <c r="B30" s="850"/>
      <c r="C30" s="842"/>
      <c r="D30" s="843"/>
      <c r="E30" s="843"/>
      <c r="F30" s="843"/>
      <c r="G30" s="843"/>
      <c r="H30" s="843"/>
      <c r="I30" s="844"/>
      <c r="J30" s="310" t="s">
        <v>605</v>
      </c>
      <c r="K30" s="239">
        <v>6.2845599060711004E-3</v>
      </c>
      <c r="L30" s="310" t="s">
        <v>606</v>
      </c>
      <c r="M30" s="379">
        <v>961.19500000000005</v>
      </c>
      <c r="N30" s="845"/>
      <c r="O30" s="846"/>
      <c r="P30" s="847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N26" sqref="N26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4" customFormat="1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s="114" customFormat="1" ht="15.75" customHeight="1">
      <c r="A3" s="749" t="s">
        <v>191</v>
      </c>
      <c r="B3" s="750"/>
      <c r="C3" s="750"/>
      <c r="D3" s="750"/>
      <c r="E3" s="750"/>
      <c r="F3" s="750"/>
      <c r="G3" s="750"/>
      <c r="H3" s="750"/>
      <c r="I3" s="750"/>
      <c r="J3" s="750"/>
      <c r="K3" s="750"/>
      <c r="L3" s="750"/>
      <c r="M3" s="750"/>
      <c r="N3" s="146"/>
    </row>
    <row r="4" spans="1:17" s="115" customFormat="1" ht="15.75" customHeight="1">
      <c r="A4" s="750"/>
      <c r="B4" s="750"/>
      <c r="C4" s="750"/>
      <c r="D4" s="750"/>
      <c r="E4" s="750"/>
      <c r="F4" s="750"/>
      <c r="G4" s="750"/>
      <c r="H4" s="750"/>
      <c r="I4" s="750"/>
      <c r="J4" s="750"/>
      <c r="K4" s="750"/>
      <c r="L4" s="750"/>
      <c r="M4" s="750"/>
      <c r="N4" s="125"/>
    </row>
    <row r="5" spans="1:17" s="114" customFormat="1" ht="15.75" customHeight="1">
      <c r="A5" s="635" t="s">
        <v>171</v>
      </c>
      <c r="B5" s="865">
        <v>1</v>
      </c>
      <c r="C5" s="865"/>
      <c r="D5" s="865">
        <v>2</v>
      </c>
      <c r="E5" s="865"/>
      <c r="F5" s="865">
        <v>3</v>
      </c>
      <c r="G5" s="865"/>
      <c r="H5" s="867">
        <v>4</v>
      </c>
      <c r="I5" s="867"/>
      <c r="J5" s="867">
        <v>5</v>
      </c>
      <c r="K5" s="867"/>
      <c r="L5" s="867">
        <v>6</v>
      </c>
      <c r="M5" s="867"/>
      <c r="N5" s="867">
        <v>7</v>
      </c>
      <c r="O5" s="867"/>
      <c r="P5" s="865">
        <v>8</v>
      </c>
      <c r="Q5" s="865"/>
    </row>
    <row r="6" spans="1:17" s="114" customFormat="1" ht="15.75" customHeight="1">
      <c r="A6" s="635"/>
      <c r="B6" s="635" t="s">
        <v>303</v>
      </c>
      <c r="C6" s="635"/>
      <c r="D6" s="635" t="s">
        <v>192</v>
      </c>
      <c r="E6" s="635"/>
      <c r="F6" s="635" t="s">
        <v>163</v>
      </c>
      <c r="G6" s="635"/>
      <c r="H6" s="868" t="s">
        <v>485</v>
      </c>
      <c r="I6" s="868"/>
      <c r="J6" s="868" t="s">
        <v>169</v>
      </c>
      <c r="K6" s="868"/>
      <c r="L6" s="868" t="s">
        <v>164</v>
      </c>
      <c r="M6" s="868"/>
      <c r="N6" s="868" t="s">
        <v>170</v>
      </c>
      <c r="O6" s="868"/>
      <c r="P6" s="866" t="s">
        <v>195</v>
      </c>
      <c r="Q6" s="635"/>
    </row>
    <row r="7" spans="1:17" s="114" customFormat="1" ht="15.75" customHeight="1">
      <c r="B7" s="169"/>
      <c r="C7" s="155"/>
    </row>
    <row r="8" spans="1:17" s="109" customFormat="1" ht="15.75" customHeight="1">
      <c r="A8" s="871" t="s">
        <v>600</v>
      </c>
      <c r="B8" s="871"/>
      <c r="C8" s="538" t="s">
        <v>527</v>
      </c>
      <c r="D8" s="872" t="s">
        <v>12</v>
      </c>
      <c r="E8" s="873"/>
      <c r="F8" s="874"/>
      <c r="G8" s="536" t="s">
        <v>601</v>
      </c>
      <c r="H8" s="537"/>
      <c r="I8" s="538"/>
      <c r="J8" s="113" t="s">
        <v>602</v>
      </c>
      <c r="K8" s="113" t="s">
        <v>603</v>
      </c>
      <c r="L8" s="113" t="s">
        <v>604</v>
      </c>
      <c r="M8" s="113" t="s">
        <v>11</v>
      </c>
      <c r="N8" s="164" t="s">
        <v>13</v>
      </c>
      <c r="O8" s="875" t="s">
        <v>50</v>
      </c>
      <c r="P8" s="876"/>
    </row>
    <row r="9" spans="1:17" ht="15.75" customHeight="1">
      <c r="A9" s="871">
        <v>4</v>
      </c>
      <c r="B9" s="877" t="s">
        <v>485</v>
      </c>
      <c r="C9" s="111">
        <v>1</v>
      </c>
      <c r="D9" s="589" t="s">
        <v>340</v>
      </c>
      <c r="E9" s="851"/>
      <c r="F9" s="852"/>
      <c r="G9" s="589" t="s">
        <v>748</v>
      </c>
      <c r="H9" s="851"/>
      <c r="I9" s="852"/>
      <c r="J9" s="4">
        <v>90.4</v>
      </c>
      <c r="K9" s="14">
        <v>1.17914415573278E-2</v>
      </c>
      <c r="L9" s="4">
        <v>2.2000000000000002</v>
      </c>
      <c r="M9" s="378">
        <v>198.88</v>
      </c>
      <c r="N9" s="4"/>
      <c r="O9" s="856" t="s">
        <v>607</v>
      </c>
      <c r="P9" s="857"/>
      <c r="Q9" s="254"/>
    </row>
    <row r="10" spans="1:17" ht="15.75" customHeight="1">
      <c r="A10" s="871"/>
      <c r="B10" s="877"/>
      <c r="C10" s="111">
        <v>2</v>
      </c>
      <c r="D10" s="589" t="s">
        <v>645</v>
      </c>
      <c r="E10" s="851"/>
      <c r="F10" s="852"/>
      <c r="G10" s="589" t="s">
        <v>673</v>
      </c>
      <c r="H10" s="851"/>
      <c r="I10" s="852"/>
      <c r="J10" s="4">
        <v>70.62</v>
      </c>
      <c r="K10" s="14">
        <v>1.7190569744597199E-2</v>
      </c>
      <c r="L10" s="4">
        <v>2.8</v>
      </c>
      <c r="M10" s="378">
        <v>197.73599999999999</v>
      </c>
      <c r="N10" s="4"/>
      <c r="O10" s="856" t="s">
        <v>607</v>
      </c>
      <c r="P10" s="857"/>
      <c r="Q10" s="254"/>
    </row>
    <row r="11" spans="1:17" ht="15.75" customHeight="1">
      <c r="A11" s="871"/>
      <c r="B11" s="877"/>
      <c r="C11" s="111">
        <v>3</v>
      </c>
      <c r="D11" s="589" t="s">
        <v>501</v>
      </c>
      <c r="E11" s="851"/>
      <c r="F11" s="852"/>
      <c r="G11" s="589" t="s">
        <v>685</v>
      </c>
      <c r="H11" s="851"/>
      <c r="I11" s="852"/>
      <c r="J11" s="4">
        <v>103.97</v>
      </c>
      <c r="K11" s="14">
        <v>1.27431254191818E-2</v>
      </c>
      <c r="L11" s="4">
        <v>1.9</v>
      </c>
      <c r="M11" s="378">
        <v>197.54300000000001</v>
      </c>
      <c r="N11" s="4"/>
      <c r="O11" s="856" t="s">
        <v>607</v>
      </c>
      <c r="P11" s="857"/>
      <c r="Q11" s="254"/>
    </row>
    <row r="12" spans="1:17" ht="15.75" customHeight="1">
      <c r="A12" s="871"/>
      <c r="B12" s="877"/>
      <c r="C12" s="111">
        <v>4</v>
      </c>
      <c r="D12" s="589" t="s">
        <v>654</v>
      </c>
      <c r="E12" s="851"/>
      <c r="F12" s="852"/>
      <c r="G12" s="589" t="s">
        <v>749</v>
      </c>
      <c r="H12" s="851"/>
      <c r="I12" s="852"/>
      <c r="J12" s="4">
        <v>94</v>
      </c>
      <c r="K12" s="14">
        <v>1.12874097007224E-2</v>
      </c>
      <c r="L12" s="4">
        <v>2.1</v>
      </c>
      <c r="M12" s="378">
        <v>197.4</v>
      </c>
      <c r="N12" s="4"/>
      <c r="O12" s="856" t="s">
        <v>607</v>
      </c>
      <c r="P12" s="857"/>
      <c r="Q12" s="254"/>
    </row>
    <row r="13" spans="1:17" ht="15.75" customHeight="1" thickBot="1">
      <c r="A13" s="871"/>
      <c r="B13" s="877"/>
      <c r="C13" s="112">
        <v>5</v>
      </c>
      <c r="D13" s="589" t="s">
        <v>592</v>
      </c>
      <c r="E13" s="851"/>
      <c r="F13" s="852"/>
      <c r="G13" s="589" t="s">
        <v>695</v>
      </c>
      <c r="H13" s="851"/>
      <c r="I13" s="852"/>
      <c r="J13" s="4">
        <v>103.55</v>
      </c>
      <c r="K13" s="14">
        <v>1.15081768625076E-2</v>
      </c>
      <c r="L13" s="4">
        <v>1.9</v>
      </c>
      <c r="M13" s="378">
        <v>196.745</v>
      </c>
      <c r="N13" s="27"/>
      <c r="O13" s="856" t="s">
        <v>607</v>
      </c>
      <c r="P13" s="857"/>
      <c r="Q13" s="254"/>
    </row>
    <row r="14" spans="1:17" ht="15.75" customHeight="1" thickTop="1" thickBot="1">
      <c r="A14" s="871"/>
      <c r="B14" s="877"/>
      <c r="C14" s="884"/>
      <c r="D14" s="884"/>
      <c r="E14" s="884"/>
      <c r="F14" s="884"/>
      <c r="G14" s="884"/>
      <c r="H14" s="884"/>
      <c r="I14" s="884"/>
      <c r="J14" s="539" t="s">
        <v>605</v>
      </c>
      <c r="K14" s="239">
        <v>6.4618060782772402E-3</v>
      </c>
      <c r="L14" s="539" t="s">
        <v>606</v>
      </c>
      <c r="M14" s="379">
        <v>988.30399999999997</v>
      </c>
      <c r="N14" s="883"/>
      <c r="O14" s="883"/>
      <c r="P14" s="883"/>
      <c r="Q14" s="254"/>
    </row>
    <row r="15" spans="1:17" ht="15.75" customHeight="1" thickTop="1">
      <c r="A15" s="530"/>
      <c r="D15" s="530"/>
      <c r="E15" s="530"/>
      <c r="F15" s="530"/>
      <c r="G15" s="530"/>
      <c r="H15" s="530"/>
      <c r="I15" s="530"/>
      <c r="J15" s="530"/>
      <c r="K15" s="530"/>
      <c r="L15" s="530"/>
      <c r="M15" s="530"/>
      <c r="N15" s="530"/>
      <c r="O15" s="530"/>
      <c r="P15" s="530"/>
      <c r="Q15" s="254"/>
    </row>
    <row r="16" spans="1:17" ht="15.75" customHeight="1">
      <c r="A16" s="871" t="s">
        <v>600</v>
      </c>
      <c r="B16" s="871"/>
      <c r="C16" s="538" t="s">
        <v>527</v>
      </c>
      <c r="D16" s="872" t="s">
        <v>12</v>
      </c>
      <c r="E16" s="873"/>
      <c r="F16" s="874"/>
      <c r="G16" s="536" t="s">
        <v>601</v>
      </c>
      <c r="H16" s="537"/>
      <c r="I16" s="538"/>
      <c r="J16" s="113" t="s">
        <v>602</v>
      </c>
      <c r="K16" s="113" t="s">
        <v>603</v>
      </c>
      <c r="L16" s="113" t="s">
        <v>604</v>
      </c>
      <c r="M16" s="113" t="s">
        <v>11</v>
      </c>
      <c r="N16" s="164" t="s">
        <v>13</v>
      </c>
      <c r="O16" s="875" t="s">
        <v>50</v>
      </c>
      <c r="P16" s="876"/>
      <c r="Q16" s="254"/>
    </row>
    <row r="17" spans="1:17" ht="15.75" customHeight="1">
      <c r="A17" s="871">
        <v>5</v>
      </c>
      <c r="B17" s="877" t="s">
        <v>193</v>
      </c>
      <c r="C17" s="111">
        <v>1</v>
      </c>
      <c r="D17" s="589" t="s">
        <v>691</v>
      </c>
      <c r="E17" s="851"/>
      <c r="F17" s="852"/>
      <c r="G17" s="589" t="s">
        <v>696</v>
      </c>
      <c r="H17" s="851"/>
      <c r="I17" s="852"/>
      <c r="J17" s="4">
        <v>380.28</v>
      </c>
      <c r="K17" s="14">
        <v>8.5342436526562801E-3</v>
      </c>
      <c r="L17" s="4">
        <v>0.6</v>
      </c>
      <c r="M17" s="378">
        <v>228.16800000000001</v>
      </c>
      <c r="N17" s="4"/>
      <c r="O17" s="856" t="s">
        <v>497</v>
      </c>
      <c r="P17" s="857"/>
      <c r="Q17" s="254"/>
    </row>
    <row r="18" spans="1:17" ht="15.75" customHeight="1">
      <c r="A18" s="871"/>
      <c r="B18" s="877"/>
      <c r="C18" s="111">
        <v>2</v>
      </c>
      <c r="D18" s="589" t="s">
        <v>559</v>
      </c>
      <c r="E18" s="851"/>
      <c r="F18" s="852"/>
      <c r="G18" s="589" t="s">
        <v>560</v>
      </c>
      <c r="H18" s="851"/>
      <c r="I18" s="852"/>
      <c r="J18" s="4">
        <v>447.3</v>
      </c>
      <c r="K18" s="14">
        <v>4.0314127682905196E-3</v>
      </c>
      <c r="L18" s="4">
        <v>0.5</v>
      </c>
      <c r="M18" s="378">
        <v>223.65</v>
      </c>
      <c r="N18" s="4"/>
      <c r="O18" s="856" t="s">
        <v>497</v>
      </c>
      <c r="P18" s="857"/>
      <c r="Q18" s="254"/>
    </row>
    <row r="19" spans="1:17" ht="15.75" customHeight="1">
      <c r="A19" s="871"/>
      <c r="B19" s="877"/>
      <c r="C19" s="111">
        <v>3</v>
      </c>
      <c r="D19" s="589" t="s">
        <v>353</v>
      </c>
      <c r="E19" s="851"/>
      <c r="F19" s="852"/>
      <c r="G19" s="589" t="s">
        <v>693</v>
      </c>
      <c r="H19" s="851"/>
      <c r="I19" s="852"/>
      <c r="J19" s="4">
        <v>219.16</v>
      </c>
      <c r="K19" s="14">
        <v>2.16179861644889E-2</v>
      </c>
      <c r="L19" s="4">
        <v>0.9</v>
      </c>
      <c r="M19" s="378">
        <v>197.244</v>
      </c>
      <c r="N19" s="4"/>
      <c r="O19" s="856" t="s">
        <v>497</v>
      </c>
      <c r="P19" s="857"/>
      <c r="Q19" s="254"/>
    </row>
    <row r="20" spans="1:17" ht="15.75" customHeight="1">
      <c r="A20" s="871"/>
      <c r="B20" s="877"/>
      <c r="C20" s="111">
        <v>4</v>
      </c>
      <c r="D20" s="589" t="s">
        <v>501</v>
      </c>
      <c r="E20" s="851"/>
      <c r="F20" s="852"/>
      <c r="G20" s="589" t="s">
        <v>694</v>
      </c>
      <c r="H20" s="851"/>
      <c r="I20" s="852"/>
      <c r="J20" s="4">
        <v>278.12</v>
      </c>
      <c r="K20" s="14">
        <v>1.36932707355243E-2</v>
      </c>
      <c r="L20" s="4">
        <v>0.7</v>
      </c>
      <c r="M20" s="378">
        <v>194.684</v>
      </c>
      <c r="N20" s="4"/>
      <c r="O20" s="856" t="s">
        <v>497</v>
      </c>
      <c r="P20" s="857"/>
      <c r="Q20" s="254"/>
    </row>
    <row r="21" spans="1:17" ht="15.75" customHeight="1" thickBot="1">
      <c r="A21" s="871"/>
      <c r="B21" s="877"/>
      <c r="C21" s="112">
        <v>5</v>
      </c>
      <c r="D21" s="589" t="s">
        <v>566</v>
      </c>
      <c r="E21" s="851"/>
      <c r="F21" s="852"/>
      <c r="G21" s="589" t="s">
        <v>750</v>
      </c>
      <c r="H21" s="851"/>
      <c r="I21" s="852"/>
      <c r="J21" s="4">
        <v>83.4</v>
      </c>
      <c r="K21" s="14">
        <v>2.1143592572163999E-2</v>
      </c>
      <c r="L21" s="4">
        <v>2.2999999999999998</v>
      </c>
      <c r="M21" s="378">
        <v>191.82</v>
      </c>
      <c r="N21" s="4"/>
      <c r="O21" s="856" t="s">
        <v>497</v>
      </c>
      <c r="P21" s="857"/>
      <c r="Q21" s="254"/>
    </row>
    <row r="22" spans="1:17" ht="15.75" customHeight="1" thickTop="1" thickBot="1">
      <c r="A22" s="871"/>
      <c r="B22" s="877"/>
      <c r="C22" s="878"/>
      <c r="D22" s="878"/>
      <c r="E22" s="878"/>
      <c r="F22" s="878"/>
      <c r="G22" s="878"/>
      <c r="H22" s="878"/>
      <c r="I22" s="879"/>
      <c r="J22" s="568" t="s">
        <v>605</v>
      </c>
      <c r="K22" s="239">
        <v>6.7708181624856799E-3</v>
      </c>
      <c r="L22" s="568" t="s">
        <v>606</v>
      </c>
      <c r="M22" s="379">
        <v>1035.566</v>
      </c>
      <c r="N22" s="880"/>
      <c r="O22" s="881"/>
      <c r="P22" s="882"/>
      <c r="Q22" s="254"/>
    </row>
    <row r="23" spans="1:17" ht="15.75" customHeight="1" thickTop="1">
      <c r="A23" s="530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Q23" s="254"/>
    </row>
    <row r="24" spans="1:17" ht="15.75" customHeight="1">
      <c r="A24" s="871" t="s">
        <v>600</v>
      </c>
      <c r="B24" s="871"/>
      <c r="C24" s="538" t="s">
        <v>527</v>
      </c>
      <c r="D24" s="872" t="s">
        <v>12</v>
      </c>
      <c r="E24" s="873"/>
      <c r="F24" s="874"/>
      <c r="G24" s="536" t="s">
        <v>601</v>
      </c>
      <c r="H24" s="537"/>
      <c r="I24" s="538"/>
      <c r="J24" s="113" t="s">
        <v>602</v>
      </c>
      <c r="K24" s="113" t="s">
        <v>603</v>
      </c>
      <c r="L24" s="113" t="s">
        <v>604</v>
      </c>
      <c r="M24" s="113" t="s">
        <v>11</v>
      </c>
      <c r="N24" s="164" t="s">
        <v>13</v>
      </c>
      <c r="O24" s="875" t="s">
        <v>50</v>
      </c>
      <c r="P24" s="876"/>
      <c r="Q24" s="254"/>
    </row>
    <row r="25" spans="1:17" ht="15.75" customHeight="1">
      <c r="A25" s="871">
        <v>6</v>
      </c>
      <c r="B25" s="877" t="s">
        <v>194</v>
      </c>
      <c r="C25" s="111">
        <v>1</v>
      </c>
      <c r="D25" s="589" t="s">
        <v>594</v>
      </c>
      <c r="E25" s="851"/>
      <c r="F25" s="852"/>
      <c r="G25" s="589" t="s">
        <v>329</v>
      </c>
      <c r="H25" s="851"/>
      <c r="I25" s="852"/>
      <c r="J25" s="4">
        <v>487.66</v>
      </c>
      <c r="K25" s="14">
        <v>1.03551827689759E-2</v>
      </c>
      <c r="L25" s="4">
        <v>0.4</v>
      </c>
      <c r="M25" s="378">
        <v>195.06399999999999</v>
      </c>
      <c r="N25" s="4"/>
      <c r="O25" s="856" t="s">
        <v>557</v>
      </c>
      <c r="P25" s="857"/>
      <c r="Q25" s="254"/>
    </row>
    <row r="26" spans="1:17" ht="15.75" customHeight="1">
      <c r="A26" s="871"/>
      <c r="B26" s="877"/>
      <c r="C26" s="111">
        <v>2</v>
      </c>
      <c r="D26" s="589">
        <v>0</v>
      </c>
      <c r="E26" s="851"/>
      <c r="F26" s="852"/>
      <c r="G26" s="589">
        <v>0</v>
      </c>
      <c r="H26" s="851"/>
      <c r="I26" s="852"/>
      <c r="J26" s="4">
        <v>0</v>
      </c>
      <c r="K26" s="14">
        <v>0</v>
      </c>
      <c r="L26" s="4">
        <v>0</v>
      </c>
      <c r="M26" s="378">
        <v>0</v>
      </c>
      <c r="N26" s="4"/>
      <c r="O26" s="856"/>
      <c r="P26" s="857"/>
      <c r="Q26" s="254"/>
    </row>
    <row r="27" spans="1:17" ht="15.75" customHeight="1">
      <c r="A27" s="871"/>
      <c r="B27" s="877"/>
      <c r="C27" s="111">
        <v>3</v>
      </c>
      <c r="D27" s="589">
        <v>0</v>
      </c>
      <c r="E27" s="851"/>
      <c r="F27" s="852"/>
      <c r="G27" s="589">
        <v>0</v>
      </c>
      <c r="H27" s="851"/>
      <c r="I27" s="852"/>
      <c r="J27" s="4">
        <v>0</v>
      </c>
      <c r="K27" s="14">
        <v>0</v>
      </c>
      <c r="L27" s="4">
        <v>0</v>
      </c>
      <c r="M27" s="378">
        <v>0</v>
      </c>
      <c r="N27" s="4"/>
      <c r="O27" s="856"/>
      <c r="P27" s="857"/>
      <c r="Q27" s="254"/>
    </row>
    <row r="28" spans="1:17" ht="15.75" customHeight="1">
      <c r="A28" s="871"/>
      <c r="B28" s="877"/>
      <c r="C28" s="111">
        <v>4</v>
      </c>
      <c r="D28" s="589">
        <v>0</v>
      </c>
      <c r="E28" s="851"/>
      <c r="F28" s="852"/>
      <c r="G28" s="589">
        <v>0</v>
      </c>
      <c r="H28" s="851"/>
      <c r="I28" s="852"/>
      <c r="J28" s="4">
        <v>0</v>
      </c>
      <c r="K28" s="14">
        <v>0</v>
      </c>
      <c r="L28" s="4">
        <v>0</v>
      </c>
      <c r="M28" s="378">
        <v>0</v>
      </c>
      <c r="N28" s="4"/>
      <c r="O28" s="856"/>
      <c r="P28" s="857"/>
      <c r="Q28" s="254"/>
    </row>
    <row r="29" spans="1:17" ht="15.75" customHeight="1" thickBot="1">
      <c r="A29" s="871"/>
      <c r="B29" s="877"/>
      <c r="C29" s="112">
        <v>5</v>
      </c>
      <c r="D29" s="589">
        <v>0</v>
      </c>
      <c r="E29" s="851"/>
      <c r="F29" s="852"/>
      <c r="G29" s="589">
        <v>0</v>
      </c>
      <c r="H29" s="851"/>
      <c r="I29" s="852"/>
      <c r="J29" s="4">
        <v>0</v>
      </c>
      <c r="K29" s="14">
        <v>0</v>
      </c>
      <c r="L29" s="4">
        <v>0</v>
      </c>
      <c r="M29" s="378">
        <v>0</v>
      </c>
      <c r="N29" s="4"/>
      <c r="O29" s="856"/>
      <c r="P29" s="857"/>
      <c r="Q29" s="254"/>
    </row>
    <row r="30" spans="1:17" ht="15.75" customHeight="1" thickTop="1" thickBot="1">
      <c r="A30" s="871"/>
      <c r="B30" s="877"/>
      <c r="C30" s="878"/>
      <c r="D30" s="878"/>
      <c r="E30" s="878"/>
      <c r="F30" s="878"/>
      <c r="G30" s="878"/>
      <c r="H30" s="878"/>
      <c r="I30" s="879"/>
      <c r="J30" s="568" t="s">
        <v>605</v>
      </c>
      <c r="K30" s="239">
        <v>1.2753826159289799E-3</v>
      </c>
      <c r="L30" s="568" t="s">
        <v>606</v>
      </c>
      <c r="M30" s="379">
        <v>195.06399999999999</v>
      </c>
      <c r="N30" s="880"/>
      <c r="O30" s="881"/>
      <c r="P30" s="882"/>
      <c r="Q30" s="254"/>
    </row>
    <row r="31" spans="1:17" ht="15.75" customHeight="1" thickTop="1">
      <c r="A31" s="530"/>
      <c r="D31" s="530"/>
      <c r="E31" s="530"/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Q31" s="254"/>
    </row>
    <row r="32" spans="1:17" ht="15.75" customHeight="1">
      <c r="A32" s="871" t="s">
        <v>600</v>
      </c>
      <c r="B32" s="871"/>
      <c r="C32" s="538" t="s">
        <v>527</v>
      </c>
      <c r="D32" s="872" t="s">
        <v>12</v>
      </c>
      <c r="E32" s="873"/>
      <c r="F32" s="874"/>
      <c r="G32" s="536" t="s">
        <v>601</v>
      </c>
      <c r="H32" s="537"/>
      <c r="I32" s="538"/>
      <c r="J32" s="113" t="s">
        <v>602</v>
      </c>
      <c r="K32" s="113" t="s">
        <v>603</v>
      </c>
      <c r="L32" s="113" t="s">
        <v>604</v>
      </c>
      <c r="M32" s="113" t="s">
        <v>11</v>
      </c>
      <c r="N32" s="113" t="s">
        <v>13</v>
      </c>
      <c r="O32" s="875" t="s">
        <v>50</v>
      </c>
      <c r="P32" s="876"/>
      <c r="Q32" s="254"/>
    </row>
    <row r="33" spans="1:17" ht="15.75" customHeight="1">
      <c r="A33" s="871">
        <v>7</v>
      </c>
      <c r="B33" s="877" t="s">
        <v>498</v>
      </c>
      <c r="C33" s="111">
        <v>1</v>
      </c>
      <c r="D33" s="589" t="s">
        <v>591</v>
      </c>
      <c r="E33" s="851"/>
      <c r="F33" s="852"/>
      <c r="G33" s="589" t="s">
        <v>650</v>
      </c>
      <c r="H33" s="851"/>
      <c r="I33" s="852"/>
      <c r="J33" s="4">
        <v>935.2</v>
      </c>
      <c r="K33" s="14">
        <v>1.7391304347826101E-2</v>
      </c>
      <c r="L33" s="4">
        <v>0.2</v>
      </c>
      <c r="M33" s="378">
        <v>187.04</v>
      </c>
      <c r="N33" s="4"/>
      <c r="O33" s="856" t="s">
        <v>568</v>
      </c>
      <c r="P33" s="857"/>
      <c r="Q33" s="254"/>
    </row>
    <row r="34" spans="1:17" ht="15.75" customHeight="1">
      <c r="A34" s="871"/>
      <c r="B34" s="877"/>
      <c r="C34" s="111">
        <v>2</v>
      </c>
      <c r="D34" s="589" t="s">
        <v>645</v>
      </c>
      <c r="E34" s="851"/>
      <c r="F34" s="852"/>
      <c r="G34" s="589" t="s">
        <v>649</v>
      </c>
      <c r="H34" s="851"/>
      <c r="I34" s="852"/>
      <c r="J34" s="4">
        <v>622.54999999999995</v>
      </c>
      <c r="K34" s="14">
        <v>0.14111006585136401</v>
      </c>
      <c r="L34" s="4">
        <v>0.3</v>
      </c>
      <c r="M34" s="378">
        <v>186.76499999999999</v>
      </c>
      <c r="N34" s="4"/>
      <c r="O34" s="856" t="s">
        <v>568</v>
      </c>
      <c r="P34" s="857"/>
      <c r="Q34" s="254"/>
    </row>
    <row r="35" spans="1:17" ht="15.75" customHeight="1">
      <c r="A35" s="871"/>
      <c r="B35" s="877"/>
      <c r="C35" s="111">
        <v>3</v>
      </c>
      <c r="D35" s="589">
        <v>0</v>
      </c>
      <c r="E35" s="851"/>
      <c r="F35" s="852"/>
      <c r="G35" s="589">
        <v>0</v>
      </c>
      <c r="H35" s="851"/>
      <c r="I35" s="852"/>
      <c r="J35" s="4">
        <v>0</v>
      </c>
      <c r="K35" s="14">
        <v>0</v>
      </c>
      <c r="L35" s="4">
        <v>0</v>
      </c>
      <c r="M35" s="378">
        <v>0</v>
      </c>
      <c r="N35" s="4"/>
      <c r="O35" s="856"/>
      <c r="P35" s="857"/>
      <c r="Q35" s="254"/>
    </row>
    <row r="36" spans="1:17" ht="15.75" customHeight="1">
      <c r="A36" s="871"/>
      <c r="B36" s="877"/>
      <c r="C36" s="111">
        <v>4</v>
      </c>
      <c r="D36" s="589">
        <v>0</v>
      </c>
      <c r="E36" s="851"/>
      <c r="F36" s="852"/>
      <c r="G36" s="589">
        <v>0</v>
      </c>
      <c r="H36" s="851"/>
      <c r="I36" s="852"/>
      <c r="J36" s="4">
        <v>0</v>
      </c>
      <c r="K36" s="14">
        <v>0</v>
      </c>
      <c r="L36" s="4">
        <v>0</v>
      </c>
      <c r="M36" s="378">
        <v>0</v>
      </c>
      <c r="N36" s="4"/>
      <c r="O36" s="856"/>
      <c r="P36" s="857"/>
      <c r="Q36" s="254"/>
    </row>
    <row r="37" spans="1:17" ht="15.75" customHeight="1" thickBot="1">
      <c r="A37" s="871"/>
      <c r="B37" s="877"/>
      <c r="C37" s="112">
        <v>5</v>
      </c>
      <c r="D37" s="589">
        <v>0</v>
      </c>
      <c r="E37" s="851"/>
      <c r="F37" s="852"/>
      <c r="G37" s="589">
        <v>0</v>
      </c>
      <c r="H37" s="851"/>
      <c r="I37" s="852"/>
      <c r="J37" s="4">
        <v>0</v>
      </c>
      <c r="K37" s="14">
        <v>0</v>
      </c>
      <c r="L37" s="4">
        <v>0</v>
      </c>
      <c r="M37" s="378">
        <v>0</v>
      </c>
      <c r="N37" s="4"/>
      <c r="O37" s="856"/>
      <c r="P37" s="857"/>
      <c r="Q37" s="254"/>
    </row>
    <row r="38" spans="1:17" ht="15.75" customHeight="1" thickTop="1" thickBot="1">
      <c r="A38" s="871"/>
      <c r="B38" s="877"/>
      <c r="C38" s="878"/>
      <c r="D38" s="878"/>
      <c r="E38" s="878"/>
      <c r="F38" s="878"/>
      <c r="G38" s="878"/>
      <c r="H38" s="878"/>
      <c r="I38" s="879"/>
      <c r="J38" s="568" t="s">
        <v>605</v>
      </c>
      <c r="K38" s="239">
        <v>2.4440409237344199E-3</v>
      </c>
      <c r="L38" s="568" t="s">
        <v>606</v>
      </c>
      <c r="M38" s="379">
        <v>373.80500000000001</v>
      </c>
      <c r="N38" s="880"/>
      <c r="O38" s="881"/>
      <c r="P38" s="882"/>
      <c r="Q38" s="25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77" customWidth="1"/>
    <col min="2" max="2" width="11.42578125" style="312" customWidth="1"/>
    <col min="3" max="3" width="4" style="313" customWidth="1"/>
    <col min="4" max="17" width="9.5703125" style="177" customWidth="1"/>
    <col min="18" max="16384" width="12.5703125" style="177"/>
  </cols>
  <sheetData>
    <row r="1" spans="1:23" ht="15.75" customHeight="1">
      <c r="A1" s="813" t="s">
        <v>487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</row>
    <row r="2" spans="1:23" s="178" customFormat="1" ht="15.75" customHeight="1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77"/>
      <c r="S2" s="177"/>
      <c r="T2" s="177"/>
      <c r="U2" s="177"/>
      <c r="V2" s="177"/>
      <c r="W2" s="177"/>
    </row>
    <row r="3" spans="1:23" ht="15.75" customHeight="1">
      <c r="A3" s="814" t="s">
        <v>488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179"/>
    </row>
    <row r="4" spans="1:23" s="178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180"/>
      <c r="R4" s="177"/>
      <c r="S4" s="177"/>
      <c r="T4" s="177"/>
      <c r="U4" s="177"/>
      <c r="V4" s="177"/>
      <c r="W4" s="177"/>
    </row>
    <row r="5" spans="1:23" ht="15.75" customHeight="1">
      <c r="A5" s="816" t="s">
        <v>486</v>
      </c>
      <c r="B5" s="888">
        <v>1</v>
      </c>
      <c r="C5" s="888"/>
      <c r="D5" s="888">
        <v>2</v>
      </c>
      <c r="E5" s="888"/>
      <c r="F5" s="888">
        <v>3</v>
      </c>
      <c r="G5" s="888"/>
      <c r="H5" s="819">
        <v>4</v>
      </c>
      <c r="I5" s="819"/>
      <c r="J5" s="819">
        <v>5</v>
      </c>
      <c r="K5" s="819"/>
      <c r="L5" s="819">
        <v>6</v>
      </c>
      <c r="M5" s="819"/>
      <c r="N5" s="819">
        <v>7</v>
      </c>
      <c r="O5" s="819"/>
      <c r="P5" s="819">
        <v>8</v>
      </c>
      <c r="Q5" s="819"/>
    </row>
    <row r="6" spans="1:23" ht="15.75" customHeight="1">
      <c r="A6" s="816"/>
      <c r="B6" s="889" t="s">
        <v>489</v>
      </c>
      <c r="C6" s="889"/>
      <c r="D6" s="889" t="s">
        <v>490</v>
      </c>
      <c r="E6" s="889"/>
      <c r="F6" s="889" t="s">
        <v>491</v>
      </c>
      <c r="G6" s="889"/>
      <c r="H6" s="887" t="s">
        <v>492</v>
      </c>
      <c r="I6" s="816"/>
      <c r="J6" s="816" t="s">
        <v>493</v>
      </c>
      <c r="K6" s="816"/>
      <c r="L6" s="816" t="s">
        <v>494</v>
      </c>
      <c r="M6" s="816"/>
      <c r="N6" s="816" t="s">
        <v>495</v>
      </c>
      <c r="O6" s="816"/>
      <c r="P6" s="887" t="s">
        <v>496</v>
      </c>
      <c r="Q6" s="816"/>
    </row>
    <row r="8" spans="1:23" s="311" customFormat="1" ht="15.75" customHeight="1">
      <c r="A8" s="858" t="s">
        <v>600</v>
      </c>
      <c r="B8" s="859"/>
      <c r="C8" s="535" t="s">
        <v>527</v>
      </c>
      <c r="D8" s="860" t="s">
        <v>12</v>
      </c>
      <c r="E8" s="861"/>
      <c r="F8" s="862"/>
      <c r="G8" s="533" t="s">
        <v>601</v>
      </c>
      <c r="H8" s="534"/>
      <c r="I8" s="535"/>
      <c r="J8" s="164" t="s">
        <v>602</v>
      </c>
      <c r="K8" s="164" t="s">
        <v>608</v>
      </c>
      <c r="L8" s="164" t="s">
        <v>604</v>
      </c>
      <c r="M8" s="164" t="s">
        <v>11</v>
      </c>
      <c r="N8" s="164" t="s">
        <v>13</v>
      </c>
      <c r="O8" s="863" t="s">
        <v>50</v>
      </c>
      <c r="P8" s="864"/>
      <c r="R8" s="177"/>
      <c r="S8" s="177"/>
      <c r="T8" s="177"/>
      <c r="U8" s="177"/>
      <c r="V8" s="177"/>
      <c r="W8" s="177"/>
    </row>
    <row r="9" spans="1:23" ht="15.75" customHeight="1">
      <c r="A9" s="777">
        <v>1</v>
      </c>
      <c r="B9" s="848" t="s">
        <v>576</v>
      </c>
      <c r="C9" s="165">
        <v>1</v>
      </c>
      <c r="D9" s="589">
        <v>0</v>
      </c>
      <c r="E9" s="851"/>
      <c r="F9" s="852"/>
      <c r="G9" s="589">
        <v>0</v>
      </c>
      <c r="H9" s="851"/>
      <c r="I9" s="852"/>
      <c r="J9" s="4">
        <v>0</v>
      </c>
      <c r="K9" s="14">
        <v>0</v>
      </c>
      <c r="L9" s="4">
        <v>0</v>
      </c>
      <c r="M9" s="378">
        <v>0</v>
      </c>
      <c r="N9" s="166"/>
      <c r="O9" s="856"/>
      <c r="P9" s="857"/>
    </row>
    <row r="10" spans="1:23" ht="15.75" customHeight="1">
      <c r="A10" s="789"/>
      <c r="B10" s="849"/>
      <c r="C10" s="165">
        <v>2</v>
      </c>
      <c r="D10" s="589">
        <v>0</v>
      </c>
      <c r="E10" s="851"/>
      <c r="F10" s="852"/>
      <c r="G10" s="589">
        <v>0</v>
      </c>
      <c r="H10" s="851"/>
      <c r="I10" s="852"/>
      <c r="J10" s="4">
        <v>0</v>
      </c>
      <c r="K10" s="14">
        <v>0</v>
      </c>
      <c r="L10" s="4">
        <v>0</v>
      </c>
      <c r="M10" s="378">
        <v>0</v>
      </c>
      <c r="N10" s="166"/>
      <c r="O10" s="856"/>
      <c r="P10" s="857"/>
    </row>
    <row r="11" spans="1:23" ht="15.75" customHeight="1">
      <c r="A11" s="789"/>
      <c r="B11" s="849"/>
      <c r="C11" s="165">
        <v>3</v>
      </c>
      <c r="D11" s="589">
        <v>0</v>
      </c>
      <c r="E11" s="851"/>
      <c r="F11" s="852"/>
      <c r="G11" s="589">
        <v>0</v>
      </c>
      <c r="H11" s="851"/>
      <c r="I11" s="852"/>
      <c r="J11" s="4">
        <v>0</v>
      </c>
      <c r="K11" s="14">
        <v>0</v>
      </c>
      <c r="L11" s="4">
        <v>0</v>
      </c>
      <c r="M11" s="378">
        <v>0</v>
      </c>
      <c r="N11" s="166"/>
      <c r="O11" s="856"/>
      <c r="P11" s="857"/>
    </row>
    <row r="12" spans="1:23" ht="15.75" customHeight="1">
      <c r="A12" s="789"/>
      <c r="B12" s="849"/>
      <c r="C12" s="165">
        <v>4</v>
      </c>
      <c r="D12" s="589">
        <v>0</v>
      </c>
      <c r="E12" s="851"/>
      <c r="F12" s="852"/>
      <c r="G12" s="589">
        <v>0</v>
      </c>
      <c r="H12" s="851"/>
      <c r="I12" s="852"/>
      <c r="J12" s="4">
        <v>0</v>
      </c>
      <c r="K12" s="14">
        <v>0</v>
      </c>
      <c r="L12" s="4">
        <v>0</v>
      </c>
      <c r="M12" s="378">
        <v>0</v>
      </c>
      <c r="N12" s="166"/>
      <c r="O12" s="856"/>
      <c r="P12" s="857"/>
    </row>
    <row r="13" spans="1:23" ht="15.75" customHeight="1" thickBot="1">
      <c r="A13" s="789"/>
      <c r="B13" s="849"/>
      <c r="C13" s="167">
        <v>5</v>
      </c>
      <c r="D13" s="589">
        <v>0</v>
      </c>
      <c r="E13" s="851"/>
      <c r="F13" s="852"/>
      <c r="G13" s="589">
        <v>0</v>
      </c>
      <c r="H13" s="851"/>
      <c r="I13" s="852"/>
      <c r="J13" s="4">
        <v>0</v>
      </c>
      <c r="K13" s="14">
        <v>0</v>
      </c>
      <c r="L13" s="4">
        <v>0</v>
      </c>
      <c r="M13" s="378">
        <v>0</v>
      </c>
      <c r="N13" s="168"/>
      <c r="O13" s="885"/>
      <c r="P13" s="886"/>
    </row>
    <row r="14" spans="1:23" ht="15.75" customHeight="1" thickTop="1" thickBot="1">
      <c r="A14" s="778"/>
      <c r="B14" s="850"/>
      <c r="C14" s="842"/>
      <c r="D14" s="843"/>
      <c r="E14" s="843"/>
      <c r="F14" s="843"/>
      <c r="G14" s="843"/>
      <c r="H14" s="843"/>
      <c r="I14" s="844"/>
      <c r="J14" s="310" t="s">
        <v>605</v>
      </c>
      <c r="K14" s="239">
        <v>0</v>
      </c>
      <c r="L14" s="310" t="s">
        <v>606</v>
      </c>
      <c r="M14" s="379">
        <v>0</v>
      </c>
      <c r="N14" s="845"/>
      <c r="O14" s="846"/>
      <c r="P14" s="847"/>
    </row>
    <row r="15" spans="1:23" ht="15.75" customHeight="1" thickTop="1">
      <c r="A15" s="114"/>
      <c r="B15" s="169"/>
      <c r="C15" s="155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23" ht="15.75" customHeight="1">
      <c r="A16" s="858" t="s">
        <v>600</v>
      </c>
      <c r="B16" s="859"/>
      <c r="C16" s="535" t="s">
        <v>527</v>
      </c>
      <c r="D16" s="860" t="s">
        <v>12</v>
      </c>
      <c r="E16" s="861"/>
      <c r="F16" s="862"/>
      <c r="G16" s="533" t="s">
        <v>601</v>
      </c>
      <c r="H16" s="534"/>
      <c r="I16" s="535"/>
      <c r="J16" s="164" t="s">
        <v>602</v>
      </c>
      <c r="K16" s="164" t="s">
        <v>608</v>
      </c>
      <c r="L16" s="164" t="s">
        <v>604</v>
      </c>
      <c r="M16" s="164" t="s">
        <v>11</v>
      </c>
      <c r="N16" s="164" t="s">
        <v>13</v>
      </c>
      <c r="O16" s="863" t="s">
        <v>50</v>
      </c>
      <c r="P16" s="864"/>
    </row>
    <row r="17" spans="1:16" ht="15.75" customHeight="1">
      <c r="A17" s="777">
        <v>2</v>
      </c>
      <c r="B17" s="848" t="s">
        <v>742</v>
      </c>
      <c r="C17" s="165">
        <v>1</v>
      </c>
      <c r="D17" s="589" t="s">
        <v>596</v>
      </c>
      <c r="E17" s="851"/>
      <c r="F17" s="852"/>
      <c r="G17" s="589" t="s">
        <v>652</v>
      </c>
      <c r="H17" s="851"/>
      <c r="I17" s="852"/>
      <c r="J17" s="4">
        <v>304.58999999999997</v>
      </c>
      <c r="K17" s="14">
        <v>7.0409134157944794E-2</v>
      </c>
      <c r="L17" s="4">
        <v>0.88800000000000001</v>
      </c>
      <c r="M17" s="378">
        <v>270.47591999999997</v>
      </c>
      <c r="N17" s="166"/>
      <c r="O17" s="856" t="s">
        <v>595</v>
      </c>
      <c r="P17" s="857"/>
    </row>
    <row r="18" spans="1:16" ht="15.75" customHeight="1">
      <c r="A18" s="789"/>
      <c r="B18" s="849"/>
      <c r="C18" s="165">
        <v>2</v>
      </c>
      <c r="D18" s="589">
        <v>0</v>
      </c>
      <c r="E18" s="851"/>
      <c r="F18" s="852"/>
      <c r="G18" s="589">
        <v>0</v>
      </c>
      <c r="H18" s="851"/>
      <c r="I18" s="852"/>
      <c r="J18" s="4">
        <v>0</v>
      </c>
      <c r="K18" s="14">
        <v>0</v>
      </c>
      <c r="L18" s="4">
        <v>0</v>
      </c>
      <c r="M18" s="378">
        <v>0</v>
      </c>
      <c r="N18" s="166"/>
      <c r="O18" s="856"/>
      <c r="P18" s="857"/>
    </row>
    <row r="19" spans="1:16" ht="15.75" customHeight="1">
      <c r="A19" s="789"/>
      <c r="B19" s="849"/>
      <c r="C19" s="165">
        <v>3</v>
      </c>
      <c r="D19" s="589">
        <v>0</v>
      </c>
      <c r="E19" s="851"/>
      <c r="F19" s="852"/>
      <c r="G19" s="589">
        <v>0</v>
      </c>
      <c r="H19" s="851"/>
      <c r="I19" s="852"/>
      <c r="J19" s="4">
        <v>0</v>
      </c>
      <c r="K19" s="14">
        <v>0</v>
      </c>
      <c r="L19" s="4">
        <v>0</v>
      </c>
      <c r="M19" s="378">
        <v>0</v>
      </c>
      <c r="N19" s="166"/>
      <c r="O19" s="856"/>
      <c r="P19" s="857"/>
    </row>
    <row r="20" spans="1:16" ht="15.75" customHeight="1">
      <c r="A20" s="789"/>
      <c r="B20" s="849"/>
      <c r="C20" s="165">
        <v>4</v>
      </c>
      <c r="D20" s="589">
        <v>0</v>
      </c>
      <c r="E20" s="851"/>
      <c r="F20" s="852"/>
      <c r="G20" s="589">
        <v>0</v>
      </c>
      <c r="H20" s="851"/>
      <c r="I20" s="852"/>
      <c r="J20" s="4">
        <v>0</v>
      </c>
      <c r="K20" s="14">
        <v>0</v>
      </c>
      <c r="L20" s="4">
        <v>0</v>
      </c>
      <c r="M20" s="378">
        <v>0</v>
      </c>
      <c r="N20" s="166"/>
      <c r="O20" s="856"/>
      <c r="P20" s="857"/>
    </row>
    <row r="21" spans="1:16" ht="15.75" customHeight="1" thickBot="1">
      <c r="A21" s="789"/>
      <c r="B21" s="849"/>
      <c r="C21" s="167">
        <v>5</v>
      </c>
      <c r="D21" s="589">
        <v>0</v>
      </c>
      <c r="E21" s="851"/>
      <c r="F21" s="852"/>
      <c r="G21" s="589">
        <v>0</v>
      </c>
      <c r="H21" s="851"/>
      <c r="I21" s="852"/>
      <c r="J21" s="4">
        <v>0</v>
      </c>
      <c r="K21" s="14">
        <v>0</v>
      </c>
      <c r="L21" s="4">
        <v>0</v>
      </c>
      <c r="M21" s="378">
        <v>0</v>
      </c>
      <c r="N21" s="168"/>
      <c r="O21" s="856"/>
      <c r="P21" s="857"/>
    </row>
    <row r="22" spans="1:16" ht="15.75" customHeight="1" thickTop="1" thickBot="1">
      <c r="A22" s="778"/>
      <c r="B22" s="850"/>
      <c r="C22" s="853"/>
      <c r="D22" s="854"/>
      <c r="E22" s="854"/>
      <c r="F22" s="854"/>
      <c r="G22" s="854"/>
      <c r="H22" s="854"/>
      <c r="I22" s="855"/>
      <c r="J22" s="310" t="s">
        <v>605</v>
      </c>
      <c r="K22" s="239">
        <v>1.0690151392703301E-3</v>
      </c>
      <c r="L22" s="310" t="s">
        <v>606</v>
      </c>
      <c r="M22" s="379">
        <v>270.47591999999997</v>
      </c>
      <c r="N22" s="845"/>
      <c r="O22" s="846"/>
      <c r="P22" s="847"/>
    </row>
    <row r="23" spans="1:16" ht="15.75" customHeight="1" thickTop="1">
      <c r="A23" s="114"/>
      <c r="B23" s="169"/>
      <c r="C23" s="15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858" t="s">
        <v>600</v>
      </c>
      <c r="B24" s="859"/>
      <c r="C24" s="535" t="s">
        <v>527</v>
      </c>
      <c r="D24" s="860" t="s">
        <v>12</v>
      </c>
      <c r="E24" s="861"/>
      <c r="F24" s="862"/>
      <c r="G24" s="533" t="s">
        <v>601</v>
      </c>
      <c r="H24" s="534"/>
      <c r="I24" s="535"/>
      <c r="J24" s="164" t="s">
        <v>602</v>
      </c>
      <c r="K24" s="164" t="s">
        <v>608</v>
      </c>
      <c r="L24" s="164" t="s">
        <v>604</v>
      </c>
      <c r="M24" s="164" t="s">
        <v>11</v>
      </c>
      <c r="N24" s="164" t="s">
        <v>13</v>
      </c>
      <c r="O24" s="863" t="s">
        <v>50</v>
      </c>
      <c r="P24" s="864"/>
    </row>
    <row r="25" spans="1:16" ht="15.75" customHeight="1">
      <c r="A25" s="777">
        <v>3</v>
      </c>
      <c r="B25" s="848" t="s">
        <v>358</v>
      </c>
      <c r="C25" s="165">
        <v>1</v>
      </c>
      <c r="D25" s="589" t="s">
        <v>690</v>
      </c>
      <c r="E25" s="851"/>
      <c r="F25" s="852"/>
      <c r="G25" s="589" t="s">
        <v>751</v>
      </c>
      <c r="H25" s="851"/>
      <c r="I25" s="852"/>
      <c r="J25" s="4">
        <v>367.83</v>
      </c>
      <c r="K25" s="14">
        <v>4.2637465051258101E-2</v>
      </c>
      <c r="L25" s="4">
        <v>0.73199999999999898</v>
      </c>
      <c r="M25" s="378">
        <v>269.25155999999998</v>
      </c>
      <c r="N25" s="166"/>
      <c r="O25" s="856" t="s">
        <v>504</v>
      </c>
      <c r="P25" s="857"/>
    </row>
    <row r="26" spans="1:16" ht="15.75" customHeight="1">
      <c r="A26" s="789"/>
      <c r="B26" s="849"/>
      <c r="C26" s="165">
        <v>2</v>
      </c>
      <c r="D26" s="589" t="s">
        <v>645</v>
      </c>
      <c r="E26" s="851"/>
      <c r="F26" s="852"/>
      <c r="G26" s="589" t="s">
        <v>744</v>
      </c>
      <c r="H26" s="851"/>
      <c r="I26" s="852"/>
      <c r="J26" s="4">
        <v>179.84</v>
      </c>
      <c r="K26" s="14">
        <v>6.6650598208163506E-2</v>
      </c>
      <c r="L26" s="4">
        <v>1.4746667</v>
      </c>
      <c r="M26" s="378">
        <v>265.20405932800003</v>
      </c>
      <c r="N26" s="166"/>
      <c r="O26" s="869" t="s">
        <v>668</v>
      </c>
      <c r="P26" s="857"/>
    </row>
    <row r="27" spans="1:16" ht="15.75" customHeight="1">
      <c r="A27" s="789"/>
      <c r="B27" s="849"/>
      <c r="C27" s="165">
        <v>3</v>
      </c>
      <c r="D27" s="589" t="s">
        <v>566</v>
      </c>
      <c r="E27" s="851"/>
      <c r="F27" s="852"/>
      <c r="G27" s="589" t="s">
        <v>672</v>
      </c>
      <c r="H27" s="851"/>
      <c r="I27" s="852"/>
      <c r="J27" s="4">
        <v>143.99</v>
      </c>
      <c r="K27" s="14">
        <v>3.0195381882770801E-2</v>
      </c>
      <c r="L27" s="4">
        <v>1.7849999999999999</v>
      </c>
      <c r="M27" s="378">
        <v>257.02214999999899</v>
      </c>
      <c r="N27" s="166"/>
      <c r="O27" s="856" t="s">
        <v>504</v>
      </c>
      <c r="P27" s="857"/>
    </row>
    <row r="28" spans="1:16" ht="15.75" customHeight="1">
      <c r="A28" s="789"/>
      <c r="B28" s="849"/>
      <c r="C28" s="165">
        <v>4</v>
      </c>
      <c r="D28" s="589" t="s">
        <v>344</v>
      </c>
      <c r="E28" s="851"/>
      <c r="F28" s="852"/>
      <c r="G28" s="589" t="s">
        <v>747</v>
      </c>
      <c r="H28" s="851"/>
      <c r="I28" s="852"/>
      <c r="J28" s="4">
        <v>160.9</v>
      </c>
      <c r="K28" s="14">
        <v>3.6699149906697197E-2</v>
      </c>
      <c r="L28" s="4">
        <v>1.593</v>
      </c>
      <c r="M28" s="378">
        <v>256.31370000000101</v>
      </c>
      <c r="N28" s="166"/>
      <c r="O28" s="856" t="s">
        <v>504</v>
      </c>
      <c r="P28" s="857"/>
    </row>
    <row r="29" spans="1:16" ht="15.75" customHeight="1" thickBot="1">
      <c r="A29" s="789"/>
      <c r="B29" s="849"/>
      <c r="C29" s="167">
        <v>5</v>
      </c>
      <c r="D29" s="589">
        <v>0</v>
      </c>
      <c r="E29" s="851"/>
      <c r="F29" s="852"/>
      <c r="G29" s="589">
        <v>0</v>
      </c>
      <c r="H29" s="851"/>
      <c r="I29" s="852"/>
      <c r="J29" s="4">
        <v>0</v>
      </c>
      <c r="K29" s="14">
        <v>0</v>
      </c>
      <c r="L29" s="4">
        <v>0</v>
      </c>
      <c r="M29" s="378">
        <v>0</v>
      </c>
      <c r="N29" s="168"/>
      <c r="O29" s="885"/>
      <c r="P29" s="886"/>
    </row>
    <row r="30" spans="1:16" ht="15.75" customHeight="1" thickTop="1" thickBot="1">
      <c r="A30" s="778"/>
      <c r="B30" s="850"/>
      <c r="C30" s="842"/>
      <c r="D30" s="843"/>
      <c r="E30" s="843"/>
      <c r="F30" s="843"/>
      <c r="G30" s="843"/>
      <c r="H30" s="843"/>
      <c r="I30" s="844"/>
      <c r="J30" s="310" t="s">
        <v>605</v>
      </c>
      <c r="K30" s="239">
        <v>4.1412372070309799E-3</v>
      </c>
      <c r="L30" s="310" t="s">
        <v>606</v>
      </c>
      <c r="M30" s="379">
        <v>1047.7914693279999</v>
      </c>
      <c r="N30" s="845"/>
      <c r="O30" s="846"/>
      <c r="P30" s="847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15" customWidth="1"/>
    <col min="2" max="2" width="11.42578125" style="316" customWidth="1"/>
    <col min="3" max="3" width="4" style="317" customWidth="1"/>
    <col min="4" max="17" width="9.5703125" style="315" customWidth="1"/>
    <col min="18" max="16384" width="12.5703125" style="315"/>
  </cols>
  <sheetData>
    <row r="1" spans="1:23" s="177" customFormat="1" ht="15.75" customHeight="1">
      <c r="A1" s="813" t="s">
        <v>487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</row>
    <row r="2" spans="1:23" s="178" customFormat="1" ht="15.75" customHeight="1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</row>
    <row r="3" spans="1:23" s="177" customFormat="1" ht="15.75" customHeight="1">
      <c r="A3" s="814" t="s">
        <v>488</v>
      </c>
      <c r="B3" s="814"/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179"/>
    </row>
    <row r="4" spans="1:23" s="178" customFormat="1" ht="15.75" customHeight="1">
      <c r="A4" s="814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180"/>
    </row>
    <row r="5" spans="1:23" s="177" customFormat="1" ht="15.75" customHeight="1">
      <c r="A5" s="816" t="s">
        <v>486</v>
      </c>
      <c r="B5" s="819">
        <v>1</v>
      </c>
      <c r="C5" s="819"/>
      <c r="D5" s="819">
        <v>2</v>
      </c>
      <c r="E5" s="819"/>
      <c r="F5" s="819">
        <v>3</v>
      </c>
      <c r="G5" s="819"/>
      <c r="H5" s="888">
        <v>4</v>
      </c>
      <c r="I5" s="888"/>
      <c r="J5" s="888">
        <v>5</v>
      </c>
      <c r="K5" s="888"/>
      <c r="L5" s="888">
        <v>6</v>
      </c>
      <c r="M5" s="888"/>
      <c r="N5" s="888">
        <v>7</v>
      </c>
      <c r="O5" s="888"/>
      <c r="P5" s="819">
        <v>8</v>
      </c>
      <c r="Q5" s="819"/>
    </row>
    <row r="6" spans="1:23" s="177" customFormat="1" ht="15.75" customHeight="1">
      <c r="A6" s="816"/>
      <c r="B6" s="816" t="s">
        <v>489</v>
      </c>
      <c r="C6" s="816"/>
      <c r="D6" s="816" t="s">
        <v>490</v>
      </c>
      <c r="E6" s="816"/>
      <c r="F6" s="816" t="s">
        <v>491</v>
      </c>
      <c r="G6" s="816"/>
      <c r="H6" s="890" t="s">
        <v>492</v>
      </c>
      <c r="I6" s="889"/>
      <c r="J6" s="889" t="s">
        <v>493</v>
      </c>
      <c r="K6" s="889"/>
      <c r="L6" s="889" t="s">
        <v>494</v>
      </c>
      <c r="M6" s="889"/>
      <c r="N6" s="889" t="s">
        <v>495</v>
      </c>
      <c r="O6" s="889"/>
      <c r="P6" s="887" t="s">
        <v>496</v>
      </c>
      <c r="Q6" s="816"/>
    </row>
    <row r="7" spans="1:23" s="177" customFormat="1" ht="15.75" customHeight="1">
      <c r="B7" s="312"/>
      <c r="C7" s="313"/>
    </row>
    <row r="8" spans="1:23" s="314" customFormat="1" ht="15.75" customHeight="1">
      <c r="A8" s="871" t="s">
        <v>600</v>
      </c>
      <c r="B8" s="871"/>
      <c r="C8" s="538" t="s">
        <v>527</v>
      </c>
      <c r="D8" s="872" t="s">
        <v>12</v>
      </c>
      <c r="E8" s="873"/>
      <c r="F8" s="874"/>
      <c r="G8" s="536" t="s">
        <v>601</v>
      </c>
      <c r="H8" s="537"/>
      <c r="I8" s="538"/>
      <c r="J8" s="113" t="s">
        <v>602</v>
      </c>
      <c r="K8" s="113" t="s">
        <v>608</v>
      </c>
      <c r="L8" s="113" t="s">
        <v>604</v>
      </c>
      <c r="M8" s="113" t="s">
        <v>11</v>
      </c>
      <c r="N8" s="164" t="s">
        <v>13</v>
      </c>
      <c r="O8" s="875" t="s">
        <v>50</v>
      </c>
      <c r="P8" s="876"/>
      <c r="R8" s="177"/>
      <c r="S8" s="177"/>
      <c r="T8" s="177"/>
      <c r="U8" s="177"/>
      <c r="V8" s="177"/>
      <c r="W8" s="177"/>
    </row>
    <row r="9" spans="1:23" ht="15.75" customHeight="1">
      <c r="A9" s="871">
        <v>4</v>
      </c>
      <c r="B9" s="877" t="s">
        <v>485</v>
      </c>
      <c r="C9" s="111">
        <v>1</v>
      </c>
      <c r="D9" s="589" t="s">
        <v>752</v>
      </c>
      <c r="E9" s="851"/>
      <c r="F9" s="852"/>
      <c r="G9" s="589" t="s">
        <v>753</v>
      </c>
      <c r="H9" s="851"/>
      <c r="I9" s="852"/>
      <c r="J9" s="4">
        <v>158.13</v>
      </c>
      <c r="K9" s="14">
        <v>1.81151112130244E-2</v>
      </c>
      <c r="L9" s="4">
        <v>2.3699999999999801</v>
      </c>
      <c r="M9" s="378">
        <v>374.76809999999602</v>
      </c>
      <c r="N9" s="4"/>
      <c r="O9" s="856" t="s">
        <v>436</v>
      </c>
      <c r="P9" s="857"/>
      <c r="R9" s="177"/>
      <c r="S9" s="177"/>
      <c r="T9" s="177"/>
      <c r="U9" s="177"/>
      <c r="V9" s="177"/>
      <c r="W9" s="177"/>
    </row>
    <row r="10" spans="1:23" ht="15.75" customHeight="1">
      <c r="A10" s="871"/>
      <c r="B10" s="877"/>
      <c r="C10" s="111">
        <v>2</v>
      </c>
      <c r="D10" s="589" t="s">
        <v>344</v>
      </c>
      <c r="E10" s="851"/>
      <c r="F10" s="852"/>
      <c r="G10" s="589" t="s">
        <v>586</v>
      </c>
      <c r="H10" s="851"/>
      <c r="I10" s="852"/>
      <c r="J10" s="4">
        <v>371.13</v>
      </c>
      <c r="K10" s="14">
        <v>8.1739248405914896E-3</v>
      </c>
      <c r="L10" s="4">
        <v>0.96399999999999897</v>
      </c>
      <c r="M10" s="378">
        <v>357.76931999999903</v>
      </c>
      <c r="N10" s="4"/>
      <c r="O10" s="856" t="s">
        <v>436</v>
      </c>
      <c r="P10" s="857"/>
      <c r="R10" s="177"/>
      <c r="S10" s="177"/>
      <c r="T10" s="177"/>
      <c r="U10" s="177"/>
      <c r="V10" s="177"/>
      <c r="W10" s="177"/>
    </row>
    <row r="11" spans="1:23" ht="15.75" customHeight="1">
      <c r="A11" s="871"/>
      <c r="B11" s="877"/>
      <c r="C11" s="111">
        <v>3</v>
      </c>
      <c r="D11" s="589" t="s">
        <v>678</v>
      </c>
      <c r="E11" s="851"/>
      <c r="F11" s="852"/>
      <c r="G11" s="589" t="s">
        <v>677</v>
      </c>
      <c r="H11" s="851"/>
      <c r="I11" s="852"/>
      <c r="J11" s="4">
        <v>362.63</v>
      </c>
      <c r="K11" s="14">
        <v>1.2473898230574799E-2</v>
      </c>
      <c r="L11" s="4">
        <v>0.90800000000000103</v>
      </c>
      <c r="M11" s="378">
        <v>329.26803999999998</v>
      </c>
      <c r="N11" s="4"/>
      <c r="O11" s="856" t="s">
        <v>436</v>
      </c>
      <c r="P11" s="857"/>
      <c r="R11" s="177"/>
      <c r="S11" s="177"/>
      <c r="T11" s="177"/>
      <c r="U11" s="177"/>
      <c r="V11" s="177"/>
      <c r="W11" s="177"/>
    </row>
    <row r="12" spans="1:23" ht="15.75" customHeight="1">
      <c r="A12" s="871"/>
      <c r="B12" s="877"/>
      <c r="C12" s="111">
        <v>4</v>
      </c>
      <c r="D12" s="589" t="s">
        <v>344</v>
      </c>
      <c r="E12" s="851"/>
      <c r="F12" s="852"/>
      <c r="G12" s="589" t="s">
        <v>586</v>
      </c>
      <c r="H12" s="851"/>
      <c r="I12" s="852"/>
      <c r="J12" s="4">
        <v>371.13</v>
      </c>
      <c r="K12" s="14">
        <v>5.6239677196798198E-3</v>
      </c>
      <c r="L12" s="4">
        <v>0.80700000000001604</v>
      </c>
      <c r="M12" s="378">
        <v>299.50191000000598</v>
      </c>
      <c r="N12" s="4"/>
      <c r="O12" s="856" t="s">
        <v>436</v>
      </c>
      <c r="P12" s="857"/>
      <c r="R12" s="177"/>
      <c r="S12" s="177"/>
      <c r="T12" s="177"/>
      <c r="U12" s="177"/>
      <c r="V12" s="177"/>
      <c r="W12" s="177"/>
    </row>
    <row r="13" spans="1:23" ht="15.75" customHeight="1" thickBot="1">
      <c r="A13" s="871"/>
      <c r="B13" s="877"/>
      <c r="C13" s="112">
        <v>5</v>
      </c>
      <c r="D13" s="589" t="s">
        <v>328</v>
      </c>
      <c r="E13" s="851"/>
      <c r="F13" s="852"/>
      <c r="G13" s="589" t="s">
        <v>651</v>
      </c>
      <c r="H13" s="851"/>
      <c r="I13" s="852"/>
      <c r="J13" s="4">
        <v>111.17</v>
      </c>
      <c r="K13" s="14">
        <v>9.0960773166571494E-3</v>
      </c>
      <c r="L13" s="4">
        <v>2.68799999999999</v>
      </c>
      <c r="M13" s="378">
        <v>298.82495999999901</v>
      </c>
      <c r="N13" s="4"/>
      <c r="O13" s="856" t="s">
        <v>436</v>
      </c>
      <c r="P13" s="857"/>
      <c r="R13" s="177"/>
      <c r="S13" s="177"/>
      <c r="T13" s="177"/>
      <c r="U13" s="177"/>
      <c r="V13" s="177"/>
      <c r="W13" s="177"/>
    </row>
    <row r="14" spans="1:23" ht="15.75" customHeight="1" thickTop="1" thickBot="1">
      <c r="A14" s="871"/>
      <c r="B14" s="877"/>
      <c r="C14" s="884"/>
      <c r="D14" s="884"/>
      <c r="E14" s="884"/>
      <c r="F14" s="884"/>
      <c r="G14" s="884"/>
      <c r="H14" s="884"/>
      <c r="I14" s="884"/>
      <c r="J14" s="539" t="s">
        <v>605</v>
      </c>
      <c r="K14" s="239">
        <v>6.5614217855775297E-3</v>
      </c>
      <c r="L14" s="539" t="s">
        <v>606</v>
      </c>
      <c r="M14" s="379">
        <v>1660.1323299999999</v>
      </c>
      <c r="N14" s="883"/>
      <c r="O14" s="883"/>
      <c r="P14" s="883"/>
      <c r="R14" s="177"/>
      <c r="S14" s="177"/>
      <c r="T14" s="177"/>
      <c r="U14" s="177"/>
      <c r="V14" s="177"/>
      <c r="W14" s="177"/>
    </row>
    <row r="15" spans="1:23" ht="15.75" customHeight="1" thickTop="1">
      <c r="A15" s="530"/>
      <c r="B15" s="110"/>
      <c r="C15" s="108"/>
      <c r="D15" s="530"/>
      <c r="E15" s="530"/>
      <c r="F15" s="530"/>
      <c r="G15" s="530"/>
      <c r="H15" s="530"/>
      <c r="I15" s="530"/>
      <c r="J15" s="530"/>
      <c r="K15" s="530"/>
      <c r="L15" s="530"/>
      <c r="M15" s="530"/>
      <c r="N15" s="530"/>
      <c r="O15" s="530"/>
      <c r="P15" s="530"/>
      <c r="R15" s="177"/>
      <c r="S15" s="177"/>
      <c r="T15" s="177"/>
      <c r="U15" s="177"/>
      <c r="V15" s="177"/>
      <c r="W15" s="177"/>
    </row>
    <row r="16" spans="1:23" ht="15.75" customHeight="1">
      <c r="A16" s="871" t="s">
        <v>600</v>
      </c>
      <c r="B16" s="871"/>
      <c r="C16" s="538" t="s">
        <v>527</v>
      </c>
      <c r="D16" s="872" t="s">
        <v>12</v>
      </c>
      <c r="E16" s="873"/>
      <c r="F16" s="874"/>
      <c r="G16" s="536" t="s">
        <v>601</v>
      </c>
      <c r="H16" s="537"/>
      <c r="I16" s="538"/>
      <c r="J16" s="113" t="s">
        <v>602</v>
      </c>
      <c r="K16" s="113" t="s">
        <v>608</v>
      </c>
      <c r="L16" s="113" t="s">
        <v>604</v>
      </c>
      <c r="M16" s="113" t="s">
        <v>11</v>
      </c>
      <c r="N16" s="164" t="s">
        <v>13</v>
      </c>
      <c r="O16" s="875" t="s">
        <v>50</v>
      </c>
      <c r="P16" s="876"/>
      <c r="R16" s="177"/>
      <c r="S16" s="177"/>
      <c r="T16" s="177"/>
      <c r="U16" s="177"/>
      <c r="V16" s="177"/>
      <c r="W16" s="177"/>
    </row>
    <row r="17" spans="1:23" ht="15.75" customHeight="1">
      <c r="A17" s="871">
        <v>5</v>
      </c>
      <c r="B17" s="877" t="s">
        <v>193</v>
      </c>
      <c r="C17" s="111">
        <v>1</v>
      </c>
      <c r="D17" s="589" t="s">
        <v>559</v>
      </c>
      <c r="E17" s="851"/>
      <c r="F17" s="852"/>
      <c r="G17" s="589" t="s">
        <v>560</v>
      </c>
      <c r="H17" s="851"/>
      <c r="I17" s="852"/>
      <c r="J17" s="4">
        <v>447.3</v>
      </c>
      <c r="K17" s="14">
        <v>8.65947462628802E-3</v>
      </c>
      <c r="L17" s="4">
        <v>1.0740000000000001</v>
      </c>
      <c r="M17" s="378">
        <v>480.40019999999902</v>
      </c>
      <c r="N17" s="4"/>
      <c r="O17" s="856" t="s">
        <v>497</v>
      </c>
      <c r="P17" s="857"/>
      <c r="R17" s="177"/>
      <c r="S17" s="177"/>
      <c r="T17" s="177"/>
      <c r="U17" s="177"/>
      <c r="V17" s="177"/>
      <c r="W17" s="177"/>
    </row>
    <row r="18" spans="1:23" ht="15.75" customHeight="1">
      <c r="A18" s="871"/>
      <c r="B18" s="877"/>
      <c r="C18" s="111">
        <v>2</v>
      </c>
      <c r="D18" s="589" t="s">
        <v>688</v>
      </c>
      <c r="E18" s="851"/>
      <c r="F18" s="852"/>
      <c r="G18" s="589" t="s">
        <v>689</v>
      </c>
      <c r="H18" s="851"/>
      <c r="I18" s="852"/>
      <c r="J18" s="4">
        <v>548.80999999999995</v>
      </c>
      <c r="K18" s="14">
        <v>2.7551942186088502E-2</v>
      </c>
      <c r="L18" s="4">
        <v>0.73199999999999898</v>
      </c>
      <c r="M18" s="378">
        <v>401.72892000000002</v>
      </c>
      <c r="N18" s="4"/>
      <c r="O18" s="856" t="s">
        <v>497</v>
      </c>
      <c r="P18" s="857"/>
      <c r="R18" s="177"/>
      <c r="S18" s="177"/>
      <c r="T18" s="177"/>
      <c r="U18" s="177"/>
      <c r="V18" s="177"/>
      <c r="W18" s="177"/>
    </row>
    <row r="19" spans="1:23" ht="15.75" customHeight="1">
      <c r="A19" s="871"/>
      <c r="B19" s="877"/>
      <c r="C19" s="111">
        <v>3</v>
      </c>
      <c r="D19" s="589" t="s">
        <v>328</v>
      </c>
      <c r="E19" s="851"/>
      <c r="F19" s="852"/>
      <c r="G19" s="589" t="s">
        <v>648</v>
      </c>
      <c r="H19" s="851"/>
      <c r="I19" s="852"/>
      <c r="J19" s="4">
        <v>136.88999999999999</v>
      </c>
      <c r="K19" s="14">
        <v>8.2154199406581103E-3</v>
      </c>
      <c r="L19" s="4">
        <v>2.7549999999999999</v>
      </c>
      <c r="M19" s="378">
        <v>377.13194999999899</v>
      </c>
      <c r="N19" s="4"/>
      <c r="O19" s="856" t="s">
        <v>497</v>
      </c>
      <c r="P19" s="857"/>
      <c r="R19" s="177"/>
      <c r="S19" s="177"/>
      <c r="T19" s="177"/>
      <c r="U19" s="177"/>
      <c r="V19" s="177"/>
      <c r="W19" s="177"/>
    </row>
    <row r="20" spans="1:23" ht="15.75" customHeight="1">
      <c r="A20" s="871"/>
      <c r="B20" s="877"/>
      <c r="C20" s="111">
        <v>4</v>
      </c>
      <c r="D20" s="589" t="s">
        <v>680</v>
      </c>
      <c r="E20" s="851"/>
      <c r="F20" s="852"/>
      <c r="G20" s="589" t="s">
        <v>679</v>
      </c>
      <c r="H20" s="851"/>
      <c r="I20" s="852"/>
      <c r="J20" s="4">
        <v>344.19</v>
      </c>
      <c r="K20" s="14">
        <v>6.7888662593346902E-3</v>
      </c>
      <c r="L20" s="4">
        <v>1</v>
      </c>
      <c r="M20" s="378">
        <v>344.19</v>
      </c>
      <c r="N20" s="4"/>
      <c r="O20" s="856" t="s">
        <v>497</v>
      </c>
      <c r="P20" s="857"/>
      <c r="R20" s="177"/>
      <c r="S20" s="177"/>
      <c r="T20" s="177"/>
      <c r="U20" s="177"/>
      <c r="V20" s="177"/>
      <c r="W20" s="177"/>
    </row>
    <row r="21" spans="1:23" ht="15.75" customHeight="1" thickBot="1">
      <c r="A21" s="871"/>
      <c r="B21" s="877"/>
      <c r="C21" s="112">
        <v>5</v>
      </c>
      <c r="D21" s="589" t="s">
        <v>691</v>
      </c>
      <c r="E21" s="851"/>
      <c r="F21" s="852"/>
      <c r="G21" s="589" t="s">
        <v>696</v>
      </c>
      <c r="H21" s="851"/>
      <c r="I21" s="852"/>
      <c r="J21" s="4">
        <v>380.28</v>
      </c>
      <c r="K21" s="14">
        <v>1.2730246781878901E-2</v>
      </c>
      <c r="L21" s="4">
        <v>0.89499999999999602</v>
      </c>
      <c r="M21" s="378">
        <v>340.350599999998</v>
      </c>
      <c r="N21" s="4"/>
      <c r="O21" s="856" t="s">
        <v>497</v>
      </c>
      <c r="P21" s="857"/>
      <c r="R21" s="177"/>
      <c r="S21" s="177"/>
      <c r="T21" s="177"/>
      <c r="U21" s="177"/>
      <c r="V21" s="177"/>
      <c r="W21" s="177"/>
    </row>
    <row r="22" spans="1:23" ht="15.75" customHeight="1" thickTop="1" thickBot="1">
      <c r="A22" s="871"/>
      <c r="B22" s="877"/>
      <c r="C22" s="878"/>
      <c r="D22" s="878"/>
      <c r="E22" s="878"/>
      <c r="F22" s="878"/>
      <c r="G22" s="878"/>
      <c r="H22" s="878"/>
      <c r="I22" s="879"/>
      <c r="J22" s="568" t="s">
        <v>605</v>
      </c>
      <c r="K22" s="239">
        <v>7.6825819206713204E-3</v>
      </c>
      <c r="L22" s="568" t="s">
        <v>606</v>
      </c>
      <c r="M22" s="379">
        <v>1943.8016700000001</v>
      </c>
      <c r="N22" s="880"/>
      <c r="O22" s="881"/>
      <c r="P22" s="882"/>
      <c r="R22" s="177"/>
      <c r="S22" s="177"/>
      <c r="T22" s="177"/>
      <c r="U22" s="177"/>
      <c r="V22" s="177"/>
      <c r="W22" s="177"/>
    </row>
    <row r="23" spans="1:23" ht="15.75" customHeight="1" thickTop="1">
      <c r="A23" s="530"/>
      <c r="B23" s="110"/>
      <c r="C23" s="108"/>
      <c r="D23" s="530"/>
      <c r="E23" s="530"/>
      <c r="F23" s="530"/>
      <c r="G23" s="530"/>
      <c r="H23" s="530"/>
      <c r="I23" s="530"/>
      <c r="J23" s="530"/>
      <c r="K23" s="530"/>
      <c r="L23" s="530"/>
      <c r="M23" s="530"/>
      <c r="N23" s="530"/>
      <c r="O23" s="530"/>
      <c r="P23" s="530"/>
      <c r="R23" s="177"/>
      <c r="S23" s="177"/>
      <c r="T23" s="177"/>
      <c r="U23" s="177"/>
      <c r="V23" s="177"/>
      <c r="W23" s="177"/>
    </row>
    <row r="24" spans="1:23" ht="15.75" customHeight="1">
      <c r="A24" s="871" t="s">
        <v>600</v>
      </c>
      <c r="B24" s="871"/>
      <c r="C24" s="538" t="s">
        <v>527</v>
      </c>
      <c r="D24" s="872" t="s">
        <v>12</v>
      </c>
      <c r="E24" s="873"/>
      <c r="F24" s="874"/>
      <c r="G24" s="536" t="s">
        <v>601</v>
      </c>
      <c r="H24" s="537"/>
      <c r="I24" s="538"/>
      <c r="J24" s="113" t="s">
        <v>602</v>
      </c>
      <c r="K24" s="113" t="s">
        <v>608</v>
      </c>
      <c r="L24" s="113" t="s">
        <v>604</v>
      </c>
      <c r="M24" s="113" t="s">
        <v>11</v>
      </c>
      <c r="N24" s="164" t="s">
        <v>13</v>
      </c>
      <c r="O24" s="875" t="s">
        <v>50</v>
      </c>
      <c r="P24" s="876"/>
      <c r="R24" s="177"/>
      <c r="S24" s="177"/>
      <c r="T24" s="177"/>
      <c r="U24" s="177"/>
      <c r="V24" s="177"/>
      <c r="W24" s="177"/>
    </row>
    <row r="25" spans="1:23" ht="15.75" customHeight="1">
      <c r="A25" s="871">
        <v>6</v>
      </c>
      <c r="B25" s="877" t="s">
        <v>194</v>
      </c>
      <c r="C25" s="111">
        <v>1</v>
      </c>
      <c r="D25" s="589" t="s">
        <v>594</v>
      </c>
      <c r="E25" s="851"/>
      <c r="F25" s="852"/>
      <c r="G25" s="589" t="s">
        <v>329</v>
      </c>
      <c r="H25" s="851"/>
      <c r="I25" s="852"/>
      <c r="J25" s="4">
        <v>487.66</v>
      </c>
      <c r="K25" s="14">
        <v>1.9985502744123401E-2</v>
      </c>
      <c r="L25" s="4">
        <v>0.77199999999999802</v>
      </c>
      <c r="M25" s="378">
        <v>376.47351999999898</v>
      </c>
      <c r="N25" s="4"/>
      <c r="O25" s="869" t="s">
        <v>610</v>
      </c>
      <c r="P25" s="857"/>
      <c r="R25" s="177"/>
      <c r="S25" s="177"/>
      <c r="T25" s="177"/>
      <c r="U25" s="177"/>
      <c r="V25" s="177"/>
      <c r="W25" s="177"/>
    </row>
    <row r="26" spans="1:23" ht="15.75" customHeight="1">
      <c r="A26" s="871"/>
      <c r="B26" s="877"/>
      <c r="C26" s="111">
        <v>2</v>
      </c>
      <c r="D26" s="589" t="s">
        <v>682</v>
      </c>
      <c r="E26" s="851"/>
      <c r="F26" s="852"/>
      <c r="G26" s="589" t="s">
        <v>681</v>
      </c>
      <c r="H26" s="851"/>
      <c r="I26" s="852"/>
      <c r="J26" s="4">
        <v>370.75</v>
      </c>
      <c r="K26" s="14">
        <v>5.4106751157689599E-2</v>
      </c>
      <c r="L26" s="4">
        <v>0.88800000000000201</v>
      </c>
      <c r="M26" s="378">
        <v>329.22600000000102</v>
      </c>
      <c r="N26" s="4"/>
      <c r="O26" s="869" t="s">
        <v>610</v>
      </c>
      <c r="P26" s="857"/>
      <c r="R26" s="177"/>
      <c r="S26" s="177"/>
      <c r="T26" s="177"/>
      <c r="U26" s="177"/>
      <c r="V26" s="177"/>
      <c r="W26" s="177"/>
    </row>
    <row r="27" spans="1:23" ht="15.75" customHeight="1">
      <c r="A27" s="871"/>
      <c r="B27" s="877"/>
      <c r="C27" s="111">
        <v>3</v>
      </c>
      <c r="D27" s="589" t="s">
        <v>540</v>
      </c>
      <c r="E27" s="851"/>
      <c r="F27" s="852"/>
      <c r="G27" s="589" t="s">
        <v>674</v>
      </c>
      <c r="H27" s="851"/>
      <c r="I27" s="852"/>
      <c r="J27" s="4">
        <v>444.88</v>
      </c>
      <c r="K27" s="14">
        <v>1.8033740546829598E-2</v>
      </c>
      <c r="L27" s="4">
        <v>0.68200000000000205</v>
      </c>
      <c r="M27" s="378">
        <v>303.40816000000098</v>
      </c>
      <c r="N27" s="4"/>
      <c r="O27" s="856" t="s">
        <v>610</v>
      </c>
      <c r="P27" s="857"/>
      <c r="R27" s="177"/>
      <c r="S27" s="177"/>
      <c r="T27" s="177"/>
      <c r="U27" s="177"/>
      <c r="V27" s="177"/>
      <c r="W27" s="177"/>
    </row>
    <row r="28" spans="1:23" ht="15.75" customHeight="1">
      <c r="A28" s="871"/>
      <c r="B28" s="877"/>
      <c r="C28" s="111">
        <v>4</v>
      </c>
      <c r="D28" s="589" t="s">
        <v>682</v>
      </c>
      <c r="E28" s="851"/>
      <c r="F28" s="852"/>
      <c r="G28" s="589" t="s">
        <v>754</v>
      </c>
      <c r="H28" s="851"/>
      <c r="I28" s="852"/>
      <c r="J28" s="4">
        <v>412.67</v>
      </c>
      <c r="K28" s="14">
        <v>3.1768883770035498E-2</v>
      </c>
      <c r="L28" s="4">
        <v>0.66199999999999903</v>
      </c>
      <c r="M28" s="378">
        <v>273.18754000000001</v>
      </c>
      <c r="N28" s="4"/>
      <c r="O28" s="856" t="s">
        <v>610</v>
      </c>
      <c r="P28" s="857"/>
      <c r="R28" s="177"/>
      <c r="S28" s="177"/>
      <c r="T28" s="177"/>
      <c r="U28" s="177"/>
      <c r="V28" s="177"/>
      <c r="W28" s="177"/>
    </row>
    <row r="29" spans="1:23" ht="15.75" customHeight="1" thickBot="1">
      <c r="A29" s="871"/>
      <c r="B29" s="877"/>
      <c r="C29" s="112">
        <v>5</v>
      </c>
      <c r="D29" s="589">
        <v>0</v>
      </c>
      <c r="E29" s="851"/>
      <c r="F29" s="852"/>
      <c r="G29" s="589">
        <v>0</v>
      </c>
      <c r="H29" s="851"/>
      <c r="I29" s="852"/>
      <c r="J29" s="4">
        <v>0</v>
      </c>
      <c r="K29" s="14">
        <v>0</v>
      </c>
      <c r="L29" s="4">
        <v>0</v>
      </c>
      <c r="M29" s="378">
        <v>0</v>
      </c>
      <c r="N29" s="4"/>
      <c r="O29" s="856"/>
      <c r="P29" s="857"/>
      <c r="R29" s="177"/>
      <c r="S29" s="177"/>
      <c r="T29" s="177"/>
      <c r="U29" s="177"/>
      <c r="V29" s="177"/>
      <c r="W29" s="177"/>
    </row>
    <row r="30" spans="1:23" ht="15.75" customHeight="1" thickTop="1" thickBot="1">
      <c r="A30" s="871"/>
      <c r="B30" s="877"/>
      <c r="C30" s="878"/>
      <c r="D30" s="878"/>
      <c r="E30" s="878"/>
      <c r="F30" s="878"/>
      <c r="G30" s="878"/>
      <c r="H30" s="878"/>
      <c r="I30" s="879"/>
      <c r="J30" s="568" t="s">
        <v>605</v>
      </c>
      <c r="K30" s="239">
        <v>5.0680777911541099E-3</v>
      </c>
      <c r="L30" s="568" t="s">
        <v>606</v>
      </c>
      <c r="M30" s="379">
        <v>1282.29522</v>
      </c>
      <c r="N30" s="880"/>
      <c r="O30" s="881"/>
      <c r="P30" s="882"/>
      <c r="R30" s="177"/>
      <c r="S30" s="177"/>
      <c r="T30" s="177"/>
      <c r="U30" s="177"/>
      <c r="V30" s="177"/>
      <c r="W30" s="177"/>
    </row>
    <row r="31" spans="1:23" ht="15.75" customHeight="1" thickTop="1">
      <c r="A31" s="530"/>
      <c r="B31" s="110"/>
      <c r="C31" s="108"/>
      <c r="D31" s="530"/>
      <c r="E31" s="530"/>
      <c r="F31" s="530"/>
      <c r="G31" s="530"/>
      <c r="H31" s="530"/>
      <c r="I31" s="530"/>
      <c r="J31" s="530"/>
      <c r="K31" s="530"/>
      <c r="L31" s="530"/>
      <c r="M31" s="530"/>
      <c r="N31" s="530"/>
      <c r="O31" s="530"/>
      <c r="P31" s="530"/>
      <c r="R31" s="177"/>
      <c r="S31" s="177"/>
      <c r="T31" s="177"/>
      <c r="U31" s="177"/>
      <c r="V31" s="177"/>
      <c r="W31" s="177"/>
    </row>
    <row r="32" spans="1:23" ht="15.75" customHeight="1">
      <c r="A32" s="871" t="s">
        <v>600</v>
      </c>
      <c r="B32" s="871"/>
      <c r="C32" s="538" t="s">
        <v>527</v>
      </c>
      <c r="D32" s="872" t="s">
        <v>12</v>
      </c>
      <c r="E32" s="873"/>
      <c r="F32" s="874"/>
      <c r="G32" s="536" t="s">
        <v>601</v>
      </c>
      <c r="H32" s="537"/>
      <c r="I32" s="538"/>
      <c r="J32" s="113" t="s">
        <v>602</v>
      </c>
      <c r="K32" s="113" t="s">
        <v>608</v>
      </c>
      <c r="L32" s="113" t="s">
        <v>604</v>
      </c>
      <c r="M32" s="113" t="s">
        <v>11</v>
      </c>
      <c r="N32" s="113" t="s">
        <v>13</v>
      </c>
      <c r="O32" s="875" t="s">
        <v>50</v>
      </c>
      <c r="P32" s="876"/>
      <c r="R32" s="177"/>
      <c r="S32" s="177"/>
      <c r="T32" s="177"/>
      <c r="U32" s="177"/>
      <c r="V32" s="177"/>
      <c r="W32" s="177"/>
    </row>
    <row r="33" spans="1:23" ht="15.75" customHeight="1">
      <c r="A33" s="871">
        <v>7</v>
      </c>
      <c r="B33" s="877" t="s">
        <v>498</v>
      </c>
      <c r="C33" s="111">
        <v>1</v>
      </c>
      <c r="D33" s="589" t="s">
        <v>591</v>
      </c>
      <c r="E33" s="851"/>
      <c r="F33" s="852"/>
      <c r="G33" s="589" t="s">
        <v>650</v>
      </c>
      <c r="H33" s="851"/>
      <c r="I33" s="852"/>
      <c r="J33" s="4">
        <v>935.2</v>
      </c>
      <c r="K33" s="14">
        <v>4.5709357481673103E-2</v>
      </c>
      <c r="L33" s="4">
        <v>0.42399999999999899</v>
      </c>
      <c r="M33" s="378">
        <v>396.52480000000003</v>
      </c>
      <c r="N33" s="4"/>
      <c r="O33" s="856" t="s">
        <v>568</v>
      </c>
      <c r="P33" s="857"/>
      <c r="R33" s="177"/>
      <c r="S33" s="177"/>
      <c r="T33" s="177"/>
      <c r="U33" s="177"/>
      <c r="V33" s="177"/>
      <c r="W33" s="177"/>
    </row>
    <row r="34" spans="1:23" ht="15.75" customHeight="1">
      <c r="A34" s="871"/>
      <c r="B34" s="877"/>
      <c r="C34" s="111">
        <v>2</v>
      </c>
      <c r="D34" s="589" t="s">
        <v>645</v>
      </c>
      <c r="E34" s="851"/>
      <c r="F34" s="852"/>
      <c r="G34" s="589" t="s">
        <v>646</v>
      </c>
      <c r="H34" s="851"/>
      <c r="I34" s="852"/>
      <c r="J34" s="4">
        <v>1010.1</v>
      </c>
      <c r="K34" s="14">
        <v>3.5911602209944798E-2</v>
      </c>
      <c r="L34" s="4">
        <v>0.36400000000000099</v>
      </c>
      <c r="M34" s="378">
        <v>367.67640000000102</v>
      </c>
      <c r="N34" s="4"/>
      <c r="O34" s="856" t="s">
        <v>568</v>
      </c>
      <c r="P34" s="857"/>
      <c r="R34" s="177"/>
      <c r="S34" s="177"/>
      <c r="T34" s="177"/>
      <c r="U34" s="177"/>
      <c r="V34" s="177"/>
      <c r="W34" s="177"/>
    </row>
    <row r="35" spans="1:23" ht="15.75" customHeight="1">
      <c r="A35" s="871"/>
      <c r="B35" s="877"/>
      <c r="C35" s="111">
        <v>3</v>
      </c>
      <c r="D35" s="589" t="s">
        <v>645</v>
      </c>
      <c r="E35" s="851"/>
      <c r="F35" s="852"/>
      <c r="G35" s="589" t="s">
        <v>649</v>
      </c>
      <c r="H35" s="851"/>
      <c r="I35" s="852"/>
      <c r="J35" s="4">
        <v>622.54999999999995</v>
      </c>
      <c r="K35" s="14">
        <v>0.231527093596059</v>
      </c>
      <c r="L35" s="4">
        <v>0.56399999999999995</v>
      </c>
      <c r="M35" s="378">
        <v>351.1182</v>
      </c>
      <c r="N35" s="4"/>
      <c r="O35" s="856" t="s">
        <v>568</v>
      </c>
      <c r="P35" s="857"/>
      <c r="R35" s="177"/>
      <c r="S35" s="177"/>
      <c r="T35" s="177"/>
      <c r="U35" s="177"/>
      <c r="V35" s="177"/>
      <c r="W35" s="177"/>
    </row>
    <row r="36" spans="1:23" ht="15.75" customHeight="1">
      <c r="A36" s="871"/>
      <c r="B36" s="877"/>
      <c r="C36" s="111">
        <v>4</v>
      </c>
      <c r="D36" s="589">
        <v>0</v>
      </c>
      <c r="E36" s="851"/>
      <c r="F36" s="852"/>
      <c r="G36" s="589">
        <v>0</v>
      </c>
      <c r="H36" s="851"/>
      <c r="I36" s="852"/>
      <c r="J36" s="4">
        <v>0</v>
      </c>
      <c r="K36" s="14">
        <v>0</v>
      </c>
      <c r="L36" s="4">
        <v>0</v>
      </c>
      <c r="M36" s="378">
        <v>0</v>
      </c>
      <c r="N36" s="4"/>
      <c r="O36" s="856"/>
      <c r="P36" s="857"/>
      <c r="R36" s="177"/>
      <c r="S36" s="177"/>
      <c r="T36" s="177"/>
      <c r="U36" s="177"/>
      <c r="V36" s="177"/>
      <c r="W36" s="177"/>
    </row>
    <row r="37" spans="1:23" ht="15.75" customHeight="1" thickBot="1">
      <c r="A37" s="871"/>
      <c r="B37" s="877"/>
      <c r="C37" s="112">
        <v>5</v>
      </c>
      <c r="D37" s="589">
        <v>0</v>
      </c>
      <c r="E37" s="851"/>
      <c r="F37" s="852"/>
      <c r="G37" s="589">
        <v>0</v>
      </c>
      <c r="H37" s="851"/>
      <c r="I37" s="852"/>
      <c r="J37" s="4">
        <v>0</v>
      </c>
      <c r="K37" s="14">
        <v>0</v>
      </c>
      <c r="L37" s="4">
        <v>0</v>
      </c>
      <c r="M37" s="378">
        <v>0</v>
      </c>
      <c r="N37" s="4"/>
      <c r="O37" s="856"/>
      <c r="P37" s="857"/>
      <c r="R37" s="177"/>
      <c r="S37" s="177"/>
      <c r="T37" s="177"/>
      <c r="U37" s="177"/>
      <c r="V37" s="177"/>
      <c r="W37" s="177"/>
    </row>
    <row r="38" spans="1:23" ht="15.75" customHeight="1" thickTop="1" thickBot="1">
      <c r="A38" s="871"/>
      <c r="B38" s="877"/>
      <c r="C38" s="878"/>
      <c r="D38" s="878"/>
      <c r="E38" s="878"/>
      <c r="F38" s="878"/>
      <c r="G38" s="878"/>
      <c r="H38" s="878"/>
      <c r="I38" s="879"/>
      <c r="J38" s="568" t="s">
        <v>605</v>
      </c>
      <c r="K38" s="239">
        <v>4.4081311331592796E-3</v>
      </c>
      <c r="L38" s="568" t="s">
        <v>606</v>
      </c>
      <c r="M38" s="379">
        <v>1115.3194000000001</v>
      </c>
      <c r="N38" s="880"/>
      <c r="O38" s="881"/>
      <c r="P38" s="882"/>
      <c r="R38" s="177"/>
      <c r="S38" s="177"/>
      <c r="T38" s="177"/>
      <c r="U38" s="177"/>
      <c r="V38" s="177"/>
      <c r="W38" s="17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4" customWidth="1"/>
    <col min="2" max="2" width="7.85546875" style="170" customWidth="1"/>
    <col min="3" max="3" width="4" style="155" customWidth="1"/>
    <col min="4" max="17" width="8.5703125" style="114" customWidth="1"/>
    <col min="18" max="16384" width="12.5703125" style="114"/>
  </cols>
  <sheetData>
    <row r="1" spans="1:17" ht="15.75" customHeight="1">
      <c r="A1" s="616" t="s">
        <v>185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</row>
    <row r="2" spans="1:17" s="115" customFormat="1" ht="15.75" customHeight="1">
      <c r="A2" s="616"/>
      <c r="B2" s="616"/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</row>
    <row r="3" spans="1:17" ht="15.75" customHeight="1">
      <c r="A3" s="749" t="s">
        <v>196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49"/>
      <c r="N3" s="749"/>
      <c r="O3" s="749"/>
      <c r="P3" s="749"/>
      <c r="Q3" s="749"/>
    </row>
    <row r="4" spans="1:17" s="115" customFormat="1" ht="15.75" customHeight="1">
      <c r="A4" s="897"/>
      <c r="B4" s="897"/>
      <c r="C4" s="897"/>
      <c r="D4" s="897"/>
      <c r="E4" s="897"/>
      <c r="F4" s="897"/>
      <c r="G4" s="897"/>
      <c r="H4" s="897"/>
      <c r="I4" s="897"/>
      <c r="J4" s="897"/>
      <c r="K4" s="897"/>
      <c r="L4" s="897"/>
      <c r="M4" s="897"/>
      <c r="N4" s="897"/>
      <c r="O4" s="897"/>
      <c r="P4" s="897"/>
      <c r="Q4" s="897"/>
    </row>
    <row r="5" spans="1:17" ht="15.75" customHeight="1">
      <c r="A5" s="635" t="s">
        <v>171</v>
      </c>
      <c r="B5" s="865">
        <v>1</v>
      </c>
      <c r="C5" s="865"/>
      <c r="D5" s="865">
        <v>2</v>
      </c>
      <c r="E5" s="865"/>
      <c r="F5" s="865">
        <v>3</v>
      </c>
      <c r="G5" s="865"/>
      <c r="H5" s="865">
        <v>4</v>
      </c>
      <c r="I5" s="865"/>
      <c r="J5" s="865">
        <v>5</v>
      </c>
      <c r="K5" s="865"/>
      <c r="L5" s="865">
        <v>6</v>
      </c>
      <c r="M5" s="865"/>
      <c r="N5" s="865">
        <v>7</v>
      </c>
      <c r="O5" s="865"/>
      <c r="P5" s="867">
        <v>8</v>
      </c>
      <c r="Q5" s="867"/>
    </row>
    <row r="6" spans="1:17" ht="15.75" customHeight="1">
      <c r="A6" s="635"/>
      <c r="B6" s="635" t="s">
        <v>304</v>
      </c>
      <c r="C6" s="635"/>
      <c r="D6" s="635" t="s">
        <v>197</v>
      </c>
      <c r="E6" s="635"/>
      <c r="F6" s="635" t="s">
        <v>163</v>
      </c>
      <c r="G6" s="635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68" t="s">
        <v>198</v>
      </c>
      <c r="Q6" s="868"/>
    </row>
    <row r="8" spans="1:17" s="148" customFormat="1" ht="15.75" customHeight="1">
      <c r="A8" s="157" t="s">
        <v>173</v>
      </c>
      <c r="B8" s="174" t="s">
        <v>18</v>
      </c>
      <c r="C8" s="895" t="s">
        <v>12</v>
      </c>
      <c r="D8" s="895"/>
      <c r="E8" s="895"/>
      <c r="F8" s="895" t="s">
        <v>53</v>
      </c>
      <c r="G8" s="895"/>
      <c r="H8" s="895"/>
      <c r="I8" s="174" t="s">
        <v>54</v>
      </c>
      <c r="J8" s="175" t="s">
        <v>19</v>
      </c>
      <c r="K8" s="174" t="s">
        <v>57</v>
      </c>
      <c r="L8" s="174" t="s">
        <v>2</v>
      </c>
      <c r="M8" s="898" t="s">
        <v>50</v>
      </c>
      <c r="N8" s="899"/>
      <c r="O8" s="899"/>
      <c r="P8" s="899"/>
      <c r="Q8" s="899"/>
    </row>
    <row r="9" spans="1:17" ht="15.75" customHeight="1">
      <c r="A9" s="895" t="s">
        <v>172</v>
      </c>
      <c r="B9" s="150">
        <v>1</v>
      </c>
      <c r="C9" s="891"/>
      <c r="D9" s="730"/>
      <c r="E9" s="730"/>
      <c r="F9" s="891"/>
      <c r="G9" s="730"/>
      <c r="H9" s="730"/>
      <c r="I9" s="158"/>
      <c r="J9" s="172"/>
      <c r="K9" s="172"/>
      <c r="L9" s="173">
        <f>K9-J9</f>
        <v>0</v>
      </c>
      <c r="M9" s="891"/>
      <c r="N9" s="891"/>
      <c r="O9" s="891"/>
      <c r="P9" s="891"/>
      <c r="Q9" s="891"/>
    </row>
    <row r="10" spans="1:17" ht="15.75" customHeight="1">
      <c r="A10" s="896"/>
      <c r="B10" s="150">
        <v>2</v>
      </c>
      <c r="C10" s="891"/>
      <c r="D10" s="730"/>
      <c r="E10" s="730"/>
      <c r="F10" s="891"/>
      <c r="G10" s="730"/>
      <c r="H10" s="730"/>
      <c r="I10" s="158"/>
      <c r="J10" s="172"/>
      <c r="K10" s="172"/>
      <c r="L10" s="173">
        <f>K10-J10</f>
        <v>0</v>
      </c>
      <c r="M10" s="891"/>
      <c r="N10" s="891"/>
      <c r="O10" s="891"/>
      <c r="P10" s="891"/>
      <c r="Q10" s="891"/>
    </row>
    <row r="11" spans="1:17" ht="15.75" customHeight="1">
      <c r="A11" s="896"/>
      <c r="B11" s="150">
        <v>3</v>
      </c>
      <c r="C11" s="891"/>
      <c r="D11" s="730"/>
      <c r="E11" s="730"/>
      <c r="F11" s="891"/>
      <c r="G11" s="730"/>
      <c r="H11" s="730"/>
      <c r="I11" s="158"/>
      <c r="J11" s="172"/>
      <c r="K11" s="172"/>
      <c r="L11" s="173">
        <f>K11-J11</f>
        <v>0</v>
      </c>
      <c r="M11" s="891"/>
      <c r="N11" s="891"/>
      <c r="O11" s="891"/>
      <c r="P11" s="891"/>
      <c r="Q11" s="891"/>
    </row>
    <row r="12" spans="1:17" ht="15.75" customHeight="1">
      <c r="A12" s="896"/>
      <c r="B12" s="150">
        <v>4</v>
      </c>
      <c r="C12" s="891"/>
      <c r="D12" s="730"/>
      <c r="E12" s="730"/>
      <c r="F12" s="891"/>
      <c r="G12" s="730"/>
      <c r="H12" s="730"/>
      <c r="I12" s="158"/>
      <c r="J12" s="172"/>
      <c r="K12" s="172"/>
      <c r="L12" s="173">
        <f>K12-J12</f>
        <v>0</v>
      </c>
      <c r="M12" s="891"/>
      <c r="N12" s="891"/>
      <c r="O12" s="891"/>
      <c r="P12" s="891"/>
      <c r="Q12" s="891"/>
    </row>
    <row r="13" spans="1:17" ht="15.75" customHeight="1">
      <c r="A13" s="896"/>
      <c r="B13" s="150">
        <v>5</v>
      </c>
      <c r="C13" s="891"/>
      <c r="D13" s="730"/>
      <c r="E13" s="730"/>
      <c r="F13" s="891"/>
      <c r="G13" s="730"/>
      <c r="H13" s="730"/>
      <c r="I13" s="158"/>
      <c r="J13" s="172"/>
      <c r="K13" s="172"/>
      <c r="L13" s="173">
        <f>K13-J13</f>
        <v>0</v>
      </c>
      <c r="M13" s="891"/>
      <c r="N13" s="891"/>
      <c r="O13" s="891"/>
      <c r="P13" s="891"/>
      <c r="Q13" s="891"/>
    </row>
    <row r="14" spans="1:17" ht="15.75" customHeight="1">
      <c r="A14" s="893"/>
      <c r="B14" s="893"/>
      <c r="C14" s="893"/>
      <c r="D14" s="893"/>
      <c r="E14" s="893"/>
      <c r="F14" s="893"/>
      <c r="G14" s="893"/>
      <c r="H14" s="893"/>
      <c r="I14" s="893"/>
      <c r="J14" s="893"/>
      <c r="K14" s="893"/>
      <c r="L14" s="893"/>
      <c r="M14" s="893"/>
      <c r="N14" s="893"/>
      <c r="O14" s="894"/>
    </row>
    <row r="15" spans="1:17" s="148" customFormat="1" ht="15.75" customHeight="1">
      <c r="A15" s="157" t="s">
        <v>173</v>
      </c>
      <c r="B15" s="157" t="s">
        <v>18</v>
      </c>
      <c r="C15" s="892" t="s">
        <v>12</v>
      </c>
      <c r="D15" s="892"/>
      <c r="E15" s="892"/>
      <c r="F15" s="892" t="s">
        <v>53</v>
      </c>
      <c r="G15" s="892"/>
      <c r="H15" s="892"/>
      <c r="I15" s="157" t="s">
        <v>54</v>
      </c>
      <c r="J15" s="171" t="s">
        <v>19</v>
      </c>
      <c r="K15" s="157" t="s">
        <v>57</v>
      </c>
      <c r="L15" s="157" t="s">
        <v>2</v>
      </c>
      <c r="M15" s="892" t="s">
        <v>50</v>
      </c>
      <c r="N15" s="892"/>
      <c r="O15" s="892"/>
      <c r="P15" s="892"/>
      <c r="Q15" s="892"/>
    </row>
    <row r="16" spans="1:17" ht="15.75" customHeight="1">
      <c r="A16" s="892" t="s">
        <v>174</v>
      </c>
      <c r="B16" s="150">
        <v>1</v>
      </c>
      <c r="C16" s="891"/>
      <c r="D16" s="730"/>
      <c r="E16" s="730"/>
      <c r="F16" s="891"/>
      <c r="G16" s="730"/>
      <c r="H16" s="730"/>
      <c r="I16" s="158"/>
      <c r="J16" s="172"/>
      <c r="K16" s="172"/>
      <c r="L16" s="173">
        <f>K16-J16</f>
        <v>0</v>
      </c>
      <c r="M16" s="891"/>
      <c r="N16" s="891"/>
      <c r="O16" s="891"/>
      <c r="P16" s="891"/>
      <c r="Q16" s="891"/>
    </row>
    <row r="17" spans="1:17" ht="15.75" customHeight="1">
      <c r="A17" s="892"/>
      <c r="B17" s="150">
        <v>2</v>
      </c>
      <c r="C17" s="891"/>
      <c r="D17" s="730"/>
      <c r="E17" s="730"/>
      <c r="F17" s="891"/>
      <c r="G17" s="730"/>
      <c r="H17" s="730"/>
      <c r="I17" s="158"/>
      <c r="J17" s="172"/>
      <c r="K17" s="172"/>
      <c r="L17" s="173">
        <f>K17-J17</f>
        <v>0</v>
      </c>
      <c r="M17" s="891"/>
      <c r="N17" s="891"/>
      <c r="O17" s="891"/>
      <c r="P17" s="891"/>
      <c r="Q17" s="891"/>
    </row>
    <row r="18" spans="1:17" ht="15.75" customHeight="1">
      <c r="A18" s="892"/>
      <c r="B18" s="150">
        <v>3</v>
      </c>
      <c r="C18" s="891"/>
      <c r="D18" s="730"/>
      <c r="E18" s="730"/>
      <c r="F18" s="891"/>
      <c r="G18" s="730"/>
      <c r="H18" s="730"/>
      <c r="I18" s="158"/>
      <c r="J18" s="172"/>
      <c r="K18" s="172"/>
      <c r="L18" s="173">
        <f>K18-J18</f>
        <v>0</v>
      </c>
      <c r="M18" s="891"/>
      <c r="N18" s="891"/>
      <c r="O18" s="891"/>
      <c r="P18" s="891"/>
      <c r="Q18" s="891"/>
    </row>
    <row r="19" spans="1:17" ht="15.75" customHeight="1">
      <c r="A19" s="892"/>
      <c r="B19" s="150">
        <v>4</v>
      </c>
      <c r="C19" s="891"/>
      <c r="D19" s="730"/>
      <c r="E19" s="730"/>
      <c r="F19" s="891"/>
      <c r="G19" s="730"/>
      <c r="H19" s="730"/>
      <c r="I19" s="158"/>
      <c r="J19" s="172"/>
      <c r="K19" s="172"/>
      <c r="L19" s="173">
        <f>K19-J19</f>
        <v>0</v>
      </c>
      <c r="M19" s="891"/>
      <c r="N19" s="891"/>
      <c r="O19" s="891"/>
      <c r="P19" s="891"/>
      <c r="Q19" s="891"/>
    </row>
    <row r="20" spans="1:17" ht="15.75" customHeight="1">
      <c r="A20" s="892"/>
      <c r="B20" s="150">
        <v>5</v>
      </c>
      <c r="C20" s="891"/>
      <c r="D20" s="730"/>
      <c r="E20" s="730"/>
      <c r="F20" s="891"/>
      <c r="G20" s="730"/>
      <c r="H20" s="730"/>
      <c r="I20" s="158"/>
      <c r="J20" s="172"/>
      <c r="K20" s="172"/>
      <c r="L20" s="173">
        <f>K20-J20</f>
        <v>0</v>
      </c>
      <c r="M20" s="891"/>
      <c r="N20" s="891"/>
      <c r="O20" s="891"/>
      <c r="P20" s="891"/>
      <c r="Q20" s="89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5" sqref="B5:C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7.28515625" style="318" bestFit="1" customWidth="1"/>
    <col min="9" max="9" width="16.85546875" style="318" customWidth="1"/>
    <col min="10" max="10" width="14" style="318" customWidth="1"/>
    <col min="11" max="11" width="16.85546875" style="318" customWidth="1"/>
    <col min="12" max="12" width="14" style="318" customWidth="1"/>
    <col min="13" max="13" width="13.85546875" style="318" bestFit="1" customWidth="1"/>
    <col min="14" max="14" width="10.85546875" style="318" bestFit="1" customWidth="1"/>
    <col min="15" max="15" width="19.140625" style="318" bestFit="1" customWidth="1"/>
    <col min="16" max="16" width="15.28515625" style="318" bestFit="1" customWidth="1"/>
    <col min="17" max="17" width="12.5703125" style="318" bestFit="1" customWidth="1"/>
    <col min="18" max="18" width="12.85546875" style="318" bestFit="1" customWidth="1"/>
    <col min="19" max="19" width="13.42578125" style="318" bestFit="1" customWidth="1"/>
    <col min="20" max="20" width="12.85546875" style="318" bestFit="1" customWidth="1"/>
    <col min="21" max="21" width="10.85546875" style="318" bestFit="1" customWidth="1"/>
    <col min="22" max="22" width="12.5703125" style="318" bestFit="1" customWidth="1"/>
    <col min="23" max="24" width="10.85546875" style="318" customWidth="1"/>
    <col min="25" max="25" width="12.42578125" style="318" bestFit="1" customWidth="1"/>
    <col min="26" max="26" width="25.28515625" style="318" bestFit="1" customWidth="1"/>
    <col min="27" max="27" width="88.28515625" style="318" customWidth="1"/>
    <col min="28" max="28" width="117.7109375" style="318" bestFit="1" customWidth="1"/>
    <col min="29" max="29" width="11.5703125" style="318" bestFit="1" customWidth="1"/>
    <col min="30" max="30" width="69.5703125" style="318" bestFit="1" customWidth="1"/>
    <col min="31" max="31" width="11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3" ht="21">
      <c r="B1" s="443" t="s">
        <v>635</v>
      </c>
    </row>
    <row r="2" spans="2:43" ht="41.1" customHeight="1">
      <c r="B2" s="932" t="s">
        <v>612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C2" s="933"/>
      <c r="AD2" s="933"/>
      <c r="AF2" s="319"/>
      <c r="AG2" s="319"/>
    </row>
    <row r="3" spans="2:43" ht="17.100000000000001" customHeight="1">
      <c r="B3" s="926" t="s">
        <v>613</v>
      </c>
      <c r="C3" s="927"/>
      <c r="D3" s="930" t="s">
        <v>614</v>
      </c>
      <c r="E3" s="931" t="s">
        <v>615</v>
      </c>
      <c r="F3" s="922" t="s">
        <v>616</v>
      </c>
      <c r="G3" s="923" t="s">
        <v>617</v>
      </c>
      <c r="H3" s="925" t="s">
        <v>618</v>
      </c>
      <c r="I3" s="917" t="s">
        <v>619</v>
      </c>
      <c r="J3" s="918"/>
      <c r="K3" s="917" t="s">
        <v>620</v>
      </c>
      <c r="L3" s="918"/>
      <c r="M3" s="917" t="s">
        <v>621</v>
      </c>
      <c r="N3" s="918"/>
      <c r="O3" s="917" t="s">
        <v>622</v>
      </c>
      <c r="P3" s="918"/>
      <c r="Q3" s="917" t="s">
        <v>623</v>
      </c>
      <c r="R3" s="918"/>
      <c r="S3" s="919" t="s">
        <v>624</v>
      </c>
      <c r="T3" s="920"/>
      <c r="U3" s="921"/>
      <c r="V3" s="934" t="s">
        <v>625</v>
      </c>
      <c r="W3" s="935"/>
      <c r="X3" s="936"/>
      <c r="Y3" s="915" t="s">
        <v>165</v>
      </c>
      <c r="Z3" s="915" t="s">
        <v>626</v>
      </c>
      <c r="AA3" s="915" t="s">
        <v>627</v>
      </c>
      <c r="AB3" s="915" t="s">
        <v>628</v>
      </c>
      <c r="AC3" s="915" t="s">
        <v>629</v>
      </c>
      <c r="AD3" s="923" t="s">
        <v>166</v>
      </c>
      <c r="AF3" s="900" t="s">
        <v>630</v>
      </c>
      <c r="AG3" s="901"/>
      <c r="AH3" s="901"/>
      <c r="AI3" s="901"/>
      <c r="AJ3" s="901"/>
      <c r="AK3" s="901"/>
      <c r="AL3" s="901"/>
      <c r="AM3" s="902"/>
    </row>
    <row r="4" spans="2:43">
      <c r="B4" s="928"/>
      <c r="C4" s="929"/>
      <c r="D4" s="930"/>
      <c r="E4" s="930"/>
      <c r="F4" s="922"/>
      <c r="G4" s="924"/>
      <c r="H4" s="924"/>
      <c r="I4" s="521" t="s">
        <v>631</v>
      </c>
      <c r="J4" s="520" t="s">
        <v>574</v>
      </c>
      <c r="K4" s="521" t="s">
        <v>631</v>
      </c>
      <c r="L4" s="520" t="s">
        <v>574</v>
      </c>
      <c r="M4" s="521" t="s">
        <v>631</v>
      </c>
      <c r="N4" s="520" t="s">
        <v>574</v>
      </c>
      <c r="O4" s="521" t="s">
        <v>631</v>
      </c>
      <c r="P4" s="520" t="s">
        <v>574</v>
      </c>
      <c r="Q4" s="521" t="s">
        <v>631</v>
      </c>
      <c r="R4" s="520" t="s">
        <v>574</v>
      </c>
      <c r="S4" s="521" t="s">
        <v>631</v>
      </c>
      <c r="T4" s="520" t="s">
        <v>574</v>
      </c>
      <c r="U4" s="520" t="s">
        <v>575</v>
      </c>
      <c r="V4" s="521" t="s">
        <v>631</v>
      </c>
      <c r="W4" s="520" t="s">
        <v>574</v>
      </c>
      <c r="X4" s="520" t="s">
        <v>575</v>
      </c>
      <c r="Y4" s="916"/>
      <c r="Z4" s="916"/>
      <c r="AA4" s="916"/>
      <c r="AB4" s="916"/>
      <c r="AC4" s="916"/>
      <c r="AD4" s="924"/>
      <c r="AF4" s="903"/>
      <c r="AG4" s="904"/>
      <c r="AH4" s="904"/>
      <c r="AI4" s="904"/>
      <c r="AJ4" s="904"/>
      <c r="AK4" s="904"/>
      <c r="AL4" s="904"/>
      <c r="AM4" s="905"/>
    </row>
    <row r="5" spans="2:43" s="377" customFormat="1" ht="27" customHeight="1">
      <c r="B5" s="909" t="s">
        <v>762</v>
      </c>
      <c r="C5" s="910"/>
      <c r="D5" s="569">
        <v>1</v>
      </c>
      <c r="E5" s="570" t="s">
        <v>560</v>
      </c>
      <c r="F5" s="571">
        <v>1252.44</v>
      </c>
      <c r="G5" s="572">
        <v>447.3</v>
      </c>
      <c r="H5" s="573">
        <v>663.42600000000004</v>
      </c>
      <c r="I5" s="573">
        <v>665.19648217088195</v>
      </c>
      <c r="J5" s="574">
        <v>1.00286184798919</v>
      </c>
      <c r="K5" s="575">
        <v>668.8</v>
      </c>
      <c r="L5" s="574">
        <v>1.0081003759273801</v>
      </c>
      <c r="M5" s="575">
        <v>0</v>
      </c>
      <c r="N5" s="574">
        <v>0</v>
      </c>
      <c r="O5" s="576">
        <v>668.8</v>
      </c>
      <c r="P5" s="574">
        <v>1.0081003759273801</v>
      </c>
      <c r="Q5" s="573">
        <v>2.8</v>
      </c>
      <c r="R5" s="574">
        <v>4.2205159279256497E-3</v>
      </c>
      <c r="S5" s="576">
        <v>5.3740000000000103</v>
      </c>
      <c r="T5" s="574">
        <v>8.1003759273830297E-3</v>
      </c>
      <c r="U5" s="577">
        <v>2403.7901999999999</v>
      </c>
      <c r="V5" s="578">
        <v>2.5740000000000101</v>
      </c>
      <c r="W5" s="579">
        <v>3.8798599994573899E-3</v>
      </c>
      <c r="X5" s="580">
        <v>1151.3502000000101</v>
      </c>
      <c r="Y5" s="442" t="s">
        <v>326</v>
      </c>
      <c r="Z5" s="442" t="s">
        <v>193</v>
      </c>
      <c r="AA5" s="581" t="s">
        <v>561</v>
      </c>
      <c r="AB5" s="582" t="s">
        <v>505</v>
      </c>
      <c r="AC5" s="442">
        <v>1</v>
      </c>
      <c r="AD5" s="583" t="s">
        <v>559</v>
      </c>
      <c r="AF5" s="906"/>
      <c r="AG5" s="907"/>
      <c r="AH5" s="907"/>
      <c r="AI5" s="907"/>
      <c r="AJ5" s="907"/>
      <c r="AK5" s="907"/>
      <c r="AL5" s="907"/>
      <c r="AM5" s="908"/>
      <c r="AP5" s="380"/>
      <c r="AQ5" s="380"/>
    </row>
    <row r="6" spans="2:43" s="377" customFormat="1" ht="27" customHeight="1">
      <c r="B6" s="911"/>
      <c r="C6" s="912"/>
      <c r="D6" s="569">
        <v>2</v>
      </c>
      <c r="E6" s="570" t="s">
        <v>651</v>
      </c>
      <c r="F6" s="571">
        <v>1233.9870000000001</v>
      </c>
      <c r="G6" s="572">
        <v>111.17</v>
      </c>
      <c r="H6" s="573">
        <v>2140.1545700000001</v>
      </c>
      <c r="I6" s="573">
        <v>2144.5760460772399</v>
      </c>
      <c r="J6" s="574">
        <v>1.0021017791265201</v>
      </c>
      <c r="K6" s="575">
        <v>2155</v>
      </c>
      <c r="L6" s="574">
        <v>1.0069366157977999</v>
      </c>
      <c r="M6" s="575">
        <v>0</v>
      </c>
      <c r="N6" s="574">
        <v>0</v>
      </c>
      <c r="O6" s="576">
        <v>2155</v>
      </c>
      <c r="P6" s="574">
        <v>1.0069366157977999</v>
      </c>
      <c r="Q6" s="573">
        <v>11.1</v>
      </c>
      <c r="R6" s="574">
        <v>5.18654126930654E-3</v>
      </c>
      <c r="S6" s="576">
        <v>14.84543</v>
      </c>
      <c r="T6" s="574">
        <v>6.9366157978019202E-3</v>
      </c>
      <c r="U6" s="577">
        <v>1650.3664530999999</v>
      </c>
      <c r="V6" s="578">
        <v>3.7454299999999798</v>
      </c>
      <c r="W6" s="579">
        <v>1.75007452849538E-3</v>
      </c>
      <c r="X6" s="580">
        <v>416.37945309999799</v>
      </c>
      <c r="Y6" s="442" t="s">
        <v>325</v>
      </c>
      <c r="Z6" s="442" t="s">
        <v>485</v>
      </c>
      <c r="AA6" s="442" t="s">
        <v>589</v>
      </c>
      <c r="AB6" s="442" t="s">
        <v>506</v>
      </c>
      <c r="AC6" s="442">
        <v>1</v>
      </c>
      <c r="AD6" s="583" t="s">
        <v>328</v>
      </c>
      <c r="AF6" s="217" t="s">
        <v>633</v>
      </c>
      <c r="AG6" s="217" t="s">
        <v>576</v>
      </c>
      <c r="AH6" s="441" t="s">
        <v>609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P6" s="382"/>
      <c r="AQ6" s="203"/>
    </row>
    <row r="7" spans="2:43" s="377" customFormat="1" ht="27" customHeight="1">
      <c r="B7" s="911"/>
      <c r="C7" s="912"/>
      <c r="D7" s="569">
        <v>3</v>
      </c>
      <c r="E7" s="570" t="s">
        <v>755</v>
      </c>
      <c r="F7" s="571">
        <v>1213.8389999999999</v>
      </c>
      <c r="G7" s="572">
        <v>367.83</v>
      </c>
      <c r="H7" s="573">
        <v>156.352</v>
      </c>
      <c r="I7" s="573">
        <v>157.65247466342299</v>
      </c>
      <c r="J7" s="574">
        <v>1.00834942352599</v>
      </c>
      <c r="K7" s="575">
        <v>160.9</v>
      </c>
      <c r="L7" s="574">
        <v>1.02908821121572</v>
      </c>
      <c r="M7" s="575">
        <v>0</v>
      </c>
      <c r="N7" s="574">
        <v>0</v>
      </c>
      <c r="O7" s="576">
        <v>160.9</v>
      </c>
      <c r="P7" s="574">
        <v>1.02908821121572</v>
      </c>
      <c r="Q7" s="573">
        <v>3.3</v>
      </c>
      <c r="R7" s="574">
        <v>2.11062218583709E-2</v>
      </c>
      <c r="S7" s="576">
        <v>4.548</v>
      </c>
      <c r="T7" s="574">
        <v>2.9088211215718401E-2</v>
      </c>
      <c r="U7" s="577">
        <v>1672.89084</v>
      </c>
      <c r="V7" s="578">
        <v>1.248</v>
      </c>
      <c r="W7" s="579">
        <v>7.9819893573475405E-3</v>
      </c>
      <c r="X7" s="580">
        <v>459.05184000000099</v>
      </c>
      <c r="Y7" s="442" t="s">
        <v>326</v>
      </c>
      <c r="Z7" s="442" t="s">
        <v>193</v>
      </c>
      <c r="AA7" s="442" t="s">
        <v>561</v>
      </c>
      <c r="AB7" s="442" t="s">
        <v>505</v>
      </c>
      <c r="AC7" s="442">
        <v>1</v>
      </c>
      <c r="AD7" s="583" t="s">
        <v>756</v>
      </c>
      <c r="AF7" s="381">
        <v>20</v>
      </c>
      <c r="AG7" s="321">
        <v>0</v>
      </c>
      <c r="AH7" s="321">
        <v>0</v>
      </c>
      <c r="AI7" s="321">
        <v>3</v>
      </c>
      <c r="AJ7" s="321">
        <v>7</v>
      </c>
      <c r="AK7" s="321">
        <v>7</v>
      </c>
      <c r="AL7" s="321">
        <v>2</v>
      </c>
      <c r="AM7" s="321">
        <v>1</v>
      </c>
      <c r="AP7" s="203"/>
      <c r="AQ7" s="203"/>
    </row>
    <row r="8" spans="2:43" s="377" customFormat="1" ht="27" customHeight="1">
      <c r="B8" s="911"/>
      <c r="C8" s="912"/>
      <c r="D8" s="569">
        <v>4</v>
      </c>
      <c r="E8" s="570" t="s">
        <v>757</v>
      </c>
      <c r="F8" s="571">
        <v>1202.6400000000001</v>
      </c>
      <c r="G8" s="572">
        <v>200.44</v>
      </c>
      <c r="H8" s="573">
        <v>525.015913242328</v>
      </c>
      <c r="I8" s="573">
        <v>526.84116190061502</v>
      </c>
      <c r="J8" s="574">
        <v>1.0034482250905301</v>
      </c>
      <c r="K8" s="575">
        <v>531.70000000000005</v>
      </c>
      <c r="L8" s="574">
        <v>1.0127312079292901</v>
      </c>
      <c r="M8" s="575">
        <v>1.1000000000000001</v>
      </c>
      <c r="N8" s="574">
        <v>2.0951745885315299E-3</v>
      </c>
      <c r="O8" s="576">
        <v>532.79999999999995</v>
      </c>
      <c r="P8" s="574">
        <v>1.0148263825178201</v>
      </c>
      <c r="Q8" s="573">
        <v>6</v>
      </c>
      <c r="R8" s="574">
        <v>1.14282250283538E-2</v>
      </c>
      <c r="S8" s="576">
        <v>7.7840867576714796</v>
      </c>
      <c r="T8" s="574">
        <v>1.48263825178164E-2</v>
      </c>
      <c r="U8" s="577">
        <v>1560.24234970767</v>
      </c>
      <c r="V8" s="578">
        <v>1.7840867576714801</v>
      </c>
      <c r="W8" s="579">
        <v>3.3981574894626299E-3</v>
      </c>
      <c r="X8" s="580">
        <v>357.60234970767198</v>
      </c>
      <c r="Y8" s="442" t="s">
        <v>326</v>
      </c>
      <c r="Z8" s="442" t="s">
        <v>193</v>
      </c>
      <c r="AA8" s="442" t="s">
        <v>597</v>
      </c>
      <c r="AB8" s="442" t="s">
        <v>505</v>
      </c>
      <c r="AC8" s="442">
        <v>1</v>
      </c>
      <c r="AD8" s="583" t="s">
        <v>717</v>
      </c>
      <c r="AF8" s="383" t="s">
        <v>11</v>
      </c>
      <c r="AG8" s="384">
        <v>0</v>
      </c>
      <c r="AH8" s="384">
        <v>0</v>
      </c>
      <c r="AI8" s="384">
        <v>2551.335</v>
      </c>
      <c r="AJ8" s="384">
        <v>6319.7969999999996</v>
      </c>
      <c r="AK8" s="384">
        <v>6352.2249999999995</v>
      </c>
      <c r="AL8" s="384">
        <v>2051.5880000000002</v>
      </c>
      <c r="AM8" s="384">
        <v>1028.72</v>
      </c>
      <c r="AP8" s="203"/>
      <c r="AQ8" s="203"/>
    </row>
    <row r="9" spans="2:43" s="377" customFormat="1" ht="27" customHeight="1">
      <c r="B9" s="911"/>
      <c r="C9" s="912"/>
      <c r="D9" s="569">
        <v>5</v>
      </c>
      <c r="E9" s="570" t="s">
        <v>677</v>
      </c>
      <c r="F9" s="571">
        <v>1196.6790000000001</v>
      </c>
      <c r="G9" s="572">
        <v>362.63</v>
      </c>
      <c r="H9" s="573">
        <v>464.44799999999998</v>
      </c>
      <c r="I9" s="573">
        <v>466.22968114150598</v>
      </c>
      <c r="J9" s="574">
        <v>1.0039168696534999</v>
      </c>
      <c r="K9" s="575">
        <v>469.7</v>
      </c>
      <c r="L9" s="574">
        <v>1.01130804740251</v>
      </c>
      <c r="M9" s="575">
        <v>0</v>
      </c>
      <c r="N9" s="574">
        <v>0</v>
      </c>
      <c r="O9" s="576">
        <v>469.7</v>
      </c>
      <c r="P9" s="574">
        <v>1.01130804740251</v>
      </c>
      <c r="Q9" s="573">
        <v>3.3</v>
      </c>
      <c r="R9" s="574">
        <v>7.1052087639520397E-3</v>
      </c>
      <c r="S9" s="576">
        <v>5.2519999999999802</v>
      </c>
      <c r="T9" s="574">
        <v>1.13080474025079E-2</v>
      </c>
      <c r="U9" s="577">
        <v>1904.53275999999</v>
      </c>
      <c r="V9" s="578">
        <v>1.95199999999998</v>
      </c>
      <c r="W9" s="579">
        <v>4.2028386385558397E-3</v>
      </c>
      <c r="X9" s="580">
        <v>707.85375999999303</v>
      </c>
      <c r="Y9" s="442" t="s">
        <v>325</v>
      </c>
      <c r="Z9" s="442" t="s">
        <v>485</v>
      </c>
      <c r="AA9" s="442" t="s">
        <v>593</v>
      </c>
      <c r="AB9" s="442" t="s">
        <v>585</v>
      </c>
      <c r="AC9" s="442">
        <v>1</v>
      </c>
      <c r="AD9" s="583" t="s">
        <v>678</v>
      </c>
      <c r="AF9" s="320" t="s">
        <v>577</v>
      </c>
      <c r="AG9" s="385">
        <v>0</v>
      </c>
      <c r="AH9" s="385">
        <v>0</v>
      </c>
      <c r="AI9" s="385">
        <v>0.15</v>
      </c>
      <c r="AJ9" s="385">
        <v>0.35</v>
      </c>
      <c r="AK9" s="385">
        <v>0.35</v>
      </c>
      <c r="AL9" s="385">
        <v>0.1</v>
      </c>
      <c r="AM9" s="385">
        <v>0.05</v>
      </c>
      <c r="AP9" s="203"/>
      <c r="AQ9" s="203"/>
    </row>
    <row r="10" spans="2:43" s="377" customFormat="1" ht="27" customHeight="1">
      <c r="B10" s="911"/>
      <c r="C10" s="912"/>
      <c r="D10" s="569">
        <v>6</v>
      </c>
      <c r="E10" s="570" t="s">
        <v>599</v>
      </c>
      <c r="F10" s="571">
        <v>1193.08</v>
      </c>
      <c r="G10" s="572">
        <v>298.27</v>
      </c>
      <c r="H10" s="573">
        <v>177.77500000000001</v>
      </c>
      <c r="I10" s="573">
        <v>179.21389978124299</v>
      </c>
      <c r="J10" s="574">
        <v>1.0080915404722901</v>
      </c>
      <c r="K10" s="575">
        <v>183.1</v>
      </c>
      <c r="L10" s="574">
        <v>1.02995359302489</v>
      </c>
      <c r="M10" s="575">
        <v>0</v>
      </c>
      <c r="N10" s="574">
        <v>0</v>
      </c>
      <c r="O10" s="576">
        <v>183.1</v>
      </c>
      <c r="P10" s="574">
        <v>1.02995359302489</v>
      </c>
      <c r="Q10" s="573">
        <v>4</v>
      </c>
      <c r="R10" s="574">
        <v>2.2500351567993199E-2</v>
      </c>
      <c r="S10" s="576">
        <v>5.3250000000000099</v>
      </c>
      <c r="T10" s="574">
        <v>2.99535930248911E-2</v>
      </c>
      <c r="U10" s="577">
        <v>1588.28775</v>
      </c>
      <c r="V10" s="578">
        <v>1.3250000000000099</v>
      </c>
      <c r="W10" s="579">
        <v>7.4532414568978097E-3</v>
      </c>
      <c r="X10" s="580">
        <v>395.20775000000202</v>
      </c>
      <c r="Y10" s="442" t="s">
        <v>326</v>
      </c>
      <c r="Z10" s="442" t="s">
        <v>193</v>
      </c>
      <c r="AA10" s="442" t="s">
        <v>597</v>
      </c>
      <c r="AB10" s="442" t="s">
        <v>505</v>
      </c>
      <c r="AC10" s="442">
        <v>1</v>
      </c>
      <c r="AD10" s="583" t="s">
        <v>596</v>
      </c>
      <c r="AP10" s="203"/>
      <c r="AQ10" s="203"/>
    </row>
    <row r="11" spans="2:43" s="377" customFormat="1" ht="27" customHeight="1">
      <c r="B11" s="911"/>
      <c r="C11" s="912"/>
      <c r="D11" s="569">
        <v>7</v>
      </c>
      <c r="E11" s="570" t="s">
        <v>329</v>
      </c>
      <c r="F11" s="571">
        <v>1170.384</v>
      </c>
      <c r="G11" s="572">
        <v>487.66</v>
      </c>
      <c r="H11" s="573">
        <v>288.267</v>
      </c>
      <c r="I11" s="573">
        <v>290.20558339487002</v>
      </c>
      <c r="J11" s="574">
        <v>1.0067883414642</v>
      </c>
      <c r="K11" s="575">
        <v>292.89999999999998</v>
      </c>
      <c r="L11" s="574">
        <v>1.01607190555978</v>
      </c>
      <c r="M11" s="575">
        <v>0</v>
      </c>
      <c r="N11" s="574">
        <v>0</v>
      </c>
      <c r="O11" s="576">
        <v>292.89999999999998</v>
      </c>
      <c r="P11" s="574">
        <v>1.01607190555978</v>
      </c>
      <c r="Q11" s="573">
        <v>2.4</v>
      </c>
      <c r="R11" s="574">
        <v>8.3256147946174901E-3</v>
      </c>
      <c r="S11" s="576">
        <v>4.633</v>
      </c>
      <c r="T11" s="574">
        <v>1.6071905559776199E-2</v>
      </c>
      <c r="U11" s="577">
        <v>2259.3287799999998</v>
      </c>
      <c r="V11" s="578">
        <v>2.2330000000000001</v>
      </c>
      <c r="W11" s="579">
        <v>7.7462907651586997E-3</v>
      </c>
      <c r="X11" s="580">
        <v>1088.94478</v>
      </c>
      <c r="Y11" s="442" t="s">
        <v>326</v>
      </c>
      <c r="Z11" s="442" t="s">
        <v>194</v>
      </c>
      <c r="AA11" s="582" t="s">
        <v>561</v>
      </c>
      <c r="AB11" s="582" t="s">
        <v>505</v>
      </c>
      <c r="AC11" s="442">
        <v>1</v>
      </c>
      <c r="AD11" s="583" t="s">
        <v>594</v>
      </c>
      <c r="AP11" s="203"/>
      <c r="AQ11" s="203"/>
    </row>
    <row r="12" spans="2:43" s="377" customFormat="1" ht="27" customHeight="1">
      <c r="B12" s="911"/>
      <c r="C12" s="912"/>
      <c r="D12" s="569">
        <v>8</v>
      </c>
      <c r="E12" s="570" t="s">
        <v>701</v>
      </c>
      <c r="F12" s="571">
        <v>1163.4000000000001</v>
      </c>
      <c r="G12" s="572">
        <v>290.85000000000002</v>
      </c>
      <c r="H12" s="573">
        <v>294.12</v>
      </c>
      <c r="I12" s="573">
        <v>294.12</v>
      </c>
      <c r="J12" s="574">
        <v>1</v>
      </c>
      <c r="K12" s="575">
        <v>299.7</v>
      </c>
      <c r="L12" s="574">
        <v>1.0189718482252099</v>
      </c>
      <c r="M12" s="575">
        <v>0</v>
      </c>
      <c r="N12" s="574">
        <v>0</v>
      </c>
      <c r="O12" s="576">
        <v>299.7</v>
      </c>
      <c r="P12" s="574">
        <v>1.0189718482252099</v>
      </c>
      <c r="Q12" s="573">
        <v>4</v>
      </c>
      <c r="R12" s="574">
        <v>1.35998912008704E-2</v>
      </c>
      <c r="S12" s="576">
        <v>5.58</v>
      </c>
      <c r="T12" s="574">
        <v>1.8971848225214201E-2</v>
      </c>
      <c r="U12" s="577">
        <v>1622.943</v>
      </c>
      <c r="V12" s="578">
        <v>1.58</v>
      </c>
      <c r="W12" s="579">
        <v>5.3719570243437997E-3</v>
      </c>
      <c r="X12" s="580">
        <v>459.54300000000001</v>
      </c>
      <c r="Y12" s="442" t="s">
        <v>326</v>
      </c>
      <c r="Z12" s="442" t="s">
        <v>193</v>
      </c>
      <c r="AA12" s="442" t="s">
        <v>597</v>
      </c>
      <c r="AB12" s="442" t="s">
        <v>505</v>
      </c>
      <c r="AC12" s="442">
        <v>1</v>
      </c>
      <c r="AD12" s="583" t="s">
        <v>336</v>
      </c>
      <c r="AP12" s="203"/>
      <c r="AQ12" s="203"/>
    </row>
    <row r="13" spans="2:43" s="377" customFormat="1" ht="27" customHeight="1">
      <c r="B13" s="911"/>
      <c r="C13" s="912"/>
      <c r="D13" s="569">
        <v>9</v>
      </c>
      <c r="E13" s="570" t="s">
        <v>667</v>
      </c>
      <c r="F13" s="571">
        <v>1159.665</v>
      </c>
      <c r="G13" s="572">
        <v>297.35000000000002</v>
      </c>
      <c r="H13" s="573">
        <v>281.34800000000001</v>
      </c>
      <c r="I13" s="573">
        <v>283.047585059543</v>
      </c>
      <c r="J13" s="574">
        <v>1.00610058422552</v>
      </c>
      <c r="K13" s="575">
        <v>287</v>
      </c>
      <c r="L13" s="574">
        <v>1.02008900009952</v>
      </c>
      <c r="M13" s="575">
        <v>0</v>
      </c>
      <c r="N13" s="574">
        <v>0</v>
      </c>
      <c r="O13" s="576">
        <v>287</v>
      </c>
      <c r="P13" s="574">
        <v>1.02008900009952</v>
      </c>
      <c r="Q13" s="573">
        <v>3.9</v>
      </c>
      <c r="R13" s="574">
        <v>1.3861836586718201E-2</v>
      </c>
      <c r="S13" s="576">
        <v>5.6520000000000001</v>
      </c>
      <c r="T13" s="574">
        <v>2.0089000099520901E-2</v>
      </c>
      <c r="U13" s="577">
        <v>1680.6222</v>
      </c>
      <c r="V13" s="578">
        <v>1.752</v>
      </c>
      <c r="W13" s="579">
        <v>6.2271635128026302E-3</v>
      </c>
      <c r="X13" s="580">
        <v>520.95719999999903</v>
      </c>
      <c r="Y13" s="442" t="s">
        <v>326</v>
      </c>
      <c r="Z13" s="442" t="s">
        <v>193</v>
      </c>
      <c r="AA13" s="442" t="s">
        <v>597</v>
      </c>
      <c r="AB13" s="442" t="s">
        <v>505</v>
      </c>
      <c r="AC13" s="442">
        <v>1</v>
      </c>
      <c r="AD13" s="583" t="s">
        <v>556</v>
      </c>
    </row>
    <row r="14" spans="2:43" s="377" customFormat="1" ht="27" customHeight="1">
      <c r="B14" s="911"/>
      <c r="C14" s="912"/>
      <c r="D14" s="569">
        <v>10</v>
      </c>
      <c r="E14" s="570" t="s">
        <v>696</v>
      </c>
      <c r="F14" s="571">
        <v>1140.8399999999999</v>
      </c>
      <c r="G14" s="572">
        <v>380.28</v>
      </c>
      <c r="H14" s="573">
        <v>452.85</v>
      </c>
      <c r="I14" s="573">
        <v>452.85</v>
      </c>
      <c r="J14" s="574">
        <v>1</v>
      </c>
      <c r="K14" s="575">
        <v>456.7</v>
      </c>
      <c r="L14" s="574">
        <v>1.00850171138346</v>
      </c>
      <c r="M14" s="575">
        <v>0.6</v>
      </c>
      <c r="N14" s="574">
        <v>1.3249420337860199E-3</v>
      </c>
      <c r="O14" s="576">
        <v>457.3</v>
      </c>
      <c r="P14" s="574">
        <v>1.00982665341725</v>
      </c>
      <c r="Q14" s="573">
        <v>3</v>
      </c>
      <c r="R14" s="574">
        <v>6.6247101689301102E-3</v>
      </c>
      <c r="S14" s="576">
        <v>4.4499999999999904</v>
      </c>
      <c r="T14" s="574">
        <v>9.8266534172462994E-3</v>
      </c>
      <c r="U14" s="577">
        <v>1692.2460000000001</v>
      </c>
      <c r="V14" s="578">
        <v>1.44999999999999</v>
      </c>
      <c r="W14" s="579">
        <v>3.2019432483161902E-3</v>
      </c>
      <c r="X14" s="580">
        <v>551.40599999999597</v>
      </c>
      <c r="Y14" s="442" t="s">
        <v>326</v>
      </c>
      <c r="Z14" s="442" t="s">
        <v>193</v>
      </c>
      <c r="AA14" s="442" t="s">
        <v>597</v>
      </c>
      <c r="AB14" s="442" t="s">
        <v>505</v>
      </c>
      <c r="AC14" s="442">
        <v>1</v>
      </c>
      <c r="AD14" s="583" t="s">
        <v>691</v>
      </c>
    </row>
    <row r="15" spans="2:43" s="377" customFormat="1" ht="27" customHeight="1">
      <c r="B15" s="911"/>
      <c r="C15" s="912"/>
      <c r="D15" s="569">
        <v>11</v>
      </c>
      <c r="E15" s="570" t="s">
        <v>758</v>
      </c>
      <c r="F15" s="571">
        <v>1134.942</v>
      </c>
      <c r="G15" s="572">
        <v>71.38</v>
      </c>
      <c r="H15" s="573">
        <v>1985.4</v>
      </c>
      <c r="I15" s="573">
        <v>1990.8973291525599</v>
      </c>
      <c r="J15" s="574">
        <v>1.0028128182401901</v>
      </c>
      <c r="K15" s="575">
        <v>2006.2</v>
      </c>
      <c r="L15" s="574">
        <v>1.0104764782915301</v>
      </c>
      <c r="M15" s="575">
        <v>0</v>
      </c>
      <c r="N15" s="574">
        <v>0</v>
      </c>
      <c r="O15" s="576">
        <v>2006.2</v>
      </c>
      <c r="P15" s="574">
        <v>1.0104764782915301</v>
      </c>
      <c r="Q15" s="573">
        <v>15.9</v>
      </c>
      <c r="R15" s="574">
        <v>8.0084617709277692E-3</v>
      </c>
      <c r="S15" s="576">
        <v>20.8</v>
      </c>
      <c r="T15" s="574">
        <v>1.0476478291528099E-2</v>
      </c>
      <c r="U15" s="577">
        <v>1484.704</v>
      </c>
      <c r="V15" s="578">
        <v>4.8999999999999799</v>
      </c>
      <c r="W15" s="579">
        <v>2.4680165206003701E-3</v>
      </c>
      <c r="X15" s="580">
        <v>349.76199999999898</v>
      </c>
      <c r="Y15" s="442" t="s">
        <v>325</v>
      </c>
      <c r="Z15" s="442" t="s">
        <v>485</v>
      </c>
      <c r="AA15" s="442" t="s">
        <v>665</v>
      </c>
      <c r="AB15" s="442" t="s">
        <v>666</v>
      </c>
      <c r="AC15" s="442">
        <v>1</v>
      </c>
      <c r="AD15" s="583" t="s">
        <v>729</v>
      </c>
      <c r="AH15" s="322"/>
    </row>
    <row r="16" spans="2:43" s="377" customFormat="1" ht="27" customHeight="1">
      <c r="B16" s="911"/>
      <c r="C16" s="912"/>
      <c r="D16" s="569">
        <v>12</v>
      </c>
      <c r="E16" s="570" t="s">
        <v>702</v>
      </c>
      <c r="F16" s="571">
        <v>1117.537</v>
      </c>
      <c r="G16" s="572">
        <v>272.57</v>
      </c>
      <c r="H16" s="573">
        <v>375.44099999999997</v>
      </c>
      <c r="I16" s="573">
        <v>377.39359190958299</v>
      </c>
      <c r="J16" s="574">
        <v>1.00521838644884</v>
      </c>
      <c r="K16" s="575">
        <v>380.3</v>
      </c>
      <c r="L16" s="574">
        <v>1.0129421134079699</v>
      </c>
      <c r="M16" s="575">
        <v>1.1000000000000001</v>
      </c>
      <c r="N16" s="574">
        <v>2.9298877852978202E-3</v>
      </c>
      <c r="O16" s="576">
        <v>381.4</v>
      </c>
      <c r="P16" s="574">
        <v>1.01587200119326</v>
      </c>
      <c r="Q16" s="573">
        <v>4.0999999999999996</v>
      </c>
      <c r="R16" s="574">
        <v>1.0920490836110099E-2</v>
      </c>
      <c r="S16" s="576">
        <v>5.9589999999999899</v>
      </c>
      <c r="T16" s="574">
        <v>1.5872001193263399E-2</v>
      </c>
      <c r="U16" s="577">
        <v>1624.2446299999999</v>
      </c>
      <c r="V16" s="578">
        <v>1.85899999999999</v>
      </c>
      <c r="W16" s="579">
        <v>4.9515103571532897E-3</v>
      </c>
      <c r="X16" s="580">
        <v>506.70762999999698</v>
      </c>
      <c r="Y16" s="442" t="s">
        <v>326</v>
      </c>
      <c r="Z16" s="442" t="s">
        <v>193</v>
      </c>
      <c r="AA16" s="442" t="s">
        <v>597</v>
      </c>
      <c r="AB16" s="442" t="s">
        <v>505</v>
      </c>
      <c r="AC16" s="442">
        <v>1</v>
      </c>
      <c r="AD16" s="583" t="s">
        <v>566</v>
      </c>
    </row>
    <row r="17" spans="2:30" s="377" customFormat="1" ht="27" customHeight="1">
      <c r="B17" s="911"/>
      <c r="C17" s="912"/>
      <c r="D17" s="569">
        <v>13</v>
      </c>
      <c r="E17" s="570" t="s">
        <v>697</v>
      </c>
      <c r="F17" s="571">
        <v>1113.0840000000001</v>
      </c>
      <c r="G17" s="572">
        <v>227.16</v>
      </c>
      <c r="H17" s="573">
        <v>252.96</v>
      </c>
      <c r="I17" s="573">
        <v>252.96</v>
      </c>
      <c r="J17" s="574">
        <v>1</v>
      </c>
      <c r="K17" s="575">
        <v>259.7</v>
      </c>
      <c r="L17" s="574">
        <v>1.0266445287792501</v>
      </c>
      <c r="M17" s="575">
        <v>0</v>
      </c>
      <c r="N17" s="574">
        <v>0</v>
      </c>
      <c r="O17" s="576">
        <v>259.7</v>
      </c>
      <c r="P17" s="574">
        <v>1.0266445287792501</v>
      </c>
      <c r="Q17" s="573">
        <v>4.9000000000000004</v>
      </c>
      <c r="R17" s="574">
        <v>1.9370651486400998E-2</v>
      </c>
      <c r="S17" s="576">
        <v>6.74</v>
      </c>
      <c r="T17" s="574">
        <v>2.66445287792536E-2</v>
      </c>
      <c r="U17" s="577">
        <v>1531.0583999999999</v>
      </c>
      <c r="V17" s="578">
        <v>1.84</v>
      </c>
      <c r="W17" s="579">
        <v>7.2738772928526299E-3</v>
      </c>
      <c r="X17" s="580">
        <v>417.9744</v>
      </c>
      <c r="Y17" s="442" t="s">
        <v>327</v>
      </c>
      <c r="Z17" s="442" t="s">
        <v>358</v>
      </c>
      <c r="AA17" s="442" t="s">
        <v>698</v>
      </c>
      <c r="AB17" s="442" t="s">
        <v>699</v>
      </c>
      <c r="AC17" s="442">
        <v>1</v>
      </c>
      <c r="AD17" s="583" t="s">
        <v>700</v>
      </c>
    </row>
    <row r="18" spans="2:30" s="377" customFormat="1" ht="27" customHeight="1">
      <c r="B18" s="911"/>
      <c r="C18" s="912"/>
      <c r="D18" s="569">
        <v>14</v>
      </c>
      <c r="E18" s="570" t="s">
        <v>648</v>
      </c>
      <c r="F18" s="571">
        <v>1108.809</v>
      </c>
      <c r="G18" s="572">
        <v>136.88999999999999</v>
      </c>
      <c r="H18" s="573">
        <v>2436.6678000000002</v>
      </c>
      <c r="I18" s="573">
        <v>2441.3625950145502</v>
      </c>
      <c r="J18" s="574">
        <v>1.0019567731399801</v>
      </c>
      <c r="K18" s="575">
        <v>2449.1999999999998</v>
      </c>
      <c r="L18" s="574">
        <v>1.0051431713424399</v>
      </c>
      <c r="M18" s="575">
        <v>0</v>
      </c>
      <c r="N18" s="574">
        <v>0</v>
      </c>
      <c r="O18" s="576">
        <v>2449.1999999999998</v>
      </c>
      <c r="P18" s="574">
        <v>1.0051431713424399</v>
      </c>
      <c r="Q18" s="573">
        <v>8.1</v>
      </c>
      <c r="R18" s="574">
        <v>3.3242118601477001E-3</v>
      </c>
      <c r="S18" s="576">
        <v>12.532200000000101</v>
      </c>
      <c r="T18" s="574">
        <v>5.1431713424374397E-3</v>
      </c>
      <c r="U18" s="577">
        <v>1715.53285800001</v>
      </c>
      <c r="V18" s="578">
        <v>4.4322000000000896</v>
      </c>
      <c r="W18" s="579">
        <v>1.81895948228974E-3</v>
      </c>
      <c r="X18" s="580">
        <v>606.723858000012</v>
      </c>
      <c r="Y18" s="442" t="s">
        <v>326</v>
      </c>
      <c r="Z18" s="442" t="s">
        <v>193</v>
      </c>
      <c r="AA18" s="442" t="s">
        <v>597</v>
      </c>
      <c r="AB18" s="442" t="s">
        <v>505</v>
      </c>
      <c r="AC18" s="442">
        <v>1</v>
      </c>
      <c r="AD18" s="583" t="s">
        <v>328</v>
      </c>
    </row>
    <row r="19" spans="2:30" s="377" customFormat="1" ht="27" customHeight="1">
      <c r="B19" s="911"/>
      <c r="C19" s="912"/>
      <c r="D19" s="569">
        <v>15</v>
      </c>
      <c r="E19" s="570" t="s">
        <v>704</v>
      </c>
      <c r="F19" s="571">
        <v>1105.23</v>
      </c>
      <c r="G19" s="572">
        <v>290.85000000000002</v>
      </c>
      <c r="H19" s="573">
        <v>698.76</v>
      </c>
      <c r="I19" s="573">
        <v>698.76</v>
      </c>
      <c r="J19" s="574">
        <v>1</v>
      </c>
      <c r="K19" s="575">
        <v>704.4</v>
      </c>
      <c r="L19" s="574">
        <v>1.00807144083806</v>
      </c>
      <c r="M19" s="575">
        <v>0</v>
      </c>
      <c r="N19" s="574">
        <v>0</v>
      </c>
      <c r="O19" s="576">
        <v>704.4</v>
      </c>
      <c r="P19" s="574">
        <v>1.00807144083806</v>
      </c>
      <c r="Q19" s="573">
        <v>3.8</v>
      </c>
      <c r="R19" s="574">
        <v>5.4382048199667996E-3</v>
      </c>
      <c r="S19" s="576">
        <v>5.6399999999999704</v>
      </c>
      <c r="T19" s="574">
        <v>8.0714408380559398E-3</v>
      </c>
      <c r="U19" s="577">
        <v>1640.39399999999</v>
      </c>
      <c r="V19" s="578">
        <v>1.8399999999999701</v>
      </c>
      <c r="W19" s="579">
        <v>2.6332360180891501E-3</v>
      </c>
      <c r="X19" s="580">
        <v>535.16399999999203</v>
      </c>
      <c r="Y19" s="442" t="s">
        <v>326</v>
      </c>
      <c r="Z19" s="442" t="s">
        <v>193</v>
      </c>
      <c r="AA19" s="442" t="s">
        <v>597</v>
      </c>
      <c r="AB19" s="442" t="s">
        <v>505</v>
      </c>
      <c r="AC19" s="442">
        <v>1</v>
      </c>
      <c r="AD19" s="583" t="s">
        <v>705</v>
      </c>
    </row>
    <row r="20" spans="2:30" s="377" customFormat="1" ht="27" customHeight="1">
      <c r="B20" s="911"/>
      <c r="C20" s="912"/>
      <c r="D20" s="569">
        <v>16</v>
      </c>
      <c r="E20" s="570" t="s">
        <v>679</v>
      </c>
      <c r="F20" s="571">
        <v>1101.4079999999999</v>
      </c>
      <c r="G20" s="572">
        <v>344.19</v>
      </c>
      <c r="H20" s="573">
        <v>864.6</v>
      </c>
      <c r="I20" s="573">
        <v>867.825648379771</v>
      </c>
      <c r="J20" s="574">
        <v>1.0039698262764001</v>
      </c>
      <c r="K20" s="575">
        <v>868.9</v>
      </c>
      <c r="L20" s="574">
        <v>1.0049733981031701</v>
      </c>
      <c r="M20" s="575">
        <v>0.9</v>
      </c>
      <c r="N20" s="574">
        <v>1.0409437890353901E-3</v>
      </c>
      <c r="O20" s="576">
        <v>869.8</v>
      </c>
      <c r="P20" s="574">
        <v>1.0060143418922001</v>
      </c>
      <c r="Q20" s="573">
        <v>3.2</v>
      </c>
      <c r="R20" s="574">
        <v>3.7011334721258398E-3</v>
      </c>
      <c r="S20" s="576">
        <v>5.2000000000000197</v>
      </c>
      <c r="T20" s="574">
        <v>6.0143418922045102E-3</v>
      </c>
      <c r="U20" s="577">
        <v>1789.78800000001</v>
      </c>
      <c r="V20" s="578">
        <v>2.00000000000002</v>
      </c>
      <c r="W20" s="579">
        <v>2.31320842007867E-3</v>
      </c>
      <c r="X20" s="580">
        <v>688.38000000000602</v>
      </c>
      <c r="Y20" s="442" t="s">
        <v>326</v>
      </c>
      <c r="Z20" s="442" t="s">
        <v>193</v>
      </c>
      <c r="AA20" s="442" t="s">
        <v>597</v>
      </c>
      <c r="AB20" s="442" t="s">
        <v>505</v>
      </c>
      <c r="AC20" s="442">
        <v>1</v>
      </c>
      <c r="AD20" s="583" t="s">
        <v>680</v>
      </c>
    </row>
    <row r="21" spans="2:30" s="377" customFormat="1" ht="27" customHeight="1">
      <c r="B21" s="911"/>
      <c r="C21" s="912"/>
      <c r="D21" s="569">
        <v>17</v>
      </c>
      <c r="E21" s="570" t="s">
        <v>695</v>
      </c>
      <c r="F21" s="571">
        <v>1076.92</v>
      </c>
      <c r="G21" s="572">
        <v>103.55</v>
      </c>
      <c r="H21" s="573">
        <v>1466.79</v>
      </c>
      <c r="I21" s="573">
        <v>1470.6211928432101</v>
      </c>
      <c r="J21" s="574">
        <v>1.0026369351769899</v>
      </c>
      <c r="K21" s="575">
        <v>1480</v>
      </c>
      <c r="L21" s="574">
        <v>1.0090060608539699</v>
      </c>
      <c r="M21" s="575">
        <v>1.9</v>
      </c>
      <c r="N21" s="574">
        <v>1.2953456186638899E-3</v>
      </c>
      <c r="O21" s="576">
        <v>1481.9</v>
      </c>
      <c r="P21" s="574">
        <v>1.0103014064726401</v>
      </c>
      <c r="Q21" s="573">
        <v>10.4</v>
      </c>
      <c r="R21" s="574">
        <v>7.0903128600549497E-3</v>
      </c>
      <c r="S21" s="576">
        <v>15.11</v>
      </c>
      <c r="T21" s="574">
        <v>1.0301406472637499E-2</v>
      </c>
      <c r="U21" s="577">
        <v>1564.6405</v>
      </c>
      <c r="V21" s="578">
        <v>4.7100000000000204</v>
      </c>
      <c r="W21" s="579">
        <v>3.2110936125825901E-3</v>
      </c>
      <c r="X21" s="580">
        <v>487.720500000002</v>
      </c>
      <c r="Y21" s="442" t="s">
        <v>325</v>
      </c>
      <c r="Z21" s="442" t="s">
        <v>485</v>
      </c>
      <c r="AA21" s="442" t="s">
        <v>562</v>
      </c>
      <c r="AB21" s="442" t="s">
        <v>563</v>
      </c>
      <c r="AC21" s="442">
        <v>1</v>
      </c>
      <c r="AD21" s="583" t="s">
        <v>592</v>
      </c>
    </row>
    <row r="22" spans="2:30" s="377" customFormat="1" ht="27" customHeight="1">
      <c r="B22" s="911"/>
      <c r="C22" s="912"/>
      <c r="D22" s="569">
        <v>18</v>
      </c>
      <c r="E22" s="570" t="s">
        <v>759</v>
      </c>
      <c r="F22" s="571">
        <v>1073.1759999999999</v>
      </c>
      <c r="G22" s="572">
        <v>103.19</v>
      </c>
      <c r="H22" s="573">
        <v>1586.24</v>
      </c>
      <c r="I22" s="573">
        <v>1591.5087401122</v>
      </c>
      <c r="J22" s="574">
        <v>1.0032755859124101</v>
      </c>
      <c r="K22" s="575">
        <v>1600.6</v>
      </c>
      <c r="L22" s="574">
        <v>1.00905285454912</v>
      </c>
      <c r="M22" s="575">
        <v>0</v>
      </c>
      <c r="N22" s="574">
        <v>0</v>
      </c>
      <c r="O22" s="576">
        <v>1600.6</v>
      </c>
      <c r="P22" s="574">
        <v>1.00905285454912</v>
      </c>
      <c r="Q22" s="573">
        <v>10.4</v>
      </c>
      <c r="R22" s="574">
        <v>6.55638491022796E-3</v>
      </c>
      <c r="S22" s="576">
        <v>14.36</v>
      </c>
      <c r="T22" s="574">
        <v>9.0528545491224306E-3</v>
      </c>
      <c r="U22" s="577">
        <v>1481.8083999999999</v>
      </c>
      <c r="V22" s="578">
        <v>3.95999999999996</v>
      </c>
      <c r="W22" s="579">
        <v>2.4964696388944702E-3</v>
      </c>
      <c r="X22" s="580">
        <v>408.63239999999598</v>
      </c>
      <c r="Y22" s="442" t="s">
        <v>325</v>
      </c>
      <c r="Z22" s="442" t="s">
        <v>485</v>
      </c>
      <c r="AA22" s="442" t="s">
        <v>562</v>
      </c>
      <c r="AB22" s="442" t="s">
        <v>563</v>
      </c>
      <c r="AC22" s="442">
        <v>1</v>
      </c>
      <c r="AD22" s="583" t="s">
        <v>733</v>
      </c>
    </row>
    <row r="23" spans="2:30" s="377" customFormat="1" ht="27" customHeight="1">
      <c r="B23" s="911"/>
      <c r="C23" s="912"/>
      <c r="D23" s="569">
        <v>19</v>
      </c>
      <c r="E23" s="570" t="s">
        <v>689</v>
      </c>
      <c r="F23" s="571">
        <v>1042.739</v>
      </c>
      <c r="G23" s="572">
        <v>548.80999999999995</v>
      </c>
      <c r="H23" s="573">
        <v>219.429</v>
      </c>
      <c r="I23" s="573">
        <v>220.78369399856101</v>
      </c>
      <c r="J23" s="574">
        <v>1.00668645935893</v>
      </c>
      <c r="K23" s="575">
        <v>223.4</v>
      </c>
      <c r="L23" s="574">
        <v>1.01809696986269</v>
      </c>
      <c r="M23" s="575">
        <v>0</v>
      </c>
      <c r="N23" s="574">
        <v>0</v>
      </c>
      <c r="O23" s="576">
        <v>223.4</v>
      </c>
      <c r="P23" s="574">
        <v>1.01809696986269</v>
      </c>
      <c r="Q23" s="573">
        <v>1.9</v>
      </c>
      <c r="R23" s="574">
        <v>8.6588372548751496E-3</v>
      </c>
      <c r="S23" s="576">
        <v>3.9710000000000099</v>
      </c>
      <c r="T23" s="574">
        <v>1.8096969862689102E-2</v>
      </c>
      <c r="U23" s="577">
        <v>2179.3245099999999</v>
      </c>
      <c r="V23" s="578">
        <v>2.0710000000000099</v>
      </c>
      <c r="W23" s="579">
        <v>9.4381326078139503E-3</v>
      </c>
      <c r="X23" s="580">
        <v>1136.5855100000001</v>
      </c>
      <c r="Y23" s="442" t="s">
        <v>326</v>
      </c>
      <c r="Z23" s="442" t="s">
        <v>193</v>
      </c>
      <c r="AA23" s="442" t="s">
        <v>597</v>
      </c>
      <c r="AB23" s="442" t="s">
        <v>505</v>
      </c>
      <c r="AC23" s="442">
        <v>1</v>
      </c>
      <c r="AD23" s="583" t="s">
        <v>688</v>
      </c>
    </row>
    <row r="24" spans="2:30" s="377" customFormat="1" ht="27" customHeight="1">
      <c r="B24" s="913"/>
      <c r="C24" s="914"/>
      <c r="D24" s="569">
        <v>20</v>
      </c>
      <c r="E24" s="570" t="s">
        <v>744</v>
      </c>
      <c r="F24" s="571">
        <v>1025.088</v>
      </c>
      <c r="G24" s="572">
        <v>179.84</v>
      </c>
      <c r="H24" s="573">
        <v>138.40829626296301</v>
      </c>
      <c r="I24" s="573">
        <v>140.58261922266399</v>
      </c>
      <c r="J24" s="574">
        <v>1.0157256260184699</v>
      </c>
      <c r="K24" s="575">
        <v>146.30000000000001</v>
      </c>
      <c r="L24" s="574">
        <v>1.0570175628926399</v>
      </c>
      <c r="M24" s="575">
        <v>0</v>
      </c>
      <c r="N24" s="574">
        <v>0</v>
      </c>
      <c r="O24" s="576">
        <v>146.30000000000001</v>
      </c>
      <c r="P24" s="574">
        <v>1.0570175628926399</v>
      </c>
      <c r="Q24" s="573">
        <v>5.7</v>
      </c>
      <c r="R24" s="574">
        <v>4.1182502450362701E-2</v>
      </c>
      <c r="S24" s="576">
        <v>7.891703737037</v>
      </c>
      <c r="T24" s="574">
        <v>5.70175628926426E-2</v>
      </c>
      <c r="U24" s="577">
        <v>1419.24400006874</v>
      </c>
      <c r="V24" s="578">
        <v>2.1917037370369998</v>
      </c>
      <c r="W24" s="579">
        <v>1.5835060442279902E-2</v>
      </c>
      <c r="X24" s="580">
        <v>394.15600006873399</v>
      </c>
      <c r="Y24" s="442" t="s">
        <v>327</v>
      </c>
      <c r="Z24" s="442" t="s">
        <v>609</v>
      </c>
      <c r="AA24" s="582" t="s">
        <v>760</v>
      </c>
      <c r="AB24" s="442" t="s">
        <v>761</v>
      </c>
      <c r="AC24" s="442">
        <v>1</v>
      </c>
      <c r="AD24" s="583" t="s">
        <v>645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S36" sqref="S36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5.85546875" style="318" bestFit="1" customWidth="1"/>
    <col min="9" max="9" width="16.85546875" style="318" customWidth="1"/>
    <col min="10" max="10" width="14" style="318" customWidth="1"/>
    <col min="11" max="11" width="15.42578125" style="318" bestFit="1" customWidth="1"/>
    <col min="12" max="12" width="12.28515625" style="318" bestFit="1" customWidth="1"/>
    <col min="13" max="13" width="19.140625" style="318" bestFit="1" customWidth="1"/>
    <col min="14" max="14" width="15.28515625" style="318" bestFit="1" customWidth="1"/>
    <col min="15" max="15" width="19.140625" style="318" bestFit="1" customWidth="1"/>
    <col min="16" max="16" width="12.5703125" style="318" bestFit="1" customWidth="1"/>
    <col min="17" max="17" width="9.140625" style="318" bestFit="1" customWidth="1"/>
    <col min="18" max="18" width="12.28515625" style="318" bestFit="1" customWidth="1"/>
    <col min="19" max="19" width="12.5703125" style="318" bestFit="1" customWidth="1"/>
    <col min="20" max="20" width="12.42578125" style="318" bestFit="1" customWidth="1"/>
    <col min="21" max="21" width="11.42578125" style="318" bestFit="1" customWidth="1"/>
    <col min="22" max="24" width="11.42578125" style="318" customWidth="1"/>
    <col min="25" max="25" width="12.42578125" style="318" bestFit="1" customWidth="1"/>
    <col min="26" max="26" width="15.28515625" style="318" bestFit="1" customWidth="1"/>
    <col min="27" max="27" width="66.85546875" style="318" bestFit="1" customWidth="1"/>
    <col min="28" max="28" width="113.42578125" style="318" bestFit="1" customWidth="1"/>
    <col min="29" max="29" width="11.42578125" style="318" bestFit="1" customWidth="1"/>
    <col min="30" max="30" width="37.7109375" style="318" bestFit="1" customWidth="1"/>
    <col min="31" max="31" width="19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2" ht="21">
      <c r="B1" s="443" t="s">
        <v>638</v>
      </c>
    </row>
    <row r="2" spans="2:42" ht="41.1" customHeight="1">
      <c r="B2" s="932" t="s">
        <v>636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D2" s="319"/>
      <c r="AE2" s="319"/>
      <c r="AF2" s="319"/>
      <c r="AG2" s="319"/>
    </row>
    <row r="3" spans="2:42" ht="17.100000000000001" customHeight="1">
      <c r="B3" s="926" t="s">
        <v>613</v>
      </c>
      <c r="C3" s="927"/>
      <c r="D3" s="930" t="s">
        <v>614</v>
      </c>
      <c r="E3" s="931" t="s">
        <v>615</v>
      </c>
      <c r="F3" s="938" t="s">
        <v>637</v>
      </c>
      <c r="G3" s="923" t="s">
        <v>617</v>
      </c>
      <c r="H3" s="925" t="s">
        <v>618</v>
      </c>
      <c r="I3" s="917" t="s">
        <v>619</v>
      </c>
      <c r="J3" s="918"/>
      <c r="K3" s="917" t="s">
        <v>620</v>
      </c>
      <c r="L3" s="918"/>
      <c r="M3" s="917" t="s">
        <v>621</v>
      </c>
      <c r="N3" s="918"/>
      <c r="O3" s="917" t="s">
        <v>622</v>
      </c>
      <c r="P3" s="918"/>
      <c r="Q3" s="917" t="s">
        <v>623</v>
      </c>
      <c r="R3" s="937"/>
      <c r="S3" s="918"/>
      <c r="T3" s="919" t="s">
        <v>624</v>
      </c>
      <c r="U3" s="920"/>
      <c r="V3" s="934" t="s">
        <v>625</v>
      </c>
      <c r="W3" s="935"/>
      <c r="X3" s="936"/>
      <c r="Y3" s="915" t="s">
        <v>165</v>
      </c>
      <c r="Z3" s="915" t="s">
        <v>626</v>
      </c>
      <c r="AA3" s="915" t="s">
        <v>627</v>
      </c>
      <c r="AB3" s="915" t="s">
        <v>628</v>
      </c>
      <c r="AC3" s="915" t="s">
        <v>629</v>
      </c>
      <c r="AD3" s="923" t="s">
        <v>166</v>
      </c>
      <c r="AF3" s="900" t="s">
        <v>630</v>
      </c>
      <c r="AG3" s="901"/>
      <c r="AH3" s="901"/>
      <c r="AI3" s="901"/>
      <c r="AJ3" s="901"/>
      <c r="AK3" s="901"/>
      <c r="AL3" s="901"/>
      <c r="AM3" s="902"/>
    </row>
    <row r="4" spans="2:42" ht="16.5" customHeight="1">
      <c r="B4" s="928"/>
      <c r="C4" s="929"/>
      <c r="D4" s="930"/>
      <c r="E4" s="930"/>
      <c r="F4" s="922"/>
      <c r="G4" s="924"/>
      <c r="H4" s="924"/>
      <c r="I4" s="521" t="s">
        <v>631</v>
      </c>
      <c r="J4" s="520" t="s">
        <v>574</v>
      </c>
      <c r="K4" s="521" t="s">
        <v>631</v>
      </c>
      <c r="L4" s="520" t="s">
        <v>574</v>
      </c>
      <c r="M4" s="521" t="s">
        <v>631</v>
      </c>
      <c r="N4" s="520" t="s">
        <v>574</v>
      </c>
      <c r="O4" s="521" t="s">
        <v>631</v>
      </c>
      <c r="P4" s="520" t="s">
        <v>574</v>
      </c>
      <c r="Q4" s="521" t="s">
        <v>631</v>
      </c>
      <c r="R4" s="520" t="s">
        <v>574</v>
      </c>
      <c r="S4" s="520" t="s">
        <v>575</v>
      </c>
      <c r="T4" s="521" t="s">
        <v>631</v>
      </c>
      <c r="U4" s="520" t="s">
        <v>574</v>
      </c>
      <c r="V4" s="521" t="s">
        <v>631</v>
      </c>
      <c r="W4" s="520" t="s">
        <v>574</v>
      </c>
      <c r="X4" s="520" t="s">
        <v>575</v>
      </c>
      <c r="Y4" s="916"/>
      <c r="Z4" s="916"/>
      <c r="AA4" s="916"/>
      <c r="AB4" s="916"/>
      <c r="AC4" s="916"/>
      <c r="AD4" s="924"/>
      <c r="AF4" s="903"/>
      <c r="AG4" s="904"/>
      <c r="AH4" s="904"/>
      <c r="AI4" s="904"/>
      <c r="AJ4" s="904"/>
      <c r="AK4" s="904"/>
      <c r="AL4" s="904"/>
      <c r="AM4" s="905"/>
    </row>
    <row r="5" spans="2:42" s="377" customFormat="1" ht="27" customHeight="1">
      <c r="B5" s="909" t="s">
        <v>762</v>
      </c>
      <c r="C5" s="910"/>
      <c r="D5" s="569">
        <v>1</v>
      </c>
      <c r="E5" s="570" t="s">
        <v>560</v>
      </c>
      <c r="F5" s="577">
        <v>2403.7901999999999</v>
      </c>
      <c r="G5" s="572">
        <v>447.3</v>
      </c>
      <c r="H5" s="573">
        <v>663.42600000000004</v>
      </c>
      <c r="I5" s="573">
        <v>665.19648217088195</v>
      </c>
      <c r="J5" s="574">
        <v>1.00286184798919</v>
      </c>
      <c r="K5" s="575">
        <v>668.8</v>
      </c>
      <c r="L5" s="574">
        <v>1.0081003759273801</v>
      </c>
      <c r="M5" s="575">
        <v>0</v>
      </c>
      <c r="N5" s="574">
        <v>0</v>
      </c>
      <c r="O5" s="576">
        <v>668.8</v>
      </c>
      <c r="P5" s="574">
        <v>1.0081003759273801</v>
      </c>
      <c r="Q5" s="573">
        <v>2.8</v>
      </c>
      <c r="R5" s="574">
        <v>4.2205159279256497E-3</v>
      </c>
      <c r="S5" s="584">
        <v>1252.44</v>
      </c>
      <c r="T5" s="576">
        <v>5.3740000000000103</v>
      </c>
      <c r="U5" s="574">
        <v>8.0788160250966096E-3</v>
      </c>
      <c r="V5" s="578">
        <v>2.5740000000000101</v>
      </c>
      <c r="W5" s="579">
        <v>3.8798599994573899E-3</v>
      </c>
      <c r="X5" s="580">
        <v>1151.3502000000101</v>
      </c>
      <c r="Y5" s="582" t="s">
        <v>326</v>
      </c>
      <c r="Z5" s="582" t="s">
        <v>193</v>
      </c>
      <c r="AA5" s="442" t="s">
        <v>561</v>
      </c>
      <c r="AB5" s="442" t="s">
        <v>505</v>
      </c>
      <c r="AC5" s="442">
        <v>1</v>
      </c>
      <c r="AD5" s="583" t="s">
        <v>559</v>
      </c>
      <c r="AF5" s="906"/>
      <c r="AG5" s="907"/>
      <c r="AH5" s="907"/>
      <c r="AI5" s="907"/>
      <c r="AJ5" s="907"/>
      <c r="AK5" s="907"/>
      <c r="AL5" s="907"/>
      <c r="AM5" s="908"/>
      <c r="AO5" s="380" t="s">
        <v>632</v>
      </c>
      <c r="AP5" s="380" t="s">
        <v>165</v>
      </c>
    </row>
    <row r="6" spans="2:42" s="377" customFormat="1" ht="27" customHeight="1">
      <c r="B6" s="911"/>
      <c r="C6" s="912"/>
      <c r="D6" s="569">
        <v>2</v>
      </c>
      <c r="E6" s="570" t="s">
        <v>329</v>
      </c>
      <c r="F6" s="577">
        <v>2259.3287799999998</v>
      </c>
      <c r="G6" s="572">
        <v>487.66</v>
      </c>
      <c r="H6" s="573">
        <v>288.267</v>
      </c>
      <c r="I6" s="573">
        <v>290.20558339487002</v>
      </c>
      <c r="J6" s="574">
        <v>1.0067883414642</v>
      </c>
      <c r="K6" s="575">
        <v>292.89999999999998</v>
      </c>
      <c r="L6" s="574">
        <v>1.01607190555978</v>
      </c>
      <c r="M6" s="575">
        <v>0</v>
      </c>
      <c r="N6" s="574">
        <v>0</v>
      </c>
      <c r="O6" s="576">
        <v>292.89999999999998</v>
      </c>
      <c r="P6" s="574">
        <v>1.01607190555978</v>
      </c>
      <c r="Q6" s="573">
        <v>2.4</v>
      </c>
      <c r="R6" s="574">
        <v>8.3256147946174901E-3</v>
      </c>
      <c r="S6" s="584">
        <v>1170.384</v>
      </c>
      <c r="T6" s="576">
        <v>4.633</v>
      </c>
      <c r="U6" s="574">
        <v>1.5964544671410001E-2</v>
      </c>
      <c r="V6" s="578">
        <v>2.2330000000000001</v>
      </c>
      <c r="W6" s="579">
        <v>7.7462907651586997E-3</v>
      </c>
      <c r="X6" s="580">
        <v>1088.94478</v>
      </c>
      <c r="Y6" s="582" t="s">
        <v>326</v>
      </c>
      <c r="Z6" s="582" t="s">
        <v>194</v>
      </c>
      <c r="AA6" s="442" t="s">
        <v>561</v>
      </c>
      <c r="AB6" s="442" t="s">
        <v>505</v>
      </c>
      <c r="AC6" s="442">
        <v>1</v>
      </c>
      <c r="AD6" s="583" t="s">
        <v>594</v>
      </c>
      <c r="AF6" s="217" t="s">
        <v>633</v>
      </c>
      <c r="AG6" s="217" t="s">
        <v>576</v>
      </c>
      <c r="AH6" s="441" t="s">
        <v>609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O6" s="382" t="s">
        <v>576</v>
      </c>
      <c r="AP6" s="203" t="s">
        <v>634</v>
      </c>
    </row>
    <row r="7" spans="2:42" s="377" customFormat="1" ht="27" customHeight="1">
      <c r="B7" s="911"/>
      <c r="C7" s="912"/>
      <c r="D7" s="569">
        <v>3</v>
      </c>
      <c r="E7" s="570" t="s">
        <v>689</v>
      </c>
      <c r="F7" s="577">
        <v>2179.3245099999999</v>
      </c>
      <c r="G7" s="572">
        <v>548.80999999999995</v>
      </c>
      <c r="H7" s="573">
        <v>219.429</v>
      </c>
      <c r="I7" s="573">
        <v>220.78369399856101</v>
      </c>
      <c r="J7" s="574">
        <v>1.00668645935893</v>
      </c>
      <c r="K7" s="575">
        <v>223.4</v>
      </c>
      <c r="L7" s="574">
        <v>1.01809696986269</v>
      </c>
      <c r="M7" s="575">
        <v>0</v>
      </c>
      <c r="N7" s="574">
        <v>0</v>
      </c>
      <c r="O7" s="576">
        <v>223.4</v>
      </c>
      <c r="P7" s="574">
        <v>1.01809696986269</v>
      </c>
      <c r="Q7" s="573">
        <v>1.9</v>
      </c>
      <c r="R7" s="574">
        <v>8.6588372548751496E-3</v>
      </c>
      <c r="S7" s="584">
        <v>1042.739</v>
      </c>
      <c r="T7" s="576">
        <v>3.9710000000000099</v>
      </c>
      <c r="U7" s="574">
        <v>1.7985929703784601E-2</v>
      </c>
      <c r="V7" s="578">
        <v>2.0710000000000099</v>
      </c>
      <c r="W7" s="579">
        <v>9.4381326078139503E-3</v>
      </c>
      <c r="X7" s="580">
        <v>1136.5855100000001</v>
      </c>
      <c r="Y7" s="582" t="s">
        <v>326</v>
      </c>
      <c r="Z7" s="582" t="s">
        <v>193</v>
      </c>
      <c r="AA7" s="442" t="s">
        <v>597</v>
      </c>
      <c r="AB7" s="442" t="s">
        <v>611</v>
      </c>
      <c r="AC7" s="442">
        <v>1</v>
      </c>
      <c r="AD7" s="583" t="s">
        <v>688</v>
      </c>
      <c r="AF7" s="381">
        <v>20</v>
      </c>
      <c r="AG7" s="321">
        <v>0</v>
      </c>
      <c r="AH7" s="321">
        <v>0</v>
      </c>
      <c r="AI7" s="321">
        <v>1</v>
      </c>
      <c r="AJ7" s="321">
        <v>10</v>
      </c>
      <c r="AK7" s="321">
        <v>6</v>
      </c>
      <c r="AL7" s="321">
        <v>2</v>
      </c>
      <c r="AM7" s="321">
        <v>1</v>
      </c>
      <c r="AO7" s="203" t="s">
        <v>609</v>
      </c>
      <c r="AP7" s="203" t="s">
        <v>327</v>
      </c>
    </row>
    <row r="8" spans="2:42" s="377" customFormat="1" ht="27" customHeight="1">
      <c r="B8" s="911"/>
      <c r="C8" s="912"/>
      <c r="D8" s="569">
        <v>4</v>
      </c>
      <c r="E8" s="570" t="s">
        <v>646</v>
      </c>
      <c r="F8" s="577">
        <v>1987.8768</v>
      </c>
      <c r="G8" s="572">
        <v>1010.1</v>
      </c>
      <c r="H8" s="573">
        <v>69.632000000000005</v>
      </c>
      <c r="I8" s="573">
        <v>70.776116466553503</v>
      </c>
      <c r="J8" s="574">
        <v>1.01749700645581</v>
      </c>
      <c r="K8" s="575">
        <v>71.400000000000006</v>
      </c>
      <c r="L8" s="574">
        <v>1.025390625</v>
      </c>
      <c r="M8" s="575">
        <v>0.2</v>
      </c>
      <c r="N8" s="574">
        <v>2.8722426470588198E-3</v>
      </c>
      <c r="O8" s="576">
        <v>71.599999999999994</v>
      </c>
      <c r="P8" s="574">
        <v>1.02826286764706</v>
      </c>
      <c r="Q8" s="573">
        <v>0.6</v>
      </c>
      <c r="R8" s="574">
        <v>8.6167279411764695E-3</v>
      </c>
      <c r="S8" s="584">
        <v>606.05999999999995</v>
      </c>
      <c r="T8" s="576">
        <v>1.968</v>
      </c>
      <c r="U8" s="574">
        <v>2.7805990187805999E-2</v>
      </c>
      <c r="V8" s="578">
        <v>1.3680000000000001</v>
      </c>
      <c r="W8" s="579">
        <v>1.9646139705882401E-2</v>
      </c>
      <c r="X8" s="580">
        <v>1381.8168000000001</v>
      </c>
      <c r="Y8" s="582" t="s">
        <v>326</v>
      </c>
      <c r="Z8" s="582" t="s">
        <v>498</v>
      </c>
      <c r="AA8" s="442" t="s">
        <v>568</v>
      </c>
      <c r="AB8" s="442" t="s">
        <v>611</v>
      </c>
      <c r="AC8" s="442">
        <v>1</v>
      </c>
      <c r="AD8" s="583" t="s">
        <v>645</v>
      </c>
      <c r="AF8" s="383"/>
      <c r="AG8" s="384">
        <v>0</v>
      </c>
      <c r="AH8" s="384">
        <v>0</v>
      </c>
      <c r="AI8" s="384">
        <v>1342.1630400000001</v>
      </c>
      <c r="AJ8" s="384">
        <v>14000.804869999998</v>
      </c>
      <c r="AK8" s="384">
        <v>9300.5849499999968</v>
      </c>
      <c r="AL8" s="384">
        <v>3721.092560000006</v>
      </c>
      <c r="AM8" s="384">
        <v>1862.9183999999943</v>
      </c>
      <c r="AO8" s="203" t="s">
        <v>358</v>
      </c>
      <c r="AP8" s="203" t="s">
        <v>327</v>
      </c>
    </row>
    <row r="9" spans="2:42" s="377" customFormat="1" ht="27" customHeight="1">
      <c r="B9" s="911"/>
      <c r="C9" s="912"/>
      <c r="D9" s="569">
        <v>5</v>
      </c>
      <c r="E9" s="570" t="s">
        <v>677</v>
      </c>
      <c r="F9" s="577">
        <v>1904.53275999999</v>
      </c>
      <c r="G9" s="572">
        <v>362.63</v>
      </c>
      <c r="H9" s="573">
        <v>464.44799999999998</v>
      </c>
      <c r="I9" s="573">
        <v>466.22968114150598</v>
      </c>
      <c r="J9" s="574">
        <v>1.0039168696534999</v>
      </c>
      <c r="K9" s="575">
        <v>469.7</v>
      </c>
      <c r="L9" s="574">
        <v>1.01130804740251</v>
      </c>
      <c r="M9" s="575">
        <v>0</v>
      </c>
      <c r="N9" s="574">
        <v>0</v>
      </c>
      <c r="O9" s="576">
        <v>469.7</v>
      </c>
      <c r="P9" s="574">
        <v>1.01130804740251</v>
      </c>
      <c r="Q9" s="573">
        <v>3.3</v>
      </c>
      <c r="R9" s="574">
        <v>7.1052087639520397E-3</v>
      </c>
      <c r="S9" s="584">
        <v>1196.6790000000001</v>
      </c>
      <c r="T9" s="576">
        <v>5.2519999999999802</v>
      </c>
      <c r="U9" s="574">
        <v>1.1264834077360999E-2</v>
      </c>
      <c r="V9" s="578">
        <v>1.95199999999998</v>
      </c>
      <c r="W9" s="579">
        <v>4.2028386385558397E-3</v>
      </c>
      <c r="X9" s="580">
        <v>707.85375999999303</v>
      </c>
      <c r="Y9" s="582" t="s">
        <v>325</v>
      </c>
      <c r="Z9" s="582" t="s">
        <v>485</v>
      </c>
      <c r="AA9" s="442" t="s">
        <v>593</v>
      </c>
      <c r="AB9" s="442" t="s">
        <v>585</v>
      </c>
      <c r="AC9" s="442">
        <v>1</v>
      </c>
      <c r="AD9" s="583" t="s">
        <v>678</v>
      </c>
      <c r="AF9" s="320"/>
      <c r="AG9" s="444">
        <v>0</v>
      </c>
      <c r="AH9" s="444">
        <v>0</v>
      </c>
      <c r="AI9" s="444">
        <v>0.05</v>
      </c>
      <c r="AJ9" s="444">
        <v>0.5</v>
      </c>
      <c r="AK9" s="444">
        <v>0.3</v>
      </c>
      <c r="AL9" s="444">
        <v>0.1</v>
      </c>
      <c r="AM9" s="444">
        <v>0.05</v>
      </c>
      <c r="AO9" s="203" t="s">
        <v>485</v>
      </c>
      <c r="AP9" s="203" t="s">
        <v>325</v>
      </c>
    </row>
    <row r="10" spans="2:42" s="377" customFormat="1" ht="27" customHeight="1">
      <c r="B10" s="911"/>
      <c r="C10" s="912"/>
      <c r="D10" s="569">
        <v>6</v>
      </c>
      <c r="E10" s="570" t="s">
        <v>586</v>
      </c>
      <c r="F10" s="577">
        <v>1855.2862926</v>
      </c>
      <c r="G10" s="572">
        <v>371.13</v>
      </c>
      <c r="H10" s="573">
        <v>859.60098000000005</v>
      </c>
      <c r="I10" s="573">
        <v>861.75044575061099</v>
      </c>
      <c r="J10" s="574">
        <v>1.0026074650271899</v>
      </c>
      <c r="K10" s="575">
        <v>863.9</v>
      </c>
      <c r="L10" s="574">
        <v>1.0050011808967501</v>
      </c>
      <c r="M10" s="575">
        <v>0.7</v>
      </c>
      <c r="N10" s="574">
        <v>8.1433131916624796E-4</v>
      </c>
      <c r="O10" s="576">
        <v>864.6</v>
      </c>
      <c r="P10" s="574">
        <v>1.00581551221591</v>
      </c>
      <c r="Q10" s="573">
        <v>2.7</v>
      </c>
      <c r="R10" s="574">
        <v>3.14099223106982E-3</v>
      </c>
      <c r="S10" s="584">
        <v>1002.051</v>
      </c>
      <c r="T10" s="576">
        <v>4.9990199999999998</v>
      </c>
      <c r="U10" s="574">
        <v>5.8010065729014E-3</v>
      </c>
      <c r="V10" s="578">
        <v>2.2990200000000001</v>
      </c>
      <c r="W10" s="579">
        <v>2.67451998484227E-3</v>
      </c>
      <c r="X10" s="580">
        <v>853.235292600001</v>
      </c>
      <c r="Y10" s="582" t="s">
        <v>325</v>
      </c>
      <c r="Z10" s="582" t="s">
        <v>485</v>
      </c>
      <c r="AA10" s="442" t="s">
        <v>593</v>
      </c>
      <c r="AB10" s="442" t="s">
        <v>585</v>
      </c>
      <c r="AC10" s="442">
        <v>1</v>
      </c>
      <c r="AD10" s="583" t="s">
        <v>344</v>
      </c>
      <c r="AO10" s="203" t="s">
        <v>193</v>
      </c>
      <c r="AP10" s="203" t="s">
        <v>326</v>
      </c>
    </row>
    <row r="11" spans="2:42" s="377" customFormat="1" ht="27" customHeight="1">
      <c r="B11" s="911"/>
      <c r="C11" s="912"/>
      <c r="D11" s="569">
        <v>7</v>
      </c>
      <c r="E11" s="570" t="s">
        <v>681</v>
      </c>
      <c r="F11" s="577">
        <v>1809.26</v>
      </c>
      <c r="G11" s="572">
        <v>370.75</v>
      </c>
      <c r="H11" s="573">
        <v>131.12</v>
      </c>
      <c r="I11" s="573">
        <v>133.231027583485</v>
      </c>
      <c r="J11" s="574">
        <v>1.0158623706990799</v>
      </c>
      <c r="K11" s="575">
        <v>136</v>
      </c>
      <c r="L11" s="574">
        <v>1.0372178157413099</v>
      </c>
      <c r="M11" s="575">
        <v>0</v>
      </c>
      <c r="N11" s="574">
        <v>0</v>
      </c>
      <c r="O11" s="576">
        <v>136</v>
      </c>
      <c r="P11" s="574">
        <v>1.0372178157413099</v>
      </c>
      <c r="Q11" s="573">
        <v>2.7</v>
      </c>
      <c r="R11" s="574">
        <v>2.05918242830995E-2</v>
      </c>
      <c r="S11" s="584">
        <v>1001.025</v>
      </c>
      <c r="T11" s="576">
        <v>4.88</v>
      </c>
      <c r="U11" s="574">
        <v>3.6628104492717403E-2</v>
      </c>
      <c r="V11" s="578">
        <v>2.1800000000000002</v>
      </c>
      <c r="W11" s="579">
        <v>1.6625991458206198E-2</v>
      </c>
      <c r="X11" s="580">
        <v>808.23500000000104</v>
      </c>
      <c r="Y11" s="582" t="s">
        <v>326</v>
      </c>
      <c r="Z11" s="582" t="s">
        <v>194</v>
      </c>
      <c r="AA11" s="442" t="s">
        <v>561</v>
      </c>
      <c r="AB11" s="442" t="s">
        <v>505</v>
      </c>
      <c r="AC11" s="442">
        <v>1</v>
      </c>
      <c r="AD11" s="583" t="s">
        <v>682</v>
      </c>
      <c r="AO11" s="203" t="s">
        <v>194</v>
      </c>
      <c r="AP11" s="203" t="s">
        <v>326</v>
      </c>
    </row>
    <row r="12" spans="2:42" s="377" customFormat="1" ht="27" customHeight="1">
      <c r="B12" s="911"/>
      <c r="C12" s="912"/>
      <c r="D12" s="569">
        <v>8</v>
      </c>
      <c r="E12" s="570" t="s">
        <v>679</v>
      </c>
      <c r="F12" s="577">
        <v>1789.78800000001</v>
      </c>
      <c r="G12" s="572">
        <v>344.19</v>
      </c>
      <c r="H12" s="573">
        <v>864.6</v>
      </c>
      <c r="I12" s="573">
        <v>867.825648379771</v>
      </c>
      <c r="J12" s="574">
        <v>1.0039698262764001</v>
      </c>
      <c r="K12" s="575">
        <v>868.9</v>
      </c>
      <c r="L12" s="574">
        <v>1.0049733981031701</v>
      </c>
      <c r="M12" s="575">
        <v>0.9</v>
      </c>
      <c r="N12" s="574">
        <v>1.0409437890353901E-3</v>
      </c>
      <c r="O12" s="576">
        <v>869.8</v>
      </c>
      <c r="P12" s="574">
        <v>1.0060143418922001</v>
      </c>
      <c r="Q12" s="573">
        <v>3.2</v>
      </c>
      <c r="R12" s="574">
        <v>3.7011334721258398E-3</v>
      </c>
      <c r="S12" s="584">
        <v>1101.4079999999999</v>
      </c>
      <c r="T12" s="576">
        <v>5.2000000000000197</v>
      </c>
      <c r="U12" s="574">
        <v>5.9919869961303903E-3</v>
      </c>
      <c r="V12" s="578">
        <v>2.00000000000002</v>
      </c>
      <c r="W12" s="579">
        <v>2.31320842007867E-3</v>
      </c>
      <c r="X12" s="580">
        <v>688.38000000000602</v>
      </c>
      <c r="Y12" s="582" t="s">
        <v>326</v>
      </c>
      <c r="Z12" s="582" t="s">
        <v>193</v>
      </c>
      <c r="AA12" s="442" t="s">
        <v>597</v>
      </c>
      <c r="AB12" s="442" t="s">
        <v>611</v>
      </c>
      <c r="AC12" s="442">
        <v>1</v>
      </c>
      <c r="AD12" s="583" t="s">
        <v>680</v>
      </c>
      <c r="AO12" s="203" t="s">
        <v>498</v>
      </c>
      <c r="AP12" s="203" t="s">
        <v>326</v>
      </c>
    </row>
    <row r="13" spans="2:42" s="377" customFormat="1" ht="27" customHeight="1">
      <c r="B13" s="911"/>
      <c r="C13" s="912"/>
      <c r="D13" s="569">
        <v>9</v>
      </c>
      <c r="E13" s="570" t="s">
        <v>648</v>
      </c>
      <c r="F13" s="577">
        <v>1715.53285800001</v>
      </c>
      <c r="G13" s="572">
        <v>136.88999999999999</v>
      </c>
      <c r="H13" s="573">
        <v>2436.6678000000002</v>
      </c>
      <c r="I13" s="573">
        <v>2441.3625950145502</v>
      </c>
      <c r="J13" s="574">
        <v>1.0019567731399801</v>
      </c>
      <c r="K13" s="575">
        <v>2449.1999999999998</v>
      </c>
      <c r="L13" s="574">
        <v>1.0051431713424399</v>
      </c>
      <c r="M13" s="575">
        <v>0</v>
      </c>
      <c r="N13" s="574">
        <v>0</v>
      </c>
      <c r="O13" s="576">
        <v>2449.1999999999998</v>
      </c>
      <c r="P13" s="574">
        <v>1.0051431713424399</v>
      </c>
      <c r="Q13" s="573">
        <v>8.1</v>
      </c>
      <c r="R13" s="574">
        <v>3.3242118601477001E-3</v>
      </c>
      <c r="S13" s="584">
        <v>1108.809</v>
      </c>
      <c r="T13" s="576">
        <v>12.532200000000101</v>
      </c>
      <c r="U13" s="574">
        <v>5.13328090861711E-3</v>
      </c>
      <c r="V13" s="578">
        <v>4.4322000000000896</v>
      </c>
      <c r="W13" s="579">
        <v>1.81895948228974E-3</v>
      </c>
      <c r="X13" s="580">
        <v>606.723858000012</v>
      </c>
      <c r="Y13" s="582" t="s">
        <v>326</v>
      </c>
      <c r="Z13" s="582" t="s">
        <v>193</v>
      </c>
      <c r="AA13" s="442" t="s">
        <v>703</v>
      </c>
      <c r="AB13" s="442" t="s">
        <v>505</v>
      </c>
      <c r="AC13" s="442">
        <v>1</v>
      </c>
      <c r="AD13" s="583" t="s">
        <v>328</v>
      </c>
    </row>
    <row r="14" spans="2:42" s="377" customFormat="1" ht="27" customHeight="1">
      <c r="B14" s="911"/>
      <c r="C14" s="912"/>
      <c r="D14" s="569">
        <v>10</v>
      </c>
      <c r="E14" s="570" t="s">
        <v>696</v>
      </c>
      <c r="F14" s="577">
        <v>1692.2460000000001</v>
      </c>
      <c r="G14" s="572">
        <v>380.28</v>
      </c>
      <c r="H14" s="573">
        <v>452.85</v>
      </c>
      <c r="I14" s="573">
        <v>452.85</v>
      </c>
      <c r="J14" s="574">
        <v>1</v>
      </c>
      <c r="K14" s="575">
        <v>456.7</v>
      </c>
      <c r="L14" s="574">
        <v>1.00850171138346</v>
      </c>
      <c r="M14" s="575">
        <v>0.6</v>
      </c>
      <c r="N14" s="574">
        <v>1.3249420337860199E-3</v>
      </c>
      <c r="O14" s="576">
        <v>457.3</v>
      </c>
      <c r="P14" s="574">
        <v>1.00982665341725</v>
      </c>
      <c r="Q14" s="573">
        <v>3</v>
      </c>
      <c r="R14" s="574">
        <v>6.6247101689301102E-3</v>
      </c>
      <c r="S14" s="584">
        <v>1140.8399999999999</v>
      </c>
      <c r="T14" s="576">
        <v>4.4499999999999904</v>
      </c>
      <c r="U14" s="574">
        <v>9.8266534172462994E-3</v>
      </c>
      <c r="V14" s="578">
        <v>1.44999999999999</v>
      </c>
      <c r="W14" s="579">
        <v>3.2019432483161902E-3</v>
      </c>
      <c r="X14" s="580">
        <v>551.40599999999597</v>
      </c>
      <c r="Y14" s="582" t="s">
        <v>326</v>
      </c>
      <c r="Z14" s="582" t="s">
        <v>193</v>
      </c>
      <c r="AA14" s="442" t="s">
        <v>597</v>
      </c>
      <c r="AB14" s="442" t="s">
        <v>611</v>
      </c>
      <c r="AC14" s="442">
        <v>1</v>
      </c>
      <c r="AD14" s="583" t="s">
        <v>691</v>
      </c>
    </row>
    <row r="15" spans="2:42" s="377" customFormat="1" ht="27" customHeight="1">
      <c r="B15" s="911"/>
      <c r="C15" s="912"/>
      <c r="D15" s="569">
        <v>11</v>
      </c>
      <c r="E15" s="570" t="s">
        <v>667</v>
      </c>
      <c r="F15" s="577">
        <v>1680.6222</v>
      </c>
      <c r="G15" s="572">
        <v>297.35000000000002</v>
      </c>
      <c r="H15" s="573">
        <v>281.34800000000001</v>
      </c>
      <c r="I15" s="573">
        <v>283.047585059543</v>
      </c>
      <c r="J15" s="574">
        <v>1.00610058422552</v>
      </c>
      <c r="K15" s="575">
        <v>287</v>
      </c>
      <c r="L15" s="574">
        <v>1.02008900009952</v>
      </c>
      <c r="M15" s="575">
        <v>0</v>
      </c>
      <c r="N15" s="574">
        <v>0</v>
      </c>
      <c r="O15" s="576">
        <v>287</v>
      </c>
      <c r="P15" s="574">
        <v>1.02008900009952</v>
      </c>
      <c r="Q15" s="573">
        <v>3.9</v>
      </c>
      <c r="R15" s="574">
        <v>1.3861836586718201E-2</v>
      </c>
      <c r="S15" s="584">
        <v>1159.665</v>
      </c>
      <c r="T15" s="576">
        <v>5.6520000000000001</v>
      </c>
      <c r="U15" s="574">
        <v>1.9968373864808001E-2</v>
      </c>
      <c r="V15" s="578">
        <v>1.752</v>
      </c>
      <c r="W15" s="579">
        <v>6.2271635128026302E-3</v>
      </c>
      <c r="X15" s="580">
        <v>520.95719999999903</v>
      </c>
      <c r="Y15" s="582" t="s">
        <v>326</v>
      </c>
      <c r="Z15" s="582" t="s">
        <v>193</v>
      </c>
      <c r="AA15" s="442" t="s">
        <v>597</v>
      </c>
      <c r="AB15" s="442" t="s">
        <v>611</v>
      </c>
      <c r="AC15" s="442">
        <v>1</v>
      </c>
      <c r="AD15" s="583" t="s">
        <v>556</v>
      </c>
      <c r="AH15" s="322"/>
    </row>
    <row r="16" spans="2:42" s="377" customFormat="1" ht="27" customHeight="1">
      <c r="B16" s="911"/>
      <c r="C16" s="912"/>
      <c r="D16" s="569">
        <v>12</v>
      </c>
      <c r="E16" s="570" t="s">
        <v>649</v>
      </c>
      <c r="F16" s="577">
        <v>1675.9046000000001</v>
      </c>
      <c r="G16" s="572">
        <v>622.54999999999995</v>
      </c>
      <c r="H16" s="573">
        <v>17.408000000000001</v>
      </c>
      <c r="I16" s="573">
        <v>18.691707075568701</v>
      </c>
      <c r="J16" s="574">
        <v>1.0712155766949101</v>
      </c>
      <c r="K16" s="575">
        <v>20.100000000000001</v>
      </c>
      <c r="L16" s="574">
        <v>1.1546415441176501</v>
      </c>
      <c r="M16" s="575">
        <v>0</v>
      </c>
      <c r="N16" s="574">
        <v>0</v>
      </c>
      <c r="O16" s="576">
        <v>20.100000000000001</v>
      </c>
      <c r="P16" s="574">
        <v>1.1546415441176501</v>
      </c>
      <c r="Q16" s="573">
        <v>1.5</v>
      </c>
      <c r="R16" s="574">
        <v>8.6167279411764705E-2</v>
      </c>
      <c r="S16" s="584">
        <v>933.82500000000005</v>
      </c>
      <c r="T16" s="576">
        <v>2.6920000000000002</v>
      </c>
      <c r="U16" s="574">
        <v>0.14402108855635901</v>
      </c>
      <c r="V16" s="578">
        <v>1.1919999999999999</v>
      </c>
      <c r="W16" s="579">
        <v>6.8474264705882401E-2</v>
      </c>
      <c r="X16" s="580">
        <v>742.07960000000003</v>
      </c>
      <c r="Y16" s="582" t="s">
        <v>326</v>
      </c>
      <c r="Z16" s="582" t="s">
        <v>498</v>
      </c>
      <c r="AA16" s="442" t="s">
        <v>568</v>
      </c>
      <c r="AB16" s="442" t="s">
        <v>611</v>
      </c>
      <c r="AC16" s="442">
        <v>1</v>
      </c>
      <c r="AD16" s="583" t="s">
        <v>645</v>
      </c>
    </row>
    <row r="17" spans="2:30" s="377" customFormat="1" ht="27" customHeight="1">
      <c r="B17" s="911"/>
      <c r="C17" s="912"/>
      <c r="D17" s="569">
        <v>13</v>
      </c>
      <c r="E17" s="570" t="s">
        <v>755</v>
      </c>
      <c r="F17" s="577">
        <v>1672.89084</v>
      </c>
      <c r="G17" s="572">
        <v>367.83</v>
      </c>
      <c r="H17" s="573">
        <v>156.352</v>
      </c>
      <c r="I17" s="573">
        <v>157.65247466342299</v>
      </c>
      <c r="J17" s="574">
        <v>1.00834942352599</v>
      </c>
      <c r="K17" s="575">
        <v>160.9</v>
      </c>
      <c r="L17" s="574">
        <v>1.02908821121572</v>
      </c>
      <c r="M17" s="575">
        <v>0</v>
      </c>
      <c r="N17" s="574">
        <v>0</v>
      </c>
      <c r="O17" s="576">
        <v>160.9</v>
      </c>
      <c r="P17" s="574">
        <v>1.02908821121572</v>
      </c>
      <c r="Q17" s="573">
        <v>3.3</v>
      </c>
      <c r="R17" s="574">
        <v>2.11062218583709E-2</v>
      </c>
      <c r="S17" s="584">
        <v>1213.8389999999999</v>
      </c>
      <c r="T17" s="576">
        <v>4.548</v>
      </c>
      <c r="U17" s="574">
        <v>2.8848262672118999E-2</v>
      </c>
      <c r="V17" s="578">
        <v>1.248</v>
      </c>
      <c r="W17" s="579">
        <v>7.9819893573475405E-3</v>
      </c>
      <c r="X17" s="580">
        <v>459.05184000000099</v>
      </c>
      <c r="Y17" s="582" t="s">
        <v>326</v>
      </c>
      <c r="Z17" s="582" t="s">
        <v>193</v>
      </c>
      <c r="AA17" s="442" t="s">
        <v>597</v>
      </c>
      <c r="AB17" s="442" t="s">
        <v>505</v>
      </c>
      <c r="AC17" s="442">
        <v>1</v>
      </c>
      <c r="AD17" s="583" t="s">
        <v>756</v>
      </c>
    </row>
    <row r="18" spans="2:30" s="377" customFormat="1" ht="27" customHeight="1">
      <c r="B18" s="911"/>
      <c r="C18" s="912"/>
      <c r="D18" s="569">
        <v>14</v>
      </c>
      <c r="E18" s="570" t="s">
        <v>650</v>
      </c>
      <c r="F18" s="577">
        <v>1653.4336000000001</v>
      </c>
      <c r="G18" s="572">
        <v>935.2</v>
      </c>
      <c r="H18" s="573">
        <v>79.632000000000005</v>
      </c>
      <c r="I18" s="573">
        <v>80.765718468886206</v>
      </c>
      <c r="J18" s="574">
        <v>1.0138957890035101</v>
      </c>
      <c r="K18" s="575">
        <v>81.099999999999994</v>
      </c>
      <c r="L18" s="574">
        <v>1.01843480008037</v>
      </c>
      <c r="M18" s="575">
        <v>0.3</v>
      </c>
      <c r="N18" s="574">
        <v>3.7673297166968098E-3</v>
      </c>
      <c r="O18" s="576">
        <v>81.400000000000006</v>
      </c>
      <c r="P18" s="574">
        <v>1.02220212979707</v>
      </c>
      <c r="Q18" s="573">
        <v>0.9</v>
      </c>
      <c r="R18" s="574">
        <v>1.13019891500904E-2</v>
      </c>
      <c r="S18" s="584">
        <v>841.68</v>
      </c>
      <c r="T18" s="576">
        <v>1.768</v>
      </c>
      <c r="U18" s="574">
        <v>2.18904757305056E-2</v>
      </c>
      <c r="V18" s="578">
        <v>0.867999999999997</v>
      </c>
      <c r="W18" s="579">
        <v>1.09001406469761E-2</v>
      </c>
      <c r="X18" s="580">
        <v>811.75359999999705</v>
      </c>
      <c r="Y18" s="582" t="s">
        <v>326</v>
      </c>
      <c r="Z18" s="582" t="s">
        <v>498</v>
      </c>
      <c r="AA18" s="442" t="s">
        <v>568</v>
      </c>
      <c r="AB18" s="442" t="s">
        <v>611</v>
      </c>
      <c r="AC18" s="442">
        <v>1</v>
      </c>
      <c r="AD18" s="583" t="s">
        <v>591</v>
      </c>
    </row>
    <row r="19" spans="2:30" s="377" customFormat="1" ht="27" customHeight="1">
      <c r="B19" s="911"/>
      <c r="C19" s="912"/>
      <c r="D19" s="569">
        <v>15</v>
      </c>
      <c r="E19" s="570" t="s">
        <v>651</v>
      </c>
      <c r="F19" s="577">
        <v>1650.3664530999999</v>
      </c>
      <c r="G19" s="572">
        <v>111.17</v>
      </c>
      <c r="H19" s="573">
        <v>2140.1545700000001</v>
      </c>
      <c r="I19" s="573">
        <v>2144.5760460772399</v>
      </c>
      <c r="J19" s="574">
        <v>1.0021017791265201</v>
      </c>
      <c r="K19" s="575">
        <v>2155</v>
      </c>
      <c r="L19" s="574">
        <v>1.0069366157977999</v>
      </c>
      <c r="M19" s="575">
        <v>0</v>
      </c>
      <c r="N19" s="574">
        <v>0</v>
      </c>
      <c r="O19" s="576">
        <v>2155</v>
      </c>
      <c r="P19" s="574">
        <v>1.0069366157977999</v>
      </c>
      <c r="Q19" s="573">
        <v>11.1</v>
      </c>
      <c r="R19" s="574">
        <v>5.18654126930654E-3</v>
      </c>
      <c r="S19" s="584">
        <v>1233.9870000000001</v>
      </c>
      <c r="T19" s="576">
        <v>14.84543</v>
      </c>
      <c r="U19" s="574">
        <v>6.9223145652282103E-3</v>
      </c>
      <c r="V19" s="578">
        <v>3.7454299999999798</v>
      </c>
      <c r="W19" s="579">
        <v>1.75007452849538E-3</v>
      </c>
      <c r="X19" s="580">
        <v>416.37945309999799</v>
      </c>
      <c r="Y19" s="582" t="s">
        <v>325</v>
      </c>
      <c r="Z19" s="582" t="s">
        <v>485</v>
      </c>
      <c r="AA19" s="442" t="s">
        <v>589</v>
      </c>
      <c r="AB19" s="442" t="s">
        <v>506</v>
      </c>
      <c r="AC19" s="442">
        <v>1</v>
      </c>
      <c r="AD19" s="583" t="s">
        <v>328</v>
      </c>
    </row>
    <row r="20" spans="2:30" s="377" customFormat="1" ht="27" customHeight="1">
      <c r="B20" s="911"/>
      <c r="C20" s="912"/>
      <c r="D20" s="569">
        <v>16</v>
      </c>
      <c r="E20" s="570" t="s">
        <v>687</v>
      </c>
      <c r="F20" s="577">
        <v>1647.6936000000001</v>
      </c>
      <c r="G20" s="572">
        <v>420.33</v>
      </c>
      <c r="H20" s="573">
        <v>460.88</v>
      </c>
      <c r="I20" s="573">
        <v>462.46533406862102</v>
      </c>
      <c r="J20" s="574">
        <v>1.0035577039111401</v>
      </c>
      <c r="K20" s="575">
        <v>464.8</v>
      </c>
      <c r="L20" s="574">
        <v>1.0085054678007299</v>
      </c>
      <c r="M20" s="575">
        <v>0</v>
      </c>
      <c r="N20" s="574">
        <v>0</v>
      </c>
      <c r="O20" s="576">
        <v>464.8</v>
      </c>
      <c r="P20" s="574">
        <v>1.0085054678007299</v>
      </c>
      <c r="Q20" s="573">
        <v>2.2999999999999998</v>
      </c>
      <c r="R20" s="574">
        <v>4.9904530463461202E-3</v>
      </c>
      <c r="S20" s="584">
        <v>966.75900000000001</v>
      </c>
      <c r="T20" s="576">
        <v>3.9199999999999902</v>
      </c>
      <c r="U20" s="574">
        <v>8.4763110037093994E-3</v>
      </c>
      <c r="V20" s="578">
        <v>1.6199999999999899</v>
      </c>
      <c r="W20" s="579">
        <v>3.5150147543829102E-3</v>
      </c>
      <c r="X20" s="580">
        <v>680.934599999998</v>
      </c>
      <c r="Y20" s="582" t="s">
        <v>326</v>
      </c>
      <c r="Z20" s="582" t="s">
        <v>193</v>
      </c>
      <c r="AA20" s="442" t="s">
        <v>597</v>
      </c>
      <c r="AB20" s="442" t="s">
        <v>505</v>
      </c>
      <c r="AC20" s="442">
        <v>1</v>
      </c>
      <c r="AD20" s="583" t="s">
        <v>342</v>
      </c>
    </row>
    <row r="21" spans="2:30" s="377" customFormat="1" ht="27" customHeight="1">
      <c r="B21" s="911"/>
      <c r="C21" s="912"/>
      <c r="D21" s="569">
        <v>17</v>
      </c>
      <c r="E21" s="570" t="s">
        <v>704</v>
      </c>
      <c r="F21" s="577">
        <v>1640.39399999999</v>
      </c>
      <c r="G21" s="572">
        <v>290.85000000000002</v>
      </c>
      <c r="H21" s="573">
        <v>698.76</v>
      </c>
      <c r="I21" s="573">
        <v>698.76</v>
      </c>
      <c r="J21" s="574">
        <v>1</v>
      </c>
      <c r="K21" s="575">
        <v>704.4</v>
      </c>
      <c r="L21" s="574">
        <v>1.00807144083806</v>
      </c>
      <c r="M21" s="575">
        <v>0</v>
      </c>
      <c r="N21" s="574">
        <v>0</v>
      </c>
      <c r="O21" s="576">
        <v>704.4</v>
      </c>
      <c r="P21" s="574">
        <v>1.00807144083806</v>
      </c>
      <c r="Q21" s="573">
        <v>3.8</v>
      </c>
      <c r="R21" s="574">
        <v>5.4382048199667996E-3</v>
      </c>
      <c r="S21" s="584">
        <v>1105.23</v>
      </c>
      <c r="T21" s="576">
        <v>5.6399999999999704</v>
      </c>
      <c r="U21" s="574">
        <v>8.0714408380559398E-3</v>
      </c>
      <c r="V21" s="578">
        <v>1.8399999999999701</v>
      </c>
      <c r="W21" s="579">
        <v>2.6332360180891501E-3</v>
      </c>
      <c r="X21" s="580">
        <v>535.16399999999203</v>
      </c>
      <c r="Y21" s="582" t="s">
        <v>326</v>
      </c>
      <c r="Z21" s="582" t="s">
        <v>193</v>
      </c>
      <c r="AA21" s="442" t="s">
        <v>597</v>
      </c>
      <c r="AB21" s="442" t="s">
        <v>505</v>
      </c>
      <c r="AC21" s="442">
        <v>1</v>
      </c>
      <c r="AD21" s="583" t="s">
        <v>705</v>
      </c>
    </row>
    <row r="22" spans="2:30" s="377" customFormat="1" ht="27" customHeight="1">
      <c r="B22" s="911"/>
      <c r="C22" s="912"/>
      <c r="D22" s="569">
        <v>18</v>
      </c>
      <c r="E22" s="570" t="s">
        <v>702</v>
      </c>
      <c r="F22" s="577">
        <v>1624.2446299999999</v>
      </c>
      <c r="G22" s="572">
        <v>272.57</v>
      </c>
      <c r="H22" s="573">
        <v>375.44099999999997</v>
      </c>
      <c r="I22" s="573">
        <v>377.39359190958299</v>
      </c>
      <c r="J22" s="574">
        <v>1.00521838644884</v>
      </c>
      <c r="K22" s="575">
        <v>380.3</v>
      </c>
      <c r="L22" s="574">
        <v>1.0129421134079699</v>
      </c>
      <c r="M22" s="575">
        <v>1.1000000000000001</v>
      </c>
      <c r="N22" s="574">
        <v>2.9298877852978202E-3</v>
      </c>
      <c r="O22" s="576">
        <v>381.4</v>
      </c>
      <c r="P22" s="574">
        <v>1.01587200119326</v>
      </c>
      <c r="Q22" s="573">
        <v>4.0999999999999996</v>
      </c>
      <c r="R22" s="574">
        <v>1.0920490836110099E-2</v>
      </c>
      <c r="S22" s="584">
        <v>1117.537</v>
      </c>
      <c r="T22" s="576">
        <v>5.9589999999999899</v>
      </c>
      <c r="U22" s="574">
        <v>1.5789881247977498E-2</v>
      </c>
      <c r="V22" s="578">
        <v>1.85899999999999</v>
      </c>
      <c r="W22" s="579">
        <v>4.9515103571532897E-3</v>
      </c>
      <c r="X22" s="580">
        <v>506.70762999999698</v>
      </c>
      <c r="Y22" s="582" t="s">
        <v>326</v>
      </c>
      <c r="Z22" s="582" t="s">
        <v>193</v>
      </c>
      <c r="AA22" s="442" t="s">
        <v>597</v>
      </c>
      <c r="AB22" s="442" t="s">
        <v>505</v>
      </c>
      <c r="AC22" s="442">
        <v>1</v>
      </c>
      <c r="AD22" s="583" t="s">
        <v>566</v>
      </c>
    </row>
    <row r="23" spans="2:30" s="377" customFormat="1" ht="27" customHeight="1">
      <c r="B23" s="911"/>
      <c r="C23" s="912"/>
      <c r="D23" s="569">
        <v>19</v>
      </c>
      <c r="E23" s="570" t="s">
        <v>701</v>
      </c>
      <c r="F23" s="577">
        <v>1622.943</v>
      </c>
      <c r="G23" s="572">
        <v>290.85000000000002</v>
      </c>
      <c r="H23" s="573">
        <v>294.12</v>
      </c>
      <c r="I23" s="573">
        <v>294.12</v>
      </c>
      <c r="J23" s="574">
        <v>1</v>
      </c>
      <c r="K23" s="575">
        <v>299.7</v>
      </c>
      <c r="L23" s="574">
        <v>1.0189718482252099</v>
      </c>
      <c r="M23" s="575">
        <v>0</v>
      </c>
      <c r="N23" s="574">
        <v>0</v>
      </c>
      <c r="O23" s="576">
        <v>299.7</v>
      </c>
      <c r="P23" s="574">
        <v>1.0189718482252099</v>
      </c>
      <c r="Q23" s="573">
        <v>4</v>
      </c>
      <c r="R23" s="574">
        <v>1.35998912008704E-2</v>
      </c>
      <c r="S23" s="584">
        <v>1163.4000000000001</v>
      </c>
      <c r="T23" s="576">
        <v>5.58</v>
      </c>
      <c r="U23" s="574">
        <v>1.8971848225214201E-2</v>
      </c>
      <c r="V23" s="578">
        <v>1.58</v>
      </c>
      <c r="W23" s="579">
        <v>5.3719570243437997E-3</v>
      </c>
      <c r="X23" s="580">
        <v>459.54300000000001</v>
      </c>
      <c r="Y23" s="582" t="s">
        <v>326</v>
      </c>
      <c r="Z23" s="582" t="s">
        <v>193</v>
      </c>
      <c r="AA23" s="442" t="s">
        <v>597</v>
      </c>
      <c r="AB23" s="442" t="s">
        <v>505</v>
      </c>
      <c r="AC23" s="442">
        <v>1</v>
      </c>
      <c r="AD23" s="583" t="s">
        <v>336</v>
      </c>
    </row>
    <row r="24" spans="2:30" s="377" customFormat="1" ht="27" customHeight="1">
      <c r="B24" s="913"/>
      <c r="C24" s="914"/>
      <c r="D24" s="569">
        <v>20</v>
      </c>
      <c r="E24" s="570" t="s">
        <v>763</v>
      </c>
      <c r="F24" s="577">
        <v>1606.4386</v>
      </c>
      <c r="G24" s="572">
        <v>272.74</v>
      </c>
      <c r="H24" s="573">
        <v>358.71</v>
      </c>
      <c r="I24" s="573">
        <v>361.29037415485999</v>
      </c>
      <c r="J24" s="574">
        <v>1.00722135289063</v>
      </c>
      <c r="K24" s="575">
        <v>364.6</v>
      </c>
      <c r="L24" s="574">
        <v>1.01641994926264</v>
      </c>
      <c r="M24" s="575">
        <v>0</v>
      </c>
      <c r="N24" s="574">
        <v>0</v>
      </c>
      <c r="O24" s="576">
        <v>364.6</v>
      </c>
      <c r="P24" s="574">
        <v>1.01641994926264</v>
      </c>
      <c r="Q24" s="573">
        <v>3.2</v>
      </c>
      <c r="R24" s="574">
        <v>8.9208552870006404E-3</v>
      </c>
      <c r="S24" s="584">
        <v>872.76800000000003</v>
      </c>
      <c r="T24" s="576">
        <v>5.89</v>
      </c>
      <c r="U24" s="574">
        <v>1.6302676244220601E-2</v>
      </c>
      <c r="V24" s="578">
        <v>2.69</v>
      </c>
      <c r="W24" s="579">
        <v>7.4990939756349202E-3</v>
      </c>
      <c r="X24" s="580">
        <v>733.67060000000095</v>
      </c>
      <c r="Y24" s="582" t="s">
        <v>326</v>
      </c>
      <c r="Z24" s="582" t="s">
        <v>193</v>
      </c>
      <c r="AA24" s="442" t="s">
        <v>597</v>
      </c>
      <c r="AB24" s="442" t="s">
        <v>505</v>
      </c>
      <c r="AC24" s="442">
        <v>1</v>
      </c>
      <c r="AD24" s="583" t="s">
        <v>730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K16" sqref="K16"/>
    </sheetView>
  </sheetViews>
  <sheetFormatPr defaultColWidth="10.140625" defaultRowHeight="15.75"/>
  <cols>
    <col min="1" max="4" width="25.7109375" style="446" customWidth="1"/>
    <col min="5" max="5" width="33.7109375" style="446" customWidth="1"/>
    <col min="6" max="6" width="25.7109375" style="446" customWidth="1"/>
    <col min="7" max="7" width="33.7109375" style="446" customWidth="1"/>
    <col min="8" max="11" width="25.7109375" style="446" customWidth="1"/>
    <col min="12" max="12" width="26.42578125" style="446" bestFit="1" customWidth="1"/>
    <col min="13" max="14" width="26.42578125" style="446" customWidth="1"/>
    <col min="15" max="15" width="26.140625" style="446" bestFit="1" customWidth="1"/>
    <col min="16" max="16" width="10.140625" style="446"/>
    <col min="17" max="18" width="13.7109375" style="446" bestFit="1" customWidth="1"/>
    <col min="19" max="20" width="10.140625" style="446"/>
    <col min="21" max="21" width="15.140625" style="446" bestFit="1" customWidth="1"/>
    <col min="22" max="23" width="10.140625" style="446"/>
    <col min="24" max="24" width="13.7109375" style="446" bestFit="1" customWidth="1"/>
    <col min="25" max="26" width="10.140625" style="446"/>
    <col min="27" max="27" width="15.140625" style="446" bestFit="1" customWidth="1"/>
    <col min="28" max="29" width="10.140625" style="446"/>
    <col min="30" max="30" width="13.7109375" style="446" bestFit="1" customWidth="1"/>
    <col min="31" max="32" width="10.140625" style="446"/>
    <col min="33" max="33" width="15.140625" style="446" bestFit="1" customWidth="1"/>
    <col min="34" max="16384" width="10.140625" style="446"/>
  </cols>
  <sheetData>
    <row r="1" spans="1:33" ht="27">
      <c r="A1" s="947" t="s">
        <v>578</v>
      </c>
      <c r="B1" s="947"/>
      <c r="C1" s="947"/>
      <c r="D1" s="947"/>
      <c r="E1" s="947"/>
      <c r="F1" s="947"/>
      <c r="G1" s="947"/>
      <c r="H1" s="947"/>
      <c r="I1" s="947"/>
      <c r="J1" s="947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</row>
    <row r="2" spans="1:33" ht="48">
      <c r="A2" s="948" t="s">
        <v>706</v>
      </c>
      <c r="B2" s="950">
        <v>302530.96982123499</v>
      </c>
      <c r="C2" s="948" t="s">
        <v>707</v>
      </c>
      <c r="D2" s="952">
        <v>2.4087548952432701E-3</v>
      </c>
      <c r="E2" s="447" t="s">
        <v>708</v>
      </c>
      <c r="F2" s="448" t="s">
        <v>709</v>
      </c>
      <c r="G2" s="449" t="s">
        <v>710</v>
      </c>
      <c r="H2" s="450" t="s">
        <v>711</v>
      </c>
      <c r="I2" s="954" t="s">
        <v>764</v>
      </c>
      <c r="J2" s="954" t="s">
        <v>765</v>
      </c>
      <c r="K2" s="445"/>
      <c r="L2" s="451"/>
      <c r="M2" s="445"/>
      <c r="N2" s="445"/>
      <c r="O2" s="445"/>
      <c r="P2" s="445"/>
      <c r="Q2" s="445"/>
      <c r="R2" s="445"/>
      <c r="S2" s="445"/>
      <c r="T2" s="445"/>
      <c r="U2" s="445"/>
      <c r="V2" s="445"/>
    </row>
    <row r="3" spans="1:33" ht="24">
      <c r="A3" s="949"/>
      <c r="B3" s="951"/>
      <c r="C3" s="949"/>
      <c r="D3" s="953"/>
      <c r="E3" s="540">
        <v>501353.62218593602</v>
      </c>
      <c r="F3" s="452">
        <v>3.9917830310130104E-3</v>
      </c>
      <c r="G3" s="453">
        <v>198822.652364701</v>
      </c>
      <c r="H3" s="454">
        <v>1.5830281357697401E-3</v>
      </c>
      <c r="I3" s="955"/>
      <c r="J3" s="955"/>
      <c r="K3" s="455"/>
      <c r="L3" s="456"/>
      <c r="M3" s="445"/>
      <c r="N3" s="445"/>
      <c r="O3" s="445"/>
      <c r="P3" s="445"/>
      <c r="Q3" s="445"/>
      <c r="R3" s="445"/>
      <c r="S3" s="445"/>
      <c r="T3" s="445"/>
      <c r="U3" s="445"/>
      <c r="V3" s="445"/>
    </row>
    <row r="4" spans="1:33" ht="40.5">
      <c r="A4" s="457" t="s">
        <v>766</v>
      </c>
      <c r="B4" s="457" t="s">
        <v>767</v>
      </c>
      <c r="C4" s="457" t="s">
        <v>768</v>
      </c>
      <c r="D4" s="457" t="s">
        <v>769</v>
      </c>
      <c r="E4" s="457" t="s">
        <v>770</v>
      </c>
      <c r="F4" s="457" t="s">
        <v>771</v>
      </c>
      <c r="G4" s="458" t="s">
        <v>772</v>
      </c>
      <c r="H4" s="458" t="s">
        <v>773</v>
      </c>
      <c r="I4" s="956"/>
      <c r="J4" s="956"/>
      <c r="K4" s="445"/>
      <c r="L4" s="451"/>
      <c r="M4" s="459"/>
      <c r="N4" s="451"/>
      <c r="O4" s="460"/>
      <c r="P4" s="451"/>
      <c r="Q4" s="459"/>
      <c r="R4" s="461"/>
      <c r="S4" s="445"/>
      <c r="T4" s="445"/>
      <c r="U4" s="461"/>
      <c r="V4" s="445"/>
      <c r="X4" s="462"/>
      <c r="AA4" s="462"/>
      <c r="AD4" s="462"/>
      <c r="AG4" s="462"/>
    </row>
    <row r="5" spans="1:33" ht="18.75">
      <c r="A5" s="585">
        <v>46266</v>
      </c>
      <c r="B5" s="464">
        <v>9468850</v>
      </c>
      <c r="C5" s="465">
        <v>22737.432000000001</v>
      </c>
      <c r="D5" s="466">
        <v>2.4012875903620802E-3</v>
      </c>
      <c r="E5" s="465">
        <v>37676.856038944803</v>
      </c>
      <c r="F5" s="467">
        <v>3.9790318823241296E-3</v>
      </c>
      <c r="G5" s="468">
        <v>14939.4240389448</v>
      </c>
      <c r="H5" s="469">
        <v>1.5777442919620399E-3</v>
      </c>
      <c r="I5" s="944">
        <v>149585.49482123501</v>
      </c>
      <c r="J5" s="944">
        <v>248339.50660978301</v>
      </c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</row>
    <row r="6" spans="1:33" ht="18.75">
      <c r="A6" s="585">
        <v>46267</v>
      </c>
      <c r="B6" s="464">
        <v>9882798</v>
      </c>
      <c r="C6" s="465">
        <v>23717</v>
      </c>
      <c r="D6" s="466">
        <v>2.3998264459113702E-3</v>
      </c>
      <c r="E6" s="465">
        <v>39316.2428779767</v>
      </c>
      <c r="F6" s="467">
        <v>3.9782501755046204E-3</v>
      </c>
      <c r="G6" s="468">
        <v>15599.2428779767</v>
      </c>
      <c r="H6" s="469">
        <v>1.57842372959325E-3</v>
      </c>
      <c r="I6" s="945"/>
      <c r="J6" s="945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</row>
    <row r="7" spans="1:33" ht="18.75">
      <c r="A7" s="585">
        <v>46268</v>
      </c>
      <c r="B7" s="464">
        <v>9127133</v>
      </c>
      <c r="C7" s="465">
        <v>21992.1165031118</v>
      </c>
      <c r="D7" s="466">
        <v>2.4095317229530702E-3</v>
      </c>
      <c r="E7" s="465">
        <v>36306.080531294698</v>
      </c>
      <c r="F7" s="467">
        <v>3.9778187226256799E-3</v>
      </c>
      <c r="G7" s="468">
        <v>14313.9640281829</v>
      </c>
      <c r="H7" s="469">
        <v>1.56828699967261E-3</v>
      </c>
      <c r="I7" s="945"/>
      <c r="J7" s="9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</row>
    <row r="8" spans="1:33" ht="18.75">
      <c r="A8" s="585">
        <v>46269</v>
      </c>
      <c r="B8" s="464">
        <v>8353572</v>
      </c>
      <c r="C8" s="465">
        <v>20234.071318123399</v>
      </c>
      <c r="D8" s="466">
        <v>2.4222058920571202E-3</v>
      </c>
      <c r="E8" s="465">
        <v>33664.224949852098</v>
      </c>
      <c r="F8" s="467">
        <v>4.0299197696329302E-3</v>
      </c>
      <c r="G8" s="468">
        <v>13430.153631728699</v>
      </c>
      <c r="H8" s="469">
        <v>1.60771387757581E-3</v>
      </c>
      <c r="I8" s="945"/>
      <c r="J8" s="945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</row>
    <row r="9" spans="1:33" ht="18.75">
      <c r="A9" s="585">
        <v>46270</v>
      </c>
      <c r="B9" s="464">
        <v>7218006</v>
      </c>
      <c r="C9" s="465">
        <v>17316.633999999998</v>
      </c>
      <c r="D9" s="466">
        <v>2.3990883354765799E-3</v>
      </c>
      <c r="E9" s="465">
        <v>29900.433170198201</v>
      </c>
      <c r="F9" s="467">
        <v>4.1424782925087904E-3</v>
      </c>
      <c r="G9" s="468">
        <v>12583.799170198199</v>
      </c>
      <c r="H9" s="469">
        <v>1.7433899570322099E-3</v>
      </c>
      <c r="I9" s="945"/>
      <c r="J9" s="945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</row>
    <row r="10" spans="1:33" ht="18.75">
      <c r="A10" s="585">
        <v>46271</v>
      </c>
      <c r="B10" s="464">
        <v>7784935</v>
      </c>
      <c r="C10" s="465">
        <v>18624.022000000001</v>
      </c>
      <c r="D10" s="466">
        <v>2.3923156712291099E-3</v>
      </c>
      <c r="E10" s="465">
        <v>31119.683075379398</v>
      </c>
      <c r="F10" s="467">
        <v>3.9974236233673603E-3</v>
      </c>
      <c r="G10" s="468">
        <v>12495.661075379399</v>
      </c>
      <c r="H10" s="469">
        <v>1.6051079521382601E-3</v>
      </c>
      <c r="I10" s="945"/>
      <c r="J10" s="9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</row>
    <row r="11" spans="1:33" ht="18.75">
      <c r="A11" s="585">
        <v>46272</v>
      </c>
      <c r="B11" s="464">
        <v>10271030</v>
      </c>
      <c r="C11" s="465">
        <v>24964.219000000001</v>
      </c>
      <c r="D11" s="466">
        <v>2.43054679034138E-3</v>
      </c>
      <c r="E11" s="465">
        <v>40355.985966137101</v>
      </c>
      <c r="F11" s="467">
        <v>3.9291079829517697E-3</v>
      </c>
      <c r="G11" s="468">
        <v>15391.766966137</v>
      </c>
      <c r="H11" s="469">
        <v>1.4985611926103899E-3</v>
      </c>
      <c r="I11" s="946"/>
      <c r="J11" s="946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</row>
    <row r="12" spans="1:33" ht="18.75">
      <c r="A12" s="586">
        <v>46273</v>
      </c>
      <c r="B12" s="587">
        <v>10129657</v>
      </c>
      <c r="C12" s="588">
        <v>24426.917000000001</v>
      </c>
      <c r="D12" s="466">
        <v>2.4114258755257001E-3</v>
      </c>
      <c r="E12" s="465">
        <v>39674.764541770201</v>
      </c>
      <c r="F12" s="467">
        <v>3.9166937776639599E-3</v>
      </c>
      <c r="G12" s="468">
        <v>15247.847541770199</v>
      </c>
      <c r="H12" s="469">
        <v>1.5052679021382699E-3</v>
      </c>
      <c r="I12" s="941">
        <v>152945.47500000001</v>
      </c>
      <c r="J12" s="941">
        <v>253014.11557615301</v>
      </c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</row>
    <row r="13" spans="1:33" ht="18.75">
      <c r="A13" s="586">
        <v>46274</v>
      </c>
      <c r="B13" s="587">
        <v>9577217</v>
      </c>
      <c r="C13" s="588">
        <v>23076.609</v>
      </c>
      <c r="D13" s="466">
        <v>2.40953180866634E-3</v>
      </c>
      <c r="E13" s="465">
        <v>38114.544738180099</v>
      </c>
      <c r="F13" s="467">
        <v>3.9797098403617798E-3</v>
      </c>
      <c r="G13" s="468">
        <v>15037.9357381801</v>
      </c>
      <c r="H13" s="469">
        <v>1.5701780316954401E-3</v>
      </c>
      <c r="I13" s="942"/>
      <c r="J13" s="942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</row>
    <row r="14" spans="1:33" ht="18.75">
      <c r="A14" s="586">
        <v>46275</v>
      </c>
      <c r="B14" s="587">
        <v>9006445</v>
      </c>
      <c r="C14" s="588">
        <v>21743.965</v>
      </c>
      <c r="D14" s="466">
        <v>2.4142672275242901E-3</v>
      </c>
      <c r="E14" s="465">
        <v>36499.610913186603</v>
      </c>
      <c r="F14" s="467">
        <v>4.0526102044909596E-3</v>
      </c>
      <c r="G14" s="468">
        <v>14755.6459131866</v>
      </c>
      <c r="H14" s="469">
        <v>1.63834297696667E-3</v>
      </c>
      <c r="I14" s="942"/>
      <c r="J14" s="942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</row>
    <row r="15" spans="1:33" ht="18.75">
      <c r="A15" s="586">
        <v>46276</v>
      </c>
      <c r="B15" s="587">
        <v>7221047</v>
      </c>
      <c r="C15" s="588">
        <v>17327.216</v>
      </c>
      <c r="D15" s="466">
        <v>2.3995434457080799E-3</v>
      </c>
      <c r="E15" s="465">
        <v>28750.5220334689</v>
      </c>
      <c r="F15" s="467">
        <v>3.9814893925311503E-3</v>
      </c>
      <c r="G15" s="468">
        <v>11423.3060334689</v>
      </c>
      <c r="H15" s="469">
        <v>1.58194594682307E-3</v>
      </c>
      <c r="I15" s="942"/>
      <c r="J15" s="942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</row>
    <row r="16" spans="1:33" ht="18.75">
      <c r="A16" s="586">
        <v>46277</v>
      </c>
      <c r="B16" s="587">
        <v>7812022</v>
      </c>
      <c r="C16" s="588">
        <v>18726.624</v>
      </c>
      <c r="D16" s="466">
        <v>2.3971545395033498E-3</v>
      </c>
      <c r="E16" s="465">
        <v>31325</v>
      </c>
      <c r="F16" s="467">
        <v>4.0098453383771802E-3</v>
      </c>
      <c r="G16" s="468">
        <v>12598.376</v>
      </c>
      <c r="H16" s="469">
        <v>1.6126907988738401E-3</v>
      </c>
      <c r="I16" s="942"/>
      <c r="J16" s="942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</row>
    <row r="17" spans="1:22" ht="18.75">
      <c r="A17" s="586">
        <v>46278</v>
      </c>
      <c r="B17" s="587">
        <v>9968325</v>
      </c>
      <c r="C17" s="588">
        <v>24046.144</v>
      </c>
      <c r="D17" s="466">
        <v>2.4122552184043002E-3</v>
      </c>
      <c r="E17" s="465">
        <v>39490.673349547098</v>
      </c>
      <c r="F17" s="467">
        <v>3.9616157528518702E-3</v>
      </c>
      <c r="G17" s="468">
        <v>15444.5293495471</v>
      </c>
      <c r="H17" s="469">
        <v>1.54936053444757E-3</v>
      </c>
      <c r="I17" s="942"/>
      <c r="J17" s="942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</row>
    <row r="18" spans="1:22" ht="18.75">
      <c r="A18" s="586">
        <v>46279</v>
      </c>
      <c r="B18" s="587">
        <v>9775374</v>
      </c>
      <c r="C18" s="588">
        <v>23598</v>
      </c>
      <c r="D18" s="466">
        <v>2.4140252843522902E-3</v>
      </c>
      <c r="E18" s="465">
        <v>39159</v>
      </c>
      <c r="F18" s="467">
        <v>4.0058825370773501E-3</v>
      </c>
      <c r="G18" s="468">
        <v>15561</v>
      </c>
      <c r="H18" s="469">
        <v>1.59185725272506E-3</v>
      </c>
      <c r="I18" s="943"/>
      <c r="J18" s="943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</row>
    <row r="19" spans="1:22" ht="18.75">
      <c r="A19" s="463">
        <v>46280</v>
      </c>
      <c r="B19" s="464"/>
      <c r="C19" s="465"/>
      <c r="D19" s="466"/>
      <c r="E19" s="465"/>
      <c r="F19" s="467"/>
      <c r="G19" s="468"/>
      <c r="H19" s="469"/>
      <c r="I19" s="939">
        <v>0</v>
      </c>
      <c r="J19" s="939">
        <v>0</v>
      </c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</row>
    <row r="20" spans="1:22" ht="18.75">
      <c r="A20" s="463">
        <v>46281</v>
      </c>
      <c r="B20" s="464"/>
      <c r="C20" s="465"/>
      <c r="D20" s="466"/>
      <c r="E20" s="465"/>
      <c r="F20" s="467"/>
      <c r="G20" s="468"/>
      <c r="H20" s="469"/>
      <c r="I20" s="939"/>
      <c r="J20" s="939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</row>
    <row r="21" spans="1:22" ht="18.75">
      <c r="A21" s="463">
        <v>46282</v>
      </c>
      <c r="B21" s="464"/>
      <c r="C21" s="465"/>
      <c r="D21" s="466"/>
      <c r="E21" s="465"/>
      <c r="F21" s="467"/>
      <c r="G21" s="468"/>
      <c r="H21" s="469"/>
      <c r="I21" s="939"/>
      <c r="J21" s="939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</row>
    <row r="22" spans="1:22" ht="18.75">
      <c r="A22" s="463">
        <v>46283</v>
      </c>
      <c r="B22" s="464"/>
      <c r="C22" s="465"/>
      <c r="D22" s="466"/>
      <c r="E22" s="465"/>
      <c r="F22" s="467"/>
      <c r="G22" s="468"/>
      <c r="H22" s="469"/>
      <c r="I22" s="939"/>
      <c r="J22" s="939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1:22" ht="18.75">
      <c r="A23" s="463">
        <v>46284</v>
      </c>
      <c r="B23" s="464"/>
      <c r="C23" s="465"/>
      <c r="D23" s="466"/>
      <c r="E23" s="465"/>
      <c r="F23" s="467"/>
      <c r="G23" s="468"/>
      <c r="H23" s="469"/>
      <c r="I23" s="939"/>
      <c r="J23" s="939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</row>
    <row r="24" spans="1:22" ht="18.75">
      <c r="A24" s="463">
        <v>46285</v>
      </c>
      <c r="B24" s="464"/>
      <c r="C24" s="465"/>
      <c r="D24" s="466"/>
      <c r="E24" s="465"/>
      <c r="F24" s="467"/>
      <c r="G24" s="468"/>
      <c r="H24" s="469"/>
      <c r="I24" s="939"/>
      <c r="J24" s="939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</row>
    <row r="25" spans="1:22" ht="18.75">
      <c r="A25" s="463">
        <v>46286</v>
      </c>
      <c r="B25" s="464"/>
      <c r="C25" s="465"/>
      <c r="D25" s="466"/>
      <c r="E25" s="465"/>
      <c r="F25" s="467"/>
      <c r="G25" s="468"/>
      <c r="H25" s="469"/>
      <c r="I25" s="939"/>
      <c r="J25" s="939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</row>
    <row r="26" spans="1:22" ht="18.75">
      <c r="A26" s="470">
        <v>46287</v>
      </c>
      <c r="B26" s="464"/>
      <c r="C26" s="465"/>
      <c r="D26" s="466"/>
      <c r="E26" s="465"/>
      <c r="F26" s="467"/>
      <c r="G26" s="468"/>
      <c r="H26" s="469"/>
      <c r="I26" s="940">
        <v>0</v>
      </c>
      <c r="J26" s="940">
        <v>0</v>
      </c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</row>
    <row r="27" spans="1:22" ht="18.75">
      <c r="A27" s="470">
        <v>46288</v>
      </c>
      <c r="B27" s="464"/>
      <c r="C27" s="465"/>
      <c r="D27" s="466"/>
      <c r="E27" s="465"/>
      <c r="F27" s="467"/>
      <c r="G27" s="468"/>
      <c r="H27" s="469"/>
      <c r="I27" s="940"/>
      <c r="J27" s="940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</row>
    <row r="28" spans="1:22" ht="18.75">
      <c r="A28" s="470">
        <v>46289</v>
      </c>
      <c r="B28" s="464"/>
      <c r="C28" s="465"/>
      <c r="D28" s="466"/>
      <c r="E28" s="465"/>
      <c r="F28" s="467"/>
      <c r="G28" s="468"/>
      <c r="H28" s="469"/>
      <c r="I28" s="940"/>
      <c r="J28" s="940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</row>
    <row r="29" spans="1:22" ht="18.75">
      <c r="A29" s="470">
        <v>46290</v>
      </c>
      <c r="B29" s="464"/>
      <c r="C29" s="465"/>
      <c r="D29" s="466"/>
      <c r="E29" s="465"/>
      <c r="F29" s="467"/>
      <c r="G29" s="468"/>
      <c r="H29" s="469"/>
      <c r="I29" s="940"/>
      <c r="J29" s="940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</row>
    <row r="30" spans="1:22" ht="18.75">
      <c r="A30" s="470">
        <v>46291</v>
      </c>
      <c r="B30" s="464"/>
      <c r="C30" s="465"/>
      <c r="D30" s="466"/>
      <c r="E30" s="465"/>
      <c r="F30" s="467"/>
      <c r="G30" s="468"/>
      <c r="H30" s="469"/>
      <c r="I30" s="940"/>
      <c r="J30" s="940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</row>
    <row r="31" spans="1:22" ht="18.75">
      <c r="A31" s="470">
        <v>46292</v>
      </c>
      <c r="B31" s="464"/>
      <c r="C31" s="465"/>
      <c r="D31" s="466"/>
      <c r="E31" s="465"/>
      <c r="F31" s="467"/>
      <c r="G31" s="468"/>
      <c r="H31" s="469"/>
      <c r="I31" s="940"/>
      <c r="J31" s="940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</row>
    <row r="32" spans="1:22" ht="18.75">
      <c r="A32" s="470">
        <v>46293</v>
      </c>
      <c r="B32" s="464"/>
      <c r="C32" s="465"/>
      <c r="D32" s="466"/>
      <c r="E32" s="465"/>
      <c r="F32" s="467"/>
      <c r="G32" s="468"/>
      <c r="H32" s="469"/>
      <c r="I32" s="940"/>
      <c r="J32" s="940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</row>
    <row r="33" spans="1:22" ht="18.75">
      <c r="A33" s="463">
        <v>46294</v>
      </c>
      <c r="B33" s="464"/>
      <c r="C33" s="465"/>
      <c r="D33" s="466"/>
      <c r="E33" s="465"/>
      <c r="F33" s="467"/>
      <c r="G33" s="468"/>
      <c r="H33" s="469"/>
      <c r="I33" s="939">
        <v>0</v>
      </c>
      <c r="J33" s="939">
        <v>0</v>
      </c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</row>
    <row r="34" spans="1:22" ht="18.75">
      <c r="A34" s="463">
        <v>46295</v>
      </c>
      <c r="B34" s="464"/>
      <c r="C34" s="465"/>
      <c r="D34" s="466"/>
      <c r="E34" s="465"/>
      <c r="F34" s="467"/>
      <c r="G34" s="468"/>
      <c r="H34" s="469"/>
      <c r="I34" s="939"/>
      <c r="J34" s="939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</row>
    <row r="35" spans="1:22" ht="18.75">
      <c r="A35" s="463">
        <v>46296</v>
      </c>
      <c r="B35" s="464"/>
      <c r="C35" s="465"/>
      <c r="D35" s="466"/>
      <c r="E35" s="465"/>
      <c r="F35" s="467"/>
      <c r="G35" s="468"/>
      <c r="H35" s="469"/>
      <c r="I35" s="939"/>
      <c r="J35" s="939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</row>
    <row r="36" spans="1:22" ht="18.75">
      <c r="A36" s="463">
        <v>46297</v>
      </c>
      <c r="B36" s="464"/>
      <c r="C36" s="465"/>
      <c r="D36" s="466"/>
      <c r="E36" s="465"/>
      <c r="F36" s="467"/>
      <c r="G36" s="468"/>
      <c r="H36" s="469"/>
      <c r="I36" s="939"/>
      <c r="J36" s="939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</row>
    <row r="37" spans="1:22" ht="18.75">
      <c r="A37" s="463">
        <v>46298</v>
      </c>
      <c r="B37" s="464"/>
      <c r="C37" s="465"/>
      <c r="D37" s="466"/>
      <c r="E37" s="465"/>
      <c r="F37" s="467"/>
      <c r="G37" s="468"/>
      <c r="H37" s="469"/>
      <c r="I37" s="939"/>
      <c r="J37" s="939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</row>
    <row r="38" spans="1:22" ht="18.75">
      <c r="A38" s="463">
        <v>46299</v>
      </c>
      <c r="B38" s="464"/>
      <c r="C38" s="465"/>
      <c r="D38" s="466"/>
      <c r="E38" s="465"/>
      <c r="F38" s="467"/>
      <c r="G38" s="468"/>
      <c r="H38" s="469"/>
      <c r="I38" s="939"/>
      <c r="J38" s="939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</row>
    <row r="39" spans="1:22" ht="18.75">
      <c r="A39" s="463">
        <v>46300</v>
      </c>
      <c r="B39" s="464"/>
      <c r="C39" s="465"/>
      <c r="D39" s="466"/>
      <c r="E39" s="465"/>
      <c r="F39" s="467"/>
      <c r="G39" s="468"/>
      <c r="H39" s="469"/>
      <c r="I39" s="939"/>
      <c r="J39" s="939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</row>
    <row r="40" spans="1:22" ht="18.75">
      <c r="A40" s="470">
        <v>46301</v>
      </c>
      <c r="B40" s="464"/>
      <c r="C40" s="465"/>
      <c r="D40" s="466"/>
      <c r="E40" s="465"/>
      <c r="F40" s="467"/>
      <c r="G40" s="468"/>
      <c r="H40" s="469"/>
      <c r="I40" s="940">
        <v>0</v>
      </c>
      <c r="J40" s="940">
        <v>0</v>
      </c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</row>
    <row r="41" spans="1:22" ht="18.75">
      <c r="A41" s="470">
        <v>46302</v>
      </c>
      <c r="B41" s="464"/>
      <c r="C41" s="465"/>
      <c r="D41" s="466"/>
      <c r="E41" s="465"/>
      <c r="F41" s="467"/>
      <c r="G41" s="468"/>
      <c r="H41" s="469"/>
      <c r="I41" s="940"/>
      <c r="J41" s="940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</row>
    <row r="42" spans="1:22" ht="18.75">
      <c r="A42" s="470">
        <v>46303</v>
      </c>
      <c r="B42" s="464"/>
      <c r="C42" s="465"/>
      <c r="D42" s="466"/>
      <c r="E42" s="465"/>
      <c r="F42" s="467"/>
      <c r="G42" s="468"/>
      <c r="H42" s="469"/>
      <c r="I42" s="940"/>
      <c r="J42" s="940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</row>
    <row r="43" spans="1:22" ht="18.75">
      <c r="A43" s="470">
        <v>46304</v>
      </c>
      <c r="B43" s="464"/>
      <c r="C43" s="465"/>
      <c r="D43" s="466"/>
      <c r="E43" s="465"/>
      <c r="F43" s="467"/>
      <c r="G43" s="468"/>
      <c r="H43" s="469"/>
      <c r="I43" s="940"/>
      <c r="J43" s="940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</row>
    <row r="44" spans="1:22" ht="18.75">
      <c r="A44" s="470">
        <v>46305</v>
      </c>
      <c r="B44" s="464"/>
      <c r="C44" s="465"/>
      <c r="D44" s="466"/>
      <c r="E44" s="465"/>
      <c r="F44" s="467"/>
      <c r="G44" s="468"/>
      <c r="H44" s="469"/>
      <c r="I44" s="940"/>
      <c r="J44" s="940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</row>
    <row r="45" spans="1:22" ht="18.75">
      <c r="A45" s="470">
        <v>46306</v>
      </c>
      <c r="B45" s="464"/>
      <c r="C45" s="465"/>
      <c r="D45" s="466"/>
      <c r="E45" s="465"/>
      <c r="F45" s="467"/>
      <c r="G45" s="468"/>
      <c r="H45" s="469"/>
      <c r="I45" s="940"/>
      <c r="J45" s="940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</row>
    <row r="46" spans="1:22" ht="18.75">
      <c r="A46" s="470">
        <v>46307</v>
      </c>
      <c r="B46" s="464"/>
      <c r="C46" s="465"/>
      <c r="D46" s="466"/>
      <c r="E46" s="465"/>
      <c r="F46" s="467"/>
      <c r="G46" s="468"/>
      <c r="H46" s="469"/>
      <c r="I46" s="940"/>
      <c r="J46" s="940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</row>
    <row r="47" spans="1:22" ht="18.75">
      <c r="A47" s="445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</row>
    <row r="48" spans="1:22" ht="18.75">
      <c r="A48" s="471" t="s">
        <v>639</v>
      </c>
      <c r="B48" s="472">
        <v>125596411</v>
      </c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</row>
    <row r="49" spans="1:22" ht="18.75">
      <c r="A49" s="445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3" priority="2" timePeriod="yesterday">
      <formula>FLOOR(A5,1)=TODAY()-1</formula>
    </cfRule>
  </conditionalFormatting>
  <conditionalFormatting sqref="D5:D18">
    <cfRule type="cellIs" dxfId="2" priority="1" operator="greaterThan">
      <formula>0.0025</formula>
    </cfRule>
  </conditionalFormatting>
  <conditionalFormatting sqref="D19:D46">
    <cfRule type="cellIs" dxfId="1" priority="3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3"/>
    <col min="3" max="3" width="14" style="203" bestFit="1" customWidth="1"/>
    <col min="4" max="4" width="0.28515625" style="203" customWidth="1"/>
    <col min="5" max="5" width="8.7109375" style="203"/>
    <col min="6" max="6" width="16.28515625" style="203" bestFit="1" customWidth="1"/>
    <col min="7" max="16384" width="8.7109375" style="203"/>
  </cols>
  <sheetData>
    <row r="2" spans="2:7" ht="15.75">
      <c r="B2" s="957" t="s">
        <v>233</v>
      </c>
      <c r="C2" s="957"/>
      <c r="D2" s="957"/>
      <c r="E2" s="957"/>
      <c r="F2" s="957"/>
    </row>
    <row r="3" spans="2:7" ht="15">
      <c r="B3" s="204" t="s">
        <v>234</v>
      </c>
      <c r="C3" s="204" t="s">
        <v>235</v>
      </c>
      <c r="D3" s="205"/>
      <c r="E3" s="204" t="s">
        <v>236</v>
      </c>
      <c r="F3" s="204" t="s">
        <v>237</v>
      </c>
      <c r="G3" s="205"/>
    </row>
    <row r="4" spans="2:7" ht="15">
      <c r="B4" s="206" t="s">
        <v>238</v>
      </c>
      <c r="C4" s="206" t="s">
        <v>239</v>
      </c>
      <c r="D4" s="205"/>
      <c r="E4" s="206" t="s">
        <v>240</v>
      </c>
      <c r="F4" s="206" t="s">
        <v>241</v>
      </c>
      <c r="G4" s="205"/>
    </row>
    <row r="5" spans="2:7" ht="15">
      <c r="B5" s="206" t="s">
        <v>242</v>
      </c>
      <c r="C5" s="206" t="s">
        <v>243</v>
      </c>
      <c r="D5" s="205"/>
      <c r="E5" s="206" t="s">
        <v>244</v>
      </c>
      <c r="F5" s="206" t="s">
        <v>245</v>
      </c>
      <c r="G5" s="205"/>
    </row>
    <row r="6" spans="2:7" ht="15">
      <c r="B6" s="206" t="s">
        <v>246</v>
      </c>
      <c r="C6" s="206" t="s">
        <v>247</v>
      </c>
      <c r="D6" s="205"/>
      <c r="E6" s="207" t="s">
        <v>248</v>
      </c>
      <c r="F6" s="207" t="s">
        <v>136</v>
      </c>
      <c r="G6" s="205"/>
    </row>
    <row r="7" spans="2:7" ht="15">
      <c r="B7" s="207" t="s">
        <v>249</v>
      </c>
      <c r="C7" s="207" t="s">
        <v>250</v>
      </c>
      <c r="D7" s="205"/>
      <c r="E7" s="206" t="s">
        <v>251</v>
      </c>
      <c r="F7" s="206" t="s">
        <v>252</v>
      </c>
      <c r="G7" s="205"/>
    </row>
    <row r="8" spans="2:7" ht="15">
      <c r="B8" s="206" t="s">
        <v>253</v>
      </c>
      <c r="C8" s="206" t="s">
        <v>254</v>
      </c>
      <c r="D8" s="205"/>
      <c r="E8" s="206" t="s">
        <v>255</v>
      </c>
      <c r="F8" s="206" t="s">
        <v>256</v>
      </c>
      <c r="G8" s="205"/>
    </row>
    <row r="9" spans="2:7" ht="15">
      <c r="B9" s="206" t="s">
        <v>257</v>
      </c>
      <c r="C9" s="206" t="s">
        <v>258</v>
      </c>
      <c r="D9" s="205"/>
      <c r="E9" s="207" t="s">
        <v>259</v>
      </c>
      <c r="F9" s="207" t="s">
        <v>135</v>
      </c>
      <c r="G9" s="205"/>
    </row>
    <row r="10" spans="2:7" ht="15">
      <c r="B10" s="206" t="s">
        <v>260</v>
      </c>
      <c r="C10" s="206" t="s">
        <v>261</v>
      </c>
      <c r="D10" s="205"/>
      <c r="E10" s="206" t="s">
        <v>262</v>
      </c>
      <c r="F10" s="206" t="s">
        <v>263</v>
      </c>
      <c r="G10" s="205"/>
    </row>
    <row r="11" spans="2:7" ht="15">
      <c r="B11" s="206" t="s">
        <v>264</v>
      </c>
      <c r="C11" s="206" t="s">
        <v>265</v>
      </c>
      <c r="D11" s="205"/>
      <c r="E11" s="206" t="s">
        <v>266</v>
      </c>
      <c r="F11" s="206" t="s">
        <v>256</v>
      </c>
      <c r="G11" s="205"/>
    </row>
    <row r="12" spans="2:7" ht="15">
      <c r="B12" s="206" t="s">
        <v>267</v>
      </c>
      <c r="C12" s="206" t="s">
        <v>268</v>
      </c>
      <c r="D12" s="205"/>
      <c r="E12" s="206" t="s">
        <v>269</v>
      </c>
      <c r="F12" s="206" t="s">
        <v>270</v>
      </c>
      <c r="G12" s="205"/>
    </row>
    <row r="13" spans="2:7" ht="15">
      <c r="B13" s="207" t="s">
        <v>271</v>
      </c>
      <c r="C13" s="207" t="s">
        <v>131</v>
      </c>
      <c r="D13" s="205"/>
      <c r="E13" s="206" t="s">
        <v>272</v>
      </c>
      <c r="F13" s="206" t="s">
        <v>273</v>
      </c>
      <c r="G13" s="205"/>
    </row>
    <row r="14" spans="2:7" ht="15">
      <c r="B14" s="206" t="s">
        <v>274</v>
      </c>
      <c r="C14" s="206" t="s">
        <v>275</v>
      </c>
      <c r="D14" s="205"/>
      <c r="E14" s="207" t="s">
        <v>276</v>
      </c>
      <c r="F14" s="207" t="s">
        <v>277</v>
      </c>
      <c r="G14" s="205"/>
    </row>
    <row r="15" spans="2:7" ht="15">
      <c r="B15" s="207" t="s">
        <v>278</v>
      </c>
      <c r="C15" s="207" t="s">
        <v>279</v>
      </c>
      <c r="D15" s="205"/>
      <c r="E15" s="206" t="s">
        <v>280</v>
      </c>
      <c r="F15" s="206" t="s">
        <v>277</v>
      </c>
      <c r="G15" s="205"/>
    </row>
    <row r="16" spans="2:7" ht="15">
      <c r="B16" s="206" t="s">
        <v>281</v>
      </c>
      <c r="C16" s="206" t="s">
        <v>282</v>
      </c>
      <c r="D16" s="205"/>
      <c r="E16" s="207" t="s">
        <v>283</v>
      </c>
      <c r="F16" s="207" t="s">
        <v>284</v>
      </c>
      <c r="G16" s="205"/>
    </row>
    <row r="17" spans="2:7" ht="15">
      <c r="B17" s="206" t="s">
        <v>285</v>
      </c>
      <c r="C17" s="206" t="s">
        <v>286</v>
      </c>
      <c r="D17" s="205"/>
      <c r="E17" s="206" t="s">
        <v>287</v>
      </c>
      <c r="F17" s="206" t="s">
        <v>288</v>
      </c>
      <c r="G17" s="205"/>
    </row>
    <row r="18" spans="2:7" ht="15">
      <c r="B18" s="206" t="s">
        <v>289</v>
      </c>
      <c r="C18" s="206" t="s">
        <v>290</v>
      </c>
      <c r="D18" s="205"/>
      <c r="E18" s="206" t="s">
        <v>291</v>
      </c>
      <c r="F18" s="206" t="s">
        <v>292</v>
      </c>
      <c r="G18" s="205"/>
    </row>
    <row r="19" spans="2:7" ht="15">
      <c r="B19" s="206" t="s">
        <v>293</v>
      </c>
      <c r="C19" s="206" t="s">
        <v>294</v>
      </c>
      <c r="D19" s="205"/>
      <c r="E19" s="206" t="s">
        <v>295</v>
      </c>
      <c r="F19" s="206" t="s">
        <v>296</v>
      </c>
      <c r="G19" s="205"/>
    </row>
    <row r="20" spans="2:7" ht="15">
      <c r="B20" s="206" t="s">
        <v>297</v>
      </c>
      <c r="C20" s="206" t="s">
        <v>298</v>
      </c>
      <c r="D20" s="205"/>
      <c r="G20" s="205"/>
    </row>
    <row r="21" spans="2:7" ht="15">
      <c r="D21" s="205"/>
      <c r="G21" s="205"/>
    </row>
    <row r="22" spans="2:7" ht="15">
      <c r="D22" s="205"/>
      <c r="G22" s="205"/>
    </row>
    <row r="23" spans="2:7" ht="15">
      <c r="D23" s="205"/>
      <c r="G23" s="205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E7FFB3-0502-43C5-8254-48CBFCF2EDF0}"/>
</file>

<file path=customXml/itemProps2.xml><?xml version="1.0" encoding="utf-8"?>
<ds:datastoreItem xmlns:ds="http://schemas.openxmlformats.org/officeDocument/2006/customXml" ds:itemID="{59871517-0753-4B75-9D34-CE7CFB3B12CC}"/>
</file>

<file path=customXml/itemProps3.xml><?xml version="1.0" encoding="utf-8"?>
<ds:datastoreItem xmlns:ds="http://schemas.openxmlformats.org/officeDocument/2006/customXml" ds:itemID="{06A61BB2-7BF7-4F07-AD49-3BA6B7662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2026-09-16T10:28:42Z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