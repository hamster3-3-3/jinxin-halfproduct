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01\"/>
    </mc:Choice>
  </mc:AlternateContent>
  <bookViews>
    <workbookView xWindow="0" yWindow="0" windowWidth="28800" windowHeight="11115" tabRatio="924" firstSheet="20" activeTab="2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" i="46" l="1"/>
  <c r="B324" i="41"/>
  <c r="B323" i="41"/>
  <c r="B311" i="41"/>
  <c r="B310" i="41"/>
  <c r="G309" i="41"/>
  <c r="C309" i="41"/>
  <c r="K308" i="41"/>
  <c r="G308" i="41"/>
  <c r="C308" i="41"/>
  <c r="AC9" i="47" l="1"/>
  <c r="AB9" i="47"/>
  <c r="AB9" i="46"/>
  <c r="M327" i="41" l="1"/>
  <c r="K327" i="41"/>
  <c r="I327" i="41"/>
  <c r="G327" i="41"/>
  <c r="M326" i="41"/>
  <c r="M322" i="41"/>
  <c r="K322" i="41"/>
  <c r="I322" i="41"/>
  <c r="G322" i="41"/>
  <c r="C322" i="41"/>
  <c r="K321" i="41"/>
  <c r="G321" i="41"/>
  <c r="C321" i="41"/>
  <c r="K78" i="32" l="1"/>
  <c r="J78" i="32"/>
  <c r="I78" i="32"/>
  <c r="K73" i="30"/>
  <c r="J73" i="30"/>
  <c r="I73" i="30"/>
  <c r="K135" i="8" l="1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58" i="32"/>
  <c r="J58" i="32"/>
  <c r="I58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O18" i="48"/>
  <c r="N18" i="48"/>
  <c r="M18" i="48"/>
  <c r="O11" i="48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O4" i="48"/>
  <c r="N4" i="48"/>
  <c r="M4" i="48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K33" i="30"/>
  <c r="J33" i="30"/>
  <c r="I33" i="30"/>
  <c r="G33" i="30"/>
  <c r="F33" i="30"/>
  <c r="E33" i="30"/>
  <c r="AW32" i="30"/>
  <c r="AR32" i="30"/>
  <c r="AM32" i="30"/>
  <c r="AH32" i="30"/>
  <c r="AC32" i="30"/>
  <c r="X32" i="30"/>
  <c r="S32" i="30"/>
  <c r="K32" i="30"/>
  <c r="J32" i="30"/>
  <c r="I32" i="30"/>
  <c r="G32" i="30"/>
  <c r="F32" i="30"/>
  <c r="E32" i="30"/>
  <c r="AW31" i="30"/>
  <c r="AR31" i="30"/>
  <c r="AM31" i="30"/>
  <c r="AH31" i="30"/>
  <c r="AC31" i="30"/>
  <c r="X31" i="30"/>
  <c r="S31" i="30"/>
  <c r="K31" i="30"/>
  <c r="J31" i="30"/>
  <c r="I31" i="30"/>
  <c r="G31" i="30"/>
  <c r="F31" i="30"/>
  <c r="E31" i="30"/>
  <c r="AW30" i="30"/>
  <c r="AR30" i="30"/>
  <c r="AM30" i="30"/>
  <c r="AH30" i="30"/>
  <c r="AC30" i="30"/>
  <c r="X30" i="30"/>
  <c r="S30" i="30"/>
  <c r="K30" i="30"/>
  <c r="M30" i="30" s="1"/>
  <c r="J30" i="30"/>
  <c r="I30" i="30"/>
  <c r="G30" i="30"/>
  <c r="F30" i="30"/>
  <c r="E30" i="30"/>
  <c r="AW29" i="30"/>
  <c r="AR29" i="30"/>
  <c r="AM29" i="30"/>
  <c r="AH29" i="30"/>
  <c r="AC29" i="30"/>
  <c r="X29" i="30"/>
  <c r="S29" i="30"/>
  <c r="K29" i="30"/>
  <c r="M29" i="30" s="1"/>
  <c r="J29" i="30"/>
  <c r="I29" i="30"/>
  <c r="G29" i="30"/>
  <c r="F29" i="30"/>
  <c r="E29" i="30"/>
  <c r="AW28" i="30"/>
  <c r="AR28" i="30"/>
  <c r="AM28" i="30"/>
  <c r="AH28" i="30"/>
  <c r="AC28" i="30"/>
  <c r="X28" i="30"/>
  <c r="S28" i="30"/>
  <c r="M28" i="30"/>
  <c r="K28" i="30"/>
  <c r="J28" i="30"/>
  <c r="I28" i="30"/>
  <c r="G28" i="30"/>
  <c r="F28" i="30"/>
  <c r="E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M32" i="30" s="1"/>
  <c r="J27" i="30"/>
  <c r="I27" i="30"/>
  <c r="G27" i="30"/>
  <c r="F27" i="30"/>
  <c r="E27" i="30"/>
  <c r="L27" i="30" l="1"/>
  <c r="M27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Z2" i="35"/>
  <c r="AE2" i="35" s="1"/>
  <c r="AJ2" i="35" s="1"/>
  <c r="AO2" i="35" s="1"/>
  <c r="AT2" i="35" s="1"/>
  <c r="P22" i="35" s="1"/>
  <c r="Z2" i="37"/>
  <c r="AE2" i="37" s="1"/>
  <c r="AJ2" i="37" s="1"/>
  <c r="AO2" i="37" s="1"/>
  <c r="AT2" i="37" s="1"/>
  <c r="P22" i="37" s="1"/>
  <c r="U2" i="35"/>
  <c r="U2" i="36"/>
  <c r="Z2" i="36" s="1"/>
  <c r="AE2" i="36" s="1"/>
  <c r="AJ2" i="36" s="1"/>
  <c r="AO2" i="36" s="1"/>
  <c r="AT2" i="36" s="1"/>
  <c r="P22" i="36" s="1"/>
  <c r="U2" i="37"/>
  <c r="U2" i="34"/>
  <c r="Z2" i="34" s="1"/>
  <c r="AE2" i="34" s="1"/>
  <c r="AJ2" i="34" s="1"/>
  <c r="AO2" i="34" s="1"/>
  <c r="AT2" i="34" s="1"/>
  <c r="P22" i="34" s="1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M12" i="35" s="1"/>
  <c r="J12" i="35"/>
  <c r="I12" i="35"/>
  <c r="K11" i="35"/>
  <c r="M11" i="35" s="1"/>
  <c r="J11" i="35"/>
  <c r="I11" i="35"/>
  <c r="K10" i="35"/>
  <c r="M10" i="35" s="1"/>
  <c r="J10" i="35"/>
  <c r="I10" i="35"/>
  <c r="K9" i="35"/>
  <c r="M9" i="35" s="1"/>
  <c r="J9" i="35"/>
  <c r="I9" i="35"/>
  <c r="K8" i="35"/>
  <c r="M8" i="35" s="1"/>
  <c r="J8" i="35"/>
  <c r="I8" i="35"/>
  <c r="AX7" i="35"/>
  <c r="AS7" i="35"/>
  <c r="AN7" i="35"/>
  <c r="AI7" i="35"/>
  <c r="AD7" i="35"/>
  <c r="Y7" i="35"/>
  <c r="T7" i="35"/>
  <c r="K7" i="35"/>
  <c r="M7" i="35" s="1"/>
  <c r="J7" i="35"/>
  <c r="I7" i="35"/>
  <c r="H7" i="35"/>
  <c r="K11" i="36"/>
  <c r="M11" i="36" s="1"/>
  <c r="J11" i="36"/>
  <c r="I11" i="36"/>
  <c r="K10" i="36"/>
  <c r="M10" i="36" s="1"/>
  <c r="J10" i="36"/>
  <c r="I10" i="36"/>
  <c r="K9" i="36"/>
  <c r="M9" i="36" s="1"/>
  <c r="J9" i="36"/>
  <c r="I9" i="36"/>
  <c r="K8" i="36"/>
  <c r="M8" i="36" s="1"/>
  <c r="J8" i="36"/>
  <c r="I8" i="36"/>
  <c r="AX7" i="36"/>
  <c r="AS7" i="36"/>
  <c r="AN7" i="36"/>
  <c r="AI7" i="36"/>
  <c r="AD7" i="36"/>
  <c r="Y7" i="36"/>
  <c r="T7" i="36"/>
  <c r="K7" i="36"/>
  <c r="L7" i="36" s="1"/>
  <c r="J7" i="36"/>
  <c r="I7" i="36"/>
  <c r="H7" i="36"/>
  <c r="K14" i="37"/>
  <c r="M14" i="37" s="1"/>
  <c r="J14" i="37"/>
  <c r="I14" i="37"/>
  <c r="K13" i="37"/>
  <c r="M13" i="37" s="1"/>
  <c r="J13" i="37"/>
  <c r="I13" i="37"/>
  <c r="K12" i="37"/>
  <c r="M12" i="37" s="1"/>
  <c r="J12" i="37"/>
  <c r="I12" i="37"/>
  <c r="K11" i="37"/>
  <c r="M11" i="37" s="1"/>
  <c r="J11" i="37"/>
  <c r="I11" i="37"/>
  <c r="K10" i="37"/>
  <c r="M10" i="37" s="1"/>
  <c r="J10" i="37"/>
  <c r="I10" i="37"/>
  <c r="K9" i="37"/>
  <c r="M9" i="37" s="1"/>
  <c r="J9" i="37"/>
  <c r="I9" i="37"/>
  <c r="K8" i="37"/>
  <c r="M8" i="37" s="1"/>
  <c r="J8" i="37"/>
  <c r="I8" i="37"/>
  <c r="AX7" i="37"/>
  <c r="AS7" i="37"/>
  <c r="AN7" i="37"/>
  <c r="AI7" i="37"/>
  <c r="AD7" i="37"/>
  <c r="Y7" i="37"/>
  <c r="T7" i="37"/>
  <c r="K7" i="37"/>
  <c r="M21" i="37" s="1"/>
  <c r="J7" i="37"/>
  <c r="I7" i="37"/>
  <c r="H7" i="37"/>
  <c r="K16" i="34"/>
  <c r="M16" i="34" s="1"/>
  <c r="J16" i="34"/>
  <c r="I16" i="34"/>
  <c r="K15" i="34"/>
  <c r="M15" i="34" s="1"/>
  <c r="J15" i="34"/>
  <c r="I15" i="34"/>
  <c r="K14" i="34"/>
  <c r="M14" i="34" s="1"/>
  <c r="J14" i="34"/>
  <c r="I14" i="34"/>
  <c r="K13" i="34"/>
  <c r="M13" i="34" s="1"/>
  <c r="J13" i="34"/>
  <c r="I13" i="34"/>
  <c r="K12" i="34"/>
  <c r="M12" i="34" s="1"/>
  <c r="J12" i="34"/>
  <c r="I12" i="34"/>
  <c r="K11" i="34"/>
  <c r="M11" i="34" s="1"/>
  <c r="J11" i="34"/>
  <c r="I11" i="34"/>
  <c r="K10" i="34"/>
  <c r="M10" i="34" s="1"/>
  <c r="J10" i="34"/>
  <c r="I10" i="34"/>
  <c r="K9" i="34"/>
  <c r="M9" i="34" s="1"/>
  <c r="J9" i="34"/>
  <c r="I9" i="34"/>
  <c r="K8" i="34"/>
  <c r="M8" i="34" s="1"/>
  <c r="J8" i="34"/>
  <c r="I8" i="34"/>
  <c r="AX7" i="34"/>
  <c r="AS7" i="34"/>
  <c r="AN7" i="34"/>
  <c r="AI7" i="34"/>
  <c r="AD7" i="34"/>
  <c r="Y7" i="34"/>
  <c r="T7" i="34"/>
  <c r="K7" i="34"/>
  <c r="L7" i="34" s="1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0" i="33"/>
  <c r="M30" i="33" s="1"/>
  <c r="J30" i="33"/>
  <c r="I30" i="33"/>
  <c r="K29" i="33"/>
  <c r="M29" i="33" s="1"/>
  <c r="J29" i="33"/>
  <c r="I29" i="33"/>
  <c r="K28" i="33"/>
  <c r="M28" i="33" s="1"/>
  <c r="J28" i="33"/>
  <c r="I28" i="33"/>
  <c r="K27" i="33"/>
  <c r="M27" i="33" s="1"/>
  <c r="J27" i="33"/>
  <c r="I27" i="33"/>
  <c r="K26" i="33"/>
  <c r="M26" i="33" s="1"/>
  <c r="J26" i="33"/>
  <c r="I26" i="33"/>
  <c r="K25" i="33"/>
  <c r="M25" i="33" s="1"/>
  <c r="J25" i="33"/>
  <c r="I25" i="33"/>
  <c r="K24" i="33"/>
  <c r="M24" i="33" s="1"/>
  <c r="J24" i="33"/>
  <c r="I24" i="33"/>
  <c r="K23" i="33"/>
  <c r="M23" i="33" s="1"/>
  <c r="J23" i="33"/>
  <c r="I23" i="33"/>
  <c r="K22" i="33"/>
  <c r="M22" i="33" s="1"/>
  <c r="J22" i="33"/>
  <c r="I22" i="33"/>
  <c r="K21" i="33"/>
  <c r="M21" i="33" s="1"/>
  <c r="J21" i="33"/>
  <c r="I21" i="33"/>
  <c r="K20" i="33"/>
  <c r="M20" i="33" s="1"/>
  <c r="J20" i="33"/>
  <c r="I20" i="33"/>
  <c r="K19" i="33"/>
  <c r="M19" i="33" s="1"/>
  <c r="J19" i="33"/>
  <c r="I19" i="33"/>
  <c r="K18" i="33"/>
  <c r="M18" i="33" s="1"/>
  <c r="J18" i="33"/>
  <c r="I18" i="33"/>
  <c r="K17" i="33"/>
  <c r="M17" i="33" s="1"/>
  <c r="J17" i="33"/>
  <c r="I17" i="33"/>
  <c r="K16" i="33"/>
  <c r="M16" i="33" s="1"/>
  <c r="J16" i="33"/>
  <c r="I16" i="33"/>
  <c r="K15" i="33"/>
  <c r="M15" i="33" s="1"/>
  <c r="J15" i="33"/>
  <c r="I15" i="33"/>
  <c r="K14" i="33"/>
  <c r="M14" i="33" s="1"/>
  <c r="J14" i="33"/>
  <c r="I14" i="33"/>
  <c r="K13" i="33"/>
  <c r="M13" i="33" s="1"/>
  <c r="J13" i="33"/>
  <c r="I13" i="33"/>
  <c r="K12" i="33"/>
  <c r="M12" i="33" s="1"/>
  <c r="J12" i="33"/>
  <c r="I12" i="33"/>
  <c r="K11" i="33"/>
  <c r="M11" i="33" s="1"/>
  <c r="J11" i="33"/>
  <c r="I11" i="33"/>
  <c r="K10" i="33"/>
  <c r="M10" i="33" s="1"/>
  <c r="J10" i="33"/>
  <c r="I10" i="33"/>
  <c r="K9" i="33"/>
  <c r="M9" i="33" s="1"/>
  <c r="J9" i="33"/>
  <c r="I9" i="33"/>
  <c r="K8" i="33"/>
  <c r="M8" i="33" s="1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P22" i="31"/>
  <c r="P22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M15" i="32" s="1"/>
  <c r="J15" i="32"/>
  <c r="I15" i="32"/>
  <c r="K14" i="32"/>
  <c r="M14" i="32" s="1"/>
  <c r="J14" i="32"/>
  <c r="I14" i="32"/>
  <c r="K13" i="32"/>
  <c r="M13" i="32" s="1"/>
  <c r="J13" i="32"/>
  <c r="I13" i="32"/>
  <c r="K12" i="32"/>
  <c r="M12" i="32" s="1"/>
  <c r="J12" i="32"/>
  <c r="I12" i="32"/>
  <c r="K11" i="32"/>
  <c r="J11" i="32"/>
  <c r="I11" i="32"/>
  <c r="K10" i="32"/>
  <c r="M11" i="32" s="1"/>
  <c r="J10" i="32"/>
  <c r="I10" i="32"/>
  <c r="K9" i="32"/>
  <c r="J9" i="32"/>
  <c r="I9" i="32"/>
  <c r="K8" i="32"/>
  <c r="M8" i="32" s="1"/>
  <c r="J8" i="32"/>
  <c r="I8" i="32"/>
  <c r="AX7" i="32"/>
  <c r="AS7" i="32"/>
  <c r="AN7" i="32"/>
  <c r="AI7" i="32"/>
  <c r="AD7" i="32"/>
  <c r="Y7" i="32"/>
  <c r="T7" i="32"/>
  <c r="K7" i="32"/>
  <c r="M19" i="32" s="1"/>
  <c r="J7" i="32"/>
  <c r="I7" i="32"/>
  <c r="H7" i="32"/>
  <c r="L7" i="33" l="1"/>
  <c r="M32" i="33"/>
  <c r="M7" i="34"/>
  <c r="M12" i="36"/>
  <c r="M16" i="32"/>
  <c r="M33" i="33"/>
  <c r="M7" i="37"/>
  <c r="M17" i="34"/>
  <c r="M15" i="37"/>
  <c r="M13" i="36"/>
  <c r="M17" i="32"/>
  <c r="M34" i="33"/>
  <c r="M7" i="36"/>
  <c r="M18" i="34"/>
  <c r="M16" i="37"/>
  <c r="M14" i="36"/>
  <c r="M35" i="33"/>
  <c r="M19" i="34"/>
  <c r="M17" i="37"/>
  <c r="M15" i="36"/>
  <c r="M18" i="32"/>
  <c r="M7" i="32"/>
  <c r="M36" i="33"/>
  <c r="M20" i="34"/>
  <c r="M18" i="37"/>
  <c r="M16" i="36"/>
  <c r="L7" i="32"/>
  <c r="M20" i="32"/>
  <c r="L7" i="35"/>
  <c r="M21" i="34"/>
  <c r="M19" i="37"/>
  <c r="M17" i="36"/>
  <c r="M9" i="32"/>
  <c r="M20" i="37"/>
  <c r="M18" i="36"/>
  <c r="M16" i="35"/>
  <c r="M21" i="32"/>
  <c r="M10" i="32"/>
  <c r="M19" i="36"/>
  <c r="M17" i="35"/>
  <c r="L7" i="37"/>
  <c r="M20" i="36"/>
  <c r="M18" i="35"/>
  <c r="M21" i="36"/>
  <c r="M19" i="35"/>
  <c r="M20" i="35"/>
  <c r="M7" i="33"/>
  <c r="M31" i="33"/>
  <c r="M21" i="35"/>
  <c r="M11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M10" i="30" s="1"/>
  <c r="J10" i="30"/>
  <c r="I10" i="30"/>
  <c r="K9" i="30"/>
  <c r="M9" i="30" s="1"/>
  <c r="J9" i="30"/>
  <c r="I9" i="30"/>
  <c r="K8" i="30"/>
  <c r="M8" i="30" s="1"/>
  <c r="J8" i="30"/>
  <c r="I8" i="30"/>
  <c r="AX7" i="30"/>
  <c r="AS7" i="30"/>
  <c r="AN7" i="30"/>
  <c r="AI7" i="30"/>
  <c r="AD7" i="30"/>
  <c r="Y7" i="30"/>
  <c r="T7" i="30"/>
  <c r="K7" i="30"/>
  <c r="M21" i="30" s="1"/>
  <c r="J7" i="30"/>
  <c r="I7" i="30"/>
  <c r="H7" i="30"/>
  <c r="P3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M14" i="30" l="1"/>
  <c r="M15" i="30"/>
  <c r="M16" i="30"/>
  <c r="M17" i="30"/>
  <c r="M18" i="30"/>
  <c r="M7" i="30"/>
  <c r="M19" i="30"/>
  <c r="L7" i="30"/>
  <c r="M20" i="30"/>
  <c r="L7" i="8"/>
  <c r="D7" i="6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V31" i="5"/>
  <c r="V24" i="5"/>
  <c r="I11" i="39" s="1"/>
  <c r="V17" i="5"/>
  <c r="V10" i="5"/>
  <c r="V5" i="5"/>
  <c r="S31" i="5"/>
  <c r="S24" i="5"/>
  <c r="S17" i="5"/>
  <c r="S10" i="5"/>
  <c r="S5" i="5"/>
  <c r="P31" i="5"/>
  <c r="P24" i="5"/>
  <c r="I9" i="39" s="1"/>
  <c r="P17" i="5"/>
  <c r="P10" i="5"/>
  <c r="P5" i="5"/>
  <c r="M31" i="5"/>
  <c r="M24" i="5"/>
  <c r="I8" i="39" s="1"/>
  <c r="M17" i="5"/>
  <c r="M10" i="5"/>
  <c r="M5" i="5"/>
  <c r="S31" i="3"/>
  <c r="S24" i="3"/>
  <c r="B10" i="39" s="1"/>
  <c r="S17" i="3"/>
  <c r="S10" i="3"/>
  <c r="S6" i="3"/>
  <c r="M31" i="3"/>
  <c r="M24" i="3"/>
  <c r="B8" i="39" s="1"/>
  <c r="M17" i="3"/>
  <c r="M10" i="3"/>
  <c r="M6" i="3"/>
  <c r="J31" i="3"/>
  <c r="J24" i="3"/>
  <c r="B7" i="39" s="1"/>
  <c r="J17" i="3"/>
  <c r="J10" i="3"/>
  <c r="J6" i="3"/>
  <c r="G31" i="3"/>
  <c r="G24" i="3"/>
  <c r="B6" i="39" s="1"/>
  <c r="G17" i="3"/>
  <c r="G10" i="3"/>
  <c r="G6" i="3"/>
  <c r="G31" i="5"/>
  <c r="G24" i="5"/>
  <c r="I6" i="39" s="1"/>
  <c r="G17" i="5"/>
  <c r="G10" i="5"/>
  <c r="G5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5" i="3"/>
  <c r="D6" i="3" s="1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O32" i="48" l="1"/>
  <c r="N32" i="48"/>
  <c r="M32" i="48"/>
  <c r="M288" i="4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M113" i="30" s="1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M109" i="30" s="1"/>
  <c r="J109" i="30"/>
  <c r="I109" i="30"/>
  <c r="AW108" i="30"/>
  <c r="AR108" i="30"/>
  <c r="AM108" i="30"/>
  <c r="AH108" i="30"/>
  <c r="AC108" i="30"/>
  <c r="X108" i="30"/>
  <c r="S108" i="30"/>
  <c r="K108" i="30"/>
  <c r="M108" i="30" s="1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34" i="8"/>
  <c r="M30" i="8"/>
  <c r="M22" i="8"/>
  <c r="M14" i="8"/>
  <c r="M33" i="8"/>
  <c r="M29" i="8"/>
  <c r="M24" i="8"/>
  <c r="M16" i="8"/>
  <c r="M8" i="8"/>
  <c r="M36" i="8"/>
  <c r="M32" i="8"/>
  <c r="M28" i="8"/>
  <c r="M26" i="8"/>
  <c r="M18" i="8"/>
  <c r="M10" i="8"/>
  <c r="M35" i="8"/>
  <c r="M31" i="8"/>
  <c r="M20" i="8"/>
  <c r="M12" i="8"/>
  <c r="M19" i="8"/>
  <c r="M25" i="8"/>
  <c r="M13" i="8"/>
  <c r="M27" i="8"/>
  <c r="M21" i="8"/>
  <c r="M9" i="8"/>
  <c r="M23" i="8"/>
  <c r="M11" i="8"/>
  <c r="M17" i="8"/>
  <c r="M7" i="8"/>
  <c r="M15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I77" i="32"/>
  <c r="K77" i="32"/>
  <c r="J76" i="32"/>
  <c r="K76" i="32"/>
  <c r="K138" i="33" l="1"/>
  <c r="J77" i="32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5" i="35"/>
  <c r="J35" i="35"/>
  <c r="I35" i="35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AB43" i="6"/>
  <c r="R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F7" i="7" l="1"/>
  <c r="F7" i="6"/>
  <c r="AB7" i="6" l="1"/>
  <c r="R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O25" i="48" l="1"/>
  <c r="N25" i="48"/>
  <c r="M25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77" i="34"/>
  <c r="J77" i="34"/>
  <c r="I77" i="34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A25" i="48" l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AZ36" i="8"/>
  <c r="F39" i="48"/>
  <c r="H39" i="48"/>
  <c r="J39" i="48"/>
  <c r="D39" i="48"/>
  <c r="L39" i="48"/>
  <c r="J40" i="48"/>
  <c r="H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C9" i="46" s="1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J31" i="5" s="1"/>
  <c r="I30" i="5"/>
  <c r="I29" i="5"/>
  <c r="I28" i="5"/>
  <c r="I135" i="33" l="1"/>
  <c r="J135" i="33"/>
  <c r="K135" i="33"/>
  <c r="I95" i="35" l="1"/>
  <c r="K95" i="35"/>
  <c r="J94" i="35"/>
  <c r="J95" i="35"/>
  <c r="I94" i="35"/>
  <c r="K94" i="35" l="1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AC46" i="6" s="1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V31" i="3" s="1"/>
  <c r="O31" i="3"/>
  <c r="P31" i="3" s="1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B14" i="6" l="1"/>
  <c r="R14" i="6"/>
  <c r="J5" i="5"/>
  <c r="J17" i="5"/>
  <c r="M121" i="37"/>
  <c r="J10" i="5"/>
  <c r="R8" i="6"/>
  <c r="AB8" i="6"/>
  <c r="X48" i="1"/>
  <c r="V48" i="1" s="1"/>
  <c r="R9" i="6"/>
  <c r="AB9" i="6"/>
  <c r="J24" i="5"/>
  <c r="I7" i="39" s="1"/>
  <c r="AB10" i="6"/>
  <c r="R10" i="6"/>
  <c r="X34" i="1"/>
  <c r="V34" i="1" s="1"/>
  <c r="R11" i="6"/>
  <c r="AB11" i="6"/>
  <c r="E9" i="1"/>
  <c r="X42" i="1"/>
  <c r="V42" i="1" s="1"/>
  <c r="P17" i="3"/>
  <c r="AB12" i="6"/>
  <c r="R12" i="6"/>
  <c r="AB13" i="6"/>
  <c r="R13" i="6"/>
  <c r="P5" i="3"/>
  <c r="V24" i="3"/>
  <c r="B11" i="39" s="1"/>
  <c r="P24" i="3"/>
  <c r="B9" i="39" s="1"/>
  <c r="V5" i="3"/>
  <c r="V17" i="3"/>
  <c r="P10" i="3"/>
  <c r="V10" i="3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G8" i="6"/>
  <c r="F23" i="6"/>
  <c r="AD23" i="6" s="1"/>
  <c r="S46" i="6"/>
  <c r="M46" i="6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L67" i="30"/>
  <c r="B29" i="39" s="1"/>
  <c r="J131" i="32"/>
  <c r="J135" i="32"/>
  <c r="AZ20" i="31"/>
  <c r="J221" i="33"/>
  <c r="J225" i="33"/>
  <c r="J229" i="33"/>
  <c r="J233" i="33"/>
  <c r="L67" i="34"/>
  <c r="B33" i="39" s="1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J23" i="6"/>
  <c r="F30" i="6"/>
  <c r="F17" i="6"/>
  <c r="V26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S47" i="6"/>
  <c r="H16" i="13" s="1"/>
  <c r="F39" i="6"/>
  <c r="M47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38" i="6" l="1"/>
  <c r="AB38" i="6"/>
  <c r="R38" i="6"/>
  <c r="AB44" i="6"/>
  <c r="R44" i="6"/>
  <c r="L18" i="6"/>
  <c r="AB18" i="6"/>
  <c r="R18" i="6"/>
  <c r="AB15" i="6"/>
  <c r="R15" i="6"/>
  <c r="R42" i="6"/>
  <c r="AB42" i="6"/>
  <c r="AL37" i="6"/>
  <c r="AB37" i="6"/>
  <c r="R37" i="6"/>
  <c r="AD33" i="7"/>
  <c r="G33" i="7"/>
  <c r="AF36" i="6"/>
  <c r="AB36" i="6"/>
  <c r="R36" i="6"/>
  <c r="AH39" i="6"/>
  <c r="AB39" i="6"/>
  <c r="R39" i="6"/>
  <c r="R34" i="6"/>
  <c r="AB34" i="6"/>
  <c r="AF35" i="6"/>
  <c r="R35" i="6"/>
  <c r="AB35" i="6"/>
  <c r="N17" i="6"/>
  <c r="AB17" i="6"/>
  <c r="R17" i="6"/>
  <c r="N40" i="6"/>
  <c r="AB40" i="6"/>
  <c r="R40" i="6"/>
  <c r="N33" i="6"/>
  <c r="AB33" i="6"/>
  <c r="R33" i="6"/>
  <c r="G33" i="6"/>
  <c r="AH16" i="6"/>
  <c r="AB16" i="6"/>
  <c r="R16" i="6"/>
  <c r="AJ41" i="6"/>
  <c r="AB41" i="6"/>
  <c r="R41" i="6"/>
  <c r="AF45" i="6"/>
  <c r="AB45" i="6"/>
  <c r="R45" i="6"/>
  <c r="D11" i="39"/>
  <c r="AD26" i="7"/>
  <c r="G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G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G19" i="6"/>
  <c r="AB19" i="7"/>
  <c r="G19" i="7"/>
  <c r="G12" i="6"/>
  <c r="G12" i="7"/>
  <c r="G8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<sst xmlns="http://schemas.openxmlformats.org/spreadsheetml/2006/main" count="7796" uniqueCount="684">
  <si>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</si>
  <si>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</si>
  <si>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</si>
  <si>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</si>
  <si>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</si>
  <si>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</si>
  <si>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</si>
  <si>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</si>
  <si>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</si>
  <si>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</si>
  <si>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</si>
  <si>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</si>
  <si>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</si>
  <si>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</si>
  <si>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</si>
  <si>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</si>
  <si>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</si>
  <si>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</si>
  <si>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</si>
  <si>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</si>
  <si>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</si>
  <si>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</si>
  <si>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</si>
  <si>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</si>
  <si>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</si>
  <si>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</si>
  <si>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</si>
  <si>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</si>
  <si>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</si>
  <si>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</si>
  <si>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</si>
  <si>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</si>
  <si>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</si>
  <si>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</si>
  <si>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</si>
  <si>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</si>
  <si>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</si>
  <si>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</si>
  <si>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</si>
  <si>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</si>
  <si>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</si>
  <si>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</si>
  <si>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</si>
  <si>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</si>
  <si>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</si>
  <si>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</si>
  <si>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</si>
  <si>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</si>
  <si>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</si>
  <si>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</si>
  <si>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</si>
  <si>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</si>
  <si>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</si>
  <si>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</si>
  <si>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</si>
  <si>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</si>
  <si>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</si>
  <si>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</si>
  <si>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</si>
  <si>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</si>
  <si>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</si>
  <si>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</si>
  <si>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</si>
  <si>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</si>
  <si>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</si>
  <si>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</si>
  <si>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</si>
  <si>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</si>
  <si>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</si>
  <si>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</si>
  <si>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</si>
  <si>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</si>
  <si>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</si>
  <si>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</si>
  <si>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</si>
  <si>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</si>
  <si>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</si>
  <si>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</si>
  <si>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</si>
  <si>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</si>
  <si>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</si>
  <si>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</si>
  <si>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</si>
  <si>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</si>
  <si>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</si>
  <si>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</si>
  <si>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</si>
  <si>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</si>
  <si>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</si>
  <si>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</si>
  <si>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</si>
  <si>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</si>
  <si>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</si>
  <si>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</si>
  <si>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</si>
  <si>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</si>
  <si>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</si>
  <si>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</si>
  <si>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</si>
  <si>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</si>
  <si>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</si>
  <si>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</si>
  <si>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</si>
  <si>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</si>
  <si>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</si>
  <si>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</si>
  <si>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</si>
  <si>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</si>
  <si>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</si>
  <si>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</si>
  <si>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</si>
  <si>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</si>
  <si>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</si>
  <si>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</si>
  <si>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</si>
  <si>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</si>
  <si>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</si>
  <si>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</si>
  <si>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</si>
  <si>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</si>
  <si>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</si>
  <si>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</si>
  <si>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</si>
  <si>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</si>
  <si>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</si>
  <si>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</si>
  <si>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</si>
  <si>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</si>
  <si>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</si>
  <si>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</si>
  <si>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</si>
  <si>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</si>
  <si>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</si>
  <si>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</si>
  <si>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</si>
  <si>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</si>
  <si>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</si>
  <si>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</si>
  <si>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</si>
  <si>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t>W4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</si>
  <si>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</si>
  <si>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</si>
  <si>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</si>
  <si>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</si>
  <si>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</si>
  <si>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</si>
  <si>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</si>
  <si>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</si>
  <si>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</si>
  <si>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</si>
  <si>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</si>
  <si>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</si>
  <si>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</si>
  <si>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</si>
  <si>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</si>
  <si>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</si>
  <si>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</si>
  <si>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</si>
  <si>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</si>
  <si>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</si>
  <si>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</si>
  <si>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四</t>
  </si>
  <si>
    <t>五</t>
  </si>
  <si>
    <t>六</t>
  </si>
  <si>
    <t>日</t>
  </si>
  <si>
    <t>一</t>
  </si>
  <si>
    <t>二</t>
  </si>
  <si>
    <t>三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</si>
  <si>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</si>
  <si>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</si>
  <si>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</si>
  <si>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</si>
  <si>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</si>
  <si>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</si>
  <si>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</si>
  <si>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</si>
  <si>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</si>
  <si>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</si>
  <si>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</si>
  <si>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</si>
  <si>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</si>
  <si>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</si>
  <si>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</si>
  <si>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</si>
  <si>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</si>
  <si>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</si>
  <si>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</si>
  <si>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</si>
  <si>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</si>
  <si>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</si>
  <si>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</si>
  <si>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</si>
  <si>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</si>
  <si>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</si>
  <si>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</si>
  <si>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</si>
  <si>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</si>
  <si>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</si>
  <si>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</si>
  <si>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</si>
  <si>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</si>
  <si>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</si>
  <si>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</si>
  <si>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</si>
  <si>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</si>
  <si>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</si>
  <si>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</si>
  <si>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</si>
  <si>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</si>
  <si>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</si>
  <si>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</si>
  <si>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</si>
  <si>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</si>
  <si>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</si>
  <si>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</si>
  <si>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</si>
  <si>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</si>
  <si>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</si>
  <si>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</si>
  <si>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</si>
  <si>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</si>
  <si>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</si>
  <si>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</si>
  <si>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</si>
  <si>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</si>
  <si>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</si>
  <si>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</si>
  <si>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</si>
  <si>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</si>
  <si>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博多明太子奶油飯糰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</si>
  <si>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</si>
  <si>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</si>
  <si>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</si>
  <si>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</si>
  <si>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</si>
  <si>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油蔥雞汁飯糰(區)</t>
  </si>
  <si>
    <t>二配芝麻香鬆飯糰</t>
  </si>
  <si>
    <t>二配油蔥G絲飯糰</t>
  </si>
  <si>
    <t>照燒雞肉飯糰</t>
  </si>
  <si>
    <t>二配三杯醬爆菇菇飯糰</t>
  </si>
  <si>
    <t>二配大飯糰韓式蒜烤豬五花</t>
  </si>
  <si>
    <t>兩粒飯糰(鮪魚.焦糖鮭魚)</t>
  </si>
  <si>
    <t>二配大飯糰滷肉飯加蛋</t>
  </si>
  <si>
    <t>鮭魚奶油醬油飯糰</t>
  </si>
  <si>
    <t/>
  </si>
  <si>
    <t>18℃-飯糰</t>
  </si>
  <si>
    <t>明太子乳酪起司沙拉飯糰</t>
  </si>
  <si>
    <t>真明太子玉子飯糰</t>
  </si>
  <si>
    <t>鴻運烏魚子紹興飯糰</t>
    <phoneticPr fontId="11" type="noConversion"/>
  </si>
  <si>
    <t>產線配置圖－月表</t>
    <phoneticPr fontId="11" type="noConversion"/>
  </si>
  <si>
    <t>烤飯糰1</t>
    <phoneticPr fontId="11" type="noConversion"/>
  </si>
  <si>
    <t>烤飯糰2</t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</si>
  <si>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</si>
  <si>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</si>
  <si>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</si>
  <si>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</si>
  <si>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</si>
  <si>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</si>
  <si>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</si>
  <si>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明太子玉子脆卷</t>
  </si>
  <si>
    <t>核桃腰果稻荷壽司組</t>
  </si>
  <si>
    <t>明太子玉子脆卷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</si>
  <si>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</si>
  <si>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</si>
  <si>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</si>
  <si>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</si>
  <si>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</si>
  <si>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</si>
  <si>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</si>
  <si>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</si>
  <si>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麻油雞飯糰</t>
  </si>
  <si>
    <t>香料咖哩炸雞烤飯糰</t>
  </si>
  <si>
    <t>和風牛肉咖哩炸飯糰</t>
  </si>
  <si>
    <t>大口起司熔岩白醬炸魚飯糰</t>
  </si>
  <si>
    <t>明太子奶油炸飯糰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</si>
  <si>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</si>
  <si>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明太子泡菜牛飯卷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</si>
  <si>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</si>
  <si>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</si>
  <si>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</si>
  <si>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</si>
  <si>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</si>
  <si>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</si>
  <si>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</si>
  <si>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</si>
  <si>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</si>
  <si>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</si>
  <si>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</si>
  <si>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二配港式香滑嫩蛋牛肉燴飯</t>
  </si>
  <si>
    <t>二配金咖哩濃厚辛口咖哩飯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</si>
  <si>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</si>
  <si>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</si>
  <si>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</si>
  <si>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</si>
  <si>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二配美味蟹煲</t>
  </si>
  <si>
    <t>二配乳酪燻腸紅醬焗飯</t>
  </si>
  <si>
    <t>二配西班牙風味海鮮燉飯</t>
  </si>
  <si>
    <t>二配泰式綠咖哩雞</t>
  </si>
  <si>
    <t>二配厚香料咖哩雞排飯</t>
  </si>
  <si>
    <t>日式野菜烘蛋燴飯</t>
  </si>
  <si>
    <t>二配起司控培根白醬焗烤飯</t>
  </si>
  <si>
    <t>二配失控起司薯餅焗飯</t>
  </si>
  <si>
    <t>二配蒙古風味烤肉飯</t>
  </si>
  <si>
    <t>二配麻油雞燴飯</t>
  </si>
  <si>
    <t>二配鮭魚蛋炒飯</t>
  </si>
  <si>
    <t>壹號醬雞豚雙拼</t>
  </si>
  <si>
    <t>好多蒜燒豚飯</t>
  </si>
  <si>
    <t>二配紅燒牛肉燴飯</t>
  </si>
  <si>
    <t>美乃炙烤雞肉飯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</si>
  <si>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</si>
  <si>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</si>
  <si>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</si>
  <si>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</si>
  <si>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</si>
  <si>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</si>
  <si>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</si>
  <si>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</si>
  <si>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</si>
  <si>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香腸腿排雙拼便當</t>
  </si>
  <si>
    <t>香烤藍尾鱈魚五行餐盒</t>
  </si>
  <si>
    <t>福氣魚四喜開運便當</t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</si>
  <si>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</si>
  <si>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</si>
  <si>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</si>
  <si>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</si>
  <si>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</si>
  <si>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</si>
  <si>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</si>
  <si>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</si>
  <si>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</si>
  <si>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</si>
  <si>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</si>
  <si>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熱食義麵</t>
  </si>
  <si>
    <t>府城鹽水意麵</t>
  </si>
  <si>
    <t>蕃茄起司手工千層麵(區2)</t>
  </si>
  <si>
    <t>愛恨椒芝麵</t>
  </si>
  <si>
    <t>麻婆豆腐波浪麵</t>
  </si>
  <si>
    <t>東京豚骨風味拉麵</t>
  </si>
  <si>
    <t>醬油叉燒拉麵</t>
  </si>
  <si>
    <t>蔥蔥玉子拌麵</t>
  </si>
  <si>
    <t>明太子雞叉燒拌麵</t>
  </si>
  <si>
    <t>柚子雞白湯拉麵</t>
  </si>
  <si>
    <t>熱食義麵</t>
    <phoneticPr fontId="11" type="noConversion"/>
  </si>
  <si>
    <t>鮑滿福氣中華燴麵</t>
  </si>
  <si>
    <t>鴻運番茄湯麵</t>
  </si>
  <si>
    <t>季節調理麵</t>
  </si>
  <si>
    <t>椒麻香蔥雞涼拌麵</t>
  </si>
  <si>
    <t>台式麻醬涼麵</t>
  </si>
  <si>
    <t>大滿足香辣涼麵</t>
  </si>
  <si>
    <t>大滿足麻醬涼麵</t>
  </si>
  <si>
    <t>日式蕎麥沾麵</t>
  </si>
  <si>
    <t>季節調理麵</t>
    <phoneticPr fontId="11" type="noConversion"/>
  </si>
  <si>
    <t>糖燻豬耳絲</t>
  </si>
  <si>
    <t>韓式蒜味炸雞</t>
  </si>
  <si>
    <t>香辣醬粉絲煲</t>
  </si>
  <si>
    <t>古早味炒炊粉</t>
    <phoneticPr fontId="11" type="noConversion"/>
  </si>
  <si>
    <t>燻之味-糖燻雞胗</t>
  </si>
  <si>
    <t>蒜泥狠台味三拼</t>
  </si>
  <si>
    <t>韓式部隊鍋</t>
    <phoneticPr fontId="11" type="noConversion"/>
  </si>
  <si>
    <t>日式壽喜燒</t>
    <phoneticPr fontId="11" type="noConversion"/>
  </si>
  <si>
    <t>古早味炒炊粉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</si>
  <si>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</si>
  <si>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</si>
  <si>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</si>
  <si>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</si>
  <si>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</si>
  <si>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</si>
  <si>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</si>
  <si>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</si>
  <si>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</si>
  <si>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</si>
  <si>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</si>
  <si>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</si>
  <si>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</si>
  <si>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</si>
  <si>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</si>
  <si>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</si>
  <si>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▲</t>
    <phoneticPr fontId="11" type="noConversion"/>
  </si>
  <si>
    <t>對比上週差異小</t>
    <phoneticPr fontId="11" type="noConversion"/>
  </si>
  <si>
    <t>－</t>
    <phoneticPr fontId="11" type="noConversion"/>
  </si>
  <si>
    <t>▼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</si>
  <si>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</si>
  <si>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</si>
  <si>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</si>
  <si>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</si>
  <si>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訂單量少，且為雙陷飯糰，人時產力較低</t>
    <phoneticPr fontId="11" type="noConversion"/>
  </si>
  <si>
    <t>▼5</t>
    <phoneticPr fontId="8"/>
  </si>
  <si>
    <t>4℃-飯糰</t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</si>
  <si>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</si>
  <si>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本週更換回原組別生產，人員熟悉度高，產能及人時生產性較上週提升</t>
    <phoneticPr fontId="11" type="noConversion"/>
  </si>
  <si>
    <t>1/20新品，工序較複雜，使用人數較多，人時生產性較低</t>
    <phoneticPr fontId="11" type="noConversion"/>
  </si>
  <si>
    <t>最後幾名皆為須定位擺放、半成品數較多餐盒類商品，產能及人時生產性較低</t>
    <phoneticPr fontId="11" type="noConversion"/>
  </si>
  <si>
    <r>
      <t>1/20</t>
    </r>
    <r>
      <rPr>
        <sz val="10"/>
        <color theme="1"/>
        <rFont val="細明體"/>
        <family val="3"/>
        <charset val="136"/>
      </rPr>
      <t>新品，半成品多，使用人數較多，人時性較低</t>
    </r>
    <phoneticPr fontId="11" type="noConversion"/>
  </si>
  <si>
    <t>愛恨椒芝麵</t>
    <phoneticPr fontId="11" type="noConversion"/>
  </si>
  <si>
    <t>人員熟悉度提升，產能及人時生產性較上週增加</t>
    <phoneticPr fontId="11" type="noConversion"/>
  </si>
  <si>
    <t>鴻運番茄湯麵</t>
    <phoneticPr fontId="11" type="noConversion"/>
  </si>
  <si>
    <r>
      <t>1/20</t>
    </r>
    <r>
      <rPr>
        <sz val="10"/>
        <color theme="1"/>
        <rFont val="細明體"/>
        <family val="3"/>
        <charset val="136"/>
      </rPr>
      <t>上市，為L型封膜品項，產能及人時生產性較低</t>
    </r>
    <phoneticPr fontId="11" type="noConversion"/>
  </si>
  <si>
    <t>前三名皆為同性質涼麵商品，產能及人時生產性接近</t>
    <phoneticPr fontId="11" type="noConversion"/>
  </si>
  <si>
    <r>
      <t>八爪機作業，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能平均，</t>
    </r>
    <r>
      <rPr>
        <sz val="11"/>
        <color theme="1"/>
        <rFont val="細明體"/>
        <family val="3"/>
        <charset val="136"/>
      </rPr>
      <t>產能及人時生產性差異小</t>
    </r>
    <r>
      <rPr>
        <sz val="11"/>
        <color theme="1"/>
        <rFont val="Meiryo UI"/>
        <family val="2"/>
      </rPr>
      <t>。</t>
    </r>
    <phoneticPr fontId="11" type="noConversion"/>
  </si>
  <si>
    <t>香辣醬粉絲煲</t>
    <phoneticPr fontId="11" type="noConversion"/>
  </si>
  <si>
    <t>更換組別生產，人員熟悉到度較高，產能及人時生產性較上週提升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</si>
  <si>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</si>
  <si>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</si>
  <si>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</si>
  <si>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</si>
  <si>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</si>
  <si>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</si>
  <si>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</si>
  <si>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</si>
  <si>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</si>
  <si>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</si>
  <si>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</si>
  <si>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</si>
  <si>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（７）原因別分析(8/1-8/11)</t>
  </si>
  <si>
    <t>取樣不穩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</si>
  <si>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</si>
  <si>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</si>
  <si>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</si>
  <si>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</si>
  <si>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</si>
  <si>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</si>
  <si>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</si>
  <si>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</si>
  <si>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</si>
  <si>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</si>
  <si>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</si>
  <si>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</si>
  <si>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</si>
  <si>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</si>
  <si>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</si>
  <si>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</si>
  <si>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</si>
  <si>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</si>
  <si>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</si>
  <si>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</si>
  <si>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</si>
  <si>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</si>
  <si>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</si>
  <si>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t>報廢前週差</t>
  </si>
  <si>
    <t>超用前週差</t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</si>
  <si>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</si>
  <si>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</si>
  <si>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</si>
  <si>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</si>
  <si>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</si>
  <si>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</si>
  <si>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</si>
  <si>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</si>
  <si>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炒蒜味青花菜</t>
  </si>
  <si>
    <t>反應調配課級，追蹤三天備料狀況</t>
  </si>
  <si>
    <t>烤冷凍蒜丁</t>
  </si>
  <si>
    <t>二配川燙枸杞</t>
  </si>
  <si>
    <t>二配泰式椰香綠咖哩醬</t>
  </si>
  <si>
    <t>切3cm-炙烤牛五花(飯卷)</t>
  </si>
  <si>
    <t>製程不穩</t>
    <phoneticPr fontId="11" type="noConversion"/>
  </si>
  <si>
    <t>確認備料量是否正確，調整出料率</t>
    <phoneticPr fontId="11" type="noConversion"/>
  </si>
  <si>
    <t>共用類</t>
  </si>
  <si>
    <t>二配歐姆蛋(111年版)</t>
  </si>
  <si>
    <t>炒扁魚紅K白菜</t>
  </si>
  <si>
    <t>二配鼎泰豐-麻婆豆腐燴汁(113年)</t>
  </si>
  <si>
    <t>壽喜燒牛五花</t>
  </si>
  <si>
    <t>增加放料抽秤頻率</t>
    <phoneticPr fontId="11" type="noConversion"/>
  </si>
  <si>
    <t>煮愛恨芝麻醬</t>
  </si>
  <si>
    <t>粉絲煲湯凍</t>
  </si>
  <si>
    <t>混合愛恨椒芝椒麻油</t>
  </si>
  <si>
    <t>二配蒸燻腸片</t>
  </si>
  <si>
    <t>原物料規格</t>
  </si>
  <si>
    <t>二配蒸果香甘口咖哩腿丁</t>
  </si>
  <si>
    <t>原物料大小、厚薄差異</t>
  </si>
  <si>
    <t>二配油亮後腿肉絲</t>
  </si>
  <si>
    <t>切-炙燒炭火燒肉片</t>
  </si>
  <si>
    <t>二配煮麻油雞丁</t>
  </si>
  <si>
    <t>二配炒綠咖哩腿肉片</t>
  </si>
  <si>
    <t>研發設定</t>
  </si>
  <si>
    <t>其他原因</t>
    <phoneticPr fontId="11" type="noConversion"/>
  </si>
  <si>
    <t>18切烤千層麵</t>
  </si>
  <si>
    <t>製程報廢</t>
  </si>
  <si>
    <t>二配辛口咖哩豬肉(114年)</t>
  </si>
  <si>
    <t>賣相要求</t>
    <phoneticPr fontId="11" type="noConversion"/>
  </si>
  <si>
    <t>二配切-蒸滷牛腱</t>
  </si>
  <si>
    <t>單價高</t>
    <phoneticPr fontId="11" type="noConversion"/>
  </si>
  <si>
    <t>煮CL麵塊(鍋物)</t>
  </si>
  <si>
    <t>（８）超用原因別前幾名品項</t>
    <phoneticPr fontId="11" type="noConversion"/>
  </si>
  <si>
    <t>取樣不穩</t>
    <phoneticPr fontId="8"/>
  </si>
  <si>
    <t>二配蒸海鮮醬(料)</t>
  </si>
  <si>
    <t>二配烤鹹蛋黃碎</t>
  </si>
  <si>
    <t>二配炒解凍11N培根片</t>
  </si>
  <si>
    <t>確認備料量是否正確，調整出料率</t>
  </si>
  <si>
    <t>增加線上抽秤頻率</t>
  </si>
  <si>
    <t>(SOHOT)蒜炒紅K高麗菜</t>
  </si>
  <si>
    <t>煮無敵家拌麵醬</t>
  </si>
  <si>
    <t>二配濃辛辣咖哩醬(114年)</t>
  </si>
  <si>
    <t>二配川燙醃嫩化淨零碳排牛肉片</t>
  </si>
  <si>
    <t>碳香照燒雞腿丁</t>
  </si>
  <si>
    <t>切烤雞胸肉</t>
  </si>
  <si>
    <t>紅運烏魚子紹興飯糰</t>
  </si>
  <si>
    <t>撥碎-解凍烏魚子丁</t>
  </si>
  <si>
    <t>二配北海道秋鮭親子飯糰</t>
  </si>
  <si>
    <t>二配解凍-醬油漬鮭魚卵</t>
  </si>
  <si>
    <t>單價高</t>
  </si>
  <si>
    <t>解凍-醬油漬鮭魚卵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</si>
  <si>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</si>
  <si>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</si>
  <si>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</si>
  <si>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</si>
  <si>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</si>
  <si>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</si>
  <si>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</si>
  <si>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</si>
  <si>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</si>
  <si>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</si>
  <si>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</si>
  <si>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</si>
  <si>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</si>
  <si>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</si>
  <si>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</si>
  <si>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</si>
  <si>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</si>
  <si>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</si>
  <si>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</si>
  <si>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</si>
  <si>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</si>
  <si>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</si>
  <si>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</si>
  <si>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</si>
  <si>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</si>
  <si>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</si>
  <si>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</si>
  <si>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</si>
  <si>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</si>
  <si>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</si>
  <si>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</si>
  <si>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</si>
  <si>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</si>
  <si>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</si>
  <si>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</si>
  <si>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</si>
  <si>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</si>
  <si>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</si>
  <si>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</si>
  <si>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生產課</t>
  </si>
  <si>
    <t>冰杓放料，冰杓滿度差異</t>
  </si>
  <si>
    <t>確認輔助工具型號，使用前先攪拌均勻。生產前及生產中確認設定及實際出料狀況</t>
  </si>
  <si>
    <t>月前二十</t>
    <phoneticPr fontId="11" type="noConversion"/>
  </si>
  <si>
    <t>二配滷-大白菜(115年)</t>
  </si>
  <si>
    <t>調配課</t>
  </si>
  <si>
    <t>調理多產</t>
  </si>
  <si>
    <t>白菜易含水導致產出變多</t>
    <phoneticPr fontId="11" type="noConversion"/>
  </si>
  <si>
    <t>固定瀝水時間，以穩定出料量。收集數據調整出料率。</t>
    <phoneticPr fontId="11" type="noConversion"/>
  </si>
  <si>
    <t>二配香炒沙茶豬肉飯</t>
  </si>
  <si>
    <t>其他</t>
  </si>
  <si>
    <t>原物料的大小差異</t>
  </si>
  <si>
    <t>回饋研發，後續開發列入考量，設定放料量範圍。</t>
  </si>
  <si>
    <t>回饋研發，後續開發列入考量</t>
  </si>
  <si>
    <t>半成品性狀差異，影響擠醬機出料</t>
  </si>
  <si>
    <t>生產前及生產中確認設定及實際出料狀況</t>
  </si>
  <si>
    <t>二配炒蒙古烤肉蔬菜</t>
  </si>
  <si>
    <t>菜梗、葉差異，影響人員放料手感</t>
  </si>
  <si>
    <t>增加線上抽秤頻率，維持人員放料手感</t>
  </si>
  <si>
    <t>使用冰杓放料，半成品固液體不均，導致放料差異</t>
  </si>
  <si>
    <t>生產前預先將半成品攪拌均勻</t>
  </si>
  <si>
    <t>製程不穩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</si>
  <si>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</si>
  <si>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煮無敵家日式肉燥</t>
  </si>
  <si>
    <t>二配川燙青花菜</t>
  </si>
  <si>
    <t>清洗蔥花</t>
  </si>
  <si>
    <t>大部分品項的單品用量少，取樣易有差異</t>
  </si>
  <si>
    <t>尋找設定使用的輔助工具，穩定取樣量</t>
  </si>
  <si>
    <t>其他原因</t>
  </si>
  <si>
    <t>二配川燙青江菜</t>
  </si>
  <si>
    <t>備料異常</t>
  </si>
  <si>
    <t>反饋調理課級及幹部連續3天確認備料狀況</t>
  </si>
  <si>
    <t>步留因素</t>
    <phoneticPr fontId="11" type="noConversion"/>
  </si>
  <si>
    <t>半成品單價高。</t>
    <phoneticPr fontId="11" type="noConversion"/>
  </si>
  <si>
    <t>調整用量，以使用完為原則。收集數據，調整出料率。</t>
    <phoneticPr fontId="11" type="noConversion"/>
  </si>
  <si>
    <t>炙烤雞腿丁(113年)</t>
  </si>
  <si>
    <t>準備課</t>
  </si>
  <si>
    <t>二配炒培根片</t>
  </si>
  <si>
    <t>二配川燙切片青江菜</t>
  </si>
  <si>
    <t>調理結束收籃前瀝水位未瀝乾</t>
  </si>
  <si>
    <t>反應調理課級及感步確認收籃狀況並教育人員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</si>
  <si>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</si>
  <si>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</si>
  <si>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</si>
  <si>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</si>
  <si>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</si>
  <si>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放料設定無範圍，肉片多一片超用，少一片不足</t>
    <phoneticPr fontId="11" type="noConversion"/>
  </si>
  <si>
    <t>抓樣不穩</t>
  </si>
  <si>
    <t>二配雞肉香料咖哩</t>
  </si>
  <si>
    <t>川燙青花菜</t>
  </si>
  <si>
    <t>因為白菜含水多，導致調理多產。協調生產課調整用量</t>
    <phoneticPr fontId="11" type="noConversion"/>
  </si>
  <si>
    <t>固定瀝水時間，以穩定出料量。收集數據調整出料率。</t>
  </si>
  <si>
    <t>蒜炒紅K高麗菜(111年)</t>
  </si>
  <si>
    <t>原物料的大小差異。放料時有肉片多一片超用，少一片不足的情況</t>
    <phoneticPr fontId="11" type="noConversion"/>
  </si>
  <si>
    <t>煮愛恨椒麻湯凍</t>
  </si>
  <si>
    <t>切博多明太子</t>
  </si>
  <si>
    <t>切-究極燒肉片</t>
  </si>
  <si>
    <t>放料設定無範圍，肉片多一片超用，少一片不足</t>
  </si>
  <si>
    <t>半成品單價高。</t>
  </si>
  <si>
    <t>調整用量，以使用完為原則。收集數據，調整出料率。</t>
  </si>
  <si>
    <t>晉欣廠半成品管理日別總表</t>
    <phoneticPr fontId="11" type="noConversion"/>
  </si>
  <si>
    <t>日期</t>
    <phoneticPr fontId="90" type="noConversion"/>
  </si>
  <si>
    <t>報廢額</t>
    <phoneticPr fontId="9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</si>
  <si>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</si>
  <si>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0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</si>
  <si>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</si>
  <si>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</si>
  <si>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</si>
  <si>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</si>
  <si>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</si>
  <si>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</si>
  <si>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</si>
  <si>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0" type="noConversion"/>
  </si>
  <si>
    <t>週報廢</t>
    <phoneticPr fontId="11" type="noConversion"/>
  </si>
  <si>
    <t>週超用</t>
    <phoneticPr fontId="11" type="noConversion"/>
  </si>
  <si>
    <t>平均</t>
    <phoneticPr fontId="90" type="noConversion"/>
  </si>
  <si>
    <t>合計</t>
    <phoneticPr fontId="90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</si>
  <si>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</si>
  <si>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</si>
  <si>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</si>
  <si>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</si>
  <si>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</si>
  <si>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</si>
  <si>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</si>
  <si>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</si>
  <si>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</si>
  <si>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</si>
  <si>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</si>
  <si>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</si>
  <si>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</si>
  <si>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</si>
  <si>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</si>
  <si>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</si>
  <si>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</si>
  <si>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</si>
  <si>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</si>
  <si>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</si>
  <si>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</si>
  <si>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</si>
  <si>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</si>
  <si>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</si>
  <si>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</si>
  <si>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</si>
  <si>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</si>
  <si>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</si>
  <si>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</si>
  <si>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</si>
  <si>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</si>
  <si>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</si>
  <si>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</si>
  <si>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</si>
  <si>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</si>
  <si>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</si>
  <si>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</si>
  <si>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</si>
  <si>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</si>
  <si>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</si>
  <si>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</si>
  <si>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</si>
  <si>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</si>
  <si>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</si>
  <si>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</si>
  <si>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</si>
  <si>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</si>
  <si>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</si>
  <si>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</si>
  <si>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</si>
  <si>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</si>
  <si>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</si>
  <si>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</si>
  <si>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</si>
  <si>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</si>
  <si>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</si>
  <si>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</si>
  <si>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</si>
  <si>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</si>
  <si>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</si>
  <si>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</si>
  <si>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</si>
  <si>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</si>
  <si>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</si>
  <si>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</si>
  <si>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</si>
  <si>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0120-0126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</si>
</sst>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0" borderId="0"/>
    <xf numFmtId="9" fontId="97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96" fontId="99" fillId="0" borderId="0"/>
    <xf numFmtId="0" fontId="7" fillId="0" borderId="0"/>
    <xf numFmtId="0" fontId="97" fillId="0" borderId="0">
      <alignment vertical="center"/>
    </xf>
    <xf numFmtId="0" fontId="100" fillId="0" borderId="0"/>
    <xf numFmtId="42" fontId="98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>
      <alignment vertical="top"/>
    </xf>
    <xf numFmtId="0" fontId="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3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97" fillId="0" borderId="0"/>
    <xf numFmtId="0" fontId="97" fillId="0" borderId="0"/>
    <xf numFmtId="0" fontId="103" fillId="0" borderId="0"/>
    <xf numFmtId="0" fontId="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/>
    <xf numFmtId="0" fontId="97" fillId="0" borderId="0"/>
    <xf numFmtId="0" fontId="1" fillId="0" borderId="0">
      <alignment vertical="center"/>
    </xf>
    <xf numFmtId="0" fontId="100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00" fillId="0" borderId="0" applyFont="0" applyFill="0" applyBorder="0" applyAlignment="0" applyProtection="0">
      <alignment vertical="center"/>
    </xf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44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</cellStyleXfs>
  <cellXfs count="710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7" fillId="0" borderId="0" xfId="0" applyFont="1"/>
    <xf numFmtId="177" fontId="24" fillId="0" borderId="0" xfId="0" applyNumberFormat="1" applyFont="1" applyAlignment="1">
      <alignment horizontal="center"/>
    </xf>
    <xf numFmtId="177" fontId="15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3" fillId="0" borderId="22" xfId="0" applyNumberFormat="1" applyFont="1" applyBorder="1"/>
    <xf numFmtId="186" fontId="24" fillId="0" borderId="0" xfId="0" applyNumberFormat="1" applyFont="1"/>
    <xf numFmtId="180" fontId="24" fillId="9" borderId="0" xfId="0" applyNumberFormat="1" applyFont="1" applyFill="1"/>
    <xf numFmtId="187" fontId="24" fillId="9" borderId="0" xfId="0" applyNumberFormat="1" applyFont="1" applyFill="1"/>
    <xf numFmtId="177" fontId="24" fillId="9" borderId="0" xfId="0" applyNumberFormat="1" applyFont="1" applyFill="1"/>
    <xf numFmtId="186" fontId="24" fillId="9" borderId="0" xfId="0" applyNumberFormat="1" applyFont="1" applyFill="1"/>
    <xf numFmtId="185" fontId="24" fillId="9" borderId="0" xfId="0" applyNumberFormat="1" applyFont="1" applyFill="1"/>
    <xf numFmtId="186" fontId="73" fillId="9" borderId="22" xfId="0" applyNumberFormat="1" applyFont="1" applyFill="1" applyBorder="1"/>
    <xf numFmtId="177" fontId="24" fillId="9" borderId="22" xfId="0" applyNumberFormat="1" applyFont="1" applyFill="1" applyBorder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/>
    <xf numFmtId="189" fontId="26" fillId="0" borderId="22" xfId="0" applyNumberFormat="1" applyFont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7" fontId="74" fillId="11" borderId="0" xfId="0" applyNumberFormat="1" applyFont="1" applyFill="1"/>
    <xf numFmtId="177" fontId="74" fillId="0" borderId="0" xfId="0" applyNumberFormat="1" applyFont="1"/>
    <xf numFmtId="10" fontId="80" fillId="11" borderId="22" xfId="0" applyNumberFormat="1" applyFont="1" applyFill="1" applyBorder="1"/>
    <xf numFmtId="177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6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0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Alignment="1">
      <alignment horizontal="right" vertical="center" shrinkToFit="1"/>
    </xf>
    <xf numFmtId="185" fontId="24" fillId="10" borderId="0" xfId="0" applyNumberFormat="1" applyFont="1" applyFill="1"/>
    <xf numFmtId="189" fontId="24" fillId="10" borderId="0" xfId="0" applyNumberFormat="1" applyFont="1" applyFill="1"/>
    <xf numFmtId="191" fontId="24" fillId="0" borderId="0" xfId="0" applyNumberFormat="1" applyFont="1" applyAlignment="1">
      <alignment shrinkToFit="1"/>
    </xf>
    <xf numFmtId="187" fontId="24" fillId="0" borderId="0" xfId="0" applyNumberFormat="1" applyFont="1"/>
    <xf numFmtId="189" fontId="24" fillId="0" borderId="0" xfId="0" applyNumberFormat="1" applyFont="1"/>
    <xf numFmtId="179" fontId="63" fillId="0" borderId="0" xfId="0" applyNumberFormat="1" applyFont="1" applyAlignment="1">
      <alignment horizontal="center"/>
    </xf>
    <xf numFmtId="176" fontId="45" fillId="0" borderId="0" xfId="0" applyNumberFormat="1" applyFont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4" fontId="63" fillId="14" borderId="0" xfId="11" applyNumberFormat="1" applyFont="1" applyFill="1" applyAlignment="1">
      <alignment shrinkToFit="1"/>
    </xf>
    <xf numFmtId="186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7" fontId="24" fillId="0" borderId="0" xfId="0" applyNumberFormat="1" applyFont="1" applyAlignment="1">
      <alignment vertical="center"/>
    </xf>
    <xf numFmtId="177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4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7" fillId="0" borderId="0" xfId="11" applyFont="1" applyAlignment="1">
      <alignment horizontal="center" vertical="center"/>
    </xf>
    <xf numFmtId="0" fontId="86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2" fillId="16" borderId="22" xfId="15" applyFont="1" applyFill="1" applyBorder="1" applyAlignment="1">
      <alignment horizontal="center" vertical="center"/>
    </xf>
    <xf numFmtId="194" fontId="93" fillId="8" borderId="22" xfId="15" applyNumberFormat="1" applyFont="1" applyFill="1" applyBorder="1" applyAlignment="1">
      <alignment horizontal="center" vertical="center"/>
    </xf>
    <xf numFmtId="189" fontId="93" fillId="0" borderId="22" xfId="15" applyNumberFormat="1" applyFont="1" applyBorder="1" applyAlignment="1">
      <alignment horizontal="center" vertical="center"/>
    </xf>
    <xf numFmtId="194" fontId="93" fillId="8" borderId="22" xfId="18" applyNumberFormat="1" applyFont="1" applyFill="1" applyBorder="1" applyAlignment="1">
      <alignment horizontal="center" vertical="center"/>
    </xf>
    <xf numFmtId="189" fontId="93" fillId="0" borderId="22" xfId="3" applyNumberFormat="1" applyFont="1" applyBorder="1" applyAlignment="1">
      <alignment horizontal="center" vertical="center"/>
    </xf>
    <xf numFmtId="10" fontId="93" fillId="0" borderId="22" xfId="3" applyNumberFormat="1" applyFont="1" applyBorder="1" applyAlignment="1">
      <alignment horizontal="center" vertical="center"/>
    </xf>
    <xf numFmtId="194" fontId="93" fillId="8" borderId="22" xfId="3" applyNumberFormat="1" applyFont="1" applyFill="1" applyBorder="1" applyAlignment="1">
      <alignment horizontal="center" vertical="center"/>
    </xf>
    <xf numFmtId="195" fontId="93" fillId="8" borderId="22" xfId="15" applyNumberFormat="1" applyFont="1" applyFill="1" applyBorder="1" applyAlignment="1">
      <alignment horizontal="center" vertical="center"/>
    </xf>
    <xf numFmtId="10" fontId="93" fillId="0" borderId="22" xfId="15" applyNumberFormat="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89" fontId="95" fillId="0" borderId="22" xfId="20" applyNumberFormat="1" applyFont="1" applyBorder="1" applyAlignment="1">
      <alignment horizontal="center" vertical="center"/>
    </xf>
    <xf numFmtId="10" fontId="93" fillId="0" borderId="22" xfId="20" applyNumberFormat="1" applyFont="1" applyBorder="1" applyAlignment="1">
      <alignment horizontal="center" vertical="center"/>
    </xf>
    <xf numFmtId="0" fontId="93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3" fillId="8" borderId="22" xfId="4" applyNumberFormat="1" applyFont="1" applyFill="1" applyBorder="1" applyAlignment="1">
      <alignment horizontal="center" vertical="center"/>
    </xf>
    <xf numFmtId="194" fontId="93" fillId="8" borderId="22" xfId="6" applyNumberFormat="1" applyFont="1" applyFill="1" applyBorder="1" applyAlignment="1">
      <alignment horizontal="center" vertical="center"/>
    </xf>
    <xf numFmtId="195" fontId="93" fillId="8" borderId="22" xfId="4" applyNumberFormat="1" applyFont="1" applyFill="1" applyBorder="1" applyAlignment="1">
      <alignment horizontal="center" vertical="center"/>
    </xf>
    <xf numFmtId="10" fontId="93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7" fontId="55" fillId="0" borderId="0" xfId="0" applyNumberFormat="1" applyFont="1"/>
    <xf numFmtId="177" fontId="55" fillId="0" borderId="0" xfId="0" applyNumberFormat="1" applyFont="1" applyAlignment="1">
      <alignment horizontal="right"/>
    </xf>
    <xf numFmtId="177" fontId="55" fillId="9" borderId="22" xfId="0" applyNumberFormat="1" applyFont="1" applyFill="1" applyBorder="1"/>
    <xf numFmtId="10" fontId="55" fillId="0" borderId="22" xfId="0" applyNumberFormat="1" applyFont="1" applyBorder="1"/>
    <xf numFmtId="177" fontId="55" fillId="0" borderId="22" xfId="0" applyNumberFormat="1" applyFont="1" applyBorder="1"/>
    <xf numFmtId="0" fontId="89" fillId="16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7" fontId="24" fillId="0" borderId="34" xfId="0" applyNumberFormat="1" applyFont="1" applyBorder="1" applyAlignment="1">
      <alignment vertical="center"/>
    </xf>
    <xf numFmtId="194" fontId="93" fillId="8" borderId="22" xfId="20" applyNumberFormat="1" applyFont="1" applyFill="1" applyBorder="1" applyAlignment="1">
      <alignment horizontal="center" vertical="center"/>
    </xf>
    <xf numFmtId="194" fontId="93" fillId="0" borderId="30" xfId="15" applyNumberFormat="1" applyFont="1" applyBorder="1">
      <alignment vertical="center"/>
    </xf>
    <xf numFmtId="194" fontId="35" fillId="0" borderId="30" xfId="15" applyNumberFormat="1" applyFont="1" applyBorder="1">
      <alignment vertical="center"/>
    </xf>
    <xf numFmtId="189" fontId="93" fillId="0" borderId="54" xfId="3" applyNumberFormat="1" applyFont="1" applyBorder="1" applyAlignment="1">
      <alignment horizontal="center" vertical="center"/>
    </xf>
    <xf numFmtId="10" fontId="93" fillId="0" borderId="54" xfId="3" applyNumberFormat="1" applyFont="1" applyBorder="1" applyAlignment="1">
      <alignment horizontal="center" vertical="center"/>
    </xf>
    <xf numFmtId="194" fontId="93" fillId="8" borderId="54" xfId="3" applyNumberFormat="1" applyFont="1" applyFill="1" applyBorder="1" applyAlignment="1">
      <alignment horizontal="center" vertical="center"/>
    </xf>
    <xf numFmtId="189" fontId="93" fillId="0" borderId="22" xfId="4" applyNumberFormat="1" applyFont="1" applyBorder="1" applyAlignment="1">
      <alignment horizontal="center" vertical="center"/>
    </xf>
    <xf numFmtId="194" fontId="93" fillId="8" borderId="30" xfId="4" applyNumberFormat="1" applyFont="1" applyFill="1" applyBorder="1" applyAlignment="1">
      <alignment horizontal="center" vertical="center"/>
    </xf>
    <xf numFmtId="189" fontId="93" fillId="0" borderId="30" xfId="4" applyNumberFormat="1" applyFont="1" applyBorder="1" applyAlignment="1">
      <alignment horizontal="center" vertical="center"/>
    </xf>
    <xf numFmtId="194" fontId="93" fillId="8" borderId="30" xfId="6" applyNumberFormat="1" applyFont="1" applyFill="1" applyBorder="1" applyAlignment="1">
      <alignment horizontal="center" vertical="center"/>
    </xf>
    <xf numFmtId="189" fontId="93" fillId="0" borderId="30" xfId="3" applyNumberFormat="1" applyFont="1" applyBorder="1" applyAlignment="1">
      <alignment horizontal="center" vertical="center"/>
    </xf>
    <xf numFmtId="10" fontId="93" fillId="0" borderId="30" xfId="3" applyNumberFormat="1" applyFont="1" applyBorder="1" applyAlignment="1">
      <alignment horizontal="center" vertical="center"/>
    </xf>
    <xf numFmtId="194" fontId="93" fillId="8" borderId="30" xfId="3" applyNumberFormat="1" applyFont="1" applyFill="1" applyBorder="1" applyAlignment="1">
      <alignment horizontal="center" vertical="center"/>
    </xf>
    <xf numFmtId="195" fontId="93" fillId="8" borderId="30" xfId="4" applyNumberFormat="1" applyFont="1" applyFill="1" applyBorder="1" applyAlignment="1">
      <alignment horizontal="center" vertical="center"/>
    </xf>
    <xf numFmtId="10" fontId="93" fillId="0" borderId="30" xfId="4" applyNumberFormat="1" applyFont="1" applyBorder="1" applyAlignment="1">
      <alignment horizontal="center" vertical="center"/>
    </xf>
    <xf numFmtId="194" fontId="93" fillId="8" borderId="54" xfId="4" applyNumberFormat="1" applyFont="1" applyFill="1" applyBorder="1" applyAlignment="1">
      <alignment horizontal="center" vertical="center"/>
    </xf>
    <xf numFmtId="189" fontId="93" fillId="0" borderId="54" xfId="4" applyNumberFormat="1" applyFont="1" applyBorder="1" applyAlignment="1">
      <alignment horizontal="center" vertical="center"/>
    </xf>
    <xf numFmtId="194" fontId="93" fillId="8" borderId="54" xfId="6" applyNumberFormat="1" applyFont="1" applyFill="1" applyBorder="1" applyAlignment="1">
      <alignment horizontal="center" vertical="center"/>
    </xf>
    <xf numFmtId="195" fontId="93" fillId="8" borderId="54" xfId="4" applyNumberFormat="1" applyFont="1" applyFill="1" applyBorder="1" applyAlignment="1">
      <alignment horizontal="center" vertical="center"/>
    </xf>
    <xf numFmtId="10" fontId="93" fillId="0" borderId="54" xfId="4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44" fillId="2" borderId="22" xfId="0" applyFont="1" applyFill="1" applyBorder="1" applyAlignment="1">
      <alignment horizontal="center" vertical="center" shrinkToFit="1"/>
    </xf>
    <xf numFmtId="0" fontId="31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79" fontId="55" fillId="0" borderId="0" xfId="0" applyNumberFormat="1" applyFont="1" applyAlignment="1">
      <alignment horizont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9" fontId="27" fillId="0" borderId="0" xfId="577" applyFont="1" applyAlignment="1">
      <alignment horizontal="center" vertical="center"/>
    </xf>
    <xf numFmtId="3" fontId="24" fillId="0" borderId="0" xfId="11" applyNumberFormat="1" applyFont="1" applyAlignment="1">
      <alignment shrinkToFit="1"/>
    </xf>
    <xf numFmtId="189" fontId="1" fillId="0" borderId="0" xfId="3" applyNumberFormat="1" applyFont="1">
      <alignment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7" fontId="20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 shrinkToFit="1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44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shrinkToFit="1"/>
    </xf>
    <xf numFmtId="0" fontId="52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0" fillId="0" borderId="31" xfId="0" applyFont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85" fillId="0" borderId="31" xfId="11" applyFont="1" applyBorder="1" applyAlignment="1">
      <alignment horizontal="center" vertical="center"/>
    </xf>
    <xf numFmtId="0" fontId="85" fillId="0" borderId="32" xfId="11" applyFont="1" applyBorder="1" applyAlignment="1">
      <alignment horizontal="center" vertical="center"/>
    </xf>
    <xf numFmtId="0" fontId="85" fillId="0" borderId="33" xfId="11" applyFont="1" applyBorder="1" applyAlignment="1">
      <alignment horizontal="center" vertical="center"/>
    </xf>
    <xf numFmtId="0" fontId="85" fillId="0" borderId="34" xfId="11" applyFont="1" applyBorder="1" applyAlignment="1">
      <alignment horizontal="center" vertical="center"/>
    </xf>
    <xf numFmtId="0" fontId="85" fillId="0" borderId="35" xfId="11" applyFont="1" applyBorder="1" applyAlignment="1">
      <alignment horizontal="center" vertical="center"/>
    </xf>
    <xf numFmtId="0" fontId="85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4" fillId="5" borderId="23" xfId="5" applyFont="1" applyFill="1" applyBorder="1" applyAlignment="1">
      <alignment horizontal="center" vertical="center"/>
    </xf>
    <xf numFmtId="0" fontId="84" fillId="5" borderId="29" xfId="5" applyFont="1" applyFill="1" applyBorder="1" applyAlignment="1">
      <alignment horizontal="center" vertical="center"/>
    </xf>
    <xf numFmtId="0" fontId="84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93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88" fillId="5" borderId="22" xfId="15" applyFont="1" applyFill="1" applyBorder="1" applyAlignment="1">
      <alignment horizontal="center" vertical="center"/>
    </xf>
    <xf numFmtId="0" fontId="89" fillId="16" borderId="22" xfId="15" applyFont="1" applyFill="1" applyBorder="1" applyAlignment="1">
      <alignment horizontal="center" vertical="center" wrapText="1"/>
    </xf>
    <xf numFmtId="0" fontId="92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18&#24230;\&#26185;&#27427;18&#24230;&#24037;&#20316;&#26085;&#22577;&#34920;115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晉欣18度C1230"/>
      <sheetName val="晉欣18度C1231"/>
      <sheetName val="晉欣18度C0101"/>
      <sheetName val="晉欣18度C0102"/>
      <sheetName val="晉欣18度C0103"/>
      <sheetName val="晉欣18度C0104"/>
      <sheetName val="晉欣18度C0105"/>
      <sheetName val="晉欣18度C0106"/>
      <sheetName val="晉欣18度C0107"/>
      <sheetName val="晉欣18度C0108"/>
      <sheetName val="晉欣18度C0109"/>
      <sheetName val="晉欣18度C0110"/>
      <sheetName val="晉欣18度C0111"/>
      <sheetName val="晉欣18度C0112"/>
      <sheetName val="工作表1"/>
      <sheetName val="晉欣18度C0113"/>
      <sheetName val="晉欣18度C0114"/>
      <sheetName val="晉欣18度C0115"/>
      <sheetName val="晉欣18度C0116"/>
      <sheetName val="晉欣18度C0117"/>
      <sheetName val="晉欣18度C0118"/>
      <sheetName val="晉欣18度C0119"/>
      <sheetName val="晉欣18度C0120"/>
      <sheetName val="晉欣18度C0121"/>
      <sheetName val="晉欣18度C0122"/>
      <sheetName val="晉欣18度C0123"/>
      <sheetName val="晉欣18度C0124"/>
      <sheetName val="晉欣18度C0125"/>
      <sheetName val="晉欣18度C0126"/>
      <sheetName val="晉欣18度C0127"/>
      <sheetName val="晉欣18度C0128"/>
      <sheetName val="晉欣18度C0129"/>
      <sheetName val="晉欣18度C0130"/>
      <sheetName val="晉欣18度C0131"/>
      <sheetName val="晉欣18度C0201"/>
      <sheetName val="晉欣18度C0202"/>
      <sheetName val="填寫舉例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18℃-飯糰）"/>
      <sheetName val="（５-2）品群別人時生產性（18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(報廢)"/>
      <sheetName val="生產管理報表 8-2(報廢)"/>
      <sheetName val="生產管理報表 8-3(超用)"/>
      <sheetName val="生產管理報表 8-4(超用)"/>
      <sheetName val="生產管理報表 9"/>
      <sheetName val="報廢20大－原因別分析"/>
      <sheetName val="超用20大－原因別分析"/>
      <sheetName val="日別報廢率總表  "/>
      <sheetName val="鮮食品群番"/>
    </sheetNames>
    <sheetDataSet>
      <sheetData sheetId="0"/>
      <sheetData sheetId="1">
        <row r="1">
          <cell r="A1" t="str">
            <v>品項</v>
          </cell>
        </row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 t="str">
            <v>經典鮪魚沙拉細卷</v>
          </cell>
          <cell r="B40">
            <v>5</v>
          </cell>
          <cell r="C40">
            <v>1500</v>
          </cell>
          <cell r="D40">
            <v>300</v>
          </cell>
        </row>
        <row r="41">
          <cell r="A41" t="str">
            <v>雙鬆細卷</v>
          </cell>
          <cell r="B41">
            <v>5</v>
          </cell>
          <cell r="C41">
            <v>1500</v>
          </cell>
          <cell r="D41">
            <v>300</v>
          </cell>
        </row>
        <row r="42">
          <cell r="A42" t="str">
            <v>滿滿海鮮沙拉脆卷</v>
          </cell>
          <cell r="B42">
            <v>15</v>
          </cell>
          <cell r="C42">
            <v>1200</v>
          </cell>
          <cell r="D42">
            <v>80</v>
          </cell>
        </row>
        <row r="43">
          <cell r="A43" t="str">
            <v>椒鹽檸檬鯖魚飯糰</v>
          </cell>
          <cell r="B43">
            <v>3</v>
          </cell>
          <cell r="C43">
            <v>2800</v>
          </cell>
          <cell r="D43">
            <v>933.33333333333337</v>
          </cell>
        </row>
        <row r="44">
          <cell r="A44" t="str">
            <v>油蔥雞汁飯糰(區)</v>
          </cell>
          <cell r="B44">
            <v>4</v>
          </cell>
          <cell r="C44">
            <v>2800</v>
          </cell>
          <cell r="D44">
            <v>700</v>
          </cell>
        </row>
        <row r="45">
          <cell r="A45" t="str">
            <v>二配三杯醬爆菇菇飯糰</v>
          </cell>
          <cell r="B45">
            <v>3</v>
          </cell>
          <cell r="C45">
            <v>2800</v>
          </cell>
          <cell r="D45">
            <v>933.33333333333337</v>
          </cell>
        </row>
        <row r="46">
          <cell r="A46" t="str">
            <v>明太子玉子脆卷</v>
          </cell>
          <cell r="B46">
            <v>15</v>
          </cell>
          <cell r="C46">
            <v>1200</v>
          </cell>
          <cell r="D46">
            <v>80</v>
          </cell>
        </row>
        <row r="47">
          <cell r="A47" t="str">
            <v>二配大飯糰鮪魚昆布</v>
          </cell>
          <cell r="B47">
            <v>4</v>
          </cell>
          <cell r="C47">
            <v>3000</v>
          </cell>
          <cell r="D47">
            <v>750</v>
          </cell>
        </row>
        <row r="48">
          <cell r="A48" t="str">
            <v>二配大飯糰韓式蒜烤豬五花</v>
          </cell>
          <cell r="B48">
            <v>4</v>
          </cell>
          <cell r="C48">
            <v>3000</v>
          </cell>
          <cell r="D48">
            <v>750</v>
          </cell>
        </row>
        <row r="49">
          <cell r="A49" t="str">
            <v>二配大飯糰滷肉飯加蛋</v>
          </cell>
          <cell r="B49">
            <v>4</v>
          </cell>
          <cell r="C49">
            <v>3000</v>
          </cell>
          <cell r="D49">
            <v>750</v>
          </cell>
        </row>
        <row r="50">
          <cell r="A50" t="str">
            <v>鮭魚奶油醬油飯糰</v>
          </cell>
          <cell r="B50">
            <v>3</v>
          </cell>
          <cell r="C50">
            <v>2800</v>
          </cell>
          <cell r="D50">
            <v>933.33333333333337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</row>
        <row r="53">
          <cell r="A53" t="str">
            <v>香料咖哩烤雞飯卷</v>
          </cell>
          <cell r="B53">
            <v>13</v>
          </cell>
          <cell r="C53">
            <v>1500</v>
          </cell>
          <cell r="D53">
            <v>115.38461538461539</v>
          </cell>
        </row>
        <row r="54">
          <cell r="A54" t="str">
            <v>麻油鹽炙烤豬肉飯卷</v>
          </cell>
          <cell r="B54">
            <v>13</v>
          </cell>
          <cell r="C54">
            <v>1500</v>
          </cell>
          <cell r="D54">
            <v>115.38461538461539</v>
          </cell>
        </row>
        <row r="55">
          <cell r="A55" t="str">
            <v>兩粒飯糰(鮪魚.焦糖鮭魚)</v>
          </cell>
          <cell r="B55">
            <v>12</v>
          </cell>
          <cell r="C55">
            <v>1500</v>
          </cell>
          <cell r="D55">
            <v>125</v>
          </cell>
        </row>
        <row r="56">
          <cell r="A56" t="str">
            <v>麻油雞飯糰</v>
          </cell>
          <cell r="B56">
            <v>18</v>
          </cell>
          <cell r="C56">
            <v>1250</v>
          </cell>
          <cell r="D56">
            <v>69.444444444444443</v>
          </cell>
        </row>
        <row r="57">
          <cell r="A57" t="str">
            <v>德式酸菜燻腸飯卷</v>
          </cell>
          <cell r="B57">
            <v>13</v>
          </cell>
          <cell r="C57">
            <v>1500</v>
          </cell>
          <cell r="D57">
            <v>115.38461538461539</v>
          </cell>
        </row>
        <row r="58">
          <cell r="A58" t="str">
            <v>日式明太子炙烤牛飯卷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核桃腰果稻荷壽司組</v>
          </cell>
          <cell r="B59">
            <v>13</v>
          </cell>
          <cell r="C59">
            <v>1300</v>
          </cell>
          <cell r="D59">
            <v>100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</sheetData>
      <sheetData sheetId="2">
        <row r="1">
          <cell r="E1">
            <v>81921</v>
          </cell>
        </row>
      </sheetData>
      <sheetData sheetId="3">
        <row r="1">
          <cell r="E1">
            <v>67559</v>
          </cell>
        </row>
      </sheetData>
      <sheetData sheetId="4">
        <row r="1">
          <cell r="E1">
            <v>71217</v>
          </cell>
        </row>
      </sheetData>
      <sheetData sheetId="5">
        <row r="1">
          <cell r="E1">
            <v>67107</v>
          </cell>
        </row>
      </sheetData>
      <sheetData sheetId="6">
        <row r="1">
          <cell r="E1">
            <v>67240</v>
          </cell>
        </row>
      </sheetData>
      <sheetData sheetId="7">
        <row r="1">
          <cell r="E1">
            <v>76471</v>
          </cell>
        </row>
      </sheetData>
      <sheetData sheetId="8">
        <row r="1">
          <cell r="E1">
            <v>77317</v>
          </cell>
        </row>
      </sheetData>
      <sheetData sheetId="9">
        <row r="1">
          <cell r="E1">
            <v>82813</v>
          </cell>
        </row>
      </sheetData>
      <sheetData sheetId="10">
        <row r="1">
          <cell r="E1">
            <v>80718</v>
          </cell>
        </row>
      </sheetData>
      <sheetData sheetId="11">
        <row r="1">
          <cell r="E1">
            <v>73318</v>
          </cell>
        </row>
      </sheetData>
      <sheetData sheetId="12">
        <row r="1">
          <cell r="E1">
            <v>68326</v>
          </cell>
        </row>
      </sheetData>
      <sheetData sheetId="13">
        <row r="1">
          <cell r="E1">
            <v>68737</v>
          </cell>
        </row>
      </sheetData>
      <sheetData sheetId="14">
        <row r="1">
          <cell r="E1">
            <v>79874</v>
          </cell>
        </row>
      </sheetData>
      <sheetData sheetId="15">
        <row r="1">
          <cell r="E1">
            <v>76300</v>
          </cell>
        </row>
      </sheetData>
      <sheetData sheetId="16">
        <row r="5">
          <cell r="D5" t="str">
            <v>麻油雞飯糰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5">
          <cell r="D5" t="str">
            <v>麻油雞飯糰</v>
          </cell>
        </row>
      </sheetData>
      <sheetData sheetId="26">
        <row r="5">
          <cell r="D5" t="str">
            <v>麻油雞飯糰</v>
          </cell>
        </row>
      </sheetData>
      <sheetData sheetId="27">
        <row r="5">
          <cell r="D5" t="str">
            <v>麻油雞飯糰</v>
          </cell>
        </row>
      </sheetData>
      <sheetData sheetId="28">
        <row r="5">
          <cell r="D5" t="str">
            <v>麻油雞飯糰</v>
          </cell>
        </row>
      </sheetData>
      <sheetData sheetId="29">
        <row r="5">
          <cell r="D5" t="str">
            <v>麻油雞飯糰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430" t="s">
        <v>53</v>
      </c>
      <c r="D21" s="413"/>
      <c r="E21" s="406"/>
      <c r="F21" s="49" t="s">
        <v>54</v>
      </c>
      <c r="G21" s="49" t="s">
        <v>55</v>
      </c>
      <c r="H21" s="49" t="s">
        <v>56</v>
      </c>
      <c r="I21" s="8" t="s">
        <v>57</v>
      </c>
      <c r="J21" s="422" t="s">
        <v>58</v>
      </c>
      <c r="K21" s="406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405" t="s">
        <v>60</v>
      </c>
      <c r="D22" s="413"/>
      <c r="E22" s="406"/>
      <c r="F22" s="4">
        <v>3</v>
      </c>
      <c r="G22" s="4">
        <v>3000</v>
      </c>
      <c r="H22" s="4">
        <v>1000</v>
      </c>
      <c r="I22" s="4">
        <v>10</v>
      </c>
      <c r="J22" s="412" t="s">
        <v>61</v>
      </c>
      <c r="K22" s="406"/>
      <c r="M22" s="52" t="s">
        <v>26</v>
      </c>
      <c r="N22" s="57" t="s">
        <v>52</v>
      </c>
      <c r="O22" s="418" t="s">
        <v>53</v>
      </c>
      <c r="P22" s="413"/>
      <c r="Q22" s="406"/>
      <c r="R22" s="424" t="s">
        <v>62</v>
      </c>
      <c r="S22" s="413"/>
      <c r="T22" s="406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22" t="s">
        <v>58</v>
      </c>
      <c r="AA22" s="406"/>
    </row>
    <row r="23" spans="1:27" ht="15.75" customHeight="1">
      <c r="A23" s="23"/>
      <c r="B23" s="6">
        <v>2</v>
      </c>
      <c r="C23" s="427"/>
      <c r="D23" s="413"/>
      <c r="E23" s="406"/>
      <c r="F23" s="4"/>
      <c r="G23" s="4"/>
      <c r="H23" s="4"/>
      <c r="I23" s="4"/>
      <c r="J23" s="427"/>
      <c r="K23" s="406"/>
      <c r="M23" s="56" t="s">
        <v>48</v>
      </c>
      <c r="N23" s="24">
        <v>1</v>
      </c>
      <c r="O23" s="412" t="s">
        <v>65</v>
      </c>
      <c r="P23" s="413"/>
      <c r="Q23" s="406"/>
      <c r="R23" s="412" t="s">
        <v>66</v>
      </c>
      <c r="S23" s="413"/>
      <c r="T23" s="40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12" t="s">
        <v>67</v>
      </c>
      <c r="AA23" s="406"/>
    </row>
    <row r="24" spans="1:27" ht="15.75" customHeight="1">
      <c r="A24" s="23"/>
      <c r="B24" s="6">
        <v>3</v>
      </c>
      <c r="C24" s="427"/>
      <c r="D24" s="413"/>
      <c r="E24" s="406"/>
      <c r="F24" s="4"/>
      <c r="G24" s="4"/>
      <c r="H24" s="4"/>
      <c r="I24" s="4"/>
      <c r="J24" s="427"/>
      <c r="K24" s="406"/>
      <c r="M24" s="25"/>
      <c r="N24" s="24">
        <v>2</v>
      </c>
      <c r="O24" s="405"/>
      <c r="P24" s="413"/>
      <c r="Q24" s="406"/>
      <c r="R24" s="405"/>
      <c r="S24" s="413"/>
      <c r="T24" s="406"/>
      <c r="U24" s="4"/>
      <c r="V24" s="14"/>
      <c r="W24" s="4"/>
      <c r="X24" s="16">
        <f>W24*U24</f>
        <v>0</v>
      </c>
      <c r="Y24" s="4"/>
      <c r="Z24" s="405"/>
      <c r="AA24" s="406"/>
    </row>
    <row r="25" spans="1:27" ht="15.75" customHeight="1">
      <c r="A25" s="23"/>
      <c r="B25" s="6">
        <v>4</v>
      </c>
      <c r="C25" s="427"/>
      <c r="D25" s="413"/>
      <c r="E25" s="406"/>
      <c r="F25" s="4"/>
      <c r="G25" s="4"/>
      <c r="H25" s="4"/>
      <c r="I25" s="4"/>
      <c r="J25" s="427"/>
      <c r="K25" s="406"/>
      <c r="M25" s="25"/>
      <c r="N25" s="24">
        <v>3</v>
      </c>
      <c r="O25" s="405"/>
      <c r="P25" s="413"/>
      <c r="Q25" s="406"/>
      <c r="R25" s="405"/>
      <c r="S25" s="413"/>
      <c r="T25" s="406"/>
      <c r="U25" s="4"/>
      <c r="V25" s="14"/>
      <c r="W25" s="4"/>
      <c r="X25" s="16">
        <f>W25*U25</f>
        <v>0</v>
      </c>
      <c r="Y25" s="4"/>
      <c r="Z25" s="405"/>
      <c r="AA25" s="406"/>
    </row>
    <row r="26" spans="1:27" ht="15.75" customHeight="1">
      <c r="A26" s="23"/>
      <c r="B26" s="26">
        <v>5</v>
      </c>
      <c r="C26" s="431"/>
      <c r="D26" s="414"/>
      <c r="E26" s="408"/>
      <c r="F26" s="27"/>
      <c r="G26" s="27"/>
      <c r="H26" s="27"/>
      <c r="I26" s="27"/>
      <c r="J26" s="431"/>
      <c r="K26" s="408"/>
      <c r="M26" s="25"/>
      <c r="N26" s="24">
        <v>4</v>
      </c>
      <c r="O26" s="405"/>
      <c r="P26" s="413"/>
      <c r="Q26" s="406"/>
      <c r="R26" s="405"/>
      <c r="S26" s="413"/>
      <c r="T26" s="406"/>
      <c r="U26" s="4"/>
      <c r="V26" s="14"/>
      <c r="W26" s="4"/>
      <c r="X26" s="16">
        <f>W26*U26</f>
        <v>0</v>
      </c>
      <c r="Y26" s="4"/>
      <c r="Z26" s="405"/>
      <c r="AA26" s="406"/>
    </row>
    <row r="27" spans="1:27" ht="15.75" customHeight="1">
      <c r="A27" s="23"/>
      <c r="B27" s="69" t="s">
        <v>68</v>
      </c>
      <c r="C27" s="415" t="s">
        <v>69</v>
      </c>
      <c r="D27" s="416"/>
      <c r="E27" s="417"/>
      <c r="F27" s="28">
        <v>4</v>
      </c>
      <c r="G27" s="28">
        <v>2800</v>
      </c>
      <c r="H27" s="28">
        <v>700</v>
      </c>
      <c r="I27" s="28" t="s">
        <v>70</v>
      </c>
      <c r="J27" s="415" t="s">
        <v>71</v>
      </c>
      <c r="K27" s="417"/>
      <c r="M27" s="25"/>
      <c r="N27" s="29">
        <v>5</v>
      </c>
      <c r="O27" s="407"/>
      <c r="P27" s="414"/>
      <c r="Q27" s="408"/>
      <c r="R27" s="407"/>
      <c r="S27" s="414"/>
      <c r="T27" s="408"/>
      <c r="U27" s="27"/>
      <c r="V27" s="30"/>
      <c r="W27" s="27"/>
      <c r="X27" s="31">
        <f>W27*U27</f>
        <v>0</v>
      </c>
      <c r="Y27" s="4"/>
      <c r="Z27" s="407"/>
      <c r="AA27" s="408"/>
    </row>
    <row r="28" spans="1:27" ht="15.75" customHeight="1">
      <c r="A28" s="23"/>
      <c r="B28" s="70" t="s">
        <v>72</v>
      </c>
      <c r="C28" s="427"/>
      <c r="D28" s="413"/>
      <c r="E28" s="406"/>
      <c r="F28" s="4"/>
      <c r="G28" s="4"/>
      <c r="H28" s="4"/>
      <c r="I28" s="4"/>
      <c r="J28" s="427"/>
      <c r="K28" s="406"/>
      <c r="M28" s="32"/>
      <c r="N28" s="55"/>
      <c r="O28" s="409"/>
      <c r="P28" s="413"/>
      <c r="Q28" s="413"/>
      <c r="R28" s="409"/>
      <c r="S28" s="413"/>
      <c r="T28" s="413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409"/>
      <c r="AA28" s="406"/>
    </row>
    <row r="29" spans="1:27" ht="15.75" customHeight="1">
      <c r="A29" s="23"/>
      <c r="B29" s="70" t="s">
        <v>75</v>
      </c>
      <c r="C29" s="427"/>
      <c r="D29" s="413"/>
      <c r="E29" s="406"/>
      <c r="F29" s="4"/>
      <c r="G29" s="4"/>
      <c r="H29" s="4"/>
      <c r="I29" s="4"/>
      <c r="J29" s="427"/>
      <c r="K29" s="406"/>
      <c r="M29" s="56" t="s">
        <v>49</v>
      </c>
      <c r="N29" s="24">
        <v>1</v>
      </c>
      <c r="O29" s="428" t="s">
        <v>76</v>
      </c>
      <c r="P29" s="429"/>
      <c r="Q29" s="411"/>
      <c r="R29" s="410" t="s">
        <v>77</v>
      </c>
      <c r="S29" s="429"/>
      <c r="T29" s="41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10" t="s">
        <v>78</v>
      </c>
      <c r="AA29" s="411"/>
    </row>
    <row r="30" spans="1:27" ht="15.75" customHeight="1">
      <c r="A30" s="23"/>
      <c r="B30" s="70" t="s">
        <v>79</v>
      </c>
      <c r="C30" s="427"/>
      <c r="D30" s="413"/>
      <c r="E30" s="406"/>
      <c r="F30" s="4"/>
      <c r="G30" s="4"/>
      <c r="H30" s="4"/>
      <c r="I30" s="4"/>
      <c r="J30" s="427"/>
      <c r="K30" s="406"/>
      <c r="M30" s="25"/>
      <c r="N30" s="24">
        <v>2</v>
      </c>
      <c r="O30" s="405"/>
      <c r="P30" s="413"/>
      <c r="Q30" s="406"/>
      <c r="R30" s="405"/>
      <c r="S30" s="413"/>
      <c r="T30" s="406"/>
      <c r="U30" s="4"/>
      <c r="V30" s="14"/>
      <c r="W30" s="4"/>
      <c r="X30" s="16">
        <f>W30*U30</f>
        <v>0</v>
      </c>
      <c r="Y30" s="4"/>
      <c r="Z30" s="405"/>
      <c r="AA30" s="406"/>
    </row>
    <row r="31" spans="1:27" ht="15.75" customHeight="1">
      <c r="A31" s="20"/>
      <c r="B31" s="70" t="s">
        <v>80</v>
      </c>
      <c r="C31" s="427"/>
      <c r="D31" s="413"/>
      <c r="E31" s="406"/>
      <c r="F31" s="4"/>
      <c r="G31" s="4"/>
      <c r="H31" s="4"/>
      <c r="I31" s="4"/>
      <c r="J31" s="427"/>
      <c r="K31" s="406"/>
      <c r="M31" s="25"/>
      <c r="N31" s="24">
        <v>3</v>
      </c>
      <c r="O31" s="405"/>
      <c r="P31" s="413"/>
      <c r="Q31" s="406"/>
      <c r="R31" s="405"/>
      <c r="S31" s="413"/>
      <c r="T31" s="406"/>
      <c r="U31" s="4"/>
      <c r="V31" s="14"/>
      <c r="W31" s="4"/>
      <c r="X31" s="16">
        <f>W31*U31</f>
        <v>0</v>
      </c>
      <c r="Y31" s="4"/>
      <c r="Z31" s="405"/>
      <c r="AA31" s="406"/>
    </row>
    <row r="32" spans="1:27" ht="15.75" customHeight="1">
      <c r="A32" s="67"/>
      <c r="M32" s="25"/>
      <c r="N32" s="24">
        <v>4</v>
      </c>
      <c r="O32" s="405"/>
      <c r="P32" s="413"/>
      <c r="Q32" s="406"/>
      <c r="R32" s="405"/>
      <c r="S32" s="413"/>
      <c r="T32" s="406"/>
      <c r="U32" s="4"/>
      <c r="V32" s="14"/>
      <c r="W32" s="4"/>
      <c r="X32" s="16">
        <f>W32*U32</f>
        <v>0</v>
      </c>
      <c r="Y32" s="4"/>
      <c r="Z32" s="405"/>
      <c r="AA32" s="406"/>
    </row>
    <row r="33" spans="1:27" ht="15.75" customHeight="1">
      <c r="A33" s="18"/>
      <c r="B33" s="49" t="s">
        <v>52</v>
      </c>
      <c r="C33" s="430" t="s">
        <v>53</v>
      </c>
      <c r="D33" s="413"/>
      <c r="E33" s="406"/>
      <c r="F33" s="49" t="s">
        <v>54</v>
      </c>
      <c r="G33" s="49" t="s">
        <v>55</v>
      </c>
      <c r="H33" s="49" t="s">
        <v>56</v>
      </c>
      <c r="I33" s="8" t="s">
        <v>57</v>
      </c>
      <c r="J33" s="422" t="s">
        <v>58</v>
      </c>
      <c r="K33" s="406"/>
      <c r="M33" s="25"/>
      <c r="N33" s="29">
        <v>5</v>
      </c>
      <c r="O33" s="405"/>
      <c r="P33" s="413"/>
      <c r="Q33" s="406"/>
      <c r="R33" s="405"/>
      <c r="S33" s="413"/>
      <c r="T33" s="406"/>
      <c r="U33" s="27"/>
      <c r="V33" s="30"/>
      <c r="W33" s="27"/>
      <c r="X33" s="31">
        <f>W33*U33</f>
        <v>0</v>
      </c>
      <c r="Y33" s="4"/>
      <c r="Z33" s="405"/>
      <c r="AA33" s="406"/>
    </row>
    <row r="34" spans="1:27" ht="15.75" customHeight="1">
      <c r="A34" s="52" t="s">
        <v>24</v>
      </c>
      <c r="B34" s="6">
        <v>1</v>
      </c>
      <c r="C34" s="412" t="s">
        <v>81</v>
      </c>
      <c r="D34" s="413"/>
      <c r="E34" s="406"/>
      <c r="F34" s="4">
        <v>3</v>
      </c>
      <c r="G34" s="4">
        <v>2500</v>
      </c>
      <c r="H34" s="4">
        <v>833.33</v>
      </c>
      <c r="I34" s="4">
        <v>20</v>
      </c>
      <c r="J34" s="412" t="s">
        <v>82</v>
      </c>
      <c r="K34" s="406"/>
      <c r="M34" s="68"/>
      <c r="N34" s="45"/>
      <c r="O34" s="409"/>
      <c r="P34" s="413"/>
      <c r="Q34" s="413"/>
      <c r="R34" s="409"/>
      <c r="S34" s="413"/>
      <c r="T34" s="413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409"/>
      <c r="AA34" s="406"/>
    </row>
    <row r="35" spans="1:27" ht="15.75" customHeight="1">
      <c r="A35" s="23"/>
      <c r="B35" s="6">
        <v>2</v>
      </c>
      <c r="C35" s="405"/>
      <c r="D35" s="413"/>
      <c r="E35" s="406"/>
      <c r="F35" s="4"/>
      <c r="G35" s="4"/>
      <c r="H35" s="4"/>
      <c r="I35" s="4"/>
      <c r="J35" s="405"/>
      <c r="K35" s="406"/>
      <c r="M35" s="1"/>
      <c r="N35" s="1"/>
      <c r="O35" s="420"/>
      <c r="P35" s="421"/>
      <c r="Q35" s="421"/>
      <c r="R35" s="420"/>
      <c r="S35" s="421"/>
      <c r="T35" s="421"/>
      <c r="U35" s="1"/>
      <c r="V35" s="38"/>
      <c r="W35" s="1"/>
      <c r="X35" s="1"/>
      <c r="Y35" s="420"/>
      <c r="Z35" s="421"/>
      <c r="AA35" s="421"/>
    </row>
    <row r="36" spans="1:27" ht="15.75" customHeight="1">
      <c r="A36" s="23"/>
      <c r="B36" s="6">
        <v>3</v>
      </c>
      <c r="C36" s="405"/>
      <c r="D36" s="413"/>
      <c r="E36" s="406"/>
      <c r="F36" s="4"/>
      <c r="G36" s="4"/>
      <c r="H36" s="4"/>
      <c r="I36" s="4"/>
      <c r="J36" s="405"/>
      <c r="K36" s="406"/>
      <c r="M36" s="52" t="s">
        <v>30</v>
      </c>
      <c r="N36" s="57" t="s">
        <v>52</v>
      </c>
      <c r="O36" s="418" t="s">
        <v>53</v>
      </c>
      <c r="P36" s="409"/>
      <c r="Q36" s="419"/>
      <c r="R36" s="424" t="s">
        <v>62</v>
      </c>
      <c r="S36" s="425"/>
      <c r="T36" s="426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22" t="s">
        <v>58</v>
      </c>
      <c r="AA36" s="423"/>
    </row>
    <row r="37" spans="1:27" ht="15.75" customHeight="1">
      <c r="A37" s="23"/>
      <c r="B37" s="6">
        <v>4</v>
      </c>
      <c r="C37" s="405"/>
      <c r="D37" s="413"/>
      <c r="E37" s="406"/>
      <c r="F37" s="4"/>
      <c r="G37" s="4"/>
      <c r="H37" s="4"/>
      <c r="I37" s="4"/>
      <c r="J37" s="405"/>
      <c r="K37" s="406"/>
      <c r="M37" s="56" t="s">
        <v>48</v>
      </c>
      <c r="N37" s="24">
        <v>1</v>
      </c>
      <c r="O37" s="412" t="s">
        <v>83</v>
      </c>
      <c r="P37" s="413"/>
      <c r="Q37" s="406"/>
      <c r="R37" s="412" t="s">
        <v>84</v>
      </c>
      <c r="S37" s="413"/>
      <c r="T37" s="40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12" t="s">
        <v>85</v>
      </c>
      <c r="AA37" s="406"/>
    </row>
    <row r="38" spans="1:27" ht="15.75" customHeight="1">
      <c r="A38" s="23"/>
      <c r="B38" s="26">
        <v>5</v>
      </c>
      <c r="C38" s="407"/>
      <c r="D38" s="414"/>
      <c r="E38" s="408"/>
      <c r="F38" s="27"/>
      <c r="G38" s="27"/>
      <c r="H38" s="27"/>
      <c r="I38" s="27"/>
      <c r="J38" s="407"/>
      <c r="K38" s="408"/>
      <c r="M38" s="25"/>
      <c r="N38" s="24">
        <v>2</v>
      </c>
      <c r="O38" s="405"/>
      <c r="P38" s="413"/>
      <c r="Q38" s="406"/>
      <c r="R38" s="405"/>
      <c r="S38" s="413"/>
      <c r="T38" s="406"/>
      <c r="U38" s="4"/>
      <c r="V38" s="14"/>
      <c r="W38" s="4"/>
      <c r="X38" s="16">
        <f>W38*U38</f>
        <v>0</v>
      </c>
      <c r="Y38" s="4"/>
      <c r="Z38" s="405"/>
      <c r="AA38" s="406"/>
    </row>
    <row r="39" spans="1:27" ht="14.25">
      <c r="A39" s="23"/>
      <c r="B39" s="69" t="s">
        <v>68</v>
      </c>
      <c r="C39" s="415" t="s">
        <v>86</v>
      </c>
      <c r="D39" s="416"/>
      <c r="E39" s="417"/>
      <c r="F39" s="28">
        <v>7</v>
      </c>
      <c r="G39" s="28">
        <v>2200</v>
      </c>
      <c r="H39" s="28">
        <v>314.29000000000002</v>
      </c>
      <c r="I39" s="28">
        <v>-15</v>
      </c>
      <c r="J39" s="415" t="s">
        <v>87</v>
      </c>
      <c r="K39" s="417"/>
      <c r="M39" s="25"/>
      <c r="N39" s="24">
        <v>3</v>
      </c>
      <c r="O39" s="405"/>
      <c r="P39" s="413"/>
      <c r="Q39" s="406"/>
      <c r="R39" s="405"/>
      <c r="S39" s="413"/>
      <c r="T39" s="406"/>
      <c r="U39" s="4"/>
      <c r="V39" s="14"/>
      <c r="W39" s="4"/>
      <c r="X39" s="16">
        <f>W39*U39</f>
        <v>0</v>
      </c>
      <c r="Y39" s="4"/>
      <c r="Z39" s="405"/>
      <c r="AA39" s="406"/>
    </row>
    <row r="40" spans="1:27" ht="14.25">
      <c r="A40" s="23"/>
      <c r="B40" s="70" t="s">
        <v>72</v>
      </c>
      <c r="C40" s="405"/>
      <c r="D40" s="413"/>
      <c r="E40" s="406"/>
      <c r="F40" s="4"/>
      <c r="G40" s="4"/>
      <c r="H40" s="4"/>
      <c r="I40" s="4"/>
      <c r="J40" s="405"/>
      <c r="K40" s="406"/>
      <c r="M40" s="25"/>
      <c r="N40" s="24">
        <v>4</v>
      </c>
      <c r="O40" s="405"/>
      <c r="P40" s="413"/>
      <c r="Q40" s="406"/>
      <c r="R40" s="405"/>
      <c r="S40" s="413"/>
      <c r="T40" s="406"/>
      <c r="U40" s="4"/>
      <c r="V40" s="14"/>
      <c r="W40" s="4"/>
      <c r="X40" s="16">
        <f>W40*U40</f>
        <v>0</v>
      </c>
      <c r="Y40" s="4"/>
      <c r="Z40" s="405"/>
      <c r="AA40" s="406"/>
    </row>
    <row r="41" spans="1:27" ht="14.25">
      <c r="A41" s="23"/>
      <c r="B41" s="70" t="s">
        <v>75</v>
      </c>
      <c r="C41" s="405"/>
      <c r="D41" s="413"/>
      <c r="E41" s="406"/>
      <c r="F41" s="4"/>
      <c r="G41" s="4"/>
      <c r="H41" s="4"/>
      <c r="I41" s="4"/>
      <c r="J41" s="405"/>
      <c r="K41" s="406"/>
      <c r="M41" s="25"/>
      <c r="N41" s="29">
        <v>5</v>
      </c>
      <c r="O41" s="407"/>
      <c r="P41" s="414"/>
      <c r="Q41" s="408"/>
      <c r="R41" s="407"/>
      <c r="S41" s="414"/>
      <c r="T41" s="408"/>
      <c r="U41" s="27"/>
      <c r="V41" s="30"/>
      <c r="W41" s="27"/>
      <c r="X41" s="31">
        <f>W41*U41</f>
        <v>0</v>
      </c>
      <c r="Y41" s="4"/>
      <c r="Z41" s="405"/>
      <c r="AA41" s="406"/>
    </row>
    <row r="42" spans="1:27" ht="14.25">
      <c r="A42" s="23"/>
      <c r="B42" s="70" t="s">
        <v>79</v>
      </c>
      <c r="C42" s="405"/>
      <c r="D42" s="413"/>
      <c r="E42" s="406"/>
      <c r="F42" s="4"/>
      <c r="G42" s="4"/>
      <c r="H42" s="4"/>
      <c r="I42" s="4"/>
      <c r="J42" s="405"/>
      <c r="K42" s="406"/>
      <c r="M42" s="32"/>
      <c r="N42" s="54"/>
      <c r="O42" s="409"/>
      <c r="P42" s="413"/>
      <c r="Q42" s="413"/>
      <c r="R42" s="409"/>
      <c r="S42" s="413"/>
      <c r="T42" s="413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409"/>
      <c r="AA42" s="406"/>
    </row>
    <row r="43" spans="1:27" ht="14.25">
      <c r="A43" s="20"/>
      <c r="B43" s="70" t="s">
        <v>80</v>
      </c>
      <c r="C43" s="405"/>
      <c r="D43" s="413"/>
      <c r="E43" s="406"/>
      <c r="F43" s="4"/>
      <c r="G43" s="4"/>
      <c r="H43" s="4"/>
      <c r="I43" s="4"/>
      <c r="J43" s="405"/>
      <c r="K43" s="406"/>
      <c r="M43" s="56" t="s">
        <v>49</v>
      </c>
      <c r="N43" s="24">
        <v>1</v>
      </c>
      <c r="O43" s="412" t="s">
        <v>83</v>
      </c>
      <c r="P43" s="413"/>
      <c r="Q43" s="406"/>
      <c r="R43" s="410" t="s">
        <v>88</v>
      </c>
      <c r="S43" s="429"/>
      <c r="T43" s="41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12" t="s">
        <v>89</v>
      </c>
      <c r="AA43" s="406"/>
    </row>
    <row r="44" spans="1:27" ht="14.25">
      <c r="A44" s="67"/>
      <c r="M44" s="25"/>
      <c r="N44" s="24">
        <v>2</v>
      </c>
      <c r="O44" s="405"/>
      <c r="P44" s="413"/>
      <c r="Q44" s="406"/>
      <c r="R44" s="405"/>
      <c r="S44" s="413"/>
      <c r="T44" s="406"/>
      <c r="U44" s="4"/>
      <c r="V44" s="14"/>
      <c r="W44" s="4"/>
      <c r="X44" s="37">
        <f>W44*U44</f>
        <v>0</v>
      </c>
      <c r="Y44" s="4"/>
      <c r="Z44" s="405"/>
      <c r="AA44" s="406"/>
    </row>
    <row r="45" spans="1:27" ht="14.25">
      <c r="A45" s="18"/>
      <c r="B45" s="49" t="s">
        <v>52</v>
      </c>
      <c r="C45" s="430" t="s">
        <v>53</v>
      </c>
      <c r="D45" s="413"/>
      <c r="E45" s="406"/>
      <c r="F45" s="49" t="s">
        <v>54</v>
      </c>
      <c r="G45" s="49" t="s">
        <v>55</v>
      </c>
      <c r="H45" s="49" t="s">
        <v>56</v>
      </c>
      <c r="I45" s="8" t="s">
        <v>57</v>
      </c>
      <c r="J45" s="422" t="s">
        <v>58</v>
      </c>
      <c r="K45" s="406"/>
      <c r="M45" s="25"/>
      <c r="N45" s="24">
        <v>3</v>
      </c>
      <c r="O45" s="405"/>
      <c r="P45" s="413"/>
      <c r="Q45" s="406"/>
      <c r="R45" s="405"/>
      <c r="S45" s="413"/>
      <c r="T45" s="406"/>
      <c r="U45" s="4"/>
      <c r="V45" s="14"/>
      <c r="W45" s="4"/>
      <c r="X45" s="37">
        <f>W45*U45</f>
        <v>0</v>
      </c>
      <c r="Y45" s="4"/>
      <c r="Z45" s="405"/>
      <c r="AA45" s="406"/>
    </row>
    <row r="46" spans="1:27" ht="14.25">
      <c r="A46" s="52" t="s">
        <v>28</v>
      </c>
      <c r="B46" s="6">
        <v>1</v>
      </c>
      <c r="C46" s="412" t="s">
        <v>65</v>
      </c>
      <c r="D46" s="413"/>
      <c r="E46" s="406"/>
      <c r="F46" s="4">
        <v>15</v>
      </c>
      <c r="G46" s="4">
        <v>1200</v>
      </c>
      <c r="H46" s="4">
        <v>80</v>
      </c>
      <c r="I46" s="4">
        <v>5</v>
      </c>
      <c r="J46" s="412" t="s">
        <v>90</v>
      </c>
      <c r="K46" s="406"/>
      <c r="M46" s="25"/>
      <c r="N46" s="24">
        <v>4</v>
      </c>
      <c r="O46" s="405"/>
      <c r="P46" s="413"/>
      <c r="Q46" s="406"/>
      <c r="R46" s="405"/>
      <c r="S46" s="413"/>
      <c r="T46" s="406"/>
      <c r="U46" s="4"/>
      <c r="V46" s="14"/>
      <c r="W46" s="4"/>
      <c r="X46" s="37">
        <f>W46*U46</f>
        <v>0</v>
      </c>
      <c r="Y46" s="4"/>
      <c r="Z46" s="405"/>
      <c r="AA46" s="406"/>
    </row>
    <row r="47" spans="1:27" ht="14.25">
      <c r="A47" s="23"/>
      <c r="B47" s="6">
        <v>2</v>
      </c>
      <c r="C47" s="405"/>
      <c r="D47" s="413"/>
      <c r="E47" s="406"/>
      <c r="F47" s="4"/>
      <c r="G47" s="4"/>
      <c r="H47" s="4"/>
      <c r="I47" s="4"/>
      <c r="J47" s="405"/>
      <c r="K47" s="406"/>
      <c r="M47" s="25"/>
      <c r="N47" s="29">
        <v>5</v>
      </c>
      <c r="O47" s="405"/>
      <c r="P47" s="413"/>
      <c r="Q47" s="406"/>
      <c r="R47" s="405"/>
      <c r="S47" s="413"/>
      <c r="T47" s="406"/>
      <c r="U47" s="27"/>
      <c r="V47" s="30"/>
      <c r="W47" s="27"/>
      <c r="X47" s="40">
        <f>W47*U47</f>
        <v>0</v>
      </c>
      <c r="Y47" s="4"/>
      <c r="Z47" s="405"/>
      <c r="AA47" s="406"/>
    </row>
    <row r="48" spans="1:27" ht="14.25">
      <c r="A48" s="23"/>
      <c r="B48" s="6">
        <v>3</v>
      </c>
      <c r="C48" s="405"/>
      <c r="D48" s="413"/>
      <c r="E48" s="406"/>
      <c r="F48" s="4"/>
      <c r="G48" s="4"/>
      <c r="H48" s="4"/>
      <c r="I48" s="4"/>
      <c r="J48" s="405"/>
      <c r="K48" s="406"/>
      <c r="M48" s="68"/>
      <c r="N48" s="45"/>
      <c r="O48" s="409"/>
      <c r="P48" s="413"/>
      <c r="Q48" s="413"/>
      <c r="R48" s="409"/>
      <c r="S48" s="413"/>
      <c r="T48" s="413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409"/>
      <c r="AA48" s="406"/>
    </row>
    <row r="49" spans="1:27" ht="14.25">
      <c r="A49" s="23"/>
      <c r="B49" s="6">
        <v>4</v>
      </c>
      <c r="C49" s="405"/>
      <c r="D49" s="413"/>
      <c r="E49" s="406"/>
      <c r="F49" s="4"/>
      <c r="G49" s="4"/>
      <c r="H49" s="4"/>
      <c r="I49" s="4"/>
      <c r="J49" s="405"/>
      <c r="K49" s="40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07"/>
      <c r="D50" s="414"/>
      <c r="E50" s="408"/>
      <c r="F50" s="27"/>
      <c r="G50" s="27"/>
      <c r="H50" s="27"/>
      <c r="I50" s="27"/>
      <c r="J50" s="407"/>
      <c r="K50" s="408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415" t="s">
        <v>83</v>
      </c>
      <c r="D51" s="416"/>
      <c r="E51" s="417"/>
      <c r="F51" s="28">
        <v>18</v>
      </c>
      <c r="G51" s="28">
        <v>800</v>
      </c>
      <c r="H51" s="28">
        <v>44.44</v>
      </c>
      <c r="I51" s="28">
        <v>-15</v>
      </c>
      <c r="J51" s="415" t="s">
        <v>92</v>
      </c>
      <c r="K51" s="417"/>
      <c r="M51" s="8"/>
      <c r="N51" s="8" t="s">
        <v>93</v>
      </c>
      <c r="O51" s="418" t="s">
        <v>53</v>
      </c>
      <c r="P51" s="409"/>
      <c r="Q51" s="419"/>
      <c r="R51" s="424" t="s">
        <v>62</v>
      </c>
      <c r="S51" s="425"/>
      <c r="T51" s="426"/>
      <c r="U51" s="57" t="s">
        <v>63</v>
      </c>
      <c r="V51" s="39" t="s">
        <v>94</v>
      </c>
      <c r="W51" s="57" t="s">
        <v>95</v>
      </c>
      <c r="X51" s="8" t="s">
        <v>10</v>
      </c>
      <c r="Y51" s="418" t="s">
        <v>96</v>
      </c>
      <c r="Z51" s="409"/>
      <c r="AA51" s="419"/>
    </row>
    <row r="52" spans="1:27" ht="14.25">
      <c r="A52" s="23"/>
      <c r="B52" s="70" t="s">
        <v>72</v>
      </c>
      <c r="C52" s="405"/>
      <c r="D52" s="413"/>
      <c r="E52" s="406"/>
      <c r="F52" s="4"/>
      <c r="G52" s="4"/>
      <c r="H52" s="4"/>
      <c r="I52" s="4"/>
      <c r="J52" s="405"/>
      <c r="K52" s="406"/>
      <c r="M52" s="56" t="s">
        <v>48</v>
      </c>
      <c r="N52" s="24">
        <v>1</v>
      </c>
      <c r="O52" s="412" t="s">
        <v>83</v>
      </c>
      <c r="P52" s="413"/>
      <c r="Q52" s="406"/>
      <c r="R52" s="410" t="s">
        <v>88</v>
      </c>
      <c r="S52" s="429"/>
      <c r="T52" s="41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12" t="s">
        <v>97</v>
      </c>
      <c r="Z52" s="413"/>
      <c r="AA52" s="406"/>
    </row>
    <row r="53" spans="1:27" ht="14.25">
      <c r="A53" s="23"/>
      <c r="B53" s="70" t="s">
        <v>75</v>
      </c>
      <c r="C53" s="405"/>
      <c r="D53" s="413"/>
      <c r="E53" s="406"/>
      <c r="F53" s="4"/>
      <c r="G53" s="4"/>
      <c r="H53" s="4"/>
      <c r="I53" s="4"/>
      <c r="J53" s="405"/>
      <c r="K53" s="406"/>
      <c r="M53" s="25"/>
      <c r="N53" s="29">
        <v>2</v>
      </c>
      <c r="O53" s="407"/>
      <c r="P53" s="414"/>
      <c r="Q53" s="408"/>
      <c r="R53" s="407"/>
      <c r="S53" s="414"/>
      <c r="T53" s="408"/>
      <c r="U53" s="27"/>
      <c r="V53" s="30"/>
      <c r="W53" s="30"/>
      <c r="X53" s="41">
        <f>W53-V53</f>
        <v>0</v>
      </c>
      <c r="Y53" s="407"/>
      <c r="Z53" s="414"/>
      <c r="AA53" s="408"/>
    </row>
    <row r="54" spans="1:27" ht="14.25">
      <c r="A54" s="23"/>
      <c r="B54" s="70" t="s">
        <v>79</v>
      </c>
      <c r="C54" s="405"/>
      <c r="D54" s="413"/>
      <c r="E54" s="406"/>
      <c r="F54" s="4"/>
      <c r="G54" s="4"/>
      <c r="H54" s="4"/>
      <c r="I54" s="4"/>
      <c r="J54" s="405"/>
      <c r="K54" s="406"/>
      <c r="M54" s="56" t="s">
        <v>49</v>
      </c>
      <c r="N54" s="42">
        <v>1</v>
      </c>
      <c r="O54" s="415" t="s">
        <v>98</v>
      </c>
      <c r="P54" s="416"/>
      <c r="Q54" s="417"/>
      <c r="R54" s="415" t="s">
        <v>99</v>
      </c>
      <c r="S54" s="416"/>
      <c r="T54" s="41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15" t="s">
        <v>100</v>
      </c>
      <c r="Z54" s="416"/>
      <c r="AA54" s="417"/>
    </row>
    <row r="55" spans="1:27" ht="14.25">
      <c r="A55" s="20"/>
      <c r="B55" s="70" t="s">
        <v>80</v>
      </c>
      <c r="C55" s="405"/>
      <c r="D55" s="413"/>
      <c r="E55" s="406"/>
      <c r="F55" s="4"/>
      <c r="G55" s="4"/>
      <c r="H55" s="4"/>
      <c r="I55" s="4"/>
      <c r="J55" s="405"/>
      <c r="K55" s="406"/>
      <c r="M55" s="22"/>
      <c r="N55" s="24">
        <v>2</v>
      </c>
      <c r="O55" s="405"/>
      <c r="P55" s="413"/>
      <c r="Q55" s="406"/>
      <c r="R55" s="405"/>
      <c r="S55" s="413"/>
      <c r="T55" s="406"/>
      <c r="U55" s="4"/>
      <c r="V55" s="14"/>
      <c r="W55" s="14"/>
      <c r="X55" s="13">
        <f>W55-V55</f>
        <v>0</v>
      </c>
      <c r="Y55" s="405"/>
      <c r="Z55" s="413"/>
      <c r="AA55" s="40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32" t="s">
        <v>101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115"/>
    </row>
    <row r="2" spans="1:12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</row>
    <row r="3" spans="1:12" ht="21.6" customHeight="1">
      <c r="A3" s="130" t="s">
        <v>0</v>
      </c>
      <c r="B3" s="131">
        <v>10</v>
      </c>
      <c r="C3" s="130" t="s">
        <v>102</v>
      </c>
      <c r="D3" s="433" t="s">
        <v>103</v>
      </c>
      <c r="E3" s="433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'（１）收支狀況'!H10/1000</f>
        <v>173020.83600000001</v>
      </c>
      <c r="C6" s="267">
        <v>224463.48699999999</v>
      </c>
      <c r="D6" s="133">
        <f t="shared" ref="D6:D11" si="0">B6-C6</f>
        <v>-51442.650999999983</v>
      </c>
      <c r="E6" s="133">
        <f t="shared" ref="E6:E11" si="1">B6</f>
        <v>173020.83600000001</v>
      </c>
      <c r="G6" s="123" t="s">
        <v>106</v>
      </c>
      <c r="H6" s="270">
        <v>266</v>
      </c>
      <c r="I6" s="135">
        <f>'（２）ＫＰＩ達成進度'!H6</f>
        <v>0</v>
      </c>
      <c r="J6" s="273">
        <v>330.21457859125206</v>
      </c>
      <c r="K6" s="135">
        <f t="shared" ref="K6:K11" si="2">I6</f>
        <v>0</v>
      </c>
      <c r="L6" s="117" t="s">
        <v>107</v>
      </c>
    </row>
    <row r="7" spans="1:12" ht="18" customHeight="1">
      <c r="A7" s="123" t="s">
        <v>21</v>
      </c>
      <c r="B7" s="133">
        <f>'（１）收支狀況'!K10</f>
        <v>5357363</v>
      </c>
      <c r="C7" s="267">
        <v>6964636</v>
      </c>
      <c r="D7" s="133">
        <f t="shared" si="0"/>
        <v>-1607273</v>
      </c>
      <c r="E7" s="133">
        <f t="shared" si="1"/>
        <v>5357363</v>
      </c>
      <c r="G7" s="123" t="s">
        <v>108</v>
      </c>
      <c r="H7" s="233">
        <v>0.8</v>
      </c>
      <c r="I7" s="134">
        <f>'（２）ＫＰＩ達成進度'!K6</f>
        <v>0</v>
      </c>
      <c r="J7" s="268">
        <v>0.90222562456626254</v>
      </c>
      <c r="K7" s="134">
        <f t="shared" si="2"/>
        <v>0</v>
      </c>
      <c r="L7" s="117" t="s">
        <v>23</v>
      </c>
    </row>
    <row r="8" spans="1:12" ht="18" customHeight="1">
      <c r="A8" s="123" t="s">
        <v>25</v>
      </c>
      <c r="B8" s="133">
        <f>'（１）收支狀況'!N10/1000</f>
        <v>117386.46</v>
      </c>
      <c r="C8" s="267">
        <v>150244.29199999999</v>
      </c>
      <c r="D8" s="133">
        <f>B8-C8</f>
        <v>-32857.83199999998</v>
      </c>
      <c r="E8" s="133">
        <f t="shared" si="1"/>
        <v>117386.46</v>
      </c>
      <c r="G8" s="123" t="s">
        <v>109</v>
      </c>
      <c r="H8" s="228">
        <v>2.5000000000000001E-3</v>
      </c>
      <c r="I8" s="228">
        <f>'（２）ＫＰＩ達成進度'!N6</f>
        <v>0</v>
      </c>
      <c r="J8" s="274">
        <v>2.4646256819628254E-3</v>
      </c>
      <c r="K8" s="228">
        <f t="shared" si="2"/>
        <v>0</v>
      </c>
      <c r="L8" s="117" t="s">
        <v>27</v>
      </c>
    </row>
    <row r="9" spans="1:12" ht="18" customHeight="1">
      <c r="A9" s="123" t="s">
        <v>29</v>
      </c>
      <c r="B9" s="134">
        <f>'（１）收支狀況'!Q10</f>
        <v>0.67845273848983134</v>
      </c>
      <c r="C9" s="268">
        <v>0.66934847180735457</v>
      </c>
      <c r="D9" s="134">
        <f t="shared" si="0"/>
        <v>9.1042666824767693E-3</v>
      </c>
      <c r="E9" s="134">
        <f t="shared" si="1"/>
        <v>0.67845273848983134</v>
      </c>
      <c r="G9" s="123" t="s">
        <v>110</v>
      </c>
      <c r="H9" s="228">
        <v>2.5999999999999999E-3</v>
      </c>
      <c r="I9" s="228">
        <f>'（２）ＫＰＩ達成進度'!Q6</f>
        <v>0</v>
      </c>
      <c r="J9" s="274">
        <v>2.3405370745029669E-3</v>
      </c>
      <c r="K9" s="228">
        <f t="shared" si="2"/>
        <v>0</v>
      </c>
      <c r="L9" s="117" t="s">
        <v>31</v>
      </c>
    </row>
    <row r="10" spans="1:12" ht="18" customHeight="1">
      <c r="A10" s="123" t="s">
        <v>33</v>
      </c>
      <c r="B10" s="133">
        <f>'（１）收支狀況'!T10/1000</f>
        <v>25696.432086097051</v>
      </c>
      <c r="C10" s="267">
        <v>32105.786706827967</v>
      </c>
      <c r="D10" s="133">
        <f t="shared" si="0"/>
        <v>-6409.3546207309155</v>
      </c>
      <c r="E10" s="133">
        <f t="shared" si="1"/>
        <v>25696.432086097051</v>
      </c>
      <c r="G10" s="123" t="s">
        <v>111</v>
      </c>
      <c r="H10" s="230">
        <v>0.8</v>
      </c>
      <c r="I10" s="230">
        <f>'（２）ＫＰＩ達成進度'!T6</f>
        <v>0</v>
      </c>
      <c r="J10" s="275">
        <v>0.91666666666666707</v>
      </c>
      <c r="K10" s="230">
        <f t="shared" si="2"/>
        <v>0</v>
      </c>
      <c r="L10" s="117" t="s">
        <v>35</v>
      </c>
    </row>
    <row r="11" spans="1:12" ht="18" customHeight="1">
      <c r="A11" s="123" t="s">
        <v>39</v>
      </c>
      <c r="B11" s="134">
        <f>'（１）收支狀況'!W10</f>
        <v>0.14851640230253568</v>
      </c>
      <c r="C11" s="268">
        <v>0.14303344894053066</v>
      </c>
      <c r="D11" s="134">
        <f t="shared" si="0"/>
        <v>5.4829533620050219E-3</v>
      </c>
      <c r="E11" s="134">
        <f t="shared" si="1"/>
        <v>0.14851640230253568</v>
      </c>
      <c r="G11" s="123" t="s">
        <v>112</v>
      </c>
      <c r="H11" s="230">
        <v>1</v>
      </c>
      <c r="I11" s="134">
        <f>'（２）ＫＰＩ達成進度'!W6</f>
        <v>0</v>
      </c>
      <c r="J11" s="268">
        <v>0.84941935483870945</v>
      </c>
      <c r="K11" s="134">
        <f t="shared" si="2"/>
        <v>0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31318.012511305184</v>
      </c>
      <c r="C15" s="134">
        <f>IFERROR(B15/$B$6,"")</f>
        <v>0.18100717367534383</v>
      </c>
      <c r="D15" s="268">
        <v>0.19061185820038584</v>
      </c>
      <c r="E15" s="134">
        <f>IFERROR(C15-D15,"")</f>
        <v>-9.6046845250420121E-3</v>
      </c>
      <c r="G15" s="123" t="s">
        <v>114</v>
      </c>
      <c r="H15" s="133">
        <f>'（４）訂單數量構成比'!M46</f>
        <v>1711239</v>
      </c>
      <c r="I15" s="134">
        <f t="shared" ref="I15:I23" si="3">IFERROR(H15/$B$7,"")</f>
        <v>0.31941815404332319</v>
      </c>
      <c r="J15" s="268">
        <v>0.33067557299476957</v>
      </c>
      <c r="K15" s="134">
        <f t="shared" ref="K15:K23" si="4">IFERROR(I15-J15,"")</f>
        <v>-1.1257418951446385E-2</v>
      </c>
      <c r="L15" s="115"/>
    </row>
    <row r="16" spans="1:12" ht="18" customHeight="1">
      <c r="A16" s="123" t="s">
        <v>115</v>
      </c>
      <c r="B16" s="133">
        <f>'（３）業績構成比'!S46/1000</f>
        <v>4751.7949155113174</v>
      </c>
      <c r="C16" s="134">
        <f t="shared" ref="C16:C23" si="5">IFERROR(B16/$B$6,"")</f>
        <v>2.7463714922238137E-2</v>
      </c>
      <c r="D16" s="268">
        <v>4.2789233591899609E-2</v>
      </c>
      <c r="E16" s="134">
        <f t="shared" ref="E16:E23" si="6">IFERROR(C16-D16,"")</f>
        <v>-1.5325518669661472E-2</v>
      </c>
      <c r="G16" s="123" t="s">
        <v>115</v>
      </c>
      <c r="H16" s="133">
        <f>'（４）訂單數量構成比'!S47</f>
        <v>188373</v>
      </c>
      <c r="I16" s="134">
        <f t="shared" si="3"/>
        <v>3.5161515096139649E-2</v>
      </c>
      <c r="J16" s="268">
        <v>6.1681041191528174E-2</v>
      </c>
      <c r="K16" s="134">
        <f t="shared" si="4"/>
        <v>-2.6519526095388525E-2</v>
      </c>
      <c r="L16" s="115"/>
    </row>
    <row r="17" spans="1:18" ht="18" customHeight="1">
      <c r="A17" s="123" t="s">
        <v>116</v>
      </c>
      <c r="B17" s="133">
        <f>'（３）業績構成比'!U46/1000</f>
        <v>29593.65304150448</v>
      </c>
      <c r="C17" s="134">
        <f t="shared" si="5"/>
        <v>0.17104097821781694</v>
      </c>
      <c r="D17" s="268">
        <v>8.6938303169141445E-2</v>
      </c>
      <c r="E17" s="134">
        <f t="shared" si="6"/>
        <v>8.4102675048675496E-2</v>
      </c>
      <c r="G17" s="123" t="s">
        <v>117</v>
      </c>
      <c r="H17" s="133">
        <f>'（４）訂單數量構成比'!U46</f>
        <v>917107</v>
      </c>
      <c r="I17" s="134">
        <f t="shared" si="3"/>
        <v>0.17118627205212714</v>
      </c>
      <c r="J17" s="268">
        <v>8.2530228428305513E-2</v>
      </c>
      <c r="K17" s="134">
        <f t="shared" si="4"/>
        <v>8.8656043623821623E-2</v>
      </c>
      <c r="L17" s="115"/>
    </row>
    <row r="18" spans="1:18" ht="18" customHeight="1">
      <c r="A18" s="123" t="s">
        <v>118</v>
      </c>
      <c r="B18" s="133">
        <f>'（３）業績構成比'!W46/1000</f>
        <v>748.77841720543051</v>
      </c>
      <c r="C18" s="134">
        <f t="shared" si="5"/>
        <v>4.3276777208811458E-3</v>
      </c>
      <c r="D18" s="268">
        <v>1.4659145993880142E-2</v>
      </c>
      <c r="E18" s="134">
        <f t="shared" si="6"/>
        <v>-1.0331468272998995E-2</v>
      </c>
      <c r="G18" s="123" t="s">
        <v>119</v>
      </c>
      <c r="H18" s="133">
        <f>'（４）訂單數量構成比'!W46</f>
        <v>27971</v>
      </c>
      <c r="I18" s="134">
        <f t="shared" si="3"/>
        <v>5.2210387834462592E-3</v>
      </c>
      <c r="J18" s="268">
        <v>1.6773740939224964E-2</v>
      </c>
      <c r="K18" s="134">
        <f t="shared" si="4"/>
        <v>-1.1552702155778704E-2</v>
      </c>
      <c r="L18" s="115"/>
    </row>
    <row r="19" spans="1:18" ht="18" customHeight="1">
      <c r="A19" s="123" t="s">
        <v>120</v>
      </c>
      <c r="B19" s="133">
        <f>'（３）業績構成比'!AC46/1000</f>
        <v>46235.474196470299</v>
      </c>
      <c r="C19" s="134">
        <f t="shared" si="5"/>
        <v>0.26722489189955306</v>
      </c>
      <c r="D19" s="268">
        <v>0.24409177848792188</v>
      </c>
      <c r="E19" s="134">
        <f t="shared" si="6"/>
        <v>2.3133113411631184E-2</v>
      </c>
      <c r="G19" s="123" t="s">
        <v>121</v>
      </c>
      <c r="H19" s="133">
        <f>'（４）訂單數量構成比'!AC46</f>
        <v>1183494</v>
      </c>
      <c r="I19" s="134">
        <f t="shared" si="3"/>
        <v>0.22090980207986652</v>
      </c>
      <c r="J19" s="268">
        <v>0.19673059726308739</v>
      </c>
      <c r="K19" s="134">
        <f t="shared" si="4"/>
        <v>2.4179204816779126E-2</v>
      </c>
      <c r="L19" s="115"/>
    </row>
    <row r="20" spans="1:18" ht="18" customHeight="1">
      <c r="A20" s="123" t="s">
        <v>122</v>
      </c>
      <c r="B20" s="133">
        <f>'（３）業績構成比'!AE46/1000</f>
        <v>22197.803075460593</v>
      </c>
      <c r="C20" s="134">
        <f t="shared" si="5"/>
        <v>0.12829554860930503</v>
      </c>
      <c r="D20" s="268">
        <v>0.1397972381723295</v>
      </c>
      <c r="E20" s="134">
        <f t="shared" si="6"/>
        <v>-1.150168956302447E-2</v>
      </c>
      <c r="G20" s="123" t="s">
        <v>123</v>
      </c>
      <c r="H20" s="133">
        <f>'（４）訂單數量構成比'!AE46</f>
        <v>396044</v>
      </c>
      <c r="I20" s="134">
        <f t="shared" si="3"/>
        <v>7.3925175501454721E-2</v>
      </c>
      <c r="J20" s="268">
        <v>7.9797709456746913E-2</v>
      </c>
      <c r="K20" s="134">
        <f t="shared" si="4"/>
        <v>-5.8725339552921918E-3</v>
      </c>
      <c r="L20" s="115"/>
    </row>
    <row r="21" spans="1:18" ht="18" customHeight="1">
      <c r="A21" s="123" t="s">
        <v>124</v>
      </c>
      <c r="B21" s="133">
        <f>'（３）業績構成比'!AG46/1000</f>
        <v>13894.00292465408</v>
      </c>
      <c r="C21" s="134">
        <f>IFERROR(B21/$B$6,"")</f>
        <v>8.0302484058359769E-2</v>
      </c>
      <c r="D21" s="268">
        <v>0.13619626613806221</v>
      </c>
      <c r="E21" s="134">
        <f>IFERROR(C21-D21,"")</f>
        <v>-5.5893782079702442E-2</v>
      </c>
      <c r="G21" s="123" t="s">
        <v>125</v>
      </c>
      <c r="H21" s="133">
        <f>'（４）訂單數量構成比'!AG46</f>
        <v>279297</v>
      </c>
      <c r="I21" s="134">
        <f>IFERROR(H21/$B$7,"")</f>
        <v>5.2133297669021118E-2</v>
      </c>
      <c r="J21" s="268">
        <v>9.0009011239065476E-2</v>
      </c>
      <c r="K21" s="134">
        <f>IFERROR(I21-J21,"")</f>
        <v>-3.7875713570044357E-2</v>
      </c>
      <c r="L21" s="115"/>
    </row>
    <row r="22" spans="1:18" ht="18" customHeight="1">
      <c r="A22" s="123" t="s">
        <v>126</v>
      </c>
      <c r="B22" s="133">
        <f>'（３）業績構成比'!AI46/1000</f>
        <v>10522.33064954666</v>
      </c>
      <c r="C22" s="134">
        <f t="shared" si="5"/>
        <v>6.0815395953506199E-2</v>
      </c>
      <c r="D22" s="268">
        <v>6.8175373790099608E-2</v>
      </c>
      <c r="E22" s="134">
        <f t="shared" si="6"/>
        <v>-7.3599778365934093E-3</v>
      </c>
      <c r="G22" s="123" t="s">
        <v>127</v>
      </c>
      <c r="H22" s="133">
        <f>'（４）訂單數量構成比'!AI46</f>
        <v>284245</v>
      </c>
      <c r="I22" s="134">
        <f t="shared" si="3"/>
        <v>5.3056886382348928E-2</v>
      </c>
      <c r="J22" s="268">
        <v>5.972113976954431E-2</v>
      </c>
      <c r="K22" s="134">
        <f t="shared" si="4"/>
        <v>-6.6642533871953819E-3</v>
      </c>
      <c r="L22" s="115"/>
    </row>
    <row r="23" spans="1:18" ht="18" customHeight="1">
      <c r="A23" s="123" t="s">
        <v>128</v>
      </c>
      <c r="B23" s="133">
        <f>'（３）業績構成比'!AK46/1000</f>
        <v>10617.500368572642</v>
      </c>
      <c r="C23" s="134">
        <f t="shared" si="5"/>
        <v>6.1365443688947627E-2</v>
      </c>
      <c r="D23" s="268">
        <v>7.674080245627983E-2</v>
      </c>
      <c r="E23" s="134">
        <f t="shared" si="6"/>
        <v>-1.5375358767332203E-2</v>
      </c>
      <c r="G23" s="123" t="s">
        <v>129</v>
      </c>
      <c r="H23" s="133">
        <f>'（４）訂單數量構成比'!AK46</f>
        <v>369593</v>
      </c>
      <c r="I23" s="134">
        <f t="shared" si="3"/>
        <v>6.8987858392272464E-2</v>
      </c>
      <c r="J23" s="268">
        <v>8.2080958717727678E-2</v>
      </c>
      <c r="K23" s="134">
        <f t="shared" si="4"/>
        <v>-1.3093100325455215E-2</v>
      </c>
      <c r="L23" s="115"/>
    </row>
    <row r="24" spans="1:18" ht="15.75" customHeight="1">
      <c r="C24" s="128">
        <f>SUM(C15:C23)</f>
        <v>0.98184330874595172</v>
      </c>
      <c r="D24" s="128">
        <f>SUM(D15:D23)</f>
        <v>1.0000000000000002</v>
      </c>
      <c r="I24" s="128">
        <f>SUM(I15:I23)</f>
        <v>1</v>
      </c>
      <c r="J24" s="128">
        <f>SUM(J15:J23)</f>
        <v>1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69">
        <f>'（５-1）品群別人時生產性（18℃-飯糰）'!$C$1</f>
        <v>793.62477019016274</v>
      </c>
      <c r="C28" s="286">
        <v>756.20246993670457</v>
      </c>
      <c r="D28" s="223">
        <f t="shared" ref="D28:D36" si="7">B28-C28</f>
        <v>37.422300253458161</v>
      </c>
      <c r="E28" s="269">
        <f>R28</f>
        <v>755.57615255906114</v>
      </c>
      <c r="G28" s="138"/>
      <c r="H28" s="138"/>
      <c r="I28" s="138"/>
      <c r="L28" s="115"/>
      <c r="M28" s="269">
        <v>717.52753492795955</v>
      </c>
      <c r="N28" s="269">
        <f>B28</f>
        <v>793.62477019016274</v>
      </c>
      <c r="O28" s="269"/>
      <c r="P28" s="269"/>
      <c r="Q28" s="269"/>
      <c r="R28" s="276">
        <f>AVERAGE(M28:Q28)</f>
        <v>755.57615255906114</v>
      </c>
    </row>
    <row r="29" spans="1:18" ht="18" customHeight="1">
      <c r="A29" s="123" t="s">
        <v>137</v>
      </c>
      <c r="B29" s="269">
        <f>'（５-2）品群別人時生產性（18-壽司手卷)'!$C$1</f>
        <v>166.67638992066685</v>
      </c>
      <c r="C29" s="286">
        <v>198.82982221081653</v>
      </c>
      <c r="D29" s="223">
        <f t="shared" si="7"/>
        <v>-32.153432290149681</v>
      </c>
      <c r="E29" s="269">
        <f t="shared" ref="E29:E36" si="8">R29</f>
        <v>182.15455340348745</v>
      </c>
      <c r="G29" s="139"/>
      <c r="H29" s="139"/>
      <c r="I29" s="139"/>
      <c r="L29" s="115"/>
      <c r="M29" s="269">
        <v>197.63271688630809</v>
      </c>
      <c r="N29" s="269">
        <f t="shared" ref="N29:N36" si="9">B29</f>
        <v>166.67638992066685</v>
      </c>
      <c r="O29" s="269"/>
      <c r="P29" s="269"/>
      <c r="Q29" s="269"/>
      <c r="R29" s="276">
        <f t="shared" ref="R29:R36" si="10">AVERAGE(M29:Q29)</f>
        <v>182.15455340348745</v>
      </c>
    </row>
    <row r="30" spans="1:18" ht="18" customHeight="1">
      <c r="A30" s="123" t="s">
        <v>117</v>
      </c>
      <c r="B30" s="269">
        <f>'（５-3）品群別人時生產性（4℃-飯糰)'!$C$1</f>
        <v>255.61005308528962</v>
      </c>
      <c r="C30" s="286">
        <v>253.36933201602551</v>
      </c>
      <c r="D30" s="223">
        <f t="shared" si="7"/>
        <v>2.2407210692641115</v>
      </c>
      <c r="E30" s="269">
        <f t="shared" si="8"/>
        <v>248.03431223179643</v>
      </c>
      <c r="L30" s="115"/>
      <c r="M30" s="269">
        <v>240.45857137830325</v>
      </c>
      <c r="N30" s="269">
        <f t="shared" si="9"/>
        <v>255.61005308528962</v>
      </c>
      <c r="O30" s="269"/>
      <c r="P30" s="269"/>
      <c r="Q30" s="269"/>
      <c r="R30" s="276">
        <f t="shared" si="10"/>
        <v>248.03431223179643</v>
      </c>
    </row>
    <row r="31" spans="1:18" ht="18" customHeight="1">
      <c r="A31" s="123" t="s">
        <v>119</v>
      </c>
      <c r="B31" s="269">
        <f>'（５-4）品群別人時生產性（4℃-壽司手卷)'!$C$1</f>
        <v>116.15147627098179</v>
      </c>
      <c r="C31" s="286">
        <v>112.99131142028241</v>
      </c>
      <c r="D31" s="223">
        <f t="shared" si="7"/>
        <v>3.160164850699374</v>
      </c>
      <c r="E31" s="269">
        <f t="shared" si="8"/>
        <v>111.5082995895597</v>
      </c>
      <c r="L31" s="115"/>
      <c r="M31" s="269">
        <v>106.86512290813759</v>
      </c>
      <c r="N31" s="269">
        <f t="shared" si="9"/>
        <v>116.15147627098179</v>
      </c>
      <c r="O31" s="269"/>
      <c r="P31" s="269"/>
      <c r="Q31" s="269"/>
      <c r="R31" s="276">
        <f t="shared" si="10"/>
        <v>111.5082995895597</v>
      </c>
    </row>
    <row r="32" spans="1:18" ht="18" customHeight="1">
      <c r="A32" s="123" t="s">
        <v>121</v>
      </c>
      <c r="B32" s="269">
        <f>'（５-5）品群別人時生產性(主食) '!$C$1</f>
        <v>83.347322527937735</v>
      </c>
      <c r="C32" s="286">
        <v>85.495684450909806</v>
      </c>
      <c r="D32" s="223">
        <f t="shared" si="7"/>
        <v>-2.1483619229720716</v>
      </c>
      <c r="E32" s="269">
        <f t="shared" si="8"/>
        <v>86.328875466335518</v>
      </c>
      <c r="L32" s="115"/>
      <c r="M32" s="269">
        <v>89.310428404733287</v>
      </c>
      <c r="N32" s="269">
        <f t="shared" si="9"/>
        <v>83.347322527937735</v>
      </c>
      <c r="O32" s="269"/>
      <c r="P32" s="269"/>
      <c r="Q32" s="269"/>
      <c r="R32" s="276">
        <f t="shared" si="10"/>
        <v>86.328875466335518</v>
      </c>
    </row>
    <row r="33" spans="1:18" ht="18" customHeight="1">
      <c r="A33" s="123" t="s">
        <v>123</v>
      </c>
      <c r="B33" s="269">
        <f>'（５-6）品群別人時生產性(便當)'!$C$1</f>
        <v>68.578756865486497</v>
      </c>
      <c r="C33" s="286">
        <v>66.943613625537381</v>
      </c>
      <c r="D33" s="223">
        <f t="shared" si="7"/>
        <v>1.6351432399491159</v>
      </c>
      <c r="E33" s="269">
        <f t="shared" si="8"/>
        <v>67.125749662383129</v>
      </c>
      <c r="L33" s="115"/>
      <c r="M33" s="269">
        <v>65.67274245927976</v>
      </c>
      <c r="N33" s="269">
        <f t="shared" si="9"/>
        <v>68.578756865486497</v>
      </c>
      <c r="O33" s="269"/>
      <c r="P33" s="269"/>
      <c r="Q33" s="269"/>
      <c r="R33" s="276">
        <f t="shared" si="10"/>
        <v>67.125749662383129</v>
      </c>
    </row>
    <row r="34" spans="1:18" ht="18" customHeight="1">
      <c r="A34" s="123" t="s">
        <v>125</v>
      </c>
      <c r="B34" s="269">
        <f>'（５-7）品群別人時生產性(熱食義麵) '!$C$1</f>
        <v>69.153660299168592</v>
      </c>
      <c r="C34" s="286">
        <v>80.555861357885718</v>
      </c>
      <c r="D34" s="223">
        <f t="shared" si="7"/>
        <v>-11.402201058717125</v>
      </c>
      <c r="E34" s="269">
        <f t="shared" si="8"/>
        <v>72.316114660560686</v>
      </c>
      <c r="L34" s="115"/>
      <c r="M34" s="269">
        <v>75.478569021952779</v>
      </c>
      <c r="N34" s="269">
        <f t="shared" si="9"/>
        <v>69.153660299168592</v>
      </c>
      <c r="O34" s="269"/>
      <c r="P34" s="269"/>
      <c r="Q34" s="269"/>
      <c r="R34" s="276">
        <f t="shared" si="10"/>
        <v>72.316114660560686</v>
      </c>
    </row>
    <row r="35" spans="1:18" ht="18" customHeight="1">
      <c r="A35" s="123" t="s">
        <v>127</v>
      </c>
      <c r="B35" s="269">
        <f>'（５-8）品群別人時生產性(季節調理麵) '!$C$1</f>
        <v>122.96404371984323</v>
      </c>
      <c r="C35" s="286">
        <v>121.13262609451999</v>
      </c>
      <c r="D35" s="223">
        <f t="shared" si="7"/>
        <v>1.8314176253232404</v>
      </c>
      <c r="E35" s="269">
        <f t="shared" si="8"/>
        <v>118.73480787322313</v>
      </c>
      <c r="L35" s="115"/>
      <c r="M35" s="269">
        <v>114.50557202660302</v>
      </c>
      <c r="N35" s="269">
        <f t="shared" si="9"/>
        <v>122.96404371984323</v>
      </c>
      <c r="O35" s="269"/>
      <c r="P35" s="269"/>
      <c r="Q35" s="269"/>
      <c r="R35" s="276">
        <f t="shared" si="10"/>
        <v>118.73480787322313</v>
      </c>
    </row>
    <row r="36" spans="1:18" ht="18" customHeight="1">
      <c r="A36" s="119" t="s">
        <v>129</v>
      </c>
      <c r="B36" s="269">
        <f>'（５-9）品群別人時生產性(微波小吃)'!$C$1</f>
        <v>119.5449675036507</v>
      </c>
      <c r="C36" s="286">
        <v>115.3662253913358</v>
      </c>
      <c r="D36" s="223">
        <f t="shared" si="7"/>
        <v>4.1787421123148931</v>
      </c>
      <c r="E36" s="269">
        <f t="shared" si="8"/>
        <v>109.59665477275821</v>
      </c>
      <c r="L36" s="115"/>
      <c r="M36" s="269">
        <v>99.648342041865732</v>
      </c>
      <c r="N36" s="269">
        <f t="shared" si="9"/>
        <v>119.5449675036507</v>
      </c>
      <c r="O36" s="269"/>
      <c r="P36" s="269"/>
      <c r="Q36" s="269"/>
      <c r="R36" s="276">
        <f t="shared" si="10"/>
        <v>109.59665477275821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J33" sqref="J33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32" t="s">
        <v>101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115"/>
    </row>
    <row r="2" spans="1:18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</row>
    <row r="3" spans="1:18" ht="21.6" customHeight="1">
      <c r="A3" s="130" t="s">
        <v>0</v>
      </c>
      <c r="B3" s="131">
        <v>1</v>
      </c>
      <c r="C3" s="194" t="s">
        <v>138</v>
      </c>
      <c r="D3" s="131" t="s">
        <v>139</v>
      </c>
      <c r="E3" s="130" t="s">
        <v>102</v>
      </c>
      <c r="F3" s="433" t="s">
        <v>103</v>
      </c>
      <c r="G3" s="433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1">
        <f>'（１）收支狀況'!G24/1000</f>
        <v>46317.667000000001</v>
      </c>
      <c r="C6" s="234">
        <v>45268.529000000002</v>
      </c>
      <c r="D6" s="133">
        <f t="shared" ref="D6:D11" si="0">B6-C6</f>
        <v>1049.137999999999</v>
      </c>
      <c r="E6" s="213">
        <f>'（１）收支狀況'!H10/1000</f>
        <v>173020.83600000001</v>
      </c>
      <c r="G6" s="123" t="s">
        <v>106</v>
      </c>
      <c r="H6" s="215">
        <v>366</v>
      </c>
      <c r="I6" s="239">
        <f>'（２）ＫＰＩ達成進度'!G24</f>
        <v>319.62808478613897</v>
      </c>
      <c r="J6" s="240">
        <v>324.31201526443704</v>
      </c>
      <c r="K6" s="241">
        <f>'（２）ＫＰＩ達成進度'!H10</f>
        <v>325.64656114869871</v>
      </c>
      <c r="L6" s="117" t="s">
        <v>107</v>
      </c>
    </row>
    <row r="7" spans="1:18" ht="18" customHeight="1">
      <c r="A7" s="123" t="s">
        <v>21</v>
      </c>
      <c r="B7" s="201">
        <f>'（１）收支狀況'!J24</f>
        <v>1417743</v>
      </c>
      <c r="C7" s="234">
        <v>1418907</v>
      </c>
      <c r="D7" s="133">
        <f t="shared" si="0"/>
        <v>-1164</v>
      </c>
      <c r="E7" s="213">
        <f>'（１）收支狀況'!K10</f>
        <v>5357363</v>
      </c>
      <c r="G7" s="123" t="s">
        <v>108</v>
      </c>
      <c r="H7" s="232">
        <v>0.8</v>
      </c>
      <c r="I7" s="230">
        <f>'（２）ＫＰＩ達成進度'!J24</f>
        <v>0.87330077810420492</v>
      </c>
      <c r="J7" s="237">
        <v>0.88609840236184989</v>
      </c>
      <c r="K7" s="233">
        <f>'（２）ＫＰＩ達成進度'!K10</f>
        <v>0.74623749249657712</v>
      </c>
      <c r="L7" s="117" t="s">
        <v>23</v>
      </c>
    </row>
    <row r="8" spans="1:18" ht="18" customHeight="1">
      <c r="A8" s="123" t="s">
        <v>25</v>
      </c>
      <c r="B8" s="201">
        <f>'（１）收支狀況'!M24/1000</f>
        <v>31369.884999999998</v>
      </c>
      <c r="C8" s="234">
        <v>30710.089</v>
      </c>
      <c r="D8" s="133">
        <f>B8-C8</f>
        <v>659.79599999999846</v>
      </c>
      <c r="E8" s="213">
        <f>'（１）收支狀況'!N10/1000</f>
        <v>117386.46</v>
      </c>
      <c r="G8" s="123" t="s">
        <v>109</v>
      </c>
      <c r="H8" s="214">
        <v>2.5000000000000001E-3</v>
      </c>
      <c r="I8" s="228">
        <f>'（２）ＫＰＩ達成進度'!M24</f>
        <v>2.4570680738318111E-3</v>
      </c>
      <c r="J8" s="236">
        <v>2.4593138350228125E-3</v>
      </c>
      <c r="K8" s="228">
        <f>'（２）ＫＰＩ達成進度'!N10</f>
        <v>2.4542705454988841E-3</v>
      </c>
      <c r="L8" s="117" t="s">
        <v>27</v>
      </c>
    </row>
    <row r="9" spans="1:18" ht="18" customHeight="1">
      <c r="A9" s="123" t="s">
        <v>29</v>
      </c>
      <c r="B9" s="202">
        <f>'（１）收支狀況'!P24</f>
        <v>0.67788001184438584</v>
      </c>
      <c r="C9" s="235">
        <v>0.67914907740612396</v>
      </c>
      <c r="D9" s="134">
        <f t="shared" si="0"/>
        <v>-1.2690655617381141E-3</v>
      </c>
      <c r="E9" s="134">
        <f>'（１）收支狀況'!Q10</f>
        <v>0.67845273848983134</v>
      </c>
      <c r="G9" s="123" t="s">
        <v>110</v>
      </c>
      <c r="H9" s="214">
        <v>2.5999999999999999E-3</v>
      </c>
      <c r="I9" s="228">
        <f>'（２）ＫＰＩ達成進度'!P24</f>
        <v>2.1485655499012221E-3</v>
      </c>
      <c r="J9" s="236">
        <v>2.2624160816127892E-3</v>
      </c>
      <c r="K9" s="228">
        <f>'（２）ＫＰＩ達成進度'!Q10</f>
        <v>2.2283929968245557E-3</v>
      </c>
      <c r="L9" s="117" t="s">
        <v>31</v>
      </c>
    </row>
    <row r="10" spans="1:18" ht="18" customHeight="1">
      <c r="A10" s="123" t="s">
        <v>33</v>
      </c>
      <c r="B10" s="201">
        <f>'（１）收支狀況'!S24/1000</f>
        <v>7028.2606006158703</v>
      </c>
      <c r="C10" s="234">
        <f>6751568.6139492/1000</f>
        <v>6751.5686139492</v>
      </c>
      <c r="D10" s="133">
        <f t="shared" si="0"/>
        <v>276.69198666667035</v>
      </c>
      <c r="E10" s="213">
        <f>'（１）收支狀況'!T10/1000</f>
        <v>25696.432086097051</v>
      </c>
      <c r="G10" s="123" t="s">
        <v>111</v>
      </c>
      <c r="H10" s="229">
        <v>0.8</v>
      </c>
      <c r="I10" s="230">
        <v>0.91700000000000004</v>
      </c>
      <c r="J10" s="237">
        <v>0.91700000000000004</v>
      </c>
      <c r="K10" s="230">
        <v>0.91700000000000004</v>
      </c>
      <c r="L10" s="117" t="s">
        <v>35</v>
      </c>
    </row>
    <row r="11" spans="1:18" ht="18" customHeight="1">
      <c r="A11" s="123" t="s">
        <v>39</v>
      </c>
      <c r="B11" s="202">
        <f>'（１）收支狀況'!V24</f>
        <v>0.15259304169231278</v>
      </c>
      <c r="C11" s="235">
        <v>0.14974822050244635</v>
      </c>
      <c r="D11" s="134">
        <f t="shared" si="0"/>
        <v>2.8448211898664255E-3</v>
      </c>
      <c r="E11" s="134">
        <f>'（１）收支狀況'!W10</f>
        <v>0.14851640230253568</v>
      </c>
      <c r="G11" s="123" t="s">
        <v>112</v>
      </c>
      <c r="H11" s="229">
        <v>1</v>
      </c>
      <c r="I11" s="230">
        <f>'（２）ＫＰＩ達成進度'!V24</f>
        <v>6.2142857142857146E-2</v>
      </c>
      <c r="J11" s="237">
        <v>4.0428571428571425E-2</v>
      </c>
      <c r="K11" s="230">
        <f>'（２）ＫＰＩ達成進度'!W10</f>
        <v>3.4730769230769232E-2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4.25">
      <c r="A14" s="136"/>
      <c r="B14" s="195" t="s">
        <v>140</v>
      </c>
      <c r="C14" s="136" t="s">
        <v>15</v>
      </c>
      <c r="D14" s="195" t="s">
        <v>144</v>
      </c>
      <c r="E14" s="136" t="s">
        <v>16</v>
      </c>
      <c r="G14" s="136"/>
      <c r="H14" s="195" t="s">
        <v>140</v>
      </c>
      <c r="I14" s="136" t="s">
        <v>15</v>
      </c>
      <c r="J14" s="195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16">
        <f>SUM('（３）業績構成比'!I26:I32,'（３）業績構成比'!K26:K32)/1000</f>
        <v>8923.3191065131268</v>
      </c>
      <c r="C15" s="134">
        <f>IFERROR(B15/$B$6,"")</f>
        <v>0.19265476187548752</v>
      </c>
      <c r="D15" s="235">
        <v>0.19395126562768578</v>
      </c>
      <c r="E15" s="134">
        <f>IFERROR(C15-D15,"")</f>
        <v>-1.2965037521982525E-3</v>
      </c>
      <c r="G15" s="123" t="s">
        <v>145</v>
      </c>
      <c r="H15" s="216">
        <f>SUM(,'（４）訂單數量構成比'!I26:I32,'（４）訂單數量構成比'!K26:K32)</f>
        <v>463176</v>
      </c>
      <c r="I15" s="134">
        <f t="shared" ref="I15:I23" si="1">IFERROR(H15/$B$7,"")</f>
        <v>0.3266995499184267</v>
      </c>
      <c r="J15" s="235">
        <v>0.32623843564095462</v>
      </c>
      <c r="K15" s="134">
        <f t="shared" ref="K15:K23" si="2">IFERROR(I15-J15,"")</f>
        <v>4.6111427747208555E-4</v>
      </c>
      <c r="L15" s="115"/>
    </row>
    <row r="16" spans="1:18" ht="18" customHeight="1">
      <c r="A16" s="123" t="s">
        <v>115</v>
      </c>
      <c r="B16" s="216">
        <f>SUM('（３）業績構成比'!O26:O32,'（３）業績構成比'!Q26:Q32)/1000</f>
        <v>1239.4989749791048</v>
      </c>
      <c r="C16" s="134">
        <f t="shared" ref="C16:C23" si="3">IFERROR(B16/$B$6,"")</f>
        <v>2.676082487011068E-2</v>
      </c>
      <c r="D16" s="235">
        <v>2.8253879943253787E-2</v>
      </c>
      <c r="E16" s="134">
        <f t="shared" ref="E16:E23" si="4">IFERROR(C16-D16,"")</f>
        <v>-1.4930550731431062E-3</v>
      </c>
      <c r="G16" s="123" t="s">
        <v>115</v>
      </c>
      <c r="H16" s="216">
        <f>SUM('（４）訂單數量構成比'!O26:O32,'（４）訂單數量構成比'!Q26:Q32)</f>
        <v>47156</v>
      </c>
      <c r="I16" s="134">
        <f t="shared" si="1"/>
        <v>3.3261317460216697E-2</v>
      </c>
      <c r="J16" s="235">
        <v>3.3990952190665065E-2</v>
      </c>
      <c r="K16" s="134">
        <f t="shared" si="2"/>
        <v>-7.296347304483683E-4</v>
      </c>
      <c r="L16" s="115"/>
    </row>
    <row r="17" spans="1:11" s="115" customFormat="1" ht="18" customHeight="1">
      <c r="A17" s="123" t="s">
        <v>116</v>
      </c>
      <c r="B17" s="216">
        <f>SUM('（３）業績構成比'!U26:U32)/1000</f>
        <v>7536.0153926356661</v>
      </c>
      <c r="C17" s="134">
        <f t="shared" si="3"/>
        <v>0.16270282768421099</v>
      </c>
      <c r="D17" s="235">
        <v>0.17587603324649692</v>
      </c>
      <c r="E17" s="134">
        <f t="shared" si="4"/>
        <v>-1.3173205562285933E-2</v>
      </c>
      <c r="G17" s="123" t="s">
        <v>117</v>
      </c>
      <c r="H17" s="216">
        <f>SUM('（４）訂單數量構成比'!U26:U32)</f>
        <v>231787</v>
      </c>
      <c r="I17" s="134">
        <f t="shared" si="1"/>
        <v>0.16349013890387751</v>
      </c>
      <c r="J17" s="235">
        <v>0.17294509083400111</v>
      </c>
      <c r="K17" s="134">
        <f t="shared" si="2"/>
        <v>-9.4549519301236062E-3</v>
      </c>
    </row>
    <row r="18" spans="1:11" s="115" customFormat="1" ht="18" customHeight="1">
      <c r="A18" s="123" t="s">
        <v>118</v>
      </c>
      <c r="B18" s="216">
        <f>SUM('（３）業績構成比'!W26:W32)/1000</f>
        <v>214.15439026250536</v>
      </c>
      <c r="C18" s="134">
        <f t="shared" si="3"/>
        <v>4.6236005423698342E-3</v>
      </c>
      <c r="D18" s="235">
        <v>5.702460131188471E-3</v>
      </c>
      <c r="E18" s="134">
        <f t="shared" si="4"/>
        <v>-1.0788595888186368E-3</v>
      </c>
      <c r="G18" s="123" t="s">
        <v>119</v>
      </c>
      <c r="H18" s="216">
        <f>SUM('（４）訂單數量構成比'!W26:W32)</f>
        <v>7949</v>
      </c>
      <c r="I18" s="134">
        <f t="shared" si="1"/>
        <v>5.6067989755548076E-3</v>
      </c>
      <c r="J18" s="235">
        <v>6.7446280834473297E-3</v>
      </c>
      <c r="K18" s="134">
        <f t="shared" si="2"/>
        <v>-1.1378291078925221E-3</v>
      </c>
    </row>
    <row r="19" spans="1:11" s="115" customFormat="1" ht="18" customHeight="1">
      <c r="A19" s="123" t="s">
        <v>120</v>
      </c>
      <c r="B19" s="216">
        <f>SUM('（３）業績構成比'!Y26:Y32,'（３）業績構成比'!AA26:AA32)/1000</f>
        <v>12719.63929293311</v>
      </c>
      <c r="C19" s="134">
        <f t="shared" si="3"/>
        <v>0.27461744333826466</v>
      </c>
      <c r="D19" s="235">
        <v>0.27408783644790485</v>
      </c>
      <c r="E19" s="134">
        <f t="shared" si="4"/>
        <v>5.2960689035980169E-4</v>
      </c>
      <c r="G19" s="123" t="s">
        <v>121</v>
      </c>
      <c r="H19" s="216">
        <f>SUM('（４）訂單數量構成比'!Y26:Y32,'（４）訂單數量構成比'!AA26:AA32)</f>
        <v>311499</v>
      </c>
      <c r="I19" s="134">
        <f t="shared" si="1"/>
        <v>0.21971471557256853</v>
      </c>
      <c r="J19" s="235">
        <v>0.21722001512431752</v>
      </c>
      <c r="K19" s="134">
        <f t="shared" si="2"/>
        <v>2.4947004482510082E-3</v>
      </c>
    </row>
    <row r="20" spans="1:11" s="115" customFormat="1" ht="18" customHeight="1">
      <c r="A20" s="123" t="s">
        <v>122</v>
      </c>
      <c r="B20" s="216">
        <f>SUM('（３）業績構成比'!AE26:AE32)/1000</f>
        <v>6199.0593450616152</v>
      </c>
      <c r="C20" s="134">
        <f t="shared" si="3"/>
        <v>0.13383790131445125</v>
      </c>
      <c r="D20" s="235">
        <v>0.13017356184388149</v>
      </c>
      <c r="E20" s="134">
        <f t="shared" si="4"/>
        <v>3.6643394705697663E-3</v>
      </c>
      <c r="G20" s="123" t="s">
        <v>123</v>
      </c>
      <c r="H20" s="216">
        <f>SUM('（４）訂單數量構成比'!AE26:AE32)</f>
        <v>108834</v>
      </c>
      <c r="I20" s="134">
        <f t="shared" si="1"/>
        <v>7.6765676148639064E-2</v>
      </c>
      <c r="J20" s="235">
        <v>7.3864601415032843E-2</v>
      </c>
      <c r="K20" s="134">
        <f t="shared" si="2"/>
        <v>2.9010747336062209E-3</v>
      </c>
    </row>
    <row r="21" spans="1:11" s="115" customFormat="1" ht="18" customHeight="1">
      <c r="A21" s="123" t="s">
        <v>124</v>
      </c>
      <c r="B21" s="216">
        <f>SUM('（３）業績構成比'!AG26:AG32)/1000</f>
        <v>4462.9952974334228</v>
      </c>
      <c r="C21" s="134">
        <f t="shared" si="3"/>
        <v>9.6356219699783724E-2</v>
      </c>
      <c r="D21" s="235">
        <v>6.1910250580740983E-2</v>
      </c>
      <c r="E21" s="134">
        <f t="shared" si="4"/>
        <v>3.4445969119042741E-2</v>
      </c>
      <c r="G21" s="123" t="s">
        <v>125</v>
      </c>
      <c r="H21" s="216">
        <f>SUM('（４）訂單數量構成比'!AG26:AG32)</f>
        <v>88212</v>
      </c>
      <c r="I21" s="134">
        <f t="shared" si="1"/>
        <v>6.2220021541280757E-2</v>
      </c>
      <c r="J21" s="235">
        <v>4.0586169495252331E-2</v>
      </c>
      <c r="K21" s="134">
        <f t="shared" si="2"/>
        <v>2.1633852046028426E-2</v>
      </c>
    </row>
    <row r="22" spans="1:11" s="115" customFormat="1" ht="18" customHeight="1">
      <c r="A22" s="123" t="s">
        <v>126</v>
      </c>
      <c r="B22" s="216">
        <f>SUM('（３）業績構成比'!AI26:AI32)/1000</f>
        <v>2622.3642493697439</v>
      </c>
      <c r="C22" s="134">
        <f t="shared" si="3"/>
        <v>5.6616933002470608E-2</v>
      </c>
      <c r="D22" s="235">
        <v>6.8343379636001525E-2</v>
      </c>
      <c r="E22" s="134">
        <f t="shared" si="4"/>
        <v>-1.1726446633530917E-2</v>
      </c>
      <c r="G22" s="123" t="s">
        <v>127</v>
      </c>
      <c r="H22" s="216">
        <f>SUM('（４）訂單數量構成比'!AI26:AI32)</f>
        <v>70828</v>
      </c>
      <c r="I22" s="134">
        <f t="shared" si="1"/>
        <v>4.995827875715133E-2</v>
      </c>
      <c r="J22" s="235">
        <v>5.8838246622224005E-2</v>
      </c>
      <c r="K22" s="134">
        <f t="shared" si="2"/>
        <v>-8.8799678650726757E-3</v>
      </c>
    </row>
    <row r="23" spans="1:11" s="115" customFormat="1" ht="18" customHeight="1">
      <c r="A23" s="123" t="s">
        <v>128</v>
      </c>
      <c r="B23" s="216">
        <f>SUM('（３）業績構成比'!AK26:AK32)/1000</f>
        <v>2400.6209508117017</v>
      </c>
      <c r="C23" s="134">
        <f t="shared" si="3"/>
        <v>5.1829487672850658E-2</v>
      </c>
      <c r="D23" s="235">
        <v>6.1701332542846148E-2</v>
      </c>
      <c r="E23" s="134">
        <f t="shared" si="4"/>
        <v>-9.87184486999549E-3</v>
      </c>
      <c r="G23" s="123" t="s">
        <v>129</v>
      </c>
      <c r="H23" s="216">
        <f>SUM('（４）訂單數量構成比'!AK26:AK32)</f>
        <v>88302</v>
      </c>
      <c r="I23" s="134">
        <f t="shared" si="1"/>
        <v>6.2283502722284646E-2</v>
      </c>
      <c r="J23" s="235">
        <v>6.9571860594105181E-2</v>
      </c>
      <c r="K23" s="134">
        <f t="shared" si="2"/>
        <v>-7.2883578718205347E-3</v>
      </c>
    </row>
    <row r="24" spans="1:11" s="115" customFormat="1" ht="15.75" customHeight="1">
      <c r="C24" s="128">
        <f>SUM(C15:C23)</f>
        <v>0.99999999999999989</v>
      </c>
      <c r="D24" s="128">
        <f>SUM(D15:D23)</f>
        <v>1</v>
      </c>
      <c r="I24" s="128">
        <f>SUM(I15:I23)</f>
        <v>1</v>
      </c>
      <c r="J24" s="128">
        <f>SUM(J15:J23)</f>
        <v>0.99999999999999989</v>
      </c>
    </row>
    <row r="25" spans="1:11" s="115" customFormat="1" ht="9.6" customHeight="1">
      <c r="A25" s="129"/>
    </row>
    <row r="26" spans="1:11" s="115" customFormat="1" ht="15.75" customHeight="1">
      <c r="A26" s="126" t="s">
        <v>146</v>
      </c>
    </row>
    <row r="27" spans="1:11" s="115" customFormat="1" ht="15.75" customHeight="1">
      <c r="A27" s="123" t="s">
        <v>131</v>
      </c>
      <c r="B27" s="196" t="s">
        <v>140</v>
      </c>
      <c r="C27" s="196" t="s">
        <v>141</v>
      </c>
      <c r="D27" s="123" t="s">
        <v>10</v>
      </c>
      <c r="E27" s="123" t="s">
        <v>147</v>
      </c>
    </row>
    <row r="28" spans="1:11" s="115" customFormat="1" ht="18" customHeight="1">
      <c r="A28" s="123" t="s">
        <v>145</v>
      </c>
      <c r="B28" s="222">
        <f>'（５-1）品群別人時生產性（18℃-飯糰）'!L112</f>
        <v>781.25061205900738</v>
      </c>
      <c r="C28" s="238">
        <v>798.9954594687166</v>
      </c>
      <c r="D28" s="223">
        <f t="shared" ref="D28:D36" si="5">B28-C28</f>
        <v>-17.744847409709223</v>
      </c>
      <c r="E28" s="124">
        <f>'（５-1）品群別人時生產性（18℃-飯糰）'!C1</f>
        <v>793.62477019016274</v>
      </c>
      <c r="G28" s="138"/>
      <c r="H28" s="138"/>
      <c r="I28" s="138"/>
      <c r="J28" s="138"/>
    </row>
    <row r="29" spans="1:11" s="115" customFormat="1" ht="18" customHeight="1">
      <c r="A29" s="123" t="s">
        <v>137</v>
      </c>
      <c r="B29" s="222">
        <f>'（５-2）品群別人時生產性（18-壽司手卷)'!L67</f>
        <v>163.6170043223533</v>
      </c>
      <c r="C29" s="238">
        <v>170.64700919966984</v>
      </c>
      <c r="D29" s="223">
        <f t="shared" si="5"/>
        <v>-7.0300048773165429</v>
      </c>
      <c r="E29" s="124">
        <f>'（５-2）品群別人時生產性（18-壽司手卷)'!C1</f>
        <v>166.67638992066685</v>
      </c>
      <c r="G29" s="139"/>
      <c r="H29" s="139"/>
      <c r="I29" s="140"/>
      <c r="J29" s="1"/>
    </row>
    <row r="30" spans="1:11" s="115" customFormat="1" ht="18" customHeight="1">
      <c r="A30" s="123" t="s">
        <v>117</v>
      </c>
      <c r="B30" s="222">
        <f>'（５-3）品群別人時生產性（4℃-飯糰)'!L67</f>
        <v>261.47141363125291</v>
      </c>
      <c r="C30" s="238">
        <v>253.37110103454836</v>
      </c>
      <c r="D30" s="223">
        <f t="shared" si="5"/>
        <v>8.1003125967045548</v>
      </c>
      <c r="E30" s="124">
        <f>'（５-3）品群別人時生產性（4℃-飯糰)'!C1</f>
        <v>255.61005308528962</v>
      </c>
    </row>
    <row r="31" spans="1:11" s="115" customFormat="1" ht="18" customHeight="1">
      <c r="A31" s="123" t="s">
        <v>119</v>
      </c>
      <c r="B31" s="222">
        <f>'（５-4）品群別人時生產性（4℃-壽司手卷)'!L67</f>
        <v>115.15925612848693</v>
      </c>
      <c r="C31" s="238">
        <v>116.53850435279007</v>
      </c>
      <c r="D31" s="223">
        <f t="shared" si="5"/>
        <v>-1.3792482243031401</v>
      </c>
      <c r="E31" s="124">
        <f>'（５-4）品群別人時生產性（4℃-壽司手卷)'!C1</f>
        <v>116.15147627098179</v>
      </c>
    </row>
    <row r="32" spans="1:11" s="115" customFormat="1" ht="18" customHeight="1">
      <c r="A32" s="123" t="s">
        <v>121</v>
      </c>
      <c r="B32" s="222">
        <f>'（５-5）品群別人時生產性(主食) '!L112</f>
        <v>83.23048432593086</v>
      </c>
      <c r="C32" s="238">
        <v>81.431949464822324</v>
      </c>
      <c r="D32" s="223">
        <f t="shared" si="5"/>
        <v>1.7985348611085357</v>
      </c>
      <c r="E32" s="124">
        <f>'（５-5）品群別人時生產性(主食) '!C1</f>
        <v>83.347322527937735</v>
      </c>
    </row>
    <row r="33" spans="1:5" s="115" customFormat="1" ht="18" customHeight="1">
      <c r="A33" s="123" t="s">
        <v>123</v>
      </c>
      <c r="B33" s="222">
        <f>'（５-6）品群別人時生產性(便當)'!L67</f>
        <v>67.487136678948616</v>
      </c>
      <c r="C33" s="238">
        <v>67.719464916895902</v>
      </c>
      <c r="D33" s="223">
        <f t="shared" si="5"/>
        <v>-0.23232823794728574</v>
      </c>
      <c r="E33" s="124">
        <f>'（５-6）品群別人時生產性(便當)'!C1</f>
        <v>68.578756865486497</v>
      </c>
    </row>
    <row r="34" spans="1:5" s="115" customFormat="1" ht="18" customHeight="1">
      <c r="A34" s="123" t="s">
        <v>125</v>
      </c>
      <c r="B34" s="222">
        <f>'（５-7）品群別人時生產性(熱食義麵) '!L67</f>
        <v>76.532999763163886</v>
      </c>
      <c r="C34" s="238">
        <v>64.587995180055216</v>
      </c>
      <c r="D34" s="223">
        <f t="shared" si="5"/>
        <v>11.94500458310867</v>
      </c>
      <c r="E34" s="124">
        <f>'（５-7）品群別人時生產性(熱食義麵) '!C1</f>
        <v>69.153660299168592</v>
      </c>
    </row>
    <row r="35" spans="1:5" s="115" customFormat="1" ht="18" customHeight="1">
      <c r="A35" s="123" t="s">
        <v>127</v>
      </c>
      <c r="B35" s="222">
        <f>'（５-8）品群別人時生產性(季節調理麵) '!L67</f>
        <v>124.61853480776165</v>
      </c>
      <c r="C35" s="238">
        <v>122.65858568790588</v>
      </c>
      <c r="D35" s="223">
        <f t="shared" si="5"/>
        <v>1.9599491198557644</v>
      </c>
      <c r="E35" s="124">
        <f>'（５-8）品群別人時生產性(季節調理麵) '!C1</f>
        <v>122.96404371984323</v>
      </c>
    </row>
    <row r="36" spans="1:5" s="115" customFormat="1" ht="18" customHeight="1">
      <c r="A36" s="119" t="s">
        <v>129</v>
      </c>
      <c r="B36" s="222">
        <f>'（５-9）品群別人時生產性(微波小吃)'!L67</f>
        <v>127.09567507383242</v>
      </c>
      <c r="C36" s="238">
        <v>110.53388961677851</v>
      </c>
      <c r="D36" s="223">
        <f t="shared" si="5"/>
        <v>16.561785457053915</v>
      </c>
      <c r="E36" s="124">
        <f>'（５-9）品群別人時生產性(微波小吃)'!C1</f>
        <v>119.5449675036507</v>
      </c>
    </row>
    <row r="37" spans="1:5" s="115" customFormat="1" ht="15.75" customHeight="1">
      <c r="D37" s="279"/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36" sqref="F36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35" t="s">
        <v>148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</row>
    <row r="3" spans="2:23" s="78" customFormat="1" ht="23.45" customHeight="1">
      <c r="B3" s="79"/>
      <c r="C3" s="439" t="s">
        <v>149</v>
      </c>
      <c r="D3" s="440" t="s">
        <v>150</v>
      </c>
      <c r="E3" s="440"/>
      <c r="F3" s="438" t="s">
        <v>151</v>
      </c>
      <c r="G3" s="438"/>
      <c r="H3" s="438"/>
      <c r="I3" s="436" t="s">
        <v>152</v>
      </c>
      <c r="J3" s="436"/>
      <c r="K3" s="436"/>
      <c r="L3" s="437" t="s">
        <v>153</v>
      </c>
      <c r="M3" s="437"/>
      <c r="N3" s="437"/>
      <c r="O3" s="434" t="s">
        <v>154</v>
      </c>
      <c r="P3" s="434"/>
      <c r="Q3" s="434"/>
      <c r="R3" s="441" t="s">
        <v>155</v>
      </c>
      <c r="S3" s="441"/>
      <c r="T3" s="441"/>
      <c r="U3" s="434" t="s">
        <v>156</v>
      </c>
      <c r="V3" s="434"/>
      <c r="W3" s="434"/>
    </row>
    <row r="4" spans="2:23" s="78" customFormat="1" ht="23.45" customHeight="1">
      <c r="B4" s="79"/>
      <c r="C4" s="439"/>
      <c r="D4" s="440"/>
      <c r="E4" s="440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83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83" t="s">
        <v>160</v>
      </c>
    </row>
    <row r="5" spans="2:23">
      <c r="B5" s="79"/>
      <c r="C5" s="79"/>
      <c r="D5" s="82">
        <f t="shared" ref="D5:D9" si="0">D4+1</f>
        <v>1</v>
      </c>
      <c r="E5" s="82" t="s">
        <v>161</v>
      </c>
      <c r="F5" s="207">
        <v>6681403</v>
      </c>
      <c r="G5" s="280"/>
      <c r="H5" s="296"/>
      <c r="I5" s="208">
        <v>205236</v>
      </c>
      <c r="K5" s="297"/>
      <c r="L5" s="207">
        <v>4898484</v>
      </c>
      <c r="M5" s="280"/>
      <c r="N5" s="296"/>
      <c r="O5" s="86">
        <f t="shared" ref="O5:O39" si="1">L5/F5</f>
        <v>0.73315200415242132</v>
      </c>
      <c r="P5" s="281">
        <f>AVERAGE(O5:O9)</f>
        <v>0.68053028799122284</v>
      </c>
      <c r="Q5" s="295"/>
      <c r="R5" s="209">
        <v>1023941.3315165536</v>
      </c>
      <c r="S5" s="280"/>
      <c r="T5" s="296"/>
      <c r="V5" s="281">
        <f>AVERAGE(U5:U9)</f>
        <v>0.14782978448785733</v>
      </c>
      <c r="W5" s="295"/>
    </row>
    <row r="6" spans="2:23">
      <c r="B6" s="79"/>
      <c r="C6" s="79"/>
      <c r="D6" s="82">
        <f t="shared" si="0"/>
        <v>2</v>
      </c>
      <c r="E6" s="82" t="s">
        <v>162</v>
      </c>
      <c r="F6" s="207">
        <v>5997913</v>
      </c>
      <c r="G6" s="280">
        <f>SUM(F5:F9)</f>
        <v>33573872</v>
      </c>
      <c r="H6" s="296"/>
      <c r="I6" s="208">
        <v>186163</v>
      </c>
      <c r="J6" s="84">
        <f>SUM(I5:I9)</f>
        <v>1028457</v>
      </c>
      <c r="K6" s="297"/>
      <c r="L6" s="207">
        <v>4157041</v>
      </c>
      <c r="M6" s="280">
        <f>SUM(L5:L9)</f>
        <v>22826638</v>
      </c>
      <c r="N6" s="296"/>
      <c r="O6" s="86">
        <f t="shared" si="1"/>
        <v>0.69308124342583832</v>
      </c>
      <c r="P6" s="281"/>
      <c r="Q6" s="295"/>
      <c r="R6" s="209">
        <v>974083.83818321978</v>
      </c>
      <c r="S6" s="280">
        <f>SUM(R5:R9)</f>
        <v>4980410.2842494333</v>
      </c>
      <c r="T6" s="296"/>
      <c r="U6" s="86">
        <f t="shared" ref="U6:U41" si="2">R6/F6</f>
        <v>0.16240379581751516</v>
      </c>
      <c r="V6" s="281"/>
      <c r="W6" s="295"/>
    </row>
    <row r="7" spans="2:23" ht="16.5" customHeight="1">
      <c r="B7" s="79"/>
      <c r="C7" s="79"/>
      <c r="D7" s="82">
        <f t="shared" si="0"/>
        <v>3</v>
      </c>
      <c r="E7" s="82" t="s">
        <v>163</v>
      </c>
      <c r="F7" s="207">
        <v>6555328</v>
      </c>
      <c r="G7" s="280"/>
      <c r="I7" s="208">
        <v>199344</v>
      </c>
      <c r="L7" s="207">
        <v>4222144</v>
      </c>
      <c r="M7" s="280"/>
      <c r="O7" s="86">
        <f t="shared" si="1"/>
        <v>0.64407822156267391</v>
      </c>
      <c r="P7" s="281"/>
      <c r="R7" s="209">
        <v>986619.67818321986</v>
      </c>
      <c r="S7" s="280"/>
      <c r="U7" s="86">
        <f t="shared" si="2"/>
        <v>0.15050653120381161</v>
      </c>
      <c r="V7" s="281"/>
    </row>
    <row r="8" spans="2:23" ht="16.5" customHeight="1">
      <c r="B8" s="79"/>
      <c r="C8" s="79"/>
      <c r="D8" s="82">
        <f t="shared" si="0"/>
        <v>4</v>
      </c>
      <c r="E8" s="82" t="s">
        <v>164</v>
      </c>
      <c r="F8" s="207">
        <v>7070659</v>
      </c>
      <c r="G8" s="280"/>
      <c r="H8" s="296"/>
      <c r="I8" s="208">
        <v>216721</v>
      </c>
      <c r="K8" s="297"/>
      <c r="L8" s="207">
        <v>4831528</v>
      </c>
      <c r="M8" s="280"/>
      <c r="N8" s="296"/>
      <c r="O8" s="86">
        <f t="shared" si="1"/>
        <v>0.68332074846205992</v>
      </c>
      <c r="P8" s="281"/>
      <c r="Q8" s="295"/>
      <c r="R8" s="209">
        <v>995637.67818321963</v>
      </c>
      <c r="S8" s="280"/>
      <c r="T8" s="296"/>
      <c r="U8" s="86">
        <f t="shared" si="2"/>
        <v>0.14081257181023998</v>
      </c>
      <c r="V8" s="281"/>
      <c r="W8" s="295"/>
    </row>
    <row r="9" spans="2:23" ht="16.5" customHeight="1">
      <c r="B9" s="79"/>
      <c r="C9" s="79"/>
      <c r="D9" s="82">
        <f t="shared" si="0"/>
        <v>5</v>
      </c>
      <c r="E9" s="82" t="s">
        <v>165</v>
      </c>
      <c r="F9" s="207">
        <v>7268569</v>
      </c>
      <c r="G9" s="280"/>
      <c r="H9" s="296"/>
      <c r="I9" s="208">
        <v>220993</v>
      </c>
      <c r="K9" s="297"/>
      <c r="L9" s="207">
        <v>4717441</v>
      </c>
      <c r="M9" s="280"/>
      <c r="N9" s="296"/>
      <c r="O9" s="86">
        <f t="shared" si="1"/>
        <v>0.64901922235312071</v>
      </c>
      <c r="P9" s="281"/>
      <c r="Q9" s="295"/>
      <c r="R9" s="209">
        <v>1000127.7581832204</v>
      </c>
      <c r="S9" s="280"/>
      <c r="T9" s="296"/>
      <c r="U9" s="86">
        <f t="shared" si="2"/>
        <v>0.13759623911986257</v>
      </c>
      <c r="V9" s="281"/>
      <c r="W9" s="295"/>
    </row>
    <row r="10" spans="2:23" ht="16.5" customHeight="1">
      <c r="B10" s="79"/>
      <c r="C10" s="79"/>
      <c r="D10" s="282">
        <f t="shared" ref="D10:D37" si="3">D9+1</f>
        <v>6</v>
      </c>
      <c r="E10" s="282" t="s">
        <v>166</v>
      </c>
      <c r="F10" s="207">
        <v>7452237</v>
      </c>
      <c r="G10" s="280">
        <f>SUM(F10:F16)</f>
        <v>47860768</v>
      </c>
      <c r="H10" s="296">
        <f>SUM(F5:F35)</f>
        <v>173020836</v>
      </c>
      <c r="I10" s="208">
        <v>233027</v>
      </c>
      <c r="J10" s="84">
        <f>SUM(I10:I16)</f>
        <v>1492256</v>
      </c>
      <c r="K10" s="297">
        <f>SUM(I5:I35)</f>
        <v>5357363</v>
      </c>
      <c r="L10" s="207">
        <v>4938616</v>
      </c>
      <c r="M10" s="280">
        <f>SUM(L10:L16)</f>
        <v>32397606</v>
      </c>
      <c r="N10" s="296">
        <f>SUM(L5:L35)</f>
        <v>117386460</v>
      </c>
      <c r="O10" s="86">
        <f t="shared" si="1"/>
        <v>0.66270248785700181</v>
      </c>
      <c r="P10" s="281">
        <f>AVERAGE(O10:O16)</f>
        <v>0.6775049401443306</v>
      </c>
      <c r="Q10" s="295">
        <f>N10/H10</f>
        <v>0.67845273848983134</v>
      </c>
      <c r="R10" s="209">
        <v>1016781.9581832206</v>
      </c>
      <c r="S10" s="280">
        <f>SUM(R10:R16)</f>
        <v>6936192.5872825421</v>
      </c>
      <c r="T10" s="296">
        <f>SUM(R5:R35)</f>
        <v>25696432.08609705</v>
      </c>
      <c r="U10" s="86">
        <f t="shared" si="2"/>
        <v>0.13643983117864081</v>
      </c>
      <c r="V10" s="281">
        <f>AVERAGE(U10:U16)</f>
        <v>0.14551430470393492</v>
      </c>
      <c r="W10" s="295">
        <f>T10/H10</f>
        <v>0.14851640230253568</v>
      </c>
    </row>
    <row r="11" spans="2:23" ht="16.5" customHeight="1">
      <c r="B11" s="79"/>
      <c r="C11" s="79"/>
      <c r="D11" s="282">
        <f t="shared" si="3"/>
        <v>7</v>
      </c>
      <c r="E11" s="282" t="s">
        <v>167</v>
      </c>
      <c r="F11" s="207">
        <v>6995772</v>
      </c>
      <c r="G11" s="280"/>
      <c r="H11" s="296"/>
      <c r="I11" s="208">
        <v>220329</v>
      </c>
      <c r="K11" s="297"/>
      <c r="L11" s="207">
        <v>4783118</v>
      </c>
      <c r="M11" s="280"/>
      <c r="N11" s="296"/>
      <c r="O11" s="86">
        <f t="shared" si="1"/>
        <v>0.68371553561208109</v>
      </c>
      <c r="P11" s="281"/>
      <c r="Q11" s="295"/>
      <c r="R11" s="209">
        <v>999910.51818322041</v>
      </c>
      <c r="S11" s="280"/>
      <c r="T11" s="296"/>
      <c r="U11" s="86">
        <f t="shared" si="2"/>
        <v>0.14293068987714586</v>
      </c>
      <c r="V11" s="281"/>
      <c r="W11" s="295"/>
    </row>
    <row r="12" spans="2:23" ht="16.5" customHeight="1">
      <c r="B12" s="79"/>
      <c r="C12" s="79"/>
      <c r="D12" s="282">
        <f t="shared" si="3"/>
        <v>8</v>
      </c>
      <c r="E12" s="282" t="s">
        <v>161</v>
      </c>
      <c r="F12" s="207">
        <v>6658240</v>
      </c>
      <c r="G12" s="280"/>
      <c r="H12" s="296"/>
      <c r="I12" s="208">
        <v>207527</v>
      </c>
      <c r="K12" s="297"/>
      <c r="L12" s="207">
        <v>4678074</v>
      </c>
      <c r="M12" s="280"/>
      <c r="N12" s="296"/>
      <c r="O12" s="86">
        <f t="shared" si="1"/>
        <v>0.70259918537030808</v>
      </c>
      <c r="P12" s="281"/>
      <c r="Q12" s="295"/>
      <c r="R12" s="209">
        <v>995536.67818322033</v>
      </c>
      <c r="S12" s="280"/>
      <c r="T12" s="296"/>
      <c r="U12" s="86">
        <f t="shared" si="2"/>
        <v>0.14951949436836467</v>
      </c>
      <c r="V12" s="281"/>
      <c r="W12" s="295"/>
    </row>
    <row r="13" spans="2:23" ht="16.5" customHeight="1">
      <c r="B13" s="79"/>
      <c r="C13" s="79"/>
      <c r="D13" s="282">
        <f t="shared" si="3"/>
        <v>9</v>
      </c>
      <c r="E13" s="282" t="s">
        <v>162</v>
      </c>
      <c r="F13" s="207">
        <v>6093782</v>
      </c>
      <c r="H13" s="296"/>
      <c r="I13" s="208">
        <v>189878</v>
      </c>
      <c r="K13" s="297"/>
      <c r="L13" s="207">
        <v>3986569</v>
      </c>
      <c r="M13" s="280"/>
      <c r="N13" s="296"/>
      <c r="O13" s="86">
        <f t="shared" si="1"/>
        <v>0.65420275946858619</v>
      </c>
      <c r="P13" s="281"/>
      <c r="Q13" s="295"/>
      <c r="R13" s="207">
        <v>974790.11818321981</v>
      </c>
      <c r="S13" s="280"/>
      <c r="T13" s="296"/>
      <c r="U13" s="86">
        <f t="shared" si="2"/>
        <v>0.15996471783585625</v>
      </c>
      <c r="V13" s="281"/>
      <c r="W13" s="295"/>
    </row>
    <row r="14" spans="2:23" ht="16.5" customHeight="1">
      <c r="B14" s="79"/>
      <c r="C14" s="79"/>
      <c r="D14" s="282">
        <f t="shared" si="3"/>
        <v>10</v>
      </c>
      <c r="E14" s="282" t="s">
        <v>163</v>
      </c>
      <c r="F14" s="207">
        <v>6273190</v>
      </c>
      <c r="G14" s="280"/>
      <c r="H14" s="296"/>
      <c r="I14" s="208">
        <v>195163</v>
      </c>
      <c r="K14" s="297"/>
      <c r="L14" s="207">
        <v>4487904</v>
      </c>
      <c r="M14" s="280"/>
      <c r="N14" s="296"/>
      <c r="O14" s="86">
        <f t="shared" si="1"/>
        <v>0.71541018206048279</v>
      </c>
      <c r="P14" s="281"/>
      <c r="Q14" s="295"/>
      <c r="R14" s="207">
        <v>963818.10484988661</v>
      </c>
      <c r="S14" s="280"/>
      <c r="T14" s="296"/>
      <c r="U14" s="86">
        <f t="shared" si="2"/>
        <v>0.15364082784833341</v>
      </c>
      <c r="V14" s="281"/>
      <c r="W14" s="295"/>
    </row>
    <row r="15" spans="2:23" ht="16.5" customHeight="1">
      <c r="B15" s="79"/>
      <c r="C15" s="79"/>
      <c r="D15" s="282">
        <f t="shared" si="3"/>
        <v>11</v>
      </c>
      <c r="E15" s="282" t="s">
        <v>164</v>
      </c>
      <c r="F15" s="207">
        <v>7385036</v>
      </c>
      <c r="G15" s="280"/>
      <c r="H15" s="296"/>
      <c r="I15" s="208">
        <v>229137</v>
      </c>
      <c r="K15" s="297"/>
      <c r="L15" s="207">
        <v>4878046</v>
      </c>
      <c r="M15" s="280"/>
      <c r="N15" s="296"/>
      <c r="O15" s="86">
        <f t="shared" si="1"/>
        <v>0.66053110641573043</v>
      </c>
      <c r="P15" s="281"/>
      <c r="Q15" s="295"/>
      <c r="R15" s="207">
        <v>1002559.9448498869</v>
      </c>
      <c r="S15" s="280"/>
      <c r="T15" s="296"/>
      <c r="U15" s="86">
        <f t="shared" si="2"/>
        <v>0.1357555934527451</v>
      </c>
      <c r="V15" s="281"/>
      <c r="W15" s="295"/>
    </row>
    <row r="16" spans="2:23" ht="16.5" customHeight="1">
      <c r="B16" s="79"/>
      <c r="C16" s="79"/>
      <c r="D16" s="282">
        <f t="shared" si="3"/>
        <v>12</v>
      </c>
      <c r="E16" s="282" t="s">
        <v>165</v>
      </c>
      <c r="F16" s="207">
        <v>7002511</v>
      </c>
      <c r="G16" s="280"/>
      <c r="H16" s="296"/>
      <c r="I16" s="208">
        <v>217195</v>
      </c>
      <c r="K16" s="297"/>
      <c r="L16" s="207">
        <v>4645279</v>
      </c>
      <c r="M16" s="280"/>
      <c r="N16" s="296"/>
      <c r="O16" s="86">
        <f t="shared" si="1"/>
        <v>0.66337332422612405</v>
      </c>
      <c r="P16" s="281"/>
      <c r="Q16" s="295"/>
      <c r="R16" s="207">
        <v>982795.26484988676</v>
      </c>
      <c r="S16" s="280"/>
      <c r="T16" s="296"/>
      <c r="U16" s="86">
        <f t="shared" si="2"/>
        <v>0.14034897836645838</v>
      </c>
      <c r="V16" s="281"/>
      <c r="W16" s="295"/>
    </row>
    <row r="17" spans="2:23" ht="16.5" customHeight="1">
      <c r="B17" s="79"/>
      <c r="C17" s="79"/>
      <c r="D17" s="395">
        <f t="shared" si="3"/>
        <v>13</v>
      </c>
      <c r="E17" s="395" t="s">
        <v>166</v>
      </c>
      <c r="F17" s="207">
        <v>6868111</v>
      </c>
      <c r="G17" s="280">
        <f>SUM(F17:F23)</f>
        <v>45268529</v>
      </c>
      <c r="H17" s="296"/>
      <c r="I17" s="208">
        <v>214686</v>
      </c>
      <c r="J17" s="84">
        <f>SUM(I17:I23)</f>
        <v>1418907</v>
      </c>
      <c r="K17" s="297"/>
      <c r="L17" s="207">
        <v>4741632</v>
      </c>
      <c r="M17" s="280">
        <f>SUM(L17:L23)</f>
        <v>30792331</v>
      </c>
      <c r="N17" s="296"/>
      <c r="O17" s="86">
        <f t="shared" si="1"/>
        <v>0.69038371686188527</v>
      </c>
      <c r="P17" s="281">
        <f>AVERAGE(O17:O23)</f>
        <v>0.68083524036710752</v>
      </c>
      <c r="Q17" s="295"/>
      <c r="R17" s="207">
        <v>972275.30484988703</v>
      </c>
      <c r="S17" s="280">
        <f>SUM(R17:R23)</f>
        <v>6751568.6139492039</v>
      </c>
      <c r="T17" s="296"/>
      <c r="U17" s="86">
        <f t="shared" si="2"/>
        <v>0.14156371451333372</v>
      </c>
      <c r="V17" s="281">
        <f>AVERAGE(U17:U23)</f>
        <v>0.14974822050244635</v>
      </c>
      <c r="W17" s="295"/>
    </row>
    <row r="18" spans="2:23" ht="16.5" customHeight="1">
      <c r="B18" s="79"/>
      <c r="C18" s="79"/>
      <c r="D18" s="395">
        <f t="shared" si="3"/>
        <v>14</v>
      </c>
      <c r="E18" s="395" t="s">
        <v>167</v>
      </c>
      <c r="F18" s="207">
        <v>6627112</v>
      </c>
      <c r="G18" s="280"/>
      <c r="H18" s="296"/>
      <c r="I18" s="208">
        <v>207749</v>
      </c>
      <c r="K18" s="297"/>
      <c r="L18" s="207">
        <v>4500047</v>
      </c>
      <c r="M18" s="280"/>
      <c r="N18" s="296"/>
      <c r="O18" s="86">
        <f t="shared" si="1"/>
        <v>0.67903590583650919</v>
      </c>
      <c r="P18" s="281"/>
      <c r="Q18" s="295"/>
      <c r="R18" s="207">
        <v>982210.53151655197</v>
      </c>
      <c r="S18" s="280"/>
      <c r="T18" s="296"/>
      <c r="U18" s="86">
        <f t="shared" si="2"/>
        <v>0.14821094490579786</v>
      </c>
      <c r="V18" s="281"/>
      <c r="W18" s="295"/>
    </row>
    <row r="19" spans="2:23" ht="16.5" customHeight="1">
      <c r="B19" s="79"/>
      <c r="C19" s="79"/>
      <c r="D19" s="395">
        <f t="shared" si="3"/>
        <v>15</v>
      </c>
      <c r="E19" s="395" t="s">
        <v>161</v>
      </c>
      <c r="F19" s="207">
        <v>6144184</v>
      </c>
      <c r="G19" s="280"/>
      <c r="H19" s="296"/>
      <c r="I19" s="208">
        <v>194623</v>
      </c>
      <c r="K19" s="297"/>
      <c r="L19" s="207">
        <v>4559519</v>
      </c>
      <c r="M19" s="280"/>
      <c r="N19" s="296"/>
      <c r="O19" s="86">
        <f t="shared" si="1"/>
        <v>0.74208698828029884</v>
      </c>
      <c r="P19" s="281"/>
      <c r="Q19" s="295"/>
      <c r="R19" s="207">
        <v>975934.39818321867</v>
      </c>
      <c r="S19" s="280"/>
      <c r="T19" s="296"/>
      <c r="U19" s="86">
        <f t="shared" si="2"/>
        <v>0.15883873239851193</v>
      </c>
      <c r="V19" s="281"/>
      <c r="W19" s="295"/>
    </row>
    <row r="20" spans="2:23" ht="16.5" customHeight="1">
      <c r="B20" s="79"/>
      <c r="C20" s="79"/>
      <c r="D20" s="395">
        <f t="shared" si="3"/>
        <v>16</v>
      </c>
      <c r="E20" s="395" t="s">
        <v>162</v>
      </c>
      <c r="F20" s="207">
        <v>5795971</v>
      </c>
      <c r="G20" s="280"/>
      <c r="H20" s="296"/>
      <c r="I20" s="208">
        <v>183688</v>
      </c>
      <c r="K20" s="297"/>
      <c r="L20" s="207">
        <v>3930912</v>
      </c>
      <c r="M20" s="280"/>
      <c r="N20" s="296"/>
      <c r="O20" s="86">
        <f t="shared" si="1"/>
        <v>0.67821457353737624</v>
      </c>
      <c r="P20" s="281"/>
      <c r="Q20" s="295"/>
      <c r="R20" s="207">
        <v>960812.3048498868</v>
      </c>
      <c r="S20" s="280"/>
      <c r="T20" s="296"/>
      <c r="U20" s="86">
        <f t="shared" si="2"/>
        <v>0.16577244862851914</v>
      </c>
      <c r="V20" s="281"/>
      <c r="W20" s="295"/>
    </row>
    <row r="21" spans="2:23" ht="16.5" customHeight="1">
      <c r="B21" s="79"/>
      <c r="C21" s="79"/>
      <c r="D21" s="395">
        <f t="shared" si="3"/>
        <v>17</v>
      </c>
      <c r="E21" s="395" t="s">
        <v>163</v>
      </c>
      <c r="F21" s="207">
        <v>6092113</v>
      </c>
      <c r="G21" s="280"/>
      <c r="H21" s="296"/>
      <c r="I21" s="208">
        <v>191838</v>
      </c>
      <c r="K21" s="297"/>
      <c r="L21" s="207">
        <v>4040278</v>
      </c>
      <c r="M21" s="280"/>
      <c r="N21" s="296"/>
      <c r="O21" s="86">
        <f t="shared" si="1"/>
        <v>0.66319813831424335</v>
      </c>
      <c r="P21" s="281"/>
      <c r="Q21" s="295"/>
      <c r="R21" s="207">
        <v>941219.54484988656</v>
      </c>
      <c r="S21" s="280"/>
      <c r="T21" s="296"/>
      <c r="U21" s="86">
        <f t="shared" si="2"/>
        <v>0.15449804441412801</v>
      </c>
      <c r="V21" s="281"/>
      <c r="W21" s="295"/>
    </row>
    <row r="22" spans="2:23" ht="16.5" customHeight="1">
      <c r="B22" s="79"/>
      <c r="C22" s="79"/>
      <c r="D22" s="395">
        <f t="shared" si="3"/>
        <v>18</v>
      </c>
      <c r="E22" s="395" t="s">
        <v>164</v>
      </c>
      <c r="F22" s="207">
        <v>6822501</v>
      </c>
      <c r="G22" s="280"/>
      <c r="H22" s="296"/>
      <c r="I22" s="208">
        <v>212538</v>
      </c>
      <c r="K22" s="297"/>
      <c r="L22" s="207">
        <v>4517752</v>
      </c>
      <c r="M22" s="280"/>
      <c r="N22" s="296"/>
      <c r="O22" s="86">
        <f t="shared" si="1"/>
        <v>0.66218414625369793</v>
      </c>
      <c r="P22" s="281"/>
      <c r="Q22" s="295"/>
      <c r="R22" s="207">
        <v>966307.41151655279</v>
      </c>
      <c r="S22" s="280"/>
      <c r="T22" s="296"/>
      <c r="U22" s="86">
        <f t="shared" si="2"/>
        <v>0.14163536385213468</v>
      </c>
      <c r="V22" s="281"/>
      <c r="W22" s="295"/>
    </row>
    <row r="23" spans="2:23" ht="16.5" customHeight="1">
      <c r="B23" s="79"/>
      <c r="C23" s="79"/>
      <c r="D23" s="395">
        <f t="shared" si="3"/>
        <v>19</v>
      </c>
      <c r="E23" s="395" t="s">
        <v>165</v>
      </c>
      <c r="F23" s="207">
        <v>6918537</v>
      </c>
      <c r="G23" s="280"/>
      <c r="H23" s="296"/>
      <c r="I23" s="208">
        <v>213785</v>
      </c>
      <c r="K23" s="297"/>
      <c r="L23" s="207">
        <v>4502191</v>
      </c>
      <c r="M23" s="280"/>
      <c r="N23" s="296"/>
      <c r="O23" s="86">
        <f t="shared" si="1"/>
        <v>0.65074321348574127</v>
      </c>
      <c r="P23" s="281"/>
      <c r="Q23" s="295"/>
      <c r="R23" s="207">
        <v>952809.11818321957</v>
      </c>
      <c r="S23" s="280"/>
      <c r="T23" s="296"/>
      <c r="U23" s="86">
        <f t="shared" si="2"/>
        <v>0.13771829480469924</v>
      </c>
      <c r="V23" s="281"/>
      <c r="W23" s="295"/>
    </row>
    <row r="24" spans="2:23" ht="16.5" customHeight="1">
      <c r="B24" s="79"/>
      <c r="C24" s="79"/>
      <c r="D24" s="282">
        <f t="shared" si="3"/>
        <v>20</v>
      </c>
      <c r="E24" s="282" t="s">
        <v>166</v>
      </c>
      <c r="F24" s="207">
        <v>7713415</v>
      </c>
      <c r="G24" s="280">
        <f>SUM(F24:F30)</f>
        <v>46317667</v>
      </c>
      <c r="H24" s="296"/>
      <c r="I24" s="208">
        <v>228373</v>
      </c>
      <c r="J24" s="84">
        <f>SUM(I24:I30)</f>
        <v>1417743</v>
      </c>
      <c r="K24" s="297"/>
      <c r="L24" s="207">
        <v>5217118</v>
      </c>
      <c r="M24" s="280">
        <f>SUM(L24:L30)</f>
        <v>31369885</v>
      </c>
      <c r="N24" s="296"/>
      <c r="O24" s="86">
        <f t="shared" si="1"/>
        <v>0.6763694161405811</v>
      </c>
      <c r="P24" s="281">
        <f>AVERAGE(O24:O30)</f>
        <v>0.67788001184438584</v>
      </c>
      <c r="Q24" s="295"/>
      <c r="R24" s="207">
        <v>1117488.3048498863</v>
      </c>
      <c r="S24" s="280">
        <f>SUM(R24:R30)</f>
        <v>7028260.6006158702</v>
      </c>
      <c r="T24" s="296"/>
      <c r="U24" s="86">
        <f t="shared" si="2"/>
        <v>0.14487594727496009</v>
      </c>
      <c r="V24" s="281">
        <f>AVERAGE(U24:U30)</f>
        <v>0.15259304169231278</v>
      </c>
      <c r="W24" s="295"/>
    </row>
    <row r="25" spans="2:23" ht="16.5" customHeight="1">
      <c r="B25" s="79"/>
      <c r="C25" s="79"/>
      <c r="D25" s="282">
        <f t="shared" si="3"/>
        <v>21</v>
      </c>
      <c r="E25" s="282" t="s">
        <v>167</v>
      </c>
      <c r="F25" s="207">
        <v>6863386</v>
      </c>
      <c r="G25" s="280"/>
      <c r="H25" s="296"/>
      <c r="I25" s="208">
        <v>211084</v>
      </c>
      <c r="K25" s="297"/>
      <c r="L25" s="207">
        <v>4747084</v>
      </c>
      <c r="M25" s="280"/>
      <c r="N25" s="296"/>
      <c r="O25" s="86">
        <f t="shared" si="1"/>
        <v>0.69165336176633518</v>
      </c>
      <c r="P25" s="281"/>
      <c r="Q25" s="295"/>
      <c r="R25" s="207">
        <v>1098839.9048498862</v>
      </c>
      <c r="S25" s="280"/>
      <c r="T25" s="296"/>
      <c r="U25" s="86">
        <f t="shared" si="2"/>
        <v>0.16010172017862412</v>
      </c>
      <c r="V25" s="281"/>
      <c r="W25" s="295"/>
    </row>
    <row r="26" spans="2:23" ht="16.5" customHeight="1">
      <c r="B26" s="79"/>
      <c r="C26" s="79"/>
      <c r="D26" s="282">
        <f t="shared" si="3"/>
        <v>22</v>
      </c>
      <c r="E26" s="282" t="s">
        <v>161</v>
      </c>
      <c r="F26" s="207">
        <v>6394057</v>
      </c>
      <c r="G26" s="280"/>
      <c r="H26" s="296"/>
      <c r="I26" s="208">
        <v>197525</v>
      </c>
      <c r="K26" s="297"/>
      <c r="L26" s="207">
        <v>4356271</v>
      </c>
      <c r="M26" s="280"/>
      <c r="N26" s="296"/>
      <c r="O26" s="86">
        <f t="shared" si="1"/>
        <v>0.6812999946669227</v>
      </c>
      <c r="P26" s="281"/>
      <c r="Q26" s="295"/>
      <c r="R26" s="207">
        <v>1045894.8248498864</v>
      </c>
      <c r="S26" s="280"/>
      <c r="T26" s="296"/>
      <c r="U26" s="86">
        <f t="shared" si="2"/>
        <v>0.1635729592103865</v>
      </c>
      <c r="V26" s="281"/>
      <c r="W26" s="295"/>
    </row>
    <row r="27" spans="2:23">
      <c r="B27" s="79"/>
      <c r="C27" s="79"/>
      <c r="D27" s="282">
        <f t="shared" si="3"/>
        <v>23</v>
      </c>
      <c r="E27" s="282" t="s">
        <v>162</v>
      </c>
      <c r="F27" s="207">
        <v>5574275</v>
      </c>
      <c r="G27" s="280"/>
      <c r="H27" s="296"/>
      <c r="I27" s="208">
        <v>174499</v>
      </c>
      <c r="K27" s="297"/>
      <c r="L27" s="207">
        <v>3918701</v>
      </c>
      <c r="M27" s="280"/>
      <c r="N27" s="296"/>
      <c r="O27" s="86">
        <f t="shared" si="1"/>
        <v>0.70299743015907901</v>
      </c>
      <c r="P27" s="281"/>
      <c r="Q27" s="295"/>
      <c r="R27" s="207">
        <v>938389.90484988596</v>
      </c>
      <c r="S27" s="280"/>
      <c r="T27" s="296"/>
      <c r="U27" s="86">
        <f t="shared" si="2"/>
        <v>0.1683429512985789</v>
      </c>
      <c r="V27" s="281"/>
      <c r="W27" s="295"/>
    </row>
    <row r="28" spans="2:23">
      <c r="B28" s="79"/>
      <c r="C28" s="79"/>
      <c r="D28" s="282">
        <f t="shared" si="3"/>
        <v>24</v>
      </c>
      <c r="E28" s="282" t="s">
        <v>163</v>
      </c>
      <c r="F28" s="207">
        <v>5940745</v>
      </c>
      <c r="G28" s="280"/>
      <c r="H28" s="296"/>
      <c r="I28" s="208">
        <v>183312</v>
      </c>
      <c r="K28" s="297"/>
      <c r="L28" s="207">
        <v>3957428</v>
      </c>
      <c r="M28" s="280"/>
      <c r="N28" s="296"/>
      <c r="O28" s="86">
        <f t="shared" si="1"/>
        <v>0.66615012090234471</v>
      </c>
      <c r="P28" s="281"/>
      <c r="Q28" s="295"/>
      <c r="R28" s="207">
        <v>935116.83818321978</v>
      </c>
      <c r="S28" s="280"/>
      <c r="T28" s="296"/>
      <c r="U28" s="86">
        <f t="shared" si="2"/>
        <v>0.15740733496947265</v>
      </c>
      <c r="V28" s="281"/>
      <c r="W28" s="295"/>
    </row>
    <row r="29" spans="2:23">
      <c r="B29" s="79"/>
      <c r="C29" s="79"/>
      <c r="D29" s="282">
        <f t="shared" si="3"/>
        <v>25</v>
      </c>
      <c r="E29" s="282" t="s">
        <v>164</v>
      </c>
      <c r="F29" s="207">
        <v>7104289</v>
      </c>
      <c r="G29" s="280"/>
      <c r="H29" s="296"/>
      <c r="I29" s="208">
        <v>215741</v>
      </c>
      <c r="K29" s="297"/>
      <c r="L29" s="207">
        <v>4675574</v>
      </c>
      <c r="M29" s="280"/>
      <c r="N29" s="296"/>
      <c r="O29" s="86">
        <f t="shared" si="1"/>
        <v>0.65813398075444285</v>
      </c>
      <c r="P29" s="281"/>
      <c r="Q29" s="295"/>
      <c r="R29" s="207">
        <v>946557.22484988649</v>
      </c>
      <c r="S29" s="280"/>
      <c r="T29" s="296"/>
      <c r="U29" s="86">
        <f t="shared" si="2"/>
        <v>0.13323743232431656</v>
      </c>
      <c r="V29" s="281"/>
      <c r="W29" s="295"/>
    </row>
    <row r="30" spans="2:23">
      <c r="B30" s="79"/>
      <c r="C30" s="79"/>
      <c r="D30" s="282">
        <f t="shared" si="3"/>
        <v>26</v>
      </c>
      <c r="E30" s="282" t="s">
        <v>165</v>
      </c>
      <c r="F30" s="207">
        <v>6727500</v>
      </c>
      <c r="G30" s="280"/>
      <c r="H30" s="296"/>
      <c r="I30" s="208">
        <v>207209</v>
      </c>
      <c r="K30" s="297"/>
      <c r="L30" s="207">
        <v>4497709</v>
      </c>
      <c r="M30" s="280"/>
      <c r="N30" s="296"/>
      <c r="O30" s="86">
        <f t="shared" si="1"/>
        <v>0.6685557785209959</v>
      </c>
      <c r="P30" s="281"/>
      <c r="Q30" s="295"/>
      <c r="R30" s="207">
        <v>945973.59818322002</v>
      </c>
      <c r="S30" s="280"/>
      <c r="T30" s="296"/>
      <c r="U30" s="86">
        <f t="shared" si="2"/>
        <v>0.14061294658985063</v>
      </c>
      <c r="V30" s="281"/>
      <c r="W30" s="295"/>
    </row>
    <row r="31" spans="2:23">
      <c r="B31" s="79"/>
      <c r="C31" s="79"/>
      <c r="D31" s="395">
        <f t="shared" si="3"/>
        <v>27</v>
      </c>
      <c r="E31" s="395" t="s">
        <v>166</v>
      </c>
      <c r="F31" s="207"/>
      <c r="G31" s="280">
        <f>SUM(F31:F37)</f>
        <v>0</v>
      </c>
      <c r="H31" s="296"/>
      <c r="I31" s="208"/>
      <c r="J31" s="84">
        <f>SUM(I31:I37)</f>
        <v>0</v>
      </c>
      <c r="K31" s="297"/>
      <c r="L31" s="207"/>
      <c r="M31" s="280">
        <f>SUM(L31:L37)</f>
        <v>0</v>
      </c>
      <c r="N31" s="296"/>
      <c r="O31" s="86" t="e">
        <f t="shared" si="1"/>
        <v>#DIV/0!</v>
      </c>
      <c r="P31" s="281" t="e">
        <f>AVERAGE(O31:O37)</f>
        <v>#DIV/0!</v>
      </c>
      <c r="Q31" s="295"/>
      <c r="R31" s="207"/>
      <c r="S31" s="280">
        <f>SUM(R31:R37)</f>
        <v>0</v>
      </c>
      <c r="T31" s="296"/>
      <c r="U31" s="86" t="e">
        <f t="shared" si="2"/>
        <v>#DIV/0!</v>
      </c>
      <c r="V31" s="281" t="e">
        <f>AVERAGE(U31:U37)</f>
        <v>#DIV/0!</v>
      </c>
      <c r="W31" s="295"/>
    </row>
    <row r="32" spans="2:23">
      <c r="B32" s="79"/>
      <c r="C32" s="79"/>
      <c r="D32" s="395">
        <f t="shared" si="3"/>
        <v>28</v>
      </c>
      <c r="E32" s="395" t="s">
        <v>167</v>
      </c>
      <c r="F32" s="207"/>
      <c r="G32" s="280"/>
      <c r="H32" s="296"/>
      <c r="I32" s="208"/>
      <c r="K32" s="297"/>
      <c r="L32" s="207"/>
      <c r="M32" s="280"/>
      <c r="N32" s="296"/>
      <c r="O32" s="86" t="e">
        <f t="shared" si="1"/>
        <v>#DIV/0!</v>
      </c>
      <c r="P32" s="281"/>
      <c r="Q32" s="295"/>
      <c r="R32" s="207"/>
      <c r="S32" s="280"/>
      <c r="T32" s="296"/>
      <c r="U32" s="86" t="e">
        <f t="shared" si="2"/>
        <v>#DIV/0!</v>
      </c>
      <c r="V32" s="86"/>
      <c r="W32" s="295"/>
    </row>
    <row r="33" spans="2:23">
      <c r="B33" s="79"/>
      <c r="C33" s="79"/>
      <c r="D33" s="395">
        <f t="shared" si="3"/>
        <v>29</v>
      </c>
      <c r="E33" s="395" t="s">
        <v>161</v>
      </c>
      <c r="F33" s="207"/>
      <c r="G33" s="280"/>
      <c r="H33" s="296"/>
      <c r="I33" s="208"/>
      <c r="K33" s="297"/>
      <c r="L33" s="207"/>
      <c r="M33" s="280"/>
      <c r="N33" s="296"/>
      <c r="O33" s="86" t="e">
        <f t="shared" si="1"/>
        <v>#DIV/0!</v>
      </c>
      <c r="Q33" s="295"/>
      <c r="R33" s="207"/>
      <c r="S33" s="280"/>
      <c r="T33" s="296"/>
      <c r="U33" s="86" t="e">
        <f t="shared" si="2"/>
        <v>#DIV/0!</v>
      </c>
      <c r="V33" s="86"/>
      <c r="W33" s="295"/>
    </row>
    <row r="34" spans="2:23">
      <c r="B34" s="79"/>
      <c r="C34" s="79"/>
      <c r="D34" s="395">
        <f t="shared" si="3"/>
        <v>30</v>
      </c>
      <c r="E34" s="395" t="s">
        <v>162</v>
      </c>
      <c r="F34" s="207"/>
      <c r="G34" s="280"/>
      <c r="H34" s="296"/>
      <c r="I34" s="208"/>
      <c r="K34" s="297"/>
      <c r="L34" s="207"/>
      <c r="M34" s="280"/>
      <c r="N34" s="296"/>
      <c r="O34" s="86" t="e">
        <f t="shared" si="1"/>
        <v>#DIV/0!</v>
      </c>
      <c r="Q34" s="295"/>
      <c r="R34" s="207"/>
      <c r="S34" s="280"/>
      <c r="T34" s="296"/>
      <c r="U34" s="86" t="e">
        <f t="shared" si="2"/>
        <v>#DIV/0!</v>
      </c>
      <c r="V34" s="86"/>
      <c r="W34" s="295"/>
    </row>
    <row r="35" spans="2:23">
      <c r="B35" s="79"/>
      <c r="C35" s="79"/>
      <c r="D35" s="395">
        <f t="shared" si="3"/>
        <v>31</v>
      </c>
      <c r="E35" s="395" t="s">
        <v>163</v>
      </c>
      <c r="F35" s="207"/>
      <c r="G35" s="280"/>
      <c r="H35" s="296"/>
      <c r="I35" s="208"/>
      <c r="K35" s="297"/>
      <c r="L35" s="207"/>
      <c r="M35" s="280"/>
      <c r="N35" s="296"/>
      <c r="O35" s="86" t="e">
        <f t="shared" si="1"/>
        <v>#DIV/0!</v>
      </c>
      <c r="Q35" s="295"/>
      <c r="R35" s="207"/>
      <c r="S35" s="280"/>
      <c r="T35" s="296"/>
      <c r="U35" s="86" t="e">
        <f t="shared" si="2"/>
        <v>#DIV/0!</v>
      </c>
      <c r="V35" s="86"/>
      <c r="W35" s="295"/>
    </row>
    <row r="36" spans="2:23">
      <c r="B36" s="79"/>
      <c r="C36" s="79"/>
      <c r="D36" s="395">
        <f t="shared" si="3"/>
        <v>32</v>
      </c>
      <c r="E36" s="395" t="s">
        <v>164</v>
      </c>
      <c r="F36" s="207"/>
      <c r="G36" s="280"/>
      <c r="H36" s="296"/>
      <c r="I36" s="208"/>
      <c r="K36" s="297"/>
      <c r="L36" s="207"/>
      <c r="M36" s="280"/>
      <c r="N36" s="296"/>
      <c r="O36" s="86" t="e">
        <f t="shared" si="1"/>
        <v>#DIV/0!</v>
      </c>
      <c r="Q36" s="295"/>
      <c r="R36" s="207"/>
      <c r="S36" s="280"/>
      <c r="T36" s="296"/>
      <c r="U36" s="86" t="e">
        <f t="shared" si="2"/>
        <v>#DIV/0!</v>
      </c>
      <c r="V36" s="86"/>
      <c r="W36" s="295"/>
    </row>
    <row r="37" spans="2:23">
      <c r="B37" s="79"/>
      <c r="D37" s="395">
        <f t="shared" si="3"/>
        <v>33</v>
      </c>
      <c r="E37" s="395" t="s">
        <v>165</v>
      </c>
      <c r="F37" s="207"/>
      <c r="G37" s="280"/>
      <c r="I37" s="208"/>
      <c r="L37" s="207"/>
      <c r="M37" s="280"/>
      <c r="N37" s="83"/>
      <c r="O37" s="86" t="e">
        <f t="shared" si="1"/>
        <v>#DIV/0!</v>
      </c>
      <c r="Q37" s="83"/>
      <c r="R37" s="207"/>
      <c r="S37" s="280"/>
      <c r="T37" s="83"/>
      <c r="U37" s="86" t="e">
        <f t="shared" si="2"/>
        <v>#DIV/0!</v>
      </c>
      <c r="V37" s="86"/>
      <c r="W37" s="83"/>
    </row>
    <row r="38" spans="2:23">
      <c r="B38" s="79"/>
      <c r="D38" s="395"/>
      <c r="E38" s="395"/>
      <c r="F38" s="207"/>
      <c r="G38" s="280"/>
      <c r="I38" s="208"/>
      <c r="L38" s="207"/>
      <c r="M38" s="280"/>
      <c r="N38" s="83"/>
      <c r="O38" s="86" t="e">
        <f t="shared" si="1"/>
        <v>#DIV/0!</v>
      </c>
      <c r="Q38" s="83"/>
      <c r="R38" s="207"/>
      <c r="S38" s="280"/>
      <c r="T38" s="83"/>
      <c r="U38" s="86" t="e">
        <f t="shared" si="2"/>
        <v>#DIV/0!</v>
      </c>
      <c r="V38" s="86"/>
      <c r="W38" s="83"/>
    </row>
    <row r="39" spans="2:23">
      <c r="B39" s="79"/>
      <c r="D39" s="395"/>
      <c r="E39" s="395"/>
      <c r="F39" s="207"/>
      <c r="G39" s="280"/>
      <c r="I39" s="208"/>
      <c r="L39" s="207"/>
      <c r="M39" s="280"/>
      <c r="N39" s="83"/>
      <c r="O39" s="86" t="e">
        <f t="shared" si="1"/>
        <v>#DIV/0!</v>
      </c>
      <c r="Q39" s="83"/>
      <c r="R39" s="207"/>
      <c r="S39" s="280"/>
      <c r="T39" s="83"/>
      <c r="U39" s="86" t="e">
        <f t="shared" si="2"/>
        <v>#DIV/0!</v>
      </c>
      <c r="V39" s="86"/>
      <c r="W39" s="83"/>
    </row>
    <row r="40" spans="2:23">
      <c r="B40" s="79"/>
      <c r="D40" s="395"/>
      <c r="E40" s="395"/>
      <c r="F40" s="207"/>
      <c r="G40" s="280"/>
      <c r="I40" s="208"/>
      <c r="L40" s="207"/>
      <c r="M40" s="280"/>
      <c r="N40" s="83"/>
      <c r="O40" s="86" t="e">
        <f>L40/F40</f>
        <v>#DIV/0!</v>
      </c>
      <c r="Q40" s="83"/>
      <c r="R40" s="207"/>
      <c r="S40" s="280"/>
      <c r="T40" s="83"/>
      <c r="U40" s="86" t="e">
        <f t="shared" si="2"/>
        <v>#DIV/0!</v>
      </c>
      <c r="V40" s="86"/>
      <c r="W40" s="83"/>
    </row>
    <row r="41" spans="2:23">
      <c r="B41" s="79"/>
      <c r="D41" s="82"/>
      <c r="E41" s="82"/>
      <c r="F41" s="207"/>
      <c r="G41" s="280"/>
      <c r="I41" s="208"/>
      <c r="L41" s="207"/>
      <c r="M41" s="280"/>
      <c r="N41" s="83"/>
      <c r="O41" s="86" t="e">
        <f>L41/F41</f>
        <v>#DIV/0!</v>
      </c>
      <c r="Q41" s="83"/>
      <c r="R41" s="209"/>
      <c r="S41" s="280"/>
      <c r="T41" s="83"/>
      <c r="U41" s="86" t="e">
        <f t="shared" si="2"/>
        <v>#DIV/0!</v>
      </c>
      <c r="V41" s="86"/>
      <c r="W41" s="83"/>
    </row>
    <row r="42" spans="2:23">
      <c r="B42" s="79"/>
      <c r="D42" s="82"/>
      <c r="E42" s="82"/>
      <c r="G42" s="280"/>
      <c r="M42" s="280"/>
      <c r="N42" s="83"/>
      <c r="Q42" s="83"/>
      <c r="S42" s="280"/>
      <c r="T42" s="83"/>
      <c r="V42" s="86"/>
      <c r="W42" s="83"/>
    </row>
    <row r="43" spans="2:23">
      <c r="B43" s="79"/>
      <c r="D43" s="82"/>
      <c r="E43" s="82"/>
      <c r="G43" s="280"/>
      <c r="M43" s="280"/>
      <c r="N43" s="83"/>
      <c r="Q43" s="83"/>
      <c r="S43" s="280"/>
      <c r="T43" s="83"/>
      <c r="V43" s="86"/>
      <c r="W43" s="83"/>
    </row>
    <row r="44" spans="2:23">
      <c r="B44" s="79"/>
      <c r="D44" s="82"/>
      <c r="E44" s="82"/>
      <c r="G44" s="280"/>
      <c r="M44" s="280"/>
      <c r="N44" s="83"/>
      <c r="Q44" s="83"/>
      <c r="S44" s="280"/>
      <c r="T44" s="83"/>
      <c r="V44" s="86"/>
      <c r="W44" s="83"/>
    </row>
    <row r="45" spans="2:23">
      <c r="B45" s="79"/>
      <c r="M45" s="83"/>
      <c r="S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B50" s="79"/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  <row r="58" spans="2:13">
      <c r="M58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33" sqref="V33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435" t="s">
        <v>169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</row>
    <row r="3" spans="2:23" s="71" customFormat="1" ht="23.45" customHeight="1">
      <c r="B3" s="79"/>
      <c r="C3" s="439" t="s">
        <v>149</v>
      </c>
      <c r="D3" s="440" t="s">
        <v>150</v>
      </c>
      <c r="E3" s="440"/>
      <c r="F3" s="443" t="s">
        <v>170</v>
      </c>
      <c r="G3" s="443"/>
      <c r="H3" s="443"/>
      <c r="I3" s="445" t="s">
        <v>171</v>
      </c>
      <c r="J3" s="445"/>
      <c r="K3" s="445"/>
      <c r="L3" s="444" t="s">
        <v>172</v>
      </c>
      <c r="M3" s="444"/>
      <c r="N3" s="444"/>
      <c r="O3" s="444" t="s">
        <v>173</v>
      </c>
      <c r="P3" s="444"/>
      <c r="Q3" s="444"/>
      <c r="R3" s="444" t="s">
        <v>174</v>
      </c>
      <c r="S3" s="444"/>
      <c r="T3" s="444"/>
      <c r="U3" s="444" t="s">
        <v>175</v>
      </c>
      <c r="V3" s="444"/>
      <c r="W3" s="444"/>
    </row>
    <row r="4" spans="2:23" ht="15.75">
      <c r="B4" s="79"/>
      <c r="C4" s="439"/>
      <c r="D4" s="440"/>
      <c r="E4" s="440"/>
      <c r="F4" s="81" t="s">
        <v>157</v>
      </c>
      <c r="G4" s="92" t="s">
        <v>176</v>
      </c>
      <c r="H4" s="92" t="s">
        <v>177</v>
      </c>
      <c r="I4" s="81" t="s">
        <v>157</v>
      </c>
      <c r="J4" s="91" t="s">
        <v>176</v>
      </c>
      <c r="K4" s="91" t="s">
        <v>177</v>
      </c>
      <c r="L4" s="81" t="s">
        <v>157</v>
      </c>
      <c r="M4" s="91" t="s">
        <v>176</v>
      </c>
      <c r="N4" s="91" t="s">
        <v>177</v>
      </c>
      <c r="O4" s="81" t="s">
        <v>157</v>
      </c>
      <c r="P4" s="91" t="s">
        <v>176</v>
      </c>
      <c r="Q4" s="91" t="s">
        <v>177</v>
      </c>
      <c r="R4" s="81" t="s">
        <v>157</v>
      </c>
      <c r="S4" s="91" t="s">
        <v>176</v>
      </c>
      <c r="T4" s="91" t="s">
        <v>177</v>
      </c>
      <c r="U4" s="81" t="s">
        <v>157</v>
      </c>
      <c r="V4" s="91" t="s">
        <v>176</v>
      </c>
      <c r="W4" s="91" t="s">
        <v>177</v>
      </c>
    </row>
    <row r="5" spans="2:23" ht="14.45" customHeight="1">
      <c r="B5" s="79"/>
      <c r="C5" s="79"/>
      <c r="D5" s="82">
        <f t="shared" ref="D5:D37" si="0">D4+1</f>
        <v>1</v>
      </c>
      <c r="E5" s="82" t="s">
        <v>161</v>
      </c>
      <c r="F5" s="206">
        <v>319.61672765301739</v>
      </c>
      <c r="G5" s="89">
        <f>AVERAGE(F5:F9)</f>
        <v>327.58111552983826</v>
      </c>
      <c r="H5" s="89"/>
      <c r="I5" s="86">
        <f>F5/$C$1</f>
        <v>0.87326974768583987</v>
      </c>
      <c r="J5" s="192">
        <f>AVERAGE(I5:I9)</f>
        <v>0.89503037030010435</v>
      </c>
      <c r="K5" s="192"/>
      <c r="L5" s="227">
        <v>2.4777730066574341E-3</v>
      </c>
      <c r="M5" s="281">
        <f>AVERAGE(L5:L9)</f>
        <v>2.4553280748160133E-3</v>
      </c>
      <c r="N5" s="281"/>
      <c r="O5" s="227">
        <v>2.1782000528543337E-3</v>
      </c>
      <c r="P5" s="281">
        <f>AVERAGE(O5:O9)</f>
        <v>2.2669513930048428E-3</v>
      </c>
      <c r="Q5" s="281"/>
      <c r="R5" s="210">
        <v>0.91666666666666663</v>
      </c>
      <c r="S5" s="192">
        <f>AVERAGE(R5:R9)</f>
        <v>0.91666666666666663</v>
      </c>
      <c r="T5" s="281"/>
      <c r="U5" s="210">
        <v>0</v>
      </c>
      <c r="V5" s="192">
        <f>AVERAGE(U5:U9)</f>
        <v>7.000000000000001E-3</v>
      </c>
      <c r="W5" s="281"/>
    </row>
    <row r="6" spans="2:23" ht="14.45" customHeight="1">
      <c r="B6" s="79"/>
      <c r="C6" s="79"/>
      <c r="D6" s="82">
        <f t="shared" si="0"/>
        <v>2</v>
      </c>
      <c r="E6" s="82" t="s">
        <v>162</v>
      </c>
      <c r="F6" s="206">
        <v>326.96087015935308</v>
      </c>
      <c r="H6" s="89"/>
      <c r="I6" s="86">
        <f>F6/$C$1</f>
        <v>0.89333571081790464</v>
      </c>
      <c r="J6" s="192"/>
      <c r="K6" s="192"/>
      <c r="L6" s="227">
        <v>2.4570213005757169E-3</v>
      </c>
      <c r="M6" s="281"/>
      <c r="N6" s="281"/>
      <c r="O6" s="227">
        <v>2.6228821055086374E-3</v>
      </c>
      <c r="P6" s="281"/>
      <c r="Q6" s="281"/>
      <c r="R6" s="210">
        <v>0.91666666666666663</v>
      </c>
      <c r="S6" s="192"/>
      <c r="T6" s="281"/>
      <c r="U6" s="210">
        <v>0</v>
      </c>
      <c r="V6" s="192"/>
      <c r="W6" s="281"/>
    </row>
    <row r="7" spans="2:23" ht="14.45" customHeight="1">
      <c r="B7" s="79"/>
      <c r="C7" s="79"/>
      <c r="D7" s="82">
        <f t="shared" si="0"/>
        <v>3</v>
      </c>
      <c r="E7" s="82" t="s">
        <v>163</v>
      </c>
      <c r="F7" s="206">
        <v>329.71489627395374</v>
      </c>
      <c r="G7" s="89"/>
      <c r="I7" s="86">
        <f t="shared" ref="I7:I40" si="1">F7/$C$1</f>
        <v>0.90086037233320693</v>
      </c>
      <c r="J7" s="192"/>
      <c r="L7" s="227">
        <v>2.4390846651761743E-3</v>
      </c>
      <c r="M7" s="281"/>
      <c r="O7" s="227">
        <v>2.4054394404528709E-3</v>
      </c>
      <c r="P7" s="281"/>
      <c r="R7" s="210">
        <v>0.91666666666666663</v>
      </c>
      <c r="S7" s="192"/>
      <c r="U7" s="210">
        <v>0.01</v>
      </c>
      <c r="V7" s="192"/>
    </row>
    <row r="8" spans="2:23" ht="14.45" customHeight="1">
      <c r="B8" s="79"/>
      <c r="C8" s="79"/>
      <c r="D8" s="82">
        <f t="shared" si="0"/>
        <v>4</v>
      </c>
      <c r="E8" s="82" t="s">
        <v>164</v>
      </c>
      <c r="F8" s="206">
        <v>330.80654178143351</v>
      </c>
      <c r="G8" s="89"/>
      <c r="H8" s="89"/>
      <c r="I8" s="86">
        <f t="shared" si="1"/>
        <v>0.90384301033178549</v>
      </c>
      <c r="J8" s="192"/>
      <c r="K8" s="192"/>
      <c r="L8" s="227">
        <v>2.4610153028168944E-3</v>
      </c>
      <c r="M8" s="281"/>
      <c r="N8" s="281"/>
      <c r="O8" s="227">
        <v>2.1868876468530778E-3</v>
      </c>
      <c r="P8" s="281"/>
      <c r="Q8" s="281"/>
      <c r="R8" s="210">
        <v>0.91666666666666663</v>
      </c>
      <c r="S8" s="192"/>
      <c r="T8" s="281"/>
      <c r="U8" s="210">
        <v>0.01</v>
      </c>
      <c r="V8" s="192"/>
      <c r="W8" s="281"/>
    </row>
    <row r="9" spans="2:23" ht="14.45" customHeight="1">
      <c r="B9" s="79"/>
      <c r="C9" s="79"/>
      <c r="D9" s="82">
        <f t="shared" si="0"/>
        <v>5</v>
      </c>
      <c r="E9" s="82" t="s">
        <v>165</v>
      </c>
      <c r="F9" s="206">
        <v>330.80654178143351</v>
      </c>
      <c r="G9" s="89"/>
      <c r="H9" s="89"/>
      <c r="I9" s="86">
        <f t="shared" si="1"/>
        <v>0.90384301033178549</v>
      </c>
      <c r="J9" s="192"/>
      <c r="K9" s="192"/>
      <c r="L9" s="227">
        <v>2.441746098853846E-3</v>
      </c>
      <c r="M9" s="281"/>
      <c r="N9" s="281"/>
      <c r="O9" s="227">
        <v>1.9413477193552947E-3</v>
      </c>
      <c r="P9" s="281"/>
      <c r="Q9" s="281"/>
      <c r="R9" s="210">
        <v>0.91666666666666663</v>
      </c>
      <c r="S9" s="192"/>
      <c r="T9" s="281"/>
      <c r="U9" s="210">
        <v>1.4999999999999999E-2</v>
      </c>
      <c r="V9" s="192"/>
      <c r="W9" s="281"/>
    </row>
    <row r="10" spans="2:23" ht="14.45" customHeight="1">
      <c r="B10" s="79"/>
      <c r="C10" s="79"/>
      <c r="D10" s="282">
        <f t="shared" si="0"/>
        <v>6</v>
      </c>
      <c r="E10" s="282" t="s">
        <v>166</v>
      </c>
      <c r="F10" s="206">
        <v>329.83194646189889</v>
      </c>
      <c r="G10" s="89">
        <f>AVERAGE(F10:F16)</f>
        <v>331.61775883756343</v>
      </c>
      <c r="H10" s="89">
        <f>AVERAGE(F5:F35)</f>
        <v>325.64656114869871</v>
      </c>
      <c r="I10" s="86">
        <f t="shared" si="1"/>
        <v>0.90118018158988766</v>
      </c>
      <c r="J10" s="192">
        <f>AVERAGE(I10:I16)</f>
        <v>0.90605945037585633</v>
      </c>
      <c r="K10" s="192">
        <f>AVERAGE(I5:I35)</f>
        <v>0.74623749249657712</v>
      </c>
      <c r="L10" s="227">
        <v>2.4500025965357784E-3</v>
      </c>
      <c r="M10" s="281">
        <f>AVERAGE(L10:L16)</f>
        <v>2.4456743495583641E-3</v>
      </c>
      <c r="N10" s="281">
        <f>AVERAGE(L5:L35)</f>
        <v>2.4542705454988841E-3</v>
      </c>
      <c r="O10" s="227">
        <v>1.9844693757792476E-3</v>
      </c>
      <c r="P10" s="281">
        <f>AVERAGE(O10:O16)</f>
        <v>2.2466556474023064E-3</v>
      </c>
      <c r="Q10" s="192">
        <f>AVERAGE(O5:O35)</f>
        <v>2.2283929968245557E-3</v>
      </c>
      <c r="R10" s="210">
        <v>0.91666666666666663</v>
      </c>
      <c r="S10" s="192">
        <f>AVERAGE(R10:R16)</f>
        <v>0.91666666666666674</v>
      </c>
      <c r="T10" s="192">
        <f>AVERAGE(R5:R35)</f>
        <v>0.91666666666666685</v>
      </c>
      <c r="U10" s="210">
        <v>1.2999999999999999E-2</v>
      </c>
      <c r="V10" s="192">
        <f>AVERAGE(U10:U16)</f>
        <v>2.1428571428571429E-2</v>
      </c>
      <c r="W10" s="192">
        <f>AVERAGE(U5:U35)</f>
        <v>3.4730769230769232E-2</v>
      </c>
    </row>
    <row r="11" spans="2:23" ht="14.45" customHeight="1">
      <c r="B11" s="79"/>
      <c r="C11" s="79"/>
      <c r="D11" s="282">
        <f t="shared" si="0"/>
        <v>7</v>
      </c>
      <c r="E11" s="282" t="s">
        <v>167</v>
      </c>
      <c r="F11" s="206">
        <v>334.61831671612242</v>
      </c>
      <c r="G11" s="89"/>
      <c r="H11" s="89"/>
      <c r="I11" s="86">
        <f t="shared" si="1"/>
        <v>0.91425769594568973</v>
      </c>
      <c r="J11" s="192"/>
      <c r="K11" s="192"/>
      <c r="L11" s="227">
        <v>2.449479485609308E-3</v>
      </c>
      <c r="M11" s="281"/>
      <c r="N11" s="281"/>
      <c r="O11" s="227">
        <v>2.2355922773871105E-3</v>
      </c>
      <c r="P11" s="281"/>
      <c r="Q11" s="281"/>
      <c r="R11" s="210">
        <v>0.91666666666666663</v>
      </c>
      <c r="S11" s="192"/>
      <c r="T11" s="281"/>
      <c r="U11" s="210">
        <v>1.6E-2</v>
      </c>
      <c r="V11" s="192"/>
      <c r="W11" s="281"/>
    </row>
    <row r="12" spans="2:23" ht="14.45" customHeight="1">
      <c r="B12" s="79"/>
      <c r="C12" s="79"/>
      <c r="D12" s="282">
        <f t="shared" si="0"/>
        <v>8</v>
      </c>
      <c r="E12" s="282" t="s">
        <v>161</v>
      </c>
      <c r="F12" s="206">
        <v>323.91023350004735</v>
      </c>
      <c r="G12" s="89"/>
      <c r="H12" s="89"/>
      <c r="I12" s="86">
        <f t="shared" si="1"/>
        <v>0.88500063797827144</v>
      </c>
      <c r="J12" s="192"/>
      <c r="K12" s="192"/>
      <c r="L12" s="227">
        <v>2.4308225597154806E-3</v>
      </c>
      <c r="M12" s="281"/>
      <c r="N12" s="281"/>
      <c r="O12" s="227">
        <v>2.2395440950140578E-3</v>
      </c>
      <c r="P12" s="281"/>
      <c r="Q12" s="281"/>
      <c r="R12" s="210">
        <v>0.91666666666666663</v>
      </c>
      <c r="S12" s="192"/>
      <c r="T12" s="281"/>
      <c r="U12" s="210">
        <v>1.9E-2</v>
      </c>
      <c r="V12" s="192"/>
      <c r="W12" s="281"/>
    </row>
    <row r="13" spans="2:23" ht="14.45" customHeight="1">
      <c r="B13" s="79"/>
      <c r="C13" s="79"/>
      <c r="D13" s="282">
        <f t="shared" si="0"/>
        <v>9</v>
      </c>
      <c r="E13" s="282" t="s">
        <v>162</v>
      </c>
      <c r="F13" s="206">
        <v>333.65176174251854</v>
      </c>
      <c r="H13" s="89"/>
      <c r="I13" s="86">
        <f t="shared" si="1"/>
        <v>0.9116168353620725</v>
      </c>
      <c r="J13" s="192"/>
      <c r="K13" s="192"/>
      <c r="L13" s="227">
        <v>2.4822023498707372E-3</v>
      </c>
      <c r="M13" s="281"/>
      <c r="N13" s="281"/>
      <c r="O13" s="227">
        <v>2.6237838815297491E-3</v>
      </c>
      <c r="P13" s="281"/>
      <c r="Q13" s="281"/>
      <c r="R13" s="210">
        <v>0.91666666666666663</v>
      </c>
      <c r="S13" s="192"/>
      <c r="T13" s="281"/>
      <c r="U13" s="210">
        <v>2.1000000000000001E-2</v>
      </c>
      <c r="V13" s="192"/>
      <c r="W13" s="281"/>
    </row>
    <row r="14" spans="2:23" ht="14.45" customHeight="1">
      <c r="B14" s="79"/>
      <c r="C14" s="79"/>
      <c r="D14" s="282">
        <f t="shared" si="0"/>
        <v>10</v>
      </c>
      <c r="E14" s="282" t="s">
        <v>163</v>
      </c>
      <c r="F14" s="206">
        <v>331.59027770298172</v>
      </c>
      <c r="G14" s="89"/>
      <c r="H14" s="89"/>
      <c r="I14" s="86">
        <f t="shared" si="1"/>
        <v>0.9059843653086932</v>
      </c>
      <c r="J14" s="192"/>
      <c r="K14" s="192"/>
      <c r="L14" s="227">
        <v>2.4402257862427249E-3</v>
      </c>
      <c r="M14" s="281"/>
      <c r="N14" s="281"/>
      <c r="O14" s="227">
        <v>2.4838360668724604E-3</v>
      </c>
      <c r="P14" s="281"/>
      <c r="Q14" s="281"/>
      <c r="R14" s="210">
        <v>0.91666666666666663</v>
      </c>
      <c r="S14" s="192"/>
      <c r="T14" s="281"/>
      <c r="U14" s="210">
        <v>2.4E-2</v>
      </c>
      <c r="V14" s="192"/>
      <c r="W14" s="281"/>
    </row>
    <row r="15" spans="2:23" ht="14.45" customHeight="1">
      <c r="B15" s="79"/>
      <c r="C15" s="79"/>
      <c r="D15" s="282">
        <f t="shared" si="0"/>
        <v>11</v>
      </c>
      <c r="E15" s="282" t="s">
        <v>164</v>
      </c>
      <c r="F15" s="206">
        <v>335.9378374335526</v>
      </c>
      <c r="G15" s="89"/>
      <c r="H15" s="89"/>
      <c r="I15" s="86">
        <f t="shared" si="1"/>
        <v>0.91786294380752076</v>
      </c>
      <c r="J15" s="192"/>
      <c r="K15" s="192"/>
      <c r="L15" s="227">
        <v>2.4308615421779933E-3</v>
      </c>
      <c r="M15" s="281"/>
      <c r="N15" s="281"/>
      <c r="O15" s="227">
        <v>1.9629801524961147E-3</v>
      </c>
      <c r="P15" s="281"/>
      <c r="Q15" s="281"/>
      <c r="R15" s="210">
        <v>0.91666666666666663</v>
      </c>
      <c r="S15" s="192"/>
      <c r="T15" s="281"/>
      <c r="U15" s="210">
        <v>2.7E-2</v>
      </c>
      <c r="V15" s="192"/>
      <c r="W15" s="281"/>
    </row>
    <row r="16" spans="2:23" ht="14.45" customHeight="1">
      <c r="B16" s="79"/>
      <c r="C16" s="79"/>
      <c r="D16" s="282">
        <f t="shared" si="0"/>
        <v>12</v>
      </c>
      <c r="E16" s="282" t="s">
        <v>165</v>
      </c>
      <c r="F16" s="206">
        <v>331.78393830582252</v>
      </c>
      <c r="G16" s="89"/>
      <c r="H16" s="89"/>
      <c r="I16" s="86">
        <f t="shared" si="1"/>
        <v>0.90651349263885939</v>
      </c>
      <c r="J16" s="192"/>
      <c r="K16" s="192"/>
      <c r="L16" s="227">
        <v>2.4361261267565304E-3</v>
      </c>
      <c r="M16" s="281"/>
      <c r="N16" s="281"/>
      <c r="O16" s="227">
        <v>2.1963836827374066E-3</v>
      </c>
      <c r="P16" s="281"/>
      <c r="Q16" s="281"/>
      <c r="R16" s="210">
        <v>0.91666666666666663</v>
      </c>
      <c r="S16" s="192"/>
      <c r="T16" s="281"/>
      <c r="U16" s="210">
        <v>0.03</v>
      </c>
      <c r="V16" s="192"/>
      <c r="W16" s="281"/>
    </row>
    <row r="17" spans="2:23" ht="14.45" customHeight="1">
      <c r="B17" s="79"/>
      <c r="C17" s="79"/>
      <c r="D17" s="395">
        <f t="shared" si="0"/>
        <v>13</v>
      </c>
      <c r="E17" s="395" t="s">
        <v>166</v>
      </c>
      <c r="F17" s="206">
        <v>321.79723195702235</v>
      </c>
      <c r="G17" s="89">
        <f>AVERAGE(F17:F23)</f>
        <v>324.31201526443704</v>
      </c>
      <c r="H17" s="89"/>
      <c r="I17" s="86">
        <f t="shared" si="1"/>
        <v>0.87922740971864033</v>
      </c>
      <c r="J17" s="192">
        <f>AVERAGE(I17:I23)</f>
        <v>0.88609840236184989</v>
      </c>
      <c r="K17" s="192"/>
      <c r="L17" s="227">
        <v>2.4498730436942561E-3</v>
      </c>
      <c r="M17" s="281">
        <f>AVERAGE(L17:L23)</f>
        <v>2.4593138350228125E-3</v>
      </c>
      <c r="N17" s="281"/>
      <c r="O17" s="227">
        <v>2.1784537782493108E-3</v>
      </c>
      <c r="P17" s="281">
        <f>AVERAGE(O17:O23)</f>
        <v>2.2624160816127892E-3</v>
      </c>
      <c r="Q17" s="281"/>
      <c r="R17" s="210">
        <v>0.91666666666666663</v>
      </c>
      <c r="S17" s="192">
        <f>AVERAGE(R17:R23)</f>
        <v>0.91666666666666674</v>
      </c>
      <c r="T17" s="281"/>
      <c r="U17" s="210">
        <v>3.2000000000000001E-2</v>
      </c>
      <c r="V17" s="192">
        <f>AVERAGE(U17:U23)</f>
        <v>4.0428571428571425E-2</v>
      </c>
      <c r="W17" s="281"/>
    </row>
    <row r="18" spans="2:23" ht="14.45" customHeight="1">
      <c r="B18" s="79"/>
      <c r="C18" s="79"/>
      <c r="D18" s="395">
        <f t="shared" si="0"/>
        <v>14</v>
      </c>
      <c r="E18" s="395" t="s">
        <v>167</v>
      </c>
      <c r="F18" s="206">
        <v>328.96882914214865</v>
      </c>
      <c r="G18" s="89"/>
      <c r="H18" s="89"/>
      <c r="I18" s="86">
        <f t="shared" si="1"/>
        <v>0.89882193754685424</v>
      </c>
      <c r="J18" s="192"/>
      <c r="K18" s="192"/>
      <c r="L18" s="227">
        <v>2.4700050338669391E-3</v>
      </c>
      <c r="M18" s="281"/>
      <c r="N18" s="281"/>
      <c r="O18" s="227">
        <v>2.1811143420652213E-3</v>
      </c>
      <c r="P18" s="281"/>
      <c r="Q18" s="281"/>
      <c r="R18" s="210">
        <v>0.91666666666666663</v>
      </c>
      <c r="S18" s="192"/>
      <c r="T18" s="281"/>
      <c r="U18" s="210">
        <v>3.5000000000000003E-2</v>
      </c>
      <c r="V18" s="192"/>
      <c r="W18" s="281"/>
    </row>
    <row r="19" spans="2:23" ht="14.45" customHeight="1">
      <c r="B19" s="79"/>
      <c r="C19" s="79"/>
      <c r="D19" s="395">
        <f t="shared" si="0"/>
        <v>15</v>
      </c>
      <c r="E19" s="395" t="s">
        <v>161</v>
      </c>
      <c r="F19" s="206">
        <v>329.34008915170836</v>
      </c>
      <c r="G19" s="89"/>
      <c r="H19" s="89"/>
      <c r="I19" s="86">
        <f t="shared" si="1"/>
        <v>0.8998363091576731</v>
      </c>
      <c r="J19" s="192"/>
      <c r="K19" s="192"/>
      <c r="L19" s="227">
        <v>2.4335208711197451E-3</v>
      </c>
      <c r="M19" s="281"/>
      <c r="N19" s="281"/>
      <c r="O19" s="227">
        <v>2.5181628604668081E-3</v>
      </c>
      <c r="P19" s="281"/>
      <c r="Q19" s="281"/>
      <c r="R19" s="210">
        <v>0.91666666666666663</v>
      </c>
      <c r="S19" s="192"/>
      <c r="T19" s="281"/>
      <c r="U19" s="210">
        <v>3.7999999999999999E-2</v>
      </c>
      <c r="V19" s="192"/>
      <c r="W19" s="281"/>
    </row>
    <row r="20" spans="2:23" ht="14.45" customHeight="1">
      <c r="B20" s="79"/>
      <c r="C20" s="79"/>
      <c r="D20" s="395">
        <f t="shared" si="0"/>
        <v>16</v>
      </c>
      <c r="E20" s="395" t="s">
        <v>162</v>
      </c>
      <c r="F20" s="206">
        <v>317.64178396182717</v>
      </c>
      <c r="G20" s="89"/>
      <c r="H20" s="89"/>
      <c r="I20" s="86">
        <f t="shared" si="1"/>
        <v>0.86787372667165896</v>
      </c>
      <c r="J20" s="192"/>
      <c r="K20" s="192"/>
      <c r="L20" s="227">
        <v>2.4913858264646251E-3</v>
      </c>
      <c r="M20" s="281"/>
      <c r="N20" s="281"/>
      <c r="O20" s="227">
        <v>2.5781543340318742E-3</v>
      </c>
      <c r="P20" s="281"/>
      <c r="Q20" s="281"/>
      <c r="R20" s="210">
        <v>0.91666666666666663</v>
      </c>
      <c r="S20" s="192"/>
      <c r="T20" s="281"/>
      <c r="U20" s="210">
        <v>4.1000000000000002E-2</v>
      </c>
      <c r="V20" s="192"/>
      <c r="W20" s="281"/>
    </row>
    <row r="21" spans="2:23" ht="14.45" customHeight="1">
      <c r="B21" s="79"/>
      <c r="C21" s="79"/>
      <c r="D21" s="395">
        <f t="shared" si="0"/>
        <v>17</v>
      </c>
      <c r="E21" s="395" t="s">
        <v>163</v>
      </c>
      <c r="F21" s="206">
        <v>324.23213125405988</v>
      </c>
      <c r="G21" s="89"/>
      <c r="H21" s="89"/>
      <c r="I21" s="86">
        <f t="shared" si="1"/>
        <v>0.88588014003841498</v>
      </c>
      <c r="J21" s="192"/>
      <c r="K21" s="192"/>
      <c r="L21" s="227">
        <v>2.4699147898274375E-3</v>
      </c>
      <c r="M21" s="281"/>
      <c r="N21" s="281"/>
      <c r="O21" s="227">
        <v>2.2929677284053707E-3</v>
      </c>
      <c r="P21" s="281"/>
      <c r="Q21" s="281"/>
      <c r="R21" s="210">
        <v>0.91666666666666663</v>
      </c>
      <c r="S21" s="192"/>
      <c r="T21" s="281"/>
      <c r="U21" s="210">
        <v>4.2999999999999997E-2</v>
      </c>
      <c r="V21" s="192"/>
      <c r="W21" s="281"/>
    </row>
    <row r="22" spans="2:23" ht="14.45" customHeight="1">
      <c r="B22" s="79"/>
      <c r="C22" s="79"/>
      <c r="D22" s="395">
        <f t="shared" si="0"/>
        <v>18</v>
      </c>
      <c r="E22" s="395" t="s">
        <v>164</v>
      </c>
      <c r="F22" s="206">
        <v>324.76884984208004</v>
      </c>
      <c r="G22" s="89"/>
      <c r="H22" s="89"/>
      <c r="I22" s="86">
        <f t="shared" si="1"/>
        <v>0.8873465842679783</v>
      </c>
      <c r="J22" s="192"/>
      <c r="K22" s="192"/>
      <c r="L22" s="227">
        <v>2.4602414862233074E-3</v>
      </c>
      <c r="M22" s="281"/>
      <c r="N22" s="281"/>
      <c r="O22" s="227">
        <v>1.9762607144739723E-3</v>
      </c>
      <c r="P22" s="281"/>
      <c r="Q22" s="281"/>
      <c r="R22" s="210">
        <v>0.91666666666666663</v>
      </c>
      <c r="S22" s="192"/>
      <c r="T22" s="281"/>
      <c r="U22" s="210">
        <v>4.5999999999999999E-2</v>
      </c>
      <c r="V22" s="192"/>
      <c r="W22" s="281"/>
    </row>
    <row r="23" spans="2:23" ht="14.45" customHeight="1">
      <c r="B23" s="79"/>
      <c r="C23" s="79"/>
      <c r="D23" s="395">
        <f t="shared" si="0"/>
        <v>19</v>
      </c>
      <c r="E23" s="395" t="s">
        <v>165</v>
      </c>
      <c r="F23" s="206">
        <v>323.43519154221303</v>
      </c>
      <c r="G23" s="89"/>
      <c r="H23" s="89"/>
      <c r="I23" s="86">
        <f t="shared" si="1"/>
        <v>0.88370270913172955</v>
      </c>
      <c r="J23" s="192"/>
      <c r="K23" s="192"/>
      <c r="L23" s="227">
        <v>2.4402557939633769E-3</v>
      </c>
      <c r="M23" s="281"/>
      <c r="N23" s="281"/>
      <c r="O23" s="227">
        <v>2.1117988135969674E-3</v>
      </c>
      <c r="P23" s="281"/>
      <c r="Q23" s="281"/>
      <c r="R23" s="210">
        <v>0.91666666666666663</v>
      </c>
      <c r="S23" s="192"/>
      <c r="T23" s="281"/>
      <c r="U23" s="210">
        <v>4.8000000000000001E-2</v>
      </c>
      <c r="V23" s="192"/>
      <c r="W23" s="281"/>
    </row>
    <row r="24" spans="2:23" ht="14.45" customHeight="1">
      <c r="B24" s="79"/>
      <c r="C24" s="79"/>
      <c r="D24" s="282">
        <f t="shared" si="0"/>
        <v>20</v>
      </c>
      <c r="E24" s="282" t="s">
        <v>166</v>
      </c>
      <c r="F24" s="206">
        <v>321.76396377816479</v>
      </c>
      <c r="G24" s="89">
        <f>AVERAGE(F24:F30)</f>
        <v>319.62808478613897</v>
      </c>
      <c r="H24" s="89"/>
      <c r="I24" s="86">
        <f t="shared" si="1"/>
        <v>0.8791365130550951</v>
      </c>
      <c r="J24" s="192">
        <f>AVERAGE(I24:I30)</f>
        <v>0.87330077810420492</v>
      </c>
      <c r="K24" s="192"/>
      <c r="L24" s="227">
        <v>2.4298564254613556E-3</v>
      </c>
      <c r="M24" s="281">
        <f>AVERAGE(L24:L30)</f>
        <v>2.4570680738318111E-3</v>
      </c>
      <c r="N24" s="281"/>
      <c r="O24" s="227">
        <v>1.7515724483966992E-3</v>
      </c>
      <c r="P24" s="281">
        <f>AVERAGE(O24:O30)</f>
        <v>2.1485655499012221E-3</v>
      </c>
      <c r="Q24" s="281"/>
      <c r="R24" s="210">
        <v>0.91666666666666663</v>
      </c>
      <c r="S24" s="192">
        <f>AVERAGE(R24:R30)</f>
        <v>0.91666666666666674</v>
      </c>
      <c r="T24" s="281"/>
      <c r="U24" s="210">
        <v>5.1999999999999998E-2</v>
      </c>
      <c r="V24" s="192">
        <f>AVERAGE(U24:U30)</f>
        <v>6.2142857142857146E-2</v>
      </c>
      <c r="W24" s="281"/>
    </row>
    <row r="25" spans="2:23" ht="14.45" customHeight="1">
      <c r="B25" s="79"/>
      <c r="C25" s="79"/>
      <c r="D25" s="282">
        <f t="shared" si="0"/>
        <v>21</v>
      </c>
      <c r="E25" s="282" t="s">
        <v>167</v>
      </c>
      <c r="F25" s="206">
        <v>320.65281844443803</v>
      </c>
      <c r="G25" s="89"/>
      <c r="H25" s="89"/>
      <c r="I25" s="86">
        <f t="shared" si="1"/>
        <v>0.8761005968427269</v>
      </c>
      <c r="J25" s="192"/>
      <c r="K25" s="192"/>
      <c r="L25" s="227">
        <v>2.4843422765381401E-3</v>
      </c>
      <c r="M25" s="281"/>
      <c r="N25" s="281"/>
      <c r="O25" s="227">
        <v>1.9093945903005292E-3</v>
      </c>
      <c r="P25" s="281"/>
      <c r="Q25" s="281"/>
      <c r="R25" s="210">
        <v>0.91666666666666663</v>
      </c>
      <c r="S25" s="192"/>
      <c r="T25" s="281"/>
      <c r="U25" s="210">
        <v>5.8000000000000003E-2</v>
      </c>
      <c r="V25" s="192"/>
      <c r="W25" s="281"/>
    </row>
    <row r="26" spans="2:23" ht="14.45" customHeight="1">
      <c r="B26" s="79"/>
      <c r="C26" s="79"/>
      <c r="D26" s="282">
        <f t="shared" si="0"/>
        <v>22</v>
      </c>
      <c r="E26" s="282" t="s">
        <v>161</v>
      </c>
      <c r="F26" s="206">
        <v>313.7126633463937</v>
      </c>
      <c r="G26" s="89"/>
      <c r="H26" s="89"/>
      <c r="I26" s="86">
        <f t="shared" si="1"/>
        <v>0.85713842444369859</v>
      </c>
      <c r="J26" s="192"/>
      <c r="K26" s="192"/>
      <c r="L26" s="227">
        <v>2.4715137822512371E-3</v>
      </c>
      <c r="M26" s="281"/>
      <c r="N26" s="281"/>
      <c r="O26" s="227">
        <v>2.2602211147681457E-3</v>
      </c>
      <c r="P26" s="281"/>
      <c r="Q26" s="281"/>
      <c r="R26" s="210">
        <v>0.91666666666666663</v>
      </c>
      <c r="S26" s="192"/>
      <c r="T26" s="281"/>
      <c r="U26" s="210">
        <v>0.06</v>
      </c>
      <c r="V26" s="192"/>
      <c r="W26" s="281"/>
    </row>
    <row r="27" spans="2:23" ht="14.45" customHeight="1">
      <c r="B27" s="79"/>
      <c r="C27" s="79"/>
      <c r="D27" s="282">
        <f t="shared" si="0"/>
        <v>23</v>
      </c>
      <c r="E27" s="282" t="s">
        <v>162</v>
      </c>
      <c r="F27" s="206">
        <v>317.74451437437926</v>
      </c>
      <c r="G27" s="89"/>
      <c r="H27" s="89"/>
      <c r="I27" s="86">
        <f t="shared" si="1"/>
        <v>0.86815441085895972</v>
      </c>
      <c r="J27" s="192"/>
      <c r="K27" s="192"/>
      <c r="L27" s="227">
        <v>2.4699176126043295E-3</v>
      </c>
      <c r="M27" s="281"/>
      <c r="N27" s="281"/>
      <c r="O27" s="227">
        <v>2.5697546874420005E-3</v>
      </c>
      <c r="P27" s="281"/>
      <c r="Q27" s="281"/>
      <c r="R27" s="210">
        <v>0.91666666666666663</v>
      </c>
      <c r="S27" s="192"/>
      <c r="T27" s="281"/>
      <c r="U27" s="210">
        <v>6.3E-2</v>
      </c>
      <c r="V27" s="192"/>
      <c r="W27" s="281"/>
    </row>
    <row r="28" spans="2:23" ht="14.45" customHeight="1">
      <c r="B28" s="79"/>
      <c r="C28" s="79"/>
      <c r="D28" s="282">
        <f t="shared" si="0"/>
        <v>24</v>
      </c>
      <c r="E28" s="282" t="s">
        <v>163</v>
      </c>
      <c r="F28" s="206">
        <v>322.27305289131863</v>
      </c>
      <c r="G28" s="89"/>
      <c r="H28" s="89"/>
      <c r="I28" s="86">
        <f t="shared" si="1"/>
        <v>0.88052746691617112</v>
      </c>
      <c r="J28" s="192"/>
      <c r="K28" s="192"/>
      <c r="L28" s="227">
        <v>2.433701497034463E-3</v>
      </c>
      <c r="M28" s="281"/>
      <c r="N28" s="281"/>
      <c r="O28" s="227">
        <v>2.5035796891761568E-3</v>
      </c>
      <c r="P28" s="281"/>
      <c r="Q28" s="281"/>
      <c r="R28" s="210">
        <v>0.91666666666666663</v>
      </c>
      <c r="S28" s="192"/>
      <c r="T28" s="281"/>
      <c r="U28" s="210">
        <v>6.6000000000000003E-2</v>
      </c>
      <c r="V28" s="192"/>
      <c r="W28" s="281"/>
    </row>
    <row r="29" spans="2:23" ht="14.45" customHeight="1">
      <c r="B29" s="79"/>
      <c r="C29" s="79"/>
      <c r="D29" s="282">
        <f t="shared" si="0"/>
        <v>25</v>
      </c>
      <c r="E29" s="282" t="s">
        <v>164</v>
      </c>
      <c r="F29" s="206">
        <v>323.07436724508477</v>
      </c>
      <c r="G29" s="89"/>
      <c r="H29" s="89"/>
      <c r="I29" s="86">
        <f t="shared" si="1"/>
        <v>0.88271685039640646</v>
      </c>
      <c r="J29" s="192"/>
      <c r="K29" s="192"/>
      <c r="L29" s="227">
        <v>2.4496469667830236E-3</v>
      </c>
      <c r="M29" s="281"/>
      <c r="N29" s="281"/>
      <c r="O29" s="227">
        <v>1.8934425073250634E-3</v>
      </c>
      <c r="P29" s="281"/>
      <c r="Q29" s="281"/>
      <c r="R29" s="210">
        <v>0.91666666666666663</v>
      </c>
      <c r="S29" s="192"/>
      <c r="T29" s="281"/>
      <c r="U29" s="210">
        <v>6.8000000000000005E-2</v>
      </c>
      <c r="V29" s="192"/>
      <c r="W29" s="281"/>
    </row>
    <row r="30" spans="2:23" ht="14.45" customHeight="1">
      <c r="B30" s="79"/>
      <c r="C30" s="79"/>
      <c r="D30" s="282">
        <f t="shared" si="0"/>
        <v>26</v>
      </c>
      <c r="E30" s="282" t="s">
        <v>165</v>
      </c>
      <c r="F30" s="206">
        <v>318.17521342319355</v>
      </c>
      <c r="G30" s="89"/>
      <c r="H30" s="89"/>
      <c r="I30" s="86">
        <f t="shared" si="1"/>
        <v>0.86933118421637579</v>
      </c>
      <c r="J30" s="192"/>
      <c r="K30" s="192"/>
      <c r="L30" s="227">
        <v>2.4604979561501298E-3</v>
      </c>
      <c r="M30" s="281"/>
      <c r="N30" s="281"/>
      <c r="O30" s="227">
        <v>2.1519938118999601E-3</v>
      </c>
      <c r="P30" s="281"/>
      <c r="Q30" s="281"/>
      <c r="R30" s="210">
        <v>0.91666666666666663</v>
      </c>
      <c r="S30" s="192"/>
      <c r="T30" s="281"/>
      <c r="U30" s="210">
        <v>6.8000000000000005E-2</v>
      </c>
      <c r="V30" s="192"/>
      <c r="W30" s="281"/>
    </row>
    <row r="31" spans="2:23" ht="14.45" customHeight="1">
      <c r="B31" s="79"/>
      <c r="C31" s="79"/>
      <c r="D31" s="395">
        <f t="shared" si="0"/>
        <v>27</v>
      </c>
      <c r="E31" s="395" t="s">
        <v>166</v>
      </c>
      <c r="F31" s="206"/>
      <c r="G31" s="89" t="e">
        <f>AVERAGE(F31:F37)</f>
        <v>#DIV/0!</v>
      </c>
      <c r="H31" s="89"/>
      <c r="I31" s="86">
        <f t="shared" si="1"/>
        <v>0</v>
      </c>
      <c r="J31" s="192">
        <f>AVERAGE(I31:I37)</f>
        <v>0</v>
      </c>
      <c r="K31" s="192"/>
      <c r="L31" s="227"/>
      <c r="M31" s="281" t="e">
        <f>AVERAGE(L31:L37)</f>
        <v>#DIV/0!</v>
      </c>
      <c r="N31" s="281"/>
      <c r="O31" s="227"/>
      <c r="P31" s="281" t="e">
        <f>AVERAGE(O31:O37)</f>
        <v>#DIV/0!</v>
      </c>
      <c r="Q31" s="281"/>
      <c r="R31" s="210"/>
      <c r="S31" s="192" t="e">
        <f>AVERAGE(R31:R37)</f>
        <v>#DIV/0!</v>
      </c>
      <c r="T31" s="281"/>
      <c r="U31" s="210"/>
      <c r="V31" s="192" t="e">
        <f>AVERAGE(U31:U37)</f>
        <v>#DIV/0!</v>
      </c>
      <c r="W31" s="281"/>
    </row>
    <row r="32" spans="2:23" ht="14.45" customHeight="1">
      <c r="B32" s="79"/>
      <c r="C32" s="79"/>
      <c r="D32" s="395">
        <f t="shared" si="0"/>
        <v>28</v>
      </c>
      <c r="E32" s="395" t="s">
        <v>167</v>
      </c>
      <c r="F32" s="206"/>
      <c r="G32" s="89"/>
      <c r="H32" s="89"/>
      <c r="I32" s="86">
        <f t="shared" si="1"/>
        <v>0</v>
      </c>
      <c r="J32" s="192"/>
      <c r="K32" s="192"/>
      <c r="L32" s="227"/>
      <c r="M32" s="281"/>
      <c r="N32" s="281"/>
      <c r="O32" s="227"/>
      <c r="P32" s="281"/>
      <c r="Q32" s="281"/>
      <c r="R32" s="210"/>
      <c r="S32" s="192"/>
      <c r="T32" s="281"/>
      <c r="U32" s="210"/>
      <c r="V32" s="192"/>
      <c r="W32" s="281"/>
    </row>
    <row r="33" spans="2:23" ht="14.45" customHeight="1">
      <c r="B33" s="79"/>
      <c r="C33" s="79"/>
      <c r="D33" s="395">
        <f t="shared" si="0"/>
        <v>29</v>
      </c>
      <c r="E33" s="395" t="s">
        <v>161</v>
      </c>
      <c r="F33" s="206"/>
      <c r="G33" s="89"/>
      <c r="H33" s="89"/>
      <c r="I33" s="86">
        <f t="shared" si="1"/>
        <v>0</v>
      </c>
      <c r="J33" s="192"/>
      <c r="K33" s="192"/>
      <c r="L33" s="227"/>
      <c r="M33" s="281"/>
      <c r="N33" s="281"/>
      <c r="O33" s="227"/>
      <c r="P33" s="281"/>
      <c r="Q33" s="281"/>
      <c r="R33" s="210"/>
      <c r="S33" s="192"/>
      <c r="T33" s="281"/>
      <c r="U33" s="210"/>
      <c r="V33" s="192"/>
      <c r="W33" s="281"/>
    </row>
    <row r="34" spans="2:23" ht="14.45" customHeight="1">
      <c r="B34" s="79"/>
      <c r="C34" s="79"/>
      <c r="D34" s="395">
        <f t="shared" si="0"/>
        <v>30</v>
      </c>
      <c r="E34" s="395" t="s">
        <v>162</v>
      </c>
      <c r="F34" s="206"/>
      <c r="G34" s="89"/>
      <c r="H34" s="89"/>
      <c r="I34" s="86">
        <f t="shared" si="1"/>
        <v>0</v>
      </c>
      <c r="J34" s="192"/>
      <c r="K34" s="192"/>
      <c r="L34" s="227"/>
      <c r="M34" s="281"/>
      <c r="N34" s="281"/>
      <c r="O34" s="227"/>
      <c r="P34" s="281"/>
      <c r="Q34" s="281"/>
      <c r="R34" s="210"/>
      <c r="S34" s="192"/>
      <c r="T34" s="281"/>
      <c r="U34" s="210"/>
      <c r="V34" s="192"/>
      <c r="W34" s="281"/>
    </row>
    <row r="35" spans="2:23" ht="14.45" customHeight="1">
      <c r="B35" s="79"/>
      <c r="C35" s="79"/>
      <c r="D35" s="395">
        <f t="shared" si="0"/>
        <v>31</v>
      </c>
      <c r="E35" s="395" t="s">
        <v>163</v>
      </c>
      <c r="F35" s="206"/>
      <c r="G35" s="89"/>
      <c r="H35" s="89"/>
      <c r="I35" s="86">
        <f t="shared" si="1"/>
        <v>0</v>
      </c>
      <c r="J35" s="192"/>
      <c r="K35" s="192"/>
      <c r="L35" s="227"/>
      <c r="M35" s="281"/>
      <c r="N35" s="281"/>
      <c r="O35" s="227"/>
      <c r="P35" s="281"/>
      <c r="Q35" s="281"/>
      <c r="R35" s="210"/>
      <c r="S35" s="192"/>
      <c r="T35" s="281"/>
      <c r="U35" s="210"/>
      <c r="V35" s="192"/>
      <c r="W35" s="281"/>
    </row>
    <row r="36" spans="2:23">
      <c r="B36" s="79"/>
      <c r="C36" s="79"/>
      <c r="D36" s="395">
        <f t="shared" si="0"/>
        <v>32</v>
      </c>
      <c r="E36" s="395" t="s">
        <v>164</v>
      </c>
      <c r="F36" s="206"/>
      <c r="G36" s="89"/>
      <c r="H36" s="89"/>
      <c r="I36" s="86">
        <f t="shared" si="1"/>
        <v>0</v>
      </c>
      <c r="J36" s="192"/>
      <c r="K36" s="192"/>
      <c r="L36" s="227"/>
      <c r="M36" s="86"/>
      <c r="N36" s="281"/>
      <c r="O36" s="227"/>
      <c r="P36" s="86"/>
      <c r="Q36" s="281"/>
      <c r="R36" s="210"/>
      <c r="S36" s="192"/>
      <c r="T36" s="192"/>
      <c r="U36" s="210"/>
      <c r="V36" s="192"/>
      <c r="W36" s="192"/>
    </row>
    <row r="37" spans="2:23">
      <c r="B37" s="79"/>
      <c r="D37" s="395">
        <f t="shared" si="0"/>
        <v>33</v>
      </c>
      <c r="E37" s="395" t="s">
        <v>165</v>
      </c>
      <c r="F37" s="206"/>
      <c r="G37" s="89"/>
      <c r="H37" s="89"/>
      <c r="I37" s="86">
        <f t="shared" si="1"/>
        <v>0</v>
      </c>
      <c r="J37" s="192"/>
      <c r="K37" s="83"/>
      <c r="L37" s="227"/>
      <c r="M37" s="86"/>
      <c r="N37" s="86"/>
      <c r="O37" s="227"/>
      <c r="P37" s="86"/>
      <c r="Q37" s="86"/>
      <c r="R37" s="210"/>
      <c r="S37" s="192"/>
      <c r="T37" s="192"/>
      <c r="U37" s="210"/>
      <c r="V37" s="192"/>
      <c r="W37" s="192"/>
    </row>
    <row r="38" spans="2:23">
      <c r="B38" s="79"/>
      <c r="D38" s="395"/>
      <c r="E38" s="395"/>
      <c r="F38" s="206"/>
      <c r="G38" s="89"/>
      <c r="H38" s="89"/>
      <c r="I38" s="86">
        <f t="shared" si="1"/>
        <v>0</v>
      </c>
      <c r="J38" s="192"/>
      <c r="K38" s="83"/>
      <c r="L38" s="227"/>
      <c r="M38" s="86"/>
      <c r="N38" s="86"/>
      <c r="O38" s="227"/>
      <c r="P38" s="86"/>
      <c r="Q38" s="86"/>
      <c r="R38" s="210"/>
      <c r="S38" s="192"/>
      <c r="T38" s="192"/>
      <c r="U38" s="210"/>
      <c r="V38" s="192"/>
      <c r="W38" s="192"/>
    </row>
    <row r="39" spans="2:23">
      <c r="B39" s="79"/>
      <c r="D39" s="82"/>
      <c r="E39" s="82"/>
      <c r="F39" s="206"/>
      <c r="G39" s="89"/>
      <c r="H39" s="89"/>
      <c r="I39" s="86">
        <f t="shared" si="1"/>
        <v>0</v>
      </c>
      <c r="J39" s="192"/>
      <c r="K39" s="83"/>
      <c r="L39" s="227"/>
      <c r="M39" s="86"/>
      <c r="N39" s="86"/>
      <c r="O39" s="227"/>
      <c r="P39" s="86"/>
      <c r="Q39" s="86"/>
      <c r="R39" s="210"/>
      <c r="S39" s="192"/>
      <c r="T39" s="192"/>
      <c r="U39" s="210"/>
      <c r="V39" s="192"/>
      <c r="W39" s="192"/>
    </row>
    <row r="40" spans="2:23">
      <c r="B40" s="79"/>
      <c r="D40" s="82"/>
      <c r="E40" s="82"/>
      <c r="F40" s="206"/>
      <c r="G40" s="89"/>
      <c r="H40" s="89"/>
      <c r="I40" s="86">
        <f t="shared" si="1"/>
        <v>0</v>
      </c>
      <c r="J40" s="192"/>
      <c r="K40" s="83"/>
      <c r="L40" s="227"/>
      <c r="M40" s="86"/>
      <c r="N40" s="86"/>
      <c r="O40" s="227"/>
      <c r="P40" s="86"/>
      <c r="Q40" s="86"/>
      <c r="R40" s="210"/>
      <c r="S40" s="192"/>
      <c r="T40" s="192"/>
      <c r="U40" s="210"/>
      <c r="V40" s="192"/>
      <c r="W40" s="192"/>
    </row>
    <row r="41" spans="2:23">
      <c r="B41" s="79"/>
    </row>
    <row r="42" spans="2:23">
      <c r="B42" s="79"/>
      <c r="D42" s="82"/>
      <c r="E42" s="82"/>
      <c r="F42" s="272"/>
      <c r="G42" s="89"/>
      <c r="H42" s="89"/>
      <c r="I42" s="86"/>
      <c r="J42" s="192"/>
      <c r="K42" s="83"/>
      <c r="L42" s="278"/>
      <c r="M42" s="86"/>
      <c r="N42" s="86"/>
      <c r="O42" s="278"/>
      <c r="P42" s="86"/>
      <c r="Q42" s="86"/>
      <c r="R42" s="277"/>
      <c r="S42" s="192"/>
      <c r="T42" s="192"/>
      <c r="U42" s="277"/>
      <c r="V42" s="192"/>
      <c r="W42" s="192"/>
    </row>
    <row r="43" spans="2:23">
      <c r="B43" s="79"/>
      <c r="D43" s="82"/>
      <c r="E43" s="82"/>
      <c r="F43" s="272"/>
      <c r="G43" s="89"/>
      <c r="H43" s="89"/>
      <c r="I43" s="86"/>
      <c r="J43" s="192"/>
      <c r="K43" s="83"/>
      <c r="L43" s="278"/>
      <c r="M43" s="86"/>
      <c r="N43" s="86"/>
      <c r="O43" s="278"/>
      <c r="P43" s="86"/>
      <c r="Q43" s="86"/>
      <c r="R43" s="277"/>
      <c r="S43" s="192"/>
      <c r="T43" s="192"/>
      <c r="U43" s="277"/>
      <c r="V43" s="192"/>
      <c r="W43" s="192"/>
    </row>
    <row r="44" spans="2:23">
      <c r="B44" s="79"/>
      <c r="D44" s="82"/>
      <c r="E44" s="82"/>
      <c r="F44" s="272"/>
      <c r="G44" s="89"/>
      <c r="H44" s="89"/>
      <c r="I44" s="86"/>
      <c r="J44" s="192"/>
      <c r="K44" s="83"/>
      <c r="L44" s="278"/>
      <c r="M44" s="86"/>
      <c r="N44" s="86"/>
      <c r="O44" s="278"/>
      <c r="P44" s="86"/>
      <c r="Q44" s="86"/>
      <c r="R44" s="277"/>
      <c r="S44" s="192"/>
      <c r="T44" s="192"/>
      <c r="U44" s="277"/>
      <c r="V44" s="192"/>
      <c r="W44" s="192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  <row r="50" spans="2:2">
      <c r="B50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32" sqref="AK32"/>
    </sheetView>
  </sheetViews>
  <sheetFormatPr defaultColWidth="8.85546875" defaultRowHeight="14.2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35" t="s">
        <v>178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</row>
    <row r="3" spans="1:38" ht="25.35" customHeight="1">
      <c r="B3" s="79"/>
      <c r="C3" s="449" t="s">
        <v>179</v>
      </c>
      <c r="D3" s="450" t="s">
        <v>150</v>
      </c>
      <c r="E3" s="450"/>
      <c r="F3" s="451" t="s">
        <v>180</v>
      </c>
      <c r="G3" s="451"/>
      <c r="H3" s="451"/>
      <c r="I3" s="452" t="s">
        <v>181</v>
      </c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</row>
    <row r="4" spans="1:38" ht="25.35" customHeight="1">
      <c r="B4" s="79"/>
      <c r="C4" s="449"/>
      <c r="D4" s="450"/>
      <c r="E4" s="450"/>
      <c r="F4" s="451"/>
      <c r="G4" s="451"/>
      <c r="H4" s="451"/>
      <c r="I4" s="447" t="s">
        <v>182</v>
      </c>
      <c r="J4" s="447"/>
      <c r="K4" s="447"/>
      <c r="L4" s="447"/>
      <c r="M4" s="447"/>
      <c r="N4" s="447"/>
      <c r="O4" s="447" t="s">
        <v>183</v>
      </c>
      <c r="P4" s="447"/>
      <c r="Q4" s="447"/>
      <c r="R4" s="447"/>
      <c r="S4" s="447"/>
      <c r="T4" s="447"/>
      <c r="U4" s="447" t="s">
        <v>184</v>
      </c>
      <c r="V4" s="447"/>
      <c r="W4" s="447" t="s">
        <v>185</v>
      </c>
      <c r="X4" s="447"/>
      <c r="Y4" s="447" t="s">
        <v>186</v>
      </c>
      <c r="Z4" s="447"/>
      <c r="AA4" s="447"/>
      <c r="AB4" s="447"/>
      <c r="AC4" s="447"/>
      <c r="AD4" s="447"/>
      <c r="AE4" s="447" t="s">
        <v>187</v>
      </c>
      <c r="AF4" s="447"/>
      <c r="AG4" s="447" t="s">
        <v>188</v>
      </c>
      <c r="AH4" s="447"/>
      <c r="AI4" s="447" t="s">
        <v>189</v>
      </c>
      <c r="AJ4" s="447"/>
      <c r="AK4" s="447" t="s">
        <v>190</v>
      </c>
      <c r="AL4" s="447"/>
    </row>
    <row r="5" spans="1:38" ht="25.35" customHeight="1">
      <c r="B5" s="79"/>
      <c r="C5" s="449"/>
      <c r="D5" s="450"/>
      <c r="E5" s="450"/>
      <c r="F5" s="446" t="s">
        <v>157</v>
      </c>
      <c r="G5" s="446" t="s">
        <v>158</v>
      </c>
      <c r="H5" s="446" t="s">
        <v>159</v>
      </c>
      <c r="I5" s="447" t="s">
        <v>191</v>
      </c>
      <c r="J5" s="447"/>
      <c r="K5" s="447" t="s">
        <v>192</v>
      </c>
      <c r="L5" s="447"/>
      <c r="M5" s="448" t="s">
        <v>193</v>
      </c>
      <c r="N5" s="447"/>
      <c r="O5" s="447" t="s">
        <v>191</v>
      </c>
      <c r="P5" s="447"/>
      <c r="Q5" s="447" t="s">
        <v>192</v>
      </c>
      <c r="R5" s="447"/>
      <c r="S5" s="448" t="s">
        <v>193</v>
      </c>
      <c r="T5" s="447"/>
      <c r="U5" s="447" t="s">
        <v>191</v>
      </c>
      <c r="V5" s="447"/>
      <c r="W5" s="447" t="s">
        <v>191</v>
      </c>
      <c r="X5" s="447"/>
      <c r="Y5" s="447" t="s">
        <v>191</v>
      </c>
      <c r="Z5" s="447"/>
      <c r="AA5" s="447" t="s">
        <v>192</v>
      </c>
      <c r="AB5" s="447"/>
      <c r="AC5" s="448" t="s">
        <v>193</v>
      </c>
      <c r="AD5" s="447"/>
      <c r="AE5" s="447" t="s">
        <v>191</v>
      </c>
      <c r="AF5" s="447"/>
      <c r="AG5" s="447" t="s">
        <v>191</v>
      </c>
      <c r="AH5" s="447"/>
      <c r="AI5" s="447" t="s">
        <v>191</v>
      </c>
      <c r="AJ5" s="447"/>
      <c r="AK5" s="447" t="s">
        <v>191</v>
      </c>
      <c r="AL5" s="447"/>
    </row>
    <row r="6" spans="1:38" s="78" customFormat="1" ht="23.45" customHeight="1">
      <c r="B6" s="79"/>
      <c r="C6" s="449"/>
      <c r="D6" s="450"/>
      <c r="E6" s="450"/>
      <c r="F6" s="446"/>
      <c r="G6" s="446"/>
      <c r="H6" s="446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2">
      <c r="B7" s="79"/>
      <c r="C7" s="75"/>
      <c r="D7" s="82">
        <f t="shared" ref="D7:D39" si="0">D6+1</f>
        <v>1</v>
      </c>
      <c r="E7" s="82" t="s">
        <v>161</v>
      </c>
      <c r="F7" s="205">
        <f t="shared" ref="F7" si="1">SUM(M7,S7,U7,W7,AC7,AE7,AG7,AI7,AK7)</f>
        <v>6681403</v>
      </c>
      <c r="G7" s="280"/>
      <c r="I7" s="211">
        <v>491743.29415498569</v>
      </c>
      <c r="J7" s="96">
        <f>I7/F7</f>
        <v>7.3598807638902447E-2</v>
      </c>
      <c r="K7" s="211">
        <v>679275.39758235659</v>
      </c>
      <c r="L7" s="96">
        <f>K7/F7</f>
        <v>0.10166658074394803</v>
      </c>
      <c r="M7" s="204">
        <f>SUM(I7+K7)</f>
        <v>1171018.6917373422</v>
      </c>
      <c r="N7" s="96">
        <f>M7/F7</f>
        <v>0.17526538838285044</v>
      </c>
      <c r="O7" s="211">
        <v>158062.98474176024</v>
      </c>
      <c r="P7" s="96">
        <f>O7/F7</f>
        <v>2.3657154753539075E-2</v>
      </c>
      <c r="Q7" s="211">
        <v>88205.259921850069</v>
      </c>
      <c r="R7" s="96">
        <f t="shared" ref="R7" si="2">Q7/$F7</f>
        <v>1.3201607494990209E-2</v>
      </c>
      <c r="S7" s="204">
        <f t="shared" ref="S7" si="3">SUM(O7+Q7)</f>
        <v>246268.2446636103</v>
      </c>
      <c r="T7" s="96">
        <f>S7/F7</f>
        <v>3.6858762248529284E-2</v>
      </c>
      <c r="U7" s="211">
        <v>1122071.8975794495</v>
      </c>
      <c r="V7" s="96">
        <f>U7/F7</f>
        <v>0.1679395626307004</v>
      </c>
      <c r="W7" s="211">
        <v>0</v>
      </c>
      <c r="X7" s="96">
        <f>W7/F7</f>
        <v>0</v>
      </c>
      <c r="Y7" s="211">
        <v>504676.4523699719</v>
      </c>
      <c r="Z7" s="96">
        <f>Y7/F7</f>
        <v>7.5534502614192242E-2</v>
      </c>
      <c r="AA7" s="211">
        <v>1219522.5109983906</v>
      </c>
      <c r="AB7" s="96">
        <f t="shared" ref="AB7" si="4">AA7/$F7</f>
        <v>0.18252491445260682</v>
      </c>
      <c r="AC7" s="204">
        <f>SUM(Y7+AA7)</f>
        <v>1724198.9633683625</v>
      </c>
      <c r="AD7" s="96">
        <f>AC7/F7</f>
        <v>0.25805941706679908</v>
      </c>
      <c r="AE7" s="211">
        <v>801115.99702017999</v>
      </c>
      <c r="AF7" s="96">
        <f>AE7/F7</f>
        <v>0.11990236137831829</v>
      </c>
      <c r="AG7" s="211">
        <v>592123.52039401082</v>
      </c>
      <c r="AH7" s="96">
        <f>AG7/F7</f>
        <v>8.8622632161839479E-2</v>
      </c>
      <c r="AI7" s="211">
        <v>425616.46466228098</v>
      </c>
      <c r="AJ7" s="96">
        <f>AI7/F7</f>
        <v>6.370166036419013E-2</v>
      </c>
      <c r="AK7" s="211">
        <v>598989.22057476384</v>
      </c>
      <c r="AL7" s="96">
        <f>AK7/F7</f>
        <v>8.9650215766772914E-2</v>
      </c>
    </row>
    <row r="8" spans="1:38" ht="12">
      <c r="B8" s="79"/>
      <c r="C8" s="364"/>
      <c r="D8" s="82">
        <f t="shared" si="0"/>
        <v>2</v>
      </c>
      <c r="E8" s="82" t="s">
        <v>162</v>
      </c>
      <c r="F8" s="205">
        <f>SUM(M8,S8,U8,W8,AC8,AE8,AG8,AI8,AK8)</f>
        <v>5997912.9999999991</v>
      </c>
      <c r="G8" s="280">
        <f>SUM(F7:F11)</f>
        <v>33573872</v>
      </c>
      <c r="I8" s="211">
        <v>473107.12508690241</v>
      </c>
      <c r="J8" s="96">
        <f t="shared" ref="J8:J13" si="5">I8/F8</f>
        <v>7.8878624129243374E-2</v>
      </c>
      <c r="K8" s="211">
        <v>660367.11049256113</v>
      </c>
      <c r="L8" s="96">
        <f t="shared" ref="L8:L13" si="6">K8/F8</f>
        <v>0.11009948135169037</v>
      </c>
      <c r="M8" s="204">
        <f t="shared" ref="M8:M13" si="7">SUM(I8+K8)</f>
        <v>1133474.2355794637</v>
      </c>
      <c r="N8" s="96">
        <f t="shared" ref="N8:N13" si="8">M8/F8</f>
        <v>0.18897810548093374</v>
      </c>
      <c r="O8" s="211">
        <v>128017.28693426956</v>
      </c>
      <c r="P8" s="96">
        <f t="shared" ref="P8:P13" si="9">O8/F8</f>
        <v>2.1343638517976101E-2</v>
      </c>
      <c r="Q8" s="211">
        <v>80333.770813462601</v>
      </c>
      <c r="R8" s="96">
        <f t="shared" ref="R8:R14" si="10">Q8/$F8</f>
        <v>1.3393620549925052E-2</v>
      </c>
      <c r="S8" s="204">
        <f t="shared" ref="S8:S14" si="11">SUM(O8+Q8)</f>
        <v>208351.05774773215</v>
      </c>
      <c r="T8" s="96">
        <f t="shared" ref="T8:T13" si="12">S8/F8</f>
        <v>3.4737259067901149E-2</v>
      </c>
      <c r="U8" s="211">
        <v>966143.64131193829</v>
      </c>
      <c r="V8" s="96">
        <f t="shared" ref="V8:V13" si="13">U8/F8</f>
        <v>0.16107996920127693</v>
      </c>
      <c r="W8" s="211">
        <v>0</v>
      </c>
      <c r="X8" s="96">
        <f t="shared" ref="X8:X13" si="14">W8/F8</f>
        <v>0</v>
      </c>
      <c r="Y8" s="211">
        <v>457286.78440351458</v>
      </c>
      <c r="Z8" s="96">
        <f t="shared" ref="Z8:Z13" si="15">Y8/F8</f>
        <v>7.6240983222583367E-2</v>
      </c>
      <c r="AA8" s="211">
        <v>1263312.8425713398</v>
      </c>
      <c r="AB8" s="96">
        <f t="shared" ref="AB8:AB14" si="16">AA8/$F8</f>
        <v>0.21062540296455451</v>
      </c>
      <c r="AC8" s="204">
        <f t="shared" ref="AC8:AC13" si="17">SUM(Y8+AA8)</f>
        <v>1720599.6269748544</v>
      </c>
      <c r="AD8" s="96">
        <f t="shared" ref="AD8:AD13" si="18">AC8/F8</f>
        <v>0.28686638618713789</v>
      </c>
      <c r="AE8" s="211">
        <v>666469.28438643331</v>
      </c>
      <c r="AF8" s="96">
        <f t="shared" ref="AF8:AF13" si="19">AE8/F8</f>
        <v>0.11111686421367456</v>
      </c>
      <c r="AG8" s="211">
        <v>481311.29036547453</v>
      </c>
      <c r="AH8" s="96">
        <f t="shared" ref="AH8:AH13" si="20">AG8/F8</f>
        <v>8.0246460788189922E-2</v>
      </c>
      <c r="AI8" s="211">
        <v>331582.71953186323</v>
      </c>
      <c r="AJ8" s="96">
        <f t="shared" ref="AJ8:AJ13" si="21">AI8/F8</f>
        <v>5.528301586432869E-2</v>
      </c>
      <c r="AK8" s="211">
        <v>489981.14410224021</v>
      </c>
      <c r="AL8" s="96">
        <f t="shared" ref="AL8:AL13" si="22">AK8/F8</f>
        <v>8.1691939196557248E-2</v>
      </c>
    </row>
    <row r="9" spans="1:38" ht="12">
      <c r="B9" s="79"/>
      <c r="C9" s="79"/>
      <c r="D9" s="82">
        <f t="shared" si="0"/>
        <v>3</v>
      </c>
      <c r="E9" s="82" t="s">
        <v>163</v>
      </c>
      <c r="F9" s="205">
        <f t="shared" ref="F9:F45" si="23">SUM(M9,S9,U9,W9,AC9,AE9,AG9,AI9,AK9)</f>
        <v>6555328.0000000019</v>
      </c>
      <c r="G9" s="280"/>
      <c r="I9" s="211">
        <v>444610.647449576</v>
      </c>
      <c r="J9" s="96">
        <f t="shared" si="5"/>
        <v>6.7824317478786089E-2</v>
      </c>
      <c r="K9" s="211">
        <v>704497.64306309749</v>
      </c>
      <c r="L9" s="96">
        <f t="shared" si="6"/>
        <v>0.10746947262792911</v>
      </c>
      <c r="M9" s="204">
        <f t="shared" si="7"/>
        <v>1149108.2905126736</v>
      </c>
      <c r="N9" s="96">
        <f t="shared" si="8"/>
        <v>0.17529379010671522</v>
      </c>
      <c r="O9" s="211">
        <v>109084.49278776276</v>
      </c>
      <c r="P9" s="96">
        <f t="shared" si="9"/>
        <v>1.6640585000134659E-2</v>
      </c>
      <c r="Q9" s="211">
        <v>71805.304593681532</v>
      </c>
      <c r="R9" s="96">
        <f t="shared" si="10"/>
        <v>1.0953731772640746E-2</v>
      </c>
      <c r="S9" s="204">
        <f t="shared" si="11"/>
        <v>180889.79738144431</v>
      </c>
      <c r="T9" s="96">
        <f t="shared" si="12"/>
        <v>2.7594316772775407E-2</v>
      </c>
      <c r="U9" s="211">
        <v>1070612.746427916</v>
      </c>
      <c r="V9" s="96">
        <f t="shared" si="13"/>
        <v>0.16331947790071155</v>
      </c>
      <c r="W9" s="211">
        <v>0</v>
      </c>
      <c r="X9" s="96">
        <f t="shared" si="14"/>
        <v>0</v>
      </c>
      <c r="Y9" s="211">
        <v>492092.62205229071</v>
      </c>
      <c r="Z9" s="96">
        <f t="shared" si="15"/>
        <v>7.5067581980991727E-2</v>
      </c>
      <c r="AA9" s="211">
        <v>1332263.4938001761</v>
      </c>
      <c r="AB9" s="96">
        <f t="shared" si="16"/>
        <v>0.20323368926774918</v>
      </c>
      <c r="AC9" s="204">
        <f t="shared" si="17"/>
        <v>1824356.1158524668</v>
      </c>
      <c r="AD9" s="96">
        <f t="shared" si="18"/>
        <v>0.27830127124874093</v>
      </c>
      <c r="AE9" s="211">
        <v>793774.5936374662</v>
      </c>
      <c r="AF9" s="96">
        <f t="shared" si="19"/>
        <v>0.12108846325271076</v>
      </c>
      <c r="AG9" s="211">
        <v>547389.77079727838</v>
      </c>
      <c r="AH9" s="96">
        <f t="shared" si="20"/>
        <v>8.3503033074360009E-2</v>
      </c>
      <c r="AI9" s="211">
        <v>455203.42370130424</v>
      </c>
      <c r="AJ9" s="96">
        <f t="shared" si="21"/>
        <v>6.9440220794642793E-2</v>
      </c>
      <c r="AK9" s="211">
        <v>533993.26168945164</v>
      </c>
      <c r="AL9" s="96">
        <f t="shared" si="22"/>
        <v>8.1459426849343236E-2</v>
      </c>
    </row>
    <row r="10" spans="1:38" ht="12">
      <c r="B10" s="79"/>
      <c r="C10" s="79"/>
      <c r="D10" s="82">
        <f t="shared" si="0"/>
        <v>4</v>
      </c>
      <c r="E10" s="82" t="s">
        <v>164</v>
      </c>
      <c r="F10" s="205">
        <f t="shared" si="23"/>
        <v>7070659</v>
      </c>
      <c r="G10" s="280"/>
      <c r="H10" s="294"/>
      <c r="I10" s="211">
        <v>550250.59493639437</v>
      </c>
      <c r="J10" s="96">
        <f t="shared" si="5"/>
        <v>7.7821684645857536E-2</v>
      </c>
      <c r="K10" s="211">
        <v>720092.81790584745</v>
      </c>
      <c r="L10" s="96">
        <f t="shared" si="6"/>
        <v>0.10184239091516752</v>
      </c>
      <c r="M10" s="204">
        <f t="shared" si="7"/>
        <v>1270343.4128422418</v>
      </c>
      <c r="N10" s="96">
        <f t="shared" si="8"/>
        <v>0.17966407556102504</v>
      </c>
      <c r="O10" s="211">
        <v>150632.3852062494</v>
      </c>
      <c r="P10" s="96">
        <f t="shared" si="9"/>
        <v>2.1303867886465658E-2</v>
      </c>
      <c r="Q10" s="211">
        <v>79783.238231079667</v>
      </c>
      <c r="R10" s="96">
        <f t="shared" si="10"/>
        <v>1.1283706120049017E-2</v>
      </c>
      <c r="S10" s="204">
        <f t="shared" si="11"/>
        <v>230415.62343732908</v>
      </c>
      <c r="T10" s="96">
        <f t="shared" si="12"/>
        <v>3.2587574006514679E-2</v>
      </c>
      <c r="U10" s="211">
        <v>1291141.8162516984</v>
      </c>
      <c r="V10" s="96">
        <f t="shared" si="13"/>
        <v>0.18260558404127514</v>
      </c>
      <c r="W10" s="211">
        <v>0</v>
      </c>
      <c r="X10" s="96">
        <f t="shared" si="14"/>
        <v>0</v>
      </c>
      <c r="Y10" s="211">
        <v>478059.15798108757</v>
      </c>
      <c r="Z10" s="96">
        <f t="shared" si="15"/>
        <v>6.7611683434470188E-2</v>
      </c>
      <c r="AA10" s="211">
        <v>1376471.8611064532</v>
      </c>
      <c r="AB10" s="96">
        <f t="shared" si="16"/>
        <v>0.19467377243145981</v>
      </c>
      <c r="AC10" s="204">
        <f t="shared" si="17"/>
        <v>1854531.0190875409</v>
      </c>
      <c r="AD10" s="96">
        <f t="shared" si="18"/>
        <v>0.26228545586593005</v>
      </c>
      <c r="AE10" s="211">
        <v>925802.09655442229</v>
      </c>
      <c r="AF10" s="96">
        <f t="shared" si="19"/>
        <v>0.1309357581173724</v>
      </c>
      <c r="AG10" s="211">
        <v>624845.16216461582</v>
      </c>
      <c r="AH10" s="96">
        <f t="shared" si="20"/>
        <v>8.8371559449354833E-2</v>
      </c>
      <c r="AI10" s="211">
        <v>451315.77984218037</v>
      </c>
      <c r="AJ10" s="96">
        <f t="shared" si="21"/>
        <v>6.3829379954850093E-2</v>
      </c>
      <c r="AK10" s="211">
        <v>422264.08981997211</v>
      </c>
      <c r="AL10" s="96">
        <f t="shared" si="22"/>
        <v>5.972061300367789E-2</v>
      </c>
    </row>
    <row r="11" spans="1:38" ht="12">
      <c r="B11" s="79"/>
      <c r="C11" s="79"/>
      <c r="D11" s="82">
        <f t="shared" si="0"/>
        <v>5</v>
      </c>
      <c r="E11" s="82" t="s">
        <v>165</v>
      </c>
      <c r="F11" s="205">
        <f t="shared" si="23"/>
        <v>7268569</v>
      </c>
      <c r="G11" s="280"/>
      <c r="H11" s="294"/>
      <c r="I11" s="211">
        <v>531376.28229124215</v>
      </c>
      <c r="J11" s="96">
        <f t="shared" si="5"/>
        <v>7.3106038106158469E-2</v>
      </c>
      <c r="K11" s="211">
        <v>760067.12751826481</v>
      </c>
      <c r="L11" s="96">
        <f t="shared" si="6"/>
        <v>0.10456901867730289</v>
      </c>
      <c r="M11" s="204">
        <f t="shared" si="7"/>
        <v>1291443.409809507</v>
      </c>
      <c r="N11" s="96">
        <f t="shared" si="8"/>
        <v>0.17767505678346135</v>
      </c>
      <c r="O11" s="211">
        <v>137936.38330519645</v>
      </c>
      <c r="P11" s="96">
        <f t="shared" si="9"/>
        <v>1.8977103100375939E-2</v>
      </c>
      <c r="Q11" s="211">
        <v>79980.185245983768</v>
      </c>
      <c r="R11" s="96">
        <f t="shared" si="10"/>
        <v>1.1003566898241423E-2</v>
      </c>
      <c r="S11" s="204">
        <f t="shared" si="11"/>
        <v>217916.56855118021</v>
      </c>
      <c r="T11" s="96">
        <f t="shared" si="12"/>
        <v>2.9980669998617364E-2</v>
      </c>
      <c r="U11" s="211">
        <v>1219516.9012999875</v>
      </c>
      <c r="V11" s="96">
        <f t="shared" si="13"/>
        <v>0.1677795039573797</v>
      </c>
      <c r="W11" s="211">
        <v>0</v>
      </c>
      <c r="X11" s="96">
        <f t="shared" si="14"/>
        <v>0</v>
      </c>
      <c r="Y11" s="211">
        <v>481171.26612284128</v>
      </c>
      <c r="Z11" s="96">
        <f t="shared" si="15"/>
        <v>6.6198899139960188E-2</v>
      </c>
      <c r="AA11" s="211">
        <v>1682213.3553227494</v>
      </c>
      <c r="AB11" s="96">
        <f t="shared" si="16"/>
        <v>0.23143666316199921</v>
      </c>
      <c r="AC11" s="204">
        <f t="shared" si="17"/>
        <v>2163384.6214455906</v>
      </c>
      <c r="AD11" s="96">
        <f t="shared" si="18"/>
        <v>0.29763556230195937</v>
      </c>
      <c r="AE11" s="211">
        <v>902168.50431179523</v>
      </c>
      <c r="AF11" s="96">
        <f t="shared" si="19"/>
        <v>0.12411913601037497</v>
      </c>
      <c r="AG11" s="211">
        <v>625249.2527024775</v>
      </c>
      <c r="AH11" s="96">
        <f t="shared" si="20"/>
        <v>8.602095580333316E-2</v>
      </c>
      <c r="AI11" s="211">
        <v>406782.650105907</v>
      </c>
      <c r="AJ11" s="96">
        <f t="shared" si="21"/>
        <v>5.5964612856520587E-2</v>
      </c>
      <c r="AK11" s="211">
        <v>442107.0917735555</v>
      </c>
      <c r="AL11" s="96">
        <f t="shared" si="22"/>
        <v>6.0824502288353524E-2</v>
      </c>
    </row>
    <row r="12" spans="1:38" ht="12">
      <c r="B12" s="79"/>
      <c r="C12" s="79"/>
      <c r="D12" s="282">
        <f t="shared" si="0"/>
        <v>6</v>
      </c>
      <c r="E12" s="282" t="s">
        <v>166</v>
      </c>
      <c r="F12" s="205">
        <f t="shared" si="23"/>
        <v>7452237</v>
      </c>
      <c r="G12" s="280">
        <f>SUM(F12:F18)</f>
        <v>47860768</v>
      </c>
      <c r="H12" s="294">
        <f>SUM(F7:F37)</f>
        <v>173020836</v>
      </c>
      <c r="I12" s="211">
        <v>603282.35352193681</v>
      </c>
      <c r="J12" s="96">
        <f t="shared" si="5"/>
        <v>8.095318942781031E-2</v>
      </c>
      <c r="K12" s="211">
        <v>753377.24911545508</v>
      </c>
      <c r="L12" s="96">
        <f t="shared" si="6"/>
        <v>0.10109410759688066</v>
      </c>
      <c r="M12" s="204">
        <f t="shared" si="7"/>
        <v>1356659.602637392</v>
      </c>
      <c r="N12" s="96">
        <f t="shared" si="8"/>
        <v>0.18204729702469097</v>
      </c>
      <c r="O12" s="211">
        <v>141358.87108499135</v>
      </c>
      <c r="P12" s="96">
        <f t="shared" si="9"/>
        <v>1.8968649424996997E-2</v>
      </c>
      <c r="Q12" s="211">
        <v>85540.988788600996</v>
      </c>
      <c r="R12" s="96">
        <f t="shared" si="10"/>
        <v>1.147856526685893E-2</v>
      </c>
      <c r="S12" s="204">
        <f t="shared" si="11"/>
        <v>226899.85987359233</v>
      </c>
      <c r="T12" s="96">
        <f t="shared" si="12"/>
        <v>3.0447214691855927E-2</v>
      </c>
      <c r="U12" s="211">
        <v>1356955.4148514206</v>
      </c>
      <c r="V12" s="96">
        <f t="shared" si="13"/>
        <v>0.1820869914431627</v>
      </c>
      <c r="W12" s="211">
        <v>50332.588602357231</v>
      </c>
      <c r="X12" s="96">
        <f t="shared" si="14"/>
        <v>6.7540241409870926E-3</v>
      </c>
      <c r="Y12" s="211">
        <v>583753.97342220147</v>
      </c>
      <c r="Z12" s="96">
        <f t="shared" si="15"/>
        <v>7.8332717199171398E-2</v>
      </c>
      <c r="AA12" s="211">
        <v>1631212.7277178757</v>
      </c>
      <c r="AB12" s="96">
        <f t="shared" si="16"/>
        <v>0.21888900308965961</v>
      </c>
      <c r="AC12" s="204">
        <f t="shared" si="17"/>
        <v>2214966.7011400773</v>
      </c>
      <c r="AD12" s="96">
        <f t="shared" si="18"/>
        <v>0.29722172028883104</v>
      </c>
      <c r="AE12" s="211">
        <v>870171.58241110435</v>
      </c>
      <c r="AF12" s="96">
        <f t="shared" si="19"/>
        <v>0.11676649339132725</v>
      </c>
      <c r="AG12" s="211">
        <v>580526.74412168772</v>
      </c>
      <c r="AH12" s="96">
        <f t="shared" si="20"/>
        <v>7.7899662090951713E-2</v>
      </c>
      <c r="AI12" s="211">
        <v>356945.88361870177</v>
      </c>
      <c r="AJ12" s="96">
        <f t="shared" si="21"/>
        <v>4.7897816939893589E-2</v>
      </c>
      <c r="AK12" s="211">
        <v>438778.62274366687</v>
      </c>
      <c r="AL12" s="96">
        <f t="shared" si="22"/>
        <v>5.887877998829974E-2</v>
      </c>
    </row>
    <row r="13" spans="1:38" ht="12">
      <c r="B13" s="79"/>
      <c r="C13" s="79"/>
      <c r="D13" s="282">
        <f t="shared" si="0"/>
        <v>7</v>
      </c>
      <c r="E13" s="282" t="s">
        <v>167</v>
      </c>
      <c r="F13" s="205">
        <f t="shared" si="23"/>
        <v>6995771.9999999991</v>
      </c>
      <c r="G13" s="280"/>
      <c r="H13" s="294"/>
      <c r="I13" s="211">
        <v>575546.65196503454</v>
      </c>
      <c r="J13" s="96">
        <f t="shared" si="5"/>
        <v>8.2270641748335233E-2</v>
      </c>
      <c r="K13" s="211">
        <v>746364.20907191525</v>
      </c>
      <c r="L13" s="96">
        <f t="shared" si="6"/>
        <v>0.10668789792919428</v>
      </c>
      <c r="M13" s="204">
        <f t="shared" si="7"/>
        <v>1321910.8610369498</v>
      </c>
      <c r="N13" s="96">
        <f t="shared" si="8"/>
        <v>0.18895853967752951</v>
      </c>
      <c r="O13" s="211">
        <v>136817.50488631724</v>
      </c>
      <c r="P13" s="96">
        <f t="shared" si="9"/>
        <v>1.9557170371807039E-2</v>
      </c>
      <c r="Q13" s="211">
        <v>88153.994446316123</v>
      </c>
      <c r="R13" s="96">
        <f t="shared" si="10"/>
        <v>1.2601038805483675E-2</v>
      </c>
      <c r="S13" s="204">
        <f t="shared" si="11"/>
        <v>224971.49933263336</v>
      </c>
      <c r="T13" s="96">
        <f t="shared" si="12"/>
        <v>3.215820917729071E-2</v>
      </c>
      <c r="U13" s="211">
        <v>1191405.6874180515</v>
      </c>
      <c r="V13" s="96">
        <f t="shared" si="13"/>
        <v>0.17030367590854187</v>
      </c>
      <c r="W13" s="211">
        <v>49323.245492273949</v>
      </c>
      <c r="X13" s="96">
        <f t="shared" si="14"/>
        <v>7.0504363910479009E-3</v>
      </c>
      <c r="Y13" s="211">
        <v>308367.72395467648</v>
      </c>
      <c r="Z13" s="96">
        <f t="shared" si="15"/>
        <v>4.4079155803630608E-2</v>
      </c>
      <c r="AA13" s="211">
        <v>1590712.9169230643</v>
      </c>
      <c r="AB13" s="96">
        <f t="shared" si="16"/>
        <v>0.22738204117044758</v>
      </c>
      <c r="AC13" s="204">
        <f t="shared" si="17"/>
        <v>1899080.6408777407</v>
      </c>
      <c r="AD13" s="96">
        <f t="shared" si="18"/>
        <v>0.27146119697407817</v>
      </c>
      <c r="AE13" s="211">
        <v>907626.80415322969</v>
      </c>
      <c r="AF13" s="96">
        <f t="shared" si="19"/>
        <v>0.12973933457997627</v>
      </c>
      <c r="AG13" s="211">
        <v>570297.38546868239</v>
      </c>
      <c r="AH13" s="96">
        <f t="shared" si="20"/>
        <v>8.1520293324122403E-2</v>
      </c>
      <c r="AI13" s="211">
        <v>381275.00508056505</v>
      </c>
      <c r="AJ13" s="96">
        <f t="shared" si="21"/>
        <v>5.4500776337560043E-2</v>
      </c>
      <c r="AK13" s="211">
        <v>449880.87113987323</v>
      </c>
      <c r="AL13" s="96">
        <f t="shared" si="22"/>
        <v>6.4307537629853181E-2</v>
      </c>
    </row>
    <row r="14" spans="1:38" ht="12">
      <c r="B14" s="79"/>
      <c r="C14" s="79"/>
      <c r="D14" s="282">
        <f t="shared" si="0"/>
        <v>8</v>
      </c>
      <c r="E14" s="282" t="s">
        <v>161</v>
      </c>
      <c r="F14" s="205">
        <f t="shared" si="23"/>
        <v>6658240</v>
      </c>
      <c r="G14" s="280"/>
      <c r="H14" s="294"/>
      <c r="I14" s="211">
        <v>541185.41612727672</v>
      </c>
      <c r="J14" s="96">
        <f>I14/F14</f>
        <v>8.1280551035600501E-2</v>
      </c>
      <c r="K14" s="211">
        <v>680572.15122804802</v>
      </c>
      <c r="L14" s="96">
        <f>K14/F14</f>
        <v>0.10221502247261259</v>
      </c>
      <c r="M14" s="204">
        <f>SUM(I14+K14)</f>
        <v>1221757.5673553247</v>
      </c>
      <c r="N14" s="96">
        <f>M14/F14</f>
        <v>0.18349557350821311</v>
      </c>
      <c r="O14" s="211">
        <v>132149.32845116514</v>
      </c>
      <c r="P14" s="96">
        <f>O14/F14</f>
        <v>1.9847486490598889E-2</v>
      </c>
      <c r="Q14" s="211">
        <v>85844.700699804001</v>
      </c>
      <c r="R14" s="96">
        <f t="shared" si="10"/>
        <v>1.2893001859320782E-2</v>
      </c>
      <c r="S14" s="204">
        <f t="shared" si="11"/>
        <v>217994.02915096915</v>
      </c>
      <c r="T14" s="96">
        <f>S14/F14</f>
        <v>3.2740488349919668E-2</v>
      </c>
      <c r="U14" s="211">
        <v>1108960.3358012529</v>
      </c>
      <c r="V14" s="96">
        <f>U14/F14</f>
        <v>0.16655457535343468</v>
      </c>
      <c r="W14" s="211">
        <v>4237.1273277158134</v>
      </c>
      <c r="X14" s="96">
        <f>W14/F14</f>
        <v>6.3637347523006285E-4</v>
      </c>
      <c r="Y14" s="211">
        <v>591612.10311622638</v>
      </c>
      <c r="Z14" s="96">
        <f>Y14/F14</f>
        <v>8.8854127084068216E-2</v>
      </c>
      <c r="AA14" s="211">
        <v>1285284.7768150524</v>
      </c>
      <c r="AB14" s="96">
        <f t="shared" si="16"/>
        <v>0.1930367149299293</v>
      </c>
      <c r="AC14" s="204">
        <f>SUM(Y14+AA14)</f>
        <v>1876896.8799312788</v>
      </c>
      <c r="AD14" s="96">
        <f>AC14/F14</f>
        <v>0.2818908420139975</v>
      </c>
      <c r="AE14" s="211">
        <v>849055.38045842899</v>
      </c>
      <c r="AF14" s="96">
        <f>AE14/F14</f>
        <v>0.12751949170628107</v>
      </c>
      <c r="AG14" s="211">
        <v>538433.0074649438</v>
      </c>
      <c r="AH14" s="96">
        <f>AG14/F14</f>
        <v>8.0867167219106514E-2</v>
      </c>
      <c r="AI14" s="211">
        <v>398818.32559787878</v>
      </c>
      <c r="AJ14" s="96">
        <f>AI14/F14</f>
        <v>5.9898460493745913E-2</v>
      </c>
      <c r="AK14" s="211">
        <v>442087.34691220755</v>
      </c>
      <c r="AL14" s="96">
        <f>AK14/F14</f>
        <v>6.6397027880071541E-2</v>
      </c>
    </row>
    <row r="15" spans="1:38" ht="12">
      <c r="B15" s="79"/>
      <c r="C15" s="79"/>
      <c r="D15" s="282">
        <f t="shared" si="0"/>
        <v>9</v>
      </c>
      <c r="E15" s="282" t="s">
        <v>162</v>
      </c>
      <c r="F15" s="205">
        <f t="shared" si="23"/>
        <v>6093782.0000000009</v>
      </c>
      <c r="G15" s="280"/>
      <c r="H15" s="294"/>
      <c r="I15" s="211">
        <v>498793.2358166771</v>
      </c>
      <c r="J15" s="96">
        <f t="shared" ref="J15" si="24">I15/F15</f>
        <v>8.1852819122291712E-2</v>
      </c>
      <c r="K15" s="211">
        <v>651766.02300706937</v>
      </c>
      <c r="L15" s="96">
        <f t="shared" ref="L15" si="25">K15/F15</f>
        <v>0.10695591391471984</v>
      </c>
      <c r="M15" s="204">
        <f t="shared" ref="M15" si="26">SUM(I15+K15)</f>
        <v>1150559.2588237463</v>
      </c>
      <c r="N15" s="96">
        <f t="shared" ref="N15" si="27">M15/F15</f>
        <v>0.18880873303701154</v>
      </c>
      <c r="O15" s="211">
        <v>99252.633193168396</v>
      </c>
      <c r="P15" s="96">
        <f t="shared" ref="P15" si="28">O15/F15</f>
        <v>1.6287526070536882E-2</v>
      </c>
      <c r="Q15" s="211">
        <v>71008.623757839014</v>
      </c>
      <c r="R15" s="96">
        <f t="shared" ref="R15" si="29">Q15/$F15</f>
        <v>1.165263604077714E-2</v>
      </c>
      <c r="S15" s="204">
        <f t="shared" ref="S15" si="30">SUM(O15+Q15)</f>
        <v>170261.25695100741</v>
      </c>
      <c r="T15" s="96">
        <f t="shared" ref="T15" si="31">S15/F15</f>
        <v>2.7940162111314022E-2</v>
      </c>
      <c r="U15" s="211">
        <v>1052187.3706960925</v>
      </c>
      <c r="V15" s="96">
        <f t="shared" ref="V15" si="32">U15/F15</f>
        <v>0.17266573873106919</v>
      </c>
      <c r="W15" s="211">
        <v>26101.515226250805</v>
      </c>
      <c r="X15" s="96">
        <f t="shared" ref="X15" si="33">W15/F15</f>
        <v>4.2833030827572763E-3</v>
      </c>
      <c r="Y15" s="211">
        <v>502430.89363311732</v>
      </c>
      <c r="Z15" s="96">
        <f t="shared" ref="Z15" si="34">Y15/F15</f>
        <v>8.2449764962566313E-2</v>
      </c>
      <c r="AA15" s="211">
        <v>1286571.3982807829</v>
      </c>
      <c r="AB15" s="96">
        <f t="shared" ref="AB15" si="35">AA15/$F15</f>
        <v>0.21112855666329755</v>
      </c>
      <c r="AC15" s="204">
        <f t="shared" ref="AC15" si="36">SUM(Y15+AA15)</f>
        <v>1789002.2919139001</v>
      </c>
      <c r="AD15" s="96">
        <f t="shared" ref="AD15" si="37">AC15/F15</f>
        <v>0.29357832162586384</v>
      </c>
      <c r="AE15" s="211">
        <v>726287.07264558168</v>
      </c>
      <c r="AF15" s="96">
        <f t="shared" ref="AF15" si="38">AE15/F15</f>
        <v>0.1191849450219226</v>
      </c>
      <c r="AG15" s="211">
        <v>451589.07002813357</v>
      </c>
      <c r="AH15" s="96">
        <f t="shared" ref="AH15" si="39">AG15/F15</f>
        <v>7.4106535157991135E-2</v>
      </c>
      <c r="AI15" s="211">
        <v>372093.15916833369</v>
      </c>
      <c r="AJ15" s="96">
        <f t="shared" ref="AJ15" si="40">AI15/F15</f>
        <v>6.1061120855379077E-2</v>
      </c>
      <c r="AK15" s="211">
        <v>355701.0045469543</v>
      </c>
      <c r="AL15" s="96">
        <f t="shared" ref="AL15" si="41">AK15/F15</f>
        <v>5.8371140376691229E-2</v>
      </c>
    </row>
    <row r="16" spans="1:38" ht="12">
      <c r="B16" s="79"/>
      <c r="C16" s="79"/>
      <c r="D16" s="282">
        <f t="shared" si="0"/>
        <v>10</v>
      </c>
      <c r="E16" s="282" t="s">
        <v>163</v>
      </c>
      <c r="F16" s="205">
        <f t="shared" si="23"/>
        <v>6273190</v>
      </c>
      <c r="G16" s="280"/>
      <c r="H16" s="294"/>
      <c r="I16" s="211">
        <v>477105.81837825582</v>
      </c>
      <c r="J16" s="96">
        <f t="shared" ref="J16:J41" si="42">I16/F16</f>
        <v>7.6054737442713488E-2</v>
      </c>
      <c r="K16" s="211">
        <v>680539.64289699658</v>
      </c>
      <c r="L16" s="96">
        <f t="shared" ref="L16:L41" si="43">K16/F16</f>
        <v>0.10848382448116455</v>
      </c>
      <c r="M16" s="204">
        <f t="shared" ref="M16:M41" si="44">SUM(I16+K16)</f>
        <v>1157645.4612752525</v>
      </c>
      <c r="N16" s="96">
        <f t="shared" ref="N16:N41" si="45">M16/F16</f>
        <v>0.18453856192387805</v>
      </c>
      <c r="O16" s="211">
        <v>88231.744393754401</v>
      </c>
      <c r="P16" s="96">
        <f t="shared" ref="P16:P41" si="46">O16/F16</f>
        <v>1.4064892725033739E-2</v>
      </c>
      <c r="Q16" s="211">
        <v>66561.29917051176</v>
      </c>
      <c r="R16" s="96">
        <f t="shared" ref="R16:R45" si="47">Q16/$F16</f>
        <v>1.0610438894806591E-2</v>
      </c>
      <c r="S16" s="204">
        <f t="shared" ref="S16:S45" si="48">SUM(O16+Q16)</f>
        <v>154793.04356426618</v>
      </c>
      <c r="T16" s="96">
        <f t="shared" ref="T16:T41" si="49">S16/F16</f>
        <v>2.4675331619840334E-2</v>
      </c>
      <c r="U16" s="211">
        <v>1085661.1754434609</v>
      </c>
      <c r="V16" s="96">
        <f t="shared" ref="V16:V41" si="50">U16/F16</f>
        <v>0.17306365269399793</v>
      </c>
      <c r="W16" s="211">
        <v>37248.284388214823</v>
      </c>
      <c r="X16" s="96">
        <f t="shared" ref="X16:X41" si="51">W16/F16</f>
        <v>5.9376942812532094E-3</v>
      </c>
      <c r="Y16" s="211">
        <v>536723.09380162344</v>
      </c>
      <c r="Z16" s="96">
        <f t="shared" ref="Z16:Z41" si="52">Y16/F16</f>
        <v>8.5558239715618919E-2</v>
      </c>
      <c r="AA16" s="211">
        <v>1296756.5134458127</v>
      </c>
      <c r="AB16" s="96">
        <f t="shared" ref="AB16:AB45" si="53">AA16/$F16</f>
        <v>0.20671405033895238</v>
      </c>
      <c r="AC16" s="204">
        <f t="shared" ref="AC16:AC41" si="54">SUM(Y16+AA16)</f>
        <v>1833479.6072474362</v>
      </c>
      <c r="AD16" s="96">
        <f t="shared" ref="AD16:AD41" si="55">AC16/F16</f>
        <v>0.29227229005457128</v>
      </c>
      <c r="AE16" s="211">
        <v>786069.66690057144</v>
      </c>
      <c r="AF16" s="96">
        <f t="shared" ref="AF16:AF41" si="56">AE16/F16</f>
        <v>0.12530621054050195</v>
      </c>
      <c r="AG16" s="211">
        <v>482300.79058395245</v>
      </c>
      <c r="AH16" s="96">
        <f t="shared" ref="AH16:AH41" si="57">AG16/F16</f>
        <v>7.6882860328469638E-2</v>
      </c>
      <c r="AI16" s="211">
        <v>343831.96717964084</v>
      </c>
      <c r="AJ16" s="96">
        <f t="shared" ref="AJ16:AJ41" si="58">AI16/F16</f>
        <v>5.4809748657324395E-2</v>
      </c>
      <c r="AK16" s="211">
        <v>392160.00341720547</v>
      </c>
      <c r="AL16" s="96">
        <f t="shared" ref="AL16:AL41" si="59">AK16/F16</f>
        <v>6.2513649900163309E-2</v>
      </c>
    </row>
    <row r="17" spans="2:38" ht="12">
      <c r="B17" s="79"/>
      <c r="C17" s="79"/>
      <c r="D17" s="282">
        <f t="shared" si="0"/>
        <v>11</v>
      </c>
      <c r="E17" s="282" t="s">
        <v>164</v>
      </c>
      <c r="F17" s="205">
        <f t="shared" si="23"/>
        <v>7385036</v>
      </c>
      <c r="G17" s="280"/>
      <c r="H17" s="294"/>
      <c r="I17" s="211">
        <v>584834.50959372334</v>
      </c>
      <c r="J17" s="96">
        <f t="shared" si="42"/>
        <v>7.9191829206211498E-2</v>
      </c>
      <c r="K17" s="211">
        <v>713519.26444761711</v>
      </c>
      <c r="L17" s="96">
        <f t="shared" si="43"/>
        <v>9.6616897256508585E-2</v>
      </c>
      <c r="M17" s="204">
        <f t="shared" si="44"/>
        <v>1298353.7740413405</v>
      </c>
      <c r="N17" s="96">
        <f t="shared" si="45"/>
        <v>0.17580872646272008</v>
      </c>
      <c r="O17" s="211">
        <v>125779.41701330003</v>
      </c>
      <c r="P17" s="96">
        <f t="shared" si="46"/>
        <v>1.7031659292290523E-2</v>
      </c>
      <c r="Q17" s="211">
        <v>80290.23564714285</v>
      </c>
      <c r="R17" s="96">
        <f t="shared" si="47"/>
        <v>1.0872016825258922E-2</v>
      </c>
      <c r="S17" s="204">
        <f t="shared" si="48"/>
        <v>206069.65266044287</v>
      </c>
      <c r="T17" s="96">
        <f t="shared" si="49"/>
        <v>2.7903676117549441E-2</v>
      </c>
      <c r="U17" s="211">
        <v>1353696.6738393642</v>
      </c>
      <c r="V17" s="96">
        <f t="shared" si="50"/>
        <v>0.18330265063560477</v>
      </c>
      <c r="W17" s="211">
        <v>67719.202780584834</v>
      </c>
      <c r="X17" s="96">
        <f t="shared" si="51"/>
        <v>9.1697864141196926E-3</v>
      </c>
      <c r="Y17" s="211">
        <v>659684.75497905363</v>
      </c>
      <c r="Z17" s="96">
        <f t="shared" si="52"/>
        <v>8.9327222640357293E-2</v>
      </c>
      <c r="AA17" s="211">
        <v>1404710.6197621408</v>
      </c>
      <c r="AB17" s="96">
        <f t="shared" si="53"/>
        <v>0.19021039569233525</v>
      </c>
      <c r="AC17" s="204">
        <f t="shared" si="54"/>
        <v>2064395.3747411943</v>
      </c>
      <c r="AD17" s="96">
        <f t="shared" si="55"/>
        <v>0.27953761833269253</v>
      </c>
      <c r="AE17" s="211">
        <v>971918.59960077726</v>
      </c>
      <c r="AF17" s="96">
        <f t="shared" si="56"/>
        <v>0.13160648094346153</v>
      </c>
      <c r="AG17" s="211">
        <v>565670.31844931992</v>
      </c>
      <c r="AH17" s="96">
        <f t="shared" si="57"/>
        <v>7.6596826129123802E-2</v>
      </c>
      <c r="AI17" s="211">
        <v>443028.38723985624</v>
      </c>
      <c r="AJ17" s="96">
        <f t="shared" si="58"/>
        <v>5.9990010507715366E-2</v>
      </c>
      <c r="AK17" s="211">
        <v>414184.01664711925</v>
      </c>
      <c r="AL17" s="96">
        <f t="shared" si="59"/>
        <v>5.60842244570127E-2</v>
      </c>
    </row>
    <row r="18" spans="2:38" ht="12">
      <c r="B18" s="79"/>
      <c r="C18" s="79"/>
      <c r="D18" s="282">
        <f t="shared" si="0"/>
        <v>12</v>
      </c>
      <c r="E18" s="282" t="s">
        <v>165</v>
      </c>
      <c r="F18" s="205">
        <f t="shared" si="23"/>
        <v>7002511</v>
      </c>
      <c r="G18" s="280"/>
      <c r="H18" s="294"/>
      <c r="I18" s="211">
        <v>559588.1838458773</v>
      </c>
      <c r="J18" s="96">
        <f t="shared" si="42"/>
        <v>7.9912503364275661E-2</v>
      </c>
      <c r="K18" s="211">
        <v>703960.85437868687</v>
      </c>
      <c r="L18" s="96">
        <f t="shared" si="43"/>
        <v>0.10052977487342567</v>
      </c>
      <c r="M18" s="204">
        <f t="shared" si="44"/>
        <v>1263549.0382245642</v>
      </c>
      <c r="N18" s="96">
        <f t="shared" si="45"/>
        <v>0.18044227823770131</v>
      </c>
      <c r="O18" s="211">
        <v>115593.61640123493</v>
      </c>
      <c r="P18" s="96">
        <f t="shared" si="46"/>
        <v>1.6507452312639698E-2</v>
      </c>
      <c r="Q18" s="211">
        <v>79128.351906678858</v>
      </c>
      <c r="R18" s="96">
        <f t="shared" si="47"/>
        <v>1.1299996802101255E-2</v>
      </c>
      <c r="S18" s="204">
        <f t="shared" si="48"/>
        <v>194721.9683079138</v>
      </c>
      <c r="T18" s="96">
        <f t="shared" si="49"/>
        <v>2.7807449114740954E-2</v>
      </c>
      <c r="U18" s="211">
        <v>1277634.6765241721</v>
      </c>
      <c r="V18" s="96">
        <f t="shared" si="50"/>
        <v>0.18245379072223836</v>
      </c>
      <c r="W18" s="211">
        <v>41520.081305478598</v>
      </c>
      <c r="X18" s="96">
        <f t="shared" si="51"/>
        <v>5.9293132571271358E-3</v>
      </c>
      <c r="Y18" s="211">
        <v>503934.03795467905</v>
      </c>
      <c r="Z18" s="96">
        <f t="shared" si="52"/>
        <v>7.1964762062448603E-2</v>
      </c>
      <c r="AA18" s="211">
        <v>1363654.8135811877</v>
      </c>
      <c r="AB18" s="96">
        <f t="shared" si="53"/>
        <v>0.1947379752179165</v>
      </c>
      <c r="AC18" s="204">
        <f t="shared" si="54"/>
        <v>1867588.8515358667</v>
      </c>
      <c r="AD18" s="96">
        <f t="shared" si="55"/>
        <v>0.26670273728036509</v>
      </c>
      <c r="AE18" s="211">
        <v>905518.48895594873</v>
      </c>
      <c r="AF18" s="96">
        <f t="shared" si="56"/>
        <v>0.12931339757352023</v>
      </c>
      <c r="AG18" s="211">
        <v>568685.34086853859</v>
      </c>
      <c r="AH18" s="96">
        <f t="shared" si="57"/>
        <v>8.1211631208938997E-2</v>
      </c>
      <c r="AI18" s="211">
        <v>439668.371438061</v>
      </c>
      <c r="AJ18" s="96">
        <f t="shared" si="58"/>
        <v>6.2787244666671863E-2</v>
      </c>
      <c r="AK18" s="211">
        <v>443624.18283945648</v>
      </c>
      <c r="AL18" s="96">
        <f t="shared" si="59"/>
        <v>6.3352157938696058E-2</v>
      </c>
    </row>
    <row r="19" spans="2:38" ht="12">
      <c r="B19" s="79"/>
      <c r="C19" s="79"/>
      <c r="D19" s="395">
        <f t="shared" si="0"/>
        <v>13</v>
      </c>
      <c r="E19" s="395" t="s">
        <v>166</v>
      </c>
      <c r="F19" s="205">
        <f t="shared" si="23"/>
        <v>6868110.9999999991</v>
      </c>
      <c r="G19" s="280">
        <f>SUM(F19:F25)</f>
        <v>45268529</v>
      </c>
      <c r="H19" s="294"/>
      <c r="I19" s="211">
        <v>637939.78573145112</v>
      </c>
      <c r="J19" s="96">
        <f t="shared" si="42"/>
        <v>9.2884315022202055E-2</v>
      </c>
      <c r="K19" s="211">
        <v>696731.61186777777</v>
      </c>
      <c r="L19" s="96">
        <f t="shared" si="43"/>
        <v>0.10144443091670735</v>
      </c>
      <c r="M19" s="204">
        <f t="shared" si="44"/>
        <v>1334671.3975992289</v>
      </c>
      <c r="N19" s="96">
        <f t="shared" si="45"/>
        <v>0.19432874593890942</v>
      </c>
      <c r="O19" s="211">
        <v>112867.82274638391</v>
      </c>
      <c r="P19" s="96">
        <f t="shared" si="46"/>
        <v>1.6433604923738701E-2</v>
      </c>
      <c r="Q19" s="211">
        <v>79615.009188396754</v>
      </c>
      <c r="R19" s="96">
        <f t="shared" si="47"/>
        <v>1.15919805589043E-2</v>
      </c>
      <c r="S19" s="204">
        <f t="shared" si="48"/>
        <v>192482.83193478067</v>
      </c>
      <c r="T19" s="96">
        <f t="shared" si="49"/>
        <v>2.8025585482643001E-2</v>
      </c>
      <c r="U19" s="211">
        <v>1214873.6871010095</v>
      </c>
      <c r="V19" s="96">
        <f t="shared" si="50"/>
        <v>0.17688614629277391</v>
      </c>
      <c r="W19" s="211">
        <v>32435.872406724488</v>
      </c>
      <c r="X19" s="96">
        <f t="shared" si="51"/>
        <v>4.7226773718020126E-3</v>
      </c>
      <c r="Y19" s="211">
        <v>498611.29143047164</v>
      </c>
      <c r="Z19" s="96">
        <f t="shared" si="52"/>
        <v>7.2598024614114673E-2</v>
      </c>
      <c r="AA19" s="211">
        <v>1317767.4462140021</v>
      </c>
      <c r="AB19" s="96">
        <f t="shared" si="53"/>
        <v>0.19186752313904104</v>
      </c>
      <c r="AC19" s="204">
        <f t="shared" si="54"/>
        <v>1816378.7376444738</v>
      </c>
      <c r="AD19" s="96">
        <f t="shared" si="55"/>
        <v>0.26446554775315573</v>
      </c>
      <c r="AE19" s="211">
        <v>950478.60278435191</v>
      </c>
      <c r="AF19" s="96">
        <f t="shared" si="56"/>
        <v>0.13839010504989685</v>
      </c>
      <c r="AG19" s="211">
        <v>474005.3455225483</v>
      </c>
      <c r="AH19" s="96">
        <f t="shared" si="57"/>
        <v>6.9015388004437961E-2</v>
      </c>
      <c r="AI19" s="211">
        <v>436511.90311017324</v>
      </c>
      <c r="AJ19" s="96">
        <f t="shared" si="58"/>
        <v>6.355632620238276E-2</v>
      </c>
      <c r="AK19" s="211">
        <v>416272.62189670902</v>
      </c>
      <c r="AL19" s="96">
        <f t="shared" si="59"/>
        <v>6.0609477903998503E-2</v>
      </c>
    </row>
    <row r="20" spans="2:38" ht="12">
      <c r="B20" s="79"/>
      <c r="C20" s="79"/>
      <c r="D20" s="395">
        <f t="shared" si="0"/>
        <v>14</v>
      </c>
      <c r="E20" s="395" t="s">
        <v>167</v>
      </c>
      <c r="F20" s="205">
        <f t="shared" si="23"/>
        <v>6627112.0000000019</v>
      </c>
      <c r="G20" s="280"/>
      <c r="H20" s="294"/>
      <c r="I20" s="211">
        <v>593393.81546271674</v>
      </c>
      <c r="J20" s="96">
        <f t="shared" si="42"/>
        <v>8.9540333023301333E-2</v>
      </c>
      <c r="K20" s="211">
        <v>669673.83977919293</v>
      </c>
      <c r="L20" s="96">
        <f t="shared" si="43"/>
        <v>0.10105062956219735</v>
      </c>
      <c r="M20" s="204">
        <f t="shared" si="44"/>
        <v>1263067.6552419097</v>
      </c>
      <c r="N20" s="96">
        <f t="shared" si="45"/>
        <v>0.19059096258549868</v>
      </c>
      <c r="O20" s="211">
        <v>118471.51998808893</v>
      </c>
      <c r="P20" s="96">
        <f t="shared" si="46"/>
        <v>1.7876794595909785E-2</v>
      </c>
      <c r="Q20" s="211">
        <v>80488.419198086238</v>
      </c>
      <c r="R20" s="96">
        <f t="shared" si="47"/>
        <v>1.2145323513181339E-2</v>
      </c>
      <c r="S20" s="204">
        <f t="shared" si="48"/>
        <v>198959.93918617518</v>
      </c>
      <c r="T20" s="96">
        <f t="shared" si="49"/>
        <v>3.0022118109091129E-2</v>
      </c>
      <c r="U20" s="211">
        <v>1143978.4076400949</v>
      </c>
      <c r="V20" s="96">
        <f t="shared" si="50"/>
        <v>0.1726209558009725</v>
      </c>
      <c r="W20" s="211">
        <v>47201.598369191386</v>
      </c>
      <c r="X20" s="96">
        <f t="shared" si="51"/>
        <v>7.1224989662452319E-3</v>
      </c>
      <c r="Y20" s="211">
        <v>540101.28841914295</v>
      </c>
      <c r="Z20" s="96">
        <f t="shared" si="52"/>
        <v>8.1498741596511839E-2</v>
      </c>
      <c r="AA20" s="211">
        <v>1240840.407848337</v>
      </c>
      <c r="AB20" s="96">
        <f t="shared" si="53"/>
        <v>0.18723697560088567</v>
      </c>
      <c r="AC20" s="204">
        <f t="shared" si="54"/>
        <v>1780941.69626748</v>
      </c>
      <c r="AD20" s="96">
        <f t="shared" si="55"/>
        <v>0.26873571719739753</v>
      </c>
      <c r="AE20" s="211">
        <v>874310.67802148848</v>
      </c>
      <c r="AF20" s="96">
        <f t="shared" si="56"/>
        <v>0.13192936501171071</v>
      </c>
      <c r="AG20" s="211">
        <v>484486.48590541026</v>
      </c>
      <c r="AH20" s="96">
        <f t="shared" si="57"/>
        <v>7.3106729734673276E-2</v>
      </c>
      <c r="AI20" s="211">
        <v>416980.82820557413</v>
      </c>
      <c r="AJ20" s="96">
        <f t="shared" si="58"/>
        <v>6.2920443808037949E-2</v>
      </c>
      <c r="AK20" s="211">
        <v>417184.71116267657</v>
      </c>
      <c r="AL20" s="96">
        <f t="shared" si="59"/>
        <v>6.2951208786372781E-2</v>
      </c>
    </row>
    <row r="21" spans="2:38" ht="12">
      <c r="B21" s="79"/>
      <c r="C21" s="79"/>
      <c r="D21" s="395">
        <f t="shared" si="0"/>
        <v>15</v>
      </c>
      <c r="E21" s="395" t="s">
        <v>161</v>
      </c>
      <c r="F21" s="205">
        <f t="shared" si="23"/>
        <v>6144183.9999999991</v>
      </c>
      <c r="G21" s="280"/>
      <c r="H21" s="294"/>
      <c r="I21" s="211">
        <v>554882.18947214808</v>
      </c>
      <c r="J21" s="96">
        <f t="shared" si="42"/>
        <v>9.0310151758500101E-2</v>
      </c>
      <c r="K21" s="211">
        <v>640452.36022237525</v>
      </c>
      <c r="L21" s="96">
        <f t="shared" si="43"/>
        <v>0.10423717131882368</v>
      </c>
      <c r="M21" s="204">
        <f t="shared" si="44"/>
        <v>1195334.5496945232</v>
      </c>
      <c r="N21" s="96">
        <f t="shared" si="45"/>
        <v>0.19454732307732375</v>
      </c>
      <c r="O21" s="211">
        <v>116267.6574355693</v>
      </c>
      <c r="P21" s="96">
        <f t="shared" si="46"/>
        <v>1.8923205658484401E-2</v>
      </c>
      <c r="Q21" s="211">
        <v>81019.098209995209</v>
      </c>
      <c r="R21" s="96">
        <f t="shared" si="47"/>
        <v>1.3186307280184842E-2</v>
      </c>
      <c r="S21" s="204">
        <f t="shared" si="48"/>
        <v>197286.75564556452</v>
      </c>
      <c r="T21" s="96">
        <f t="shared" si="49"/>
        <v>3.2109512938669246E-2</v>
      </c>
      <c r="U21" s="211">
        <v>1104546.9371194732</v>
      </c>
      <c r="V21" s="96">
        <f t="shared" si="50"/>
        <v>0.17977113594245769</v>
      </c>
      <c r="W21" s="211">
        <v>35925.6909368017</v>
      </c>
      <c r="X21" s="96">
        <f t="shared" si="51"/>
        <v>5.8471053172889529E-3</v>
      </c>
      <c r="Y21" s="211">
        <v>550409.76416750159</v>
      </c>
      <c r="Z21" s="96">
        <f t="shared" si="52"/>
        <v>8.9582239751853407E-2</v>
      </c>
      <c r="AA21" s="211">
        <v>1067793.2491799151</v>
      </c>
      <c r="AB21" s="96">
        <f t="shared" si="53"/>
        <v>0.17378926952381557</v>
      </c>
      <c r="AC21" s="204">
        <f t="shared" si="54"/>
        <v>1618203.0133474167</v>
      </c>
      <c r="AD21" s="96">
        <f t="shared" si="55"/>
        <v>0.26337150927566899</v>
      </c>
      <c r="AE21" s="211">
        <v>787573.05017687054</v>
      </c>
      <c r="AF21" s="96">
        <f t="shared" si="56"/>
        <v>0.12818187902199391</v>
      </c>
      <c r="AG21" s="211">
        <v>367376.51035047241</v>
      </c>
      <c r="AH21" s="96">
        <f t="shared" si="57"/>
        <v>5.9792563235487817E-2</v>
      </c>
      <c r="AI21" s="211">
        <v>425649.63002483448</v>
      </c>
      <c r="AJ21" s="96">
        <f t="shared" si="58"/>
        <v>6.9276836439929948E-2</v>
      </c>
      <c r="AK21" s="211">
        <v>412287.8627040431</v>
      </c>
      <c r="AL21" s="96">
        <f t="shared" si="59"/>
        <v>6.7102134751179848E-2</v>
      </c>
    </row>
    <row r="22" spans="2:38" ht="12">
      <c r="B22" s="79"/>
      <c r="C22" s="79"/>
      <c r="D22" s="395">
        <f t="shared" si="0"/>
        <v>16</v>
      </c>
      <c r="E22" s="395" t="s">
        <v>162</v>
      </c>
      <c r="F22" s="205">
        <f t="shared" si="23"/>
        <v>5795970.9999999991</v>
      </c>
      <c r="G22" s="280"/>
      <c r="H22" s="294"/>
      <c r="I22" s="211">
        <v>543927.87252884626</v>
      </c>
      <c r="J22" s="96">
        <f t="shared" si="42"/>
        <v>9.3845858188187331E-2</v>
      </c>
      <c r="K22" s="211">
        <v>632000.63850623695</v>
      </c>
      <c r="L22" s="96">
        <f t="shared" si="43"/>
        <v>0.10904137348275847</v>
      </c>
      <c r="M22" s="204">
        <f t="shared" si="44"/>
        <v>1175928.5110350833</v>
      </c>
      <c r="N22" s="96">
        <f t="shared" si="45"/>
        <v>0.20288723167094583</v>
      </c>
      <c r="O22" s="211">
        <v>90042.906820249365</v>
      </c>
      <c r="P22" s="96">
        <f t="shared" si="46"/>
        <v>1.5535430874352094E-2</v>
      </c>
      <c r="Q22" s="211">
        <v>72480.936838515277</v>
      </c>
      <c r="R22" s="96">
        <f t="shared" si="47"/>
        <v>1.2505400188944232E-2</v>
      </c>
      <c r="S22" s="204">
        <f t="shared" si="48"/>
        <v>162523.84365876464</v>
      </c>
      <c r="T22" s="96">
        <f t="shared" si="49"/>
        <v>2.8040831063296325E-2</v>
      </c>
      <c r="U22" s="211">
        <v>963116.30386341852</v>
      </c>
      <c r="V22" s="96">
        <f t="shared" si="50"/>
        <v>0.16616996597522982</v>
      </c>
      <c r="W22" s="211">
        <v>35585.719196532307</v>
      </c>
      <c r="X22" s="96">
        <f t="shared" si="51"/>
        <v>6.1397338248470037E-3</v>
      </c>
      <c r="Y22" s="211">
        <v>527838.77686663275</v>
      </c>
      <c r="Z22" s="96">
        <f t="shared" si="52"/>
        <v>9.106994787700505E-2</v>
      </c>
      <c r="AA22" s="211">
        <v>1170671.0652075999</v>
      </c>
      <c r="AB22" s="96">
        <f t="shared" si="53"/>
        <v>0.2019801453816108</v>
      </c>
      <c r="AC22" s="204">
        <f t="shared" si="54"/>
        <v>1698509.8420742326</v>
      </c>
      <c r="AD22" s="96">
        <f t="shared" si="55"/>
        <v>0.29305009325861586</v>
      </c>
      <c r="AE22" s="211">
        <v>692951.65358855668</v>
      </c>
      <c r="AF22" s="96">
        <f t="shared" si="56"/>
        <v>0.11955747425039856</v>
      </c>
      <c r="AG22" s="211">
        <v>313779.97653176147</v>
      </c>
      <c r="AH22" s="96">
        <f t="shared" si="57"/>
        <v>5.4137602919642196E-2</v>
      </c>
      <c r="AI22" s="211">
        <v>410485.56154096697</v>
      </c>
      <c r="AJ22" s="96">
        <f t="shared" si="58"/>
        <v>7.0822569944012315E-2</v>
      </c>
      <c r="AK22" s="211">
        <v>343089.58851068321</v>
      </c>
      <c r="AL22" s="96">
        <f t="shared" si="59"/>
        <v>5.9194497093012242E-2</v>
      </c>
    </row>
    <row r="23" spans="2:38" ht="12">
      <c r="B23" s="79"/>
      <c r="C23" s="79"/>
      <c r="D23" s="395">
        <f t="shared" si="0"/>
        <v>17</v>
      </c>
      <c r="E23" s="395" t="s">
        <v>163</v>
      </c>
      <c r="F23" s="205">
        <f t="shared" si="23"/>
        <v>6092113</v>
      </c>
      <c r="G23" s="280"/>
      <c r="H23" s="294"/>
      <c r="I23" s="211">
        <v>516510.73747558892</v>
      </c>
      <c r="J23" s="96">
        <f t="shared" si="42"/>
        <v>8.4783512301165279E-2</v>
      </c>
      <c r="K23" s="211">
        <v>673138.59843666537</v>
      </c>
      <c r="L23" s="96">
        <f t="shared" si="43"/>
        <v>0.11049345250763822</v>
      </c>
      <c r="M23" s="204">
        <f t="shared" si="44"/>
        <v>1189649.3359122542</v>
      </c>
      <c r="N23" s="96">
        <f t="shared" si="45"/>
        <v>0.19527696480880347</v>
      </c>
      <c r="O23" s="211">
        <v>85219.196221544742</v>
      </c>
      <c r="P23" s="96">
        <f t="shared" si="46"/>
        <v>1.3988446409570003E-2</v>
      </c>
      <c r="Q23" s="211">
        <v>68790.209576007022</v>
      </c>
      <c r="R23" s="96">
        <f t="shared" si="47"/>
        <v>1.1291683128006165E-2</v>
      </c>
      <c r="S23" s="204">
        <f t="shared" si="48"/>
        <v>154009.40579755176</v>
      </c>
      <c r="T23" s="96">
        <f t="shared" si="49"/>
        <v>2.5280129537576169E-2</v>
      </c>
      <c r="U23" s="211">
        <v>1047789.6191055042</v>
      </c>
      <c r="V23" s="96">
        <f t="shared" si="50"/>
        <v>0.17199116613652837</v>
      </c>
      <c r="W23" s="211">
        <v>27925.586154515247</v>
      </c>
      <c r="X23" s="96">
        <f t="shared" si="51"/>
        <v>4.5838916898808752E-3</v>
      </c>
      <c r="Y23" s="211">
        <v>541843.43088097009</v>
      </c>
      <c r="Z23" s="96">
        <f t="shared" si="52"/>
        <v>8.8941789307087724E-2</v>
      </c>
      <c r="AA23" s="211">
        <v>1153597.5283822767</v>
      </c>
      <c r="AB23" s="96">
        <f t="shared" si="53"/>
        <v>0.18935918102344401</v>
      </c>
      <c r="AC23" s="204">
        <f t="shared" si="54"/>
        <v>1695440.9592632467</v>
      </c>
      <c r="AD23" s="96">
        <f t="shared" si="55"/>
        <v>0.27830097033053175</v>
      </c>
      <c r="AE23" s="211">
        <v>777702.15592115419</v>
      </c>
      <c r="AF23" s="96">
        <f t="shared" si="56"/>
        <v>0.12765721120424953</v>
      </c>
      <c r="AG23" s="211">
        <v>352423.83708306885</v>
      </c>
      <c r="AH23" s="96">
        <f t="shared" si="57"/>
        <v>5.7849195686795182E-2</v>
      </c>
      <c r="AI23" s="211">
        <v>462383.88399835728</v>
      </c>
      <c r="AJ23" s="96">
        <f t="shared" si="58"/>
        <v>7.5898770098052556E-2</v>
      </c>
      <c r="AK23" s="211">
        <v>384788.21676434757</v>
      </c>
      <c r="AL23" s="96">
        <f t="shared" si="59"/>
        <v>6.3161700507582116E-2</v>
      </c>
    </row>
    <row r="24" spans="2:38" ht="12">
      <c r="B24" s="79"/>
      <c r="C24" s="79"/>
      <c r="D24" s="395">
        <f t="shared" si="0"/>
        <v>18</v>
      </c>
      <c r="E24" s="395" t="s">
        <v>164</v>
      </c>
      <c r="F24" s="205">
        <f t="shared" si="23"/>
        <v>6822501</v>
      </c>
      <c r="G24" s="280"/>
      <c r="H24" s="294"/>
      <c r="I24" s="211">
        <v>613724.49472582003</v>
      </c>
      <c r="J24" s="96">
        <f t="shared" si="42"/>
        <v>8.9955940603866538E-2</v>
      </c>
      <c r="K24" s="211">
        <v>703542.97255103302</v>
      </c>
      <c r="L24" s="96">
        <f t="shared" si="43"/>
        <v>0.10312097756395096</v>
      </c>
      <c r="M24" s="204">
        <f t="shared" si="44"/>
        <v>1317267.467276853</v>
      </c>
      <c r="N24" s="96">
        <f t="shared" si="45"/>
        <v>0.1930769181678175</v>
      </c>
      <c r="O24" s="211">
        <v>114309.01326065423</v>
      </c>
      <c r="P24" s="96">
        <f t="shared" si="46"/>
        <v>1.6754708172362926E-2</v>
      </c>
      <c r="Q24" s="211">
        <v>77186.006790455242</v>
      </c>
      <c r="R24" s="96">
        <f t="shared" si="47"/>
        <v>1.1313447486552988E-2</v>
      </c>
      <c r="S24" s="204">
        <f t="shared" si="48"/>
        <v>191495.02005110949</v>
      </c>
      <c r="T24" s="96">
        <f t="shared" si="49"/>
        <v>2.8068155658915916E-2</v>
      </c>
      <c r="U24" s="211">
        <v>1272393.6543070304</v>
      </c>
      <c r="V24" s="96">
        <f t="shared" si="50"/>
        <v>0.18649959220336212</v>
      </c>
      <c r="W24" s="211">
        <v>38628.783844396792</v>
      </c>
      <c r="X24" s="96">
        <f t="shared" si="51"/>
        <v>5.6619682202167197E-3</v>
      </c>
      <c r="Y24" s="211">
        <v>532716.28558703815</v>
      </c>
      <c r="Z24" s="96">
        <f t="shared" si="52"/>
        <v>7.8082258337087554E-2</v>
      </c>
      <c r="AA24" s="211">
        <v>1270936.0740047935</v>
      </c>
      <c r="AB24" s="96">
        <f t="shared" si="53"/>
        <v>0.18628594909766866</v>
      </c>
      <c r="AC24" s="204">
        <f t="shared" si="54"/>
        <v>1803652.3595918317</v>
      </c>
      <c r="AD24" s="96">
        <f t="shared" si="55"/>
        <v>0.2643682074347562</v>
      </c>
      <c r="AE24" s="211">
        <v>917387.71252606739</v>
      </c>
      <c r="AF24" s="96">
        <f t="shared" si="56"/>
        <v>0.13446501693822652</v>
      </c>
      <c r="AG24" s="211">
        <v>403663.0384694339</v>
      </c>
      <c r="AH24" s="96">
        <f t="shared" si="57"/>
        <v>5.9166431557787079E-2</v>
      </c>
      <c r="AI24" s="211">
        <v>479746.36950137856</v>
      </c>
      <c r="AJ24" s="96">
        <f t="shared" si="58"/>
        <v>7.0318255651612011E-2</v>
      </c>
      <c r="AK24" s="211">
        <v>398266.59443189861</v>
      </c>
      <c r="AL24" s="96">
        <f t="shared" si="59"/>
        <v>5.8375454167305892E-2</v>
      </c>
    </row>
    <row r="25" spans="2:38" ht="12">
      <c r="B25" s="79"/>
      <c r="C25" s="79"/>
      <c r="D25" s="395">
        <f t="shared" si="0"/>
        <v>19</v>
      </c>
      <c r="E25" s="395" t="s">
        <v>165</v>
      </c>
      <c r="F25" s="205">
        <f t="shared" si="23"/>
        <v>6918537</v>
      </c>
      <c r="G25" s="280"/>
      <c r="H25" s="294"/>
      <c r="I25" s="211">
        <v>593452.0166429372</v>
      </c>
      <c r="J25" s="96">
        <f t="shared" si="42"/>
        <v>8.5777096609143982E-2</v>
      </c>
      <c r="K25" s="211">
        <v>710517.55925080623</v>
      </c>
      <c r="L25" s="96">
        <f t="shared" si="43"/>
        <v>0.10269765981605739</v>
      </c>
      <c r="M25" s="204">
        <f t="shared" si="44"/>
        <v>1303969.5758937434</v>
      </c>
      <c r="N25" s="96">
        <f t="shared" si="45"/>
        <v>0.18847475642520137</v>
      </c>
      <c r="O25" s="211">
        <v>105131.43279966009</v>
      </c>
      <c r="P25" s="96">
        <f t="shared" si="46"/>
        <v>1.5195616182967598E-2</v>
      </c>
      <c r="Q25" s="211">
        <v>77122.354500096088</v>
      </c>
      <c r="R25" s="96">
        <f t="shared" si="47"/>
        <v>1.1147205615883254E-2</v>
      </c>
      <c r="S25" s="204">
        <f t="shared" si="48"/>
        <v>182253.78729975619</v>
      </c>
      <c r="T25" s="96">
        <f t="shared" si="49"/>
        <v>2.6342821798850856E-2</v>
      </c>
      <c r="U25" s="211">
        <v>1214950.70228748</v>
      </c>
      <c r="V25" s="96">
        <f t="shared" si="50"/>
        <v>0.17560803711644241</v>
      </c>
      <c r="W25" s="211">
        <v>40438.730911887214</v>
      </c>
      <c r="X25" s="96">
        <f t="shared" si="51"/>
        <v>5.8449829656020075E-3</v>
      </c>
      <c r="Y25" s="211">
        <v>555802.10821918363</v>
      </c>
      <c r="Z25" s="96">
        <f t="shared" si="52"/>
        <v>8.0335207894267763E-2</v>
      </c>
      <c r="AA25" s="211">
        <v>1438624.4563813757</v>
      </c>
      <c r="AB25" s="96">
        <f t="shared" si="53"/>
        <v>0.20793766895824589</v>
      </c>
      <c r="AC25" s="204">
        <f t="shared" si="54"/>
        <v>1994426.5646005594</v>
      </c>
      <c r="AD25" s="96">
        <f t="shared" si="55"/>
        <v>0.28827287685251368</v>
      </c>
      <c r="AE25" s="211">
        <v>892361.80634455243</v>
      </c>
      <c r="AF25" s="96">
        <f t="shared" si="56"/>
        <v>0.12898128698951128</v>
      </c>
      <c r="AG25" s="211">
        <v>406850.77994884457</v>
      </c>
      <c r="AH25" s="96">
        <f t="shared" si="57"/>
        <v>5.88058978290995E-2</v>
      </c>
      <c r="AI25" s="211">
        <v>462046.08662906033</v>
      </c>
      <c r="AJ25" s="96">
        <f t="shared" si="58"/>
        <v>6.6783784870856414E-2</v>
      </c>
      <c r="AK25" s="211">
        <v>421238.96608411672</v>
      </c>
      <c r="AL25" s="96">
        <f t="shared" si="59"/>
        <v>6.0885555151922538E-2</v>
      </c>
    </row>
    <row r="26" spans="2:38" ht="12">
      <c r="B26" s="79"/>
      <c r="C26" s="79"/>
      <c r="D26" s="282">
        <f t="shared" si="0"/>
        <v>20</v>
      </c>
      <c r="E26" s="282" t="s">
        <v>166</v>
      </c>
      <c r="F26" s="205">
        <f t="shared" si="23"/>
        <v>7713414.9999999991</v>
      </c>
      <c r="G26" s="280">
        <f>SUM(F26:F32)</f>
        <v>46317667</v>
      </c>
      <c r="H26" s="294"/>
      <c r="I26" s="211">
        <v>702069.32007193298</v>
      </c>
      <c r="J26" s="96">
        <f t="shared" si="42"/>
        <v>9.1019259312760045E-2</v>
      </c>
      <c r="K26" s="211">
        <v>697330.13111630362</v>
      </c>
      <c r="L26" s="96">
        <f t="shared" si="43"/>
        <v>9.0404850655164237E-2</v>
      </c>
      <c r="M26" s="204">
        <f t="shared" si="44"/>
        <v>1399399.4511882365</v>
      </c>
      <c r="N26" s="96">
        <f t="shared" si="45"/>
        <v>0.18142410996792427</v>
      </c>
      <c r="O26" s="211">
        <v>109688.05482642134</v>
      </c>
      <c r="P26" s="96">
        <f t="shared" si="46"/>
        <v>1.4220426986804334E-2</v>
      </c>
      <c r="Q26" s="211">
        <v>82063.062294866788</v>
      </c>
      <c r="R26" s="96">
        <f t="shared" si="47"/>
        <v>1.0639005200014104E-2</v>
      </c>
      <c r="S26" s="204">
        <f t="shared" si="48"/>
        <v>191751.11712128815</v>
      </c>
      <c r="T26" s="96">
        <f t="shared" si="49"/>
        <v>2.485943218681844E-2</v>
      </c>
      <c r="U26" s="211">
        <v>1137014.226892058</v>
      </c>
      <c r="V26" s="96">
        <f t="shared" si="50"/>
        <v>0.1474073710402018</v>
      </c>
      <c r="W26" s="211">
        <v>43391.841371046139</v>
      </c>
      <c r="X26" s="96">
        <f t="shared" si="51"/>
        <v>5.6255032785149182E-3</v>
      </c>
      <c r="Y26" s="211">
        <v>706514.33956858353</v>
      </c>
      <c r="Z26" s="96">
        <f t="shared" si="52"/>
        <v>9.1595530587759585E-2</v>
      </c>
      <c r="AA26" s="211">
        <v>1396167.6500758934</v>
      </c>
      <c r="AB26" s="96">
        <f t="shared" si="53"/>
        <v>0.18100512549576206</v>
      </c>
      <c r="AC26" s="204">
        <f t="shared" si="54"/>
        <v>2102681.9896444771</v>
      </c>
      <c r="AD26" s="96">
        <f t="shared" si="55"/>
        <v>0.27260065608352169</v>
      </c>
      <c r="AE26" s="211">
        <v>1066112.927489277</v>
      </c>
      <c r="AF26" s="96">
        <f t="shared" si="56"/>
        <v>0.13821542435993359</v>
      </c>
      <c r="AG26" s="211">
        <v>1028753.4393246298</v>
      </c>
      <c r="AH26" s="96">
        <f t="shared" si="57"/>
        <v>0.13337198106475925</v>
      </c>
      <c r="AI26" s="211">
        <v>358978.35314842721</v>
      </c>
      <c r="AJ26" s="96">
        <f t="shared" si="58"/>
        <v>4.65394838924688E-2</v>
      </c>
      <c r="AK26" s="211">
        <v>385331.65382055967</v>
      </c>
      <c r="AL26" s="96">
        <f t="shared" si="59"/>
        <v>4.9956038125857319E-2</v>
      </c>
    </row>
    <row r="27" spans="2:38" ht="12">
      <c r="B27" s="79"/>
      <c r="C27" s="79"/>
      <c r="D27" s="282">
        <f t="shared" si="0"/>
        <v>21</v>
      </c>
      <c r="E27" s="282" t="s">
        <v>167</v>
      </c>
      <c r="F27" s="205">
        <f t="shared" si="23"/>
        <v>6863386.0000000019</v>
      </c>
      <c r="G27" s="280"/>
      <c r="H27" s="294"/>
      <c r="I27" s="211">
        <v>656712.90535357129</v>
      </c>
      <c r="J27" s="96">
        <f t="shared" si="42"/>
        <v>9.5683516176063993E-2</v>
      </c>
      <c r="K27" s="211">
        <v>686113.0060718609</v>
      </c>
      <c r="L27" s="96">
        <f t="shared" si="43"/>
        <v>9.9967130811506266E-2</v>
      </c>
      <c r="M27" s="204">
        <f t="shared" si="44"/>
        <v>1342825.9114254322</v>
      </c>
      <c r="N27" s="96">
        <f t="shared" si="45"/>
        <v>0.19565064698757026</v>
      </c>
      <c r="O27" s="211">
        <v>114490.38455579159</v>
      </c>
      <c r="P27" s="96">
        <f t="shared" si="46"/>
        <v>1.6681326761425273E-2</v>
      </c>
      <c r="Q27" s="211">
        <v>85351.413293159756</v>
      </c>
      <c r="R27" s="96">
        <f t="shared" si="47"/>
        <v>1.2435758864962532E-2</v>
      </c>
      <c r="S27" s="204">
        <f t="shared" si="48"/>
        <v>199841.79784895136</v>
      </c>
      <c r="T27" s="96">
        <f t="shared" si="49"/>
        <v>2.9117085626387807E-2</v>
      </c>
      <c r="U27" s="211">
        <v>1057843.3308562203</v>
      </c>
      <c r="V27" s="96">
        <f t="shared" si="50"/>
        <v>0.15412849151369601</v>
      </c>
      <c r="W27" s="211">
        <v>42757.166013198264</v>
      </c>
      <c r="X27" s="96">
        <f t="shared" si="51"/>
        <v>6.2297481175032634E-3</v>
      </c>
      <c r="Y27" s="211">
        <v>602761.04120218696</v>
      </c>
      <c r="Z27" s="96">
        <f t="shared" si="52"/>
        <v>8.782269293934318E-2</v>
      </c>
      <c r="AA27" s="211">
        <v>1317770.6404101853</v>
      </c>
      <c r="AB27" s="96">
        <f t="shared" si="53"/>
        <v>0.19200007698972271</v>
      </c>
      <c r="AC27" s="204">
        <f t="shared" si="54"/>
        <v>1920531.6816123724</v>
      </c>
      <c r="AD27" s="96">
        <f t="shared" si="55"/>
        <v>0.27982276992906591</v>
      </c>
      <c r="AE27" s="211">
        <v>860747.11472935788</v>
      </c>
      <c r="AF27" s="96">
        <f t="shared" si="56"/>
        <v>0.12541143900829091</v>
      </c>
      <c r="AG27" s="211">
        <v>707806.82148422056</v>
      </c>
      <c r="AH27" s="96">
        <f t="shared" si="57"/>
        <v>0.10312793444579983</v>
      </c>
      <c r="AI27" s="211">
        <v>352573.63985297526</v>
      </c>
      <c r="AJ27" s="96">
        <f t="shared" si="58"/>
        <v>5.1370218701523584E-2</v>
      </c>
      <c r="AK27" s="211">
        <v>378458.53617727384</v>
      </c>
      <c r="AL27" s="96">
        <f t="shared" si="59"/>
        <v>5.5141665670162474E-2</v>
      </c>
    </row>
    <row r="28" spans="2:38" ht="12">
      <c r="B28" s="79"/>
      <c r="C28" s="79"/>
      <c r="D28" s="282">
        <f t="shared" si="0"/>
        <v>22</v>
      </c>
      <c r="E28" s="282" t="s">
        <v>161</v>
      </c>
      <c r="F28" s="205">
        <f t="shared" si="23"/>
        <v>6394056.9999999981</v>
      </c>
      <c r="G28" s="280"/>
      <c r="H28" s="294"/>
      <c r="I28" s="211">
        <v>617272.73470177443</v>
      </c>
      <c r="J28" s="96">
        <f t="shared" si="42"/>
        <v>9.6538509854037058E-2</v>
      </c>
      <c r="K28" s="211">
        <v>642595.94104136643</v>
      </c>
      <c r="L28" s="96">
        <f t="shared" si="43"/>
        <v>0.100498938473862</v>
      </c>
      <c r="M28" s="204">
        <f t="shared" si="44"/>
        <v>1259868.6757431407</v>
      </c>
      <c r="N28" s="96">
        <f t="shared" si="45"/>
        <v>0.19703744832789905</v>
      </c>
      <c r="O28" s="211">
        <v>109744.63534934398</v>
      </c>
      <c r="P28" s="96">
        <f t="shared" si="46"/>
        <v>1.7163537226731636E-2</v>
      </c>
      <c r="Q28" s="211">
        <v>85730.432241600545</v>
      </c>
      <c r="R28" s="96">
        <f t="shared" si="47"/>
        <v>1.3407830465321246E-2</v>
      </c>
      <c r="S28" s="204">
        <f t="shared" si="48"/>
        <v>195475.06759094453</v>
      </c>
      <c r="T28" s="96">
        <f t="shared" si="49"/>
        <v>3.0571367692052882E-2</v>
      </c>
      <c r="U28" s="211">
        <v>1033179.1387995614</v>
      </c>
      <c r="V28" s="96">
        <f t="shared" si="50"/>
        <v>0.16158428659606283</v>
      </c>
      <c r="W28" s="211">
        <v>30793.222830730367</v>
      </c>
      <c r="X28" s="96">
        <f t="shared" si="51"/>
        <v>4.8159130941013472E-3</v>
      </c>
      <c r="Y28" s="211">
        <v>589331.7241041169</v>
      </c>
      <c r="Z28" s="96">
        <f t="shared" si="52"/>
        <v>9.2168669141378792E-2</v>
      </c>
      <c r="AA28" s="211">
        <v>1086425.2457924697</v>
      </c>
      <c r="AB28" s="96">
        <f t="shared" si="53"/>
        <v>0.16991172361967841</v>
      </c>
      <c r="AC28" s="204">
        <f t="shared" si="54"/>
        <v>1675756.9698965866</v>
      </c>
      <c r="AD28" s="96">
        <f t="shared" si="55"/>
        <v>0.26208039276105721</v>
      </c>
      <c r="AE28" s="211">
        <v>867027.8543424618</v>
      </c>
      <c r="AF28" s="96">
        <f t="shared" si="56"/>
        <v>0.13559901864222701</v>
      </c>
      <c r="AG28" s="211">
        <v>659002.34750216501</v>
      </c>
      <c r="AH28" s="96">
        <f t="shared" si="57"/>
        <v>0.1030648221469038</v>
      </c>
      <c r="AI28" s="211">
        <v>322012.38978507131</v>
      </c>
      <c r="AJ28" s="96">
        <f t="shared" si="58"/>
        <v>5.0361201000408883E-2</v>
      </c>
      <c r="AK28" s="211">
        <v>350941.33350933628</v>
      </c>
      <c r="AL28" s="96">
        <f t="shared" si="59"/>
        <v>5.4885549739287026E-2</v>
      </c>
    </row>
    <row r="29" spans="2:38" ht="12">
      <c r="B29" s="79"/>
      <c r="C29" s="79"/>
      <c r="D29" s="282">
        <f t="shared" si="0"/>
        <v>23</v>
      </c>
      <c r="E29" s="282" t="s">
        <v>162</v>
      </c>
      <c r="F29" s="205">
        <f t="shared" si="23"/>
        <v>5574275.0000000009</v>
      </c>
      <c r="G29" s="280"/>
      <c r="H29" s="294"/>
      <c r="I29" s="211">
        <v>566526.99129000586</v>
      </c>
      <c r="J29" s="96">
        <f t="shared" si="42"/>
        <v>0.10163240803333272</v>
      </c>
      <c r="K29" s="211">
        <v>606875.83017475263</v>
      </c>
      <c r="L29" s="96">
        <f t="shared" si="43"/>
        <v>0.10887080923972221</v>
      </c>
      <c r="M29" s="204">
        <f t="shared" si="44"/>
        <v>1173402.8214647584</v>
      </c>
      <c r="N29" s="96">
        <f t="shared" si="45"/>
        <v>0.2105032172730549</v>
      </c>
      <c r="O29" s="211">
        <v>82635.184172818888</v>
      </c>
      <c r="P29" s="96">
        <f t="shared" si="46"/>
        <v>1.4824382394628697E-2</v>
      </c>
      <c r="Q29" s="211">
        <v>70648.158579395822</v>
      </c>
      <c r="R29" s="96">
        <f t="shared" si="47"/>
        <v>1.2673963623860647E-2</v>
      </c>
      <c r="S29" s="204">
        <f t="shared" si="48"/>
        <v>153283.3427522147</v>
      </c>
      <c r="T29" s="96">
        <f t="shared" si="49"/>
        <v>2.7498346018489342E-2</v>
      </c>
      <c r="U29" s="211">
        <v>923583.96506124281</v>
      </c>
      <c r="V29" s="96">
        <f t="shared" si="50"/>
        <v>0.16568683193083272</v>
      </c>
      <c r="W29" s="211">
        <v>21514.630472705143</v>
      </c>
      <c r="X29" s="96">
        <f t="shared" si="51"/>
        <v>3.8596284669674781E-3</v>
      </c>
      <c r="Y29" s="211">
        <v>504502.74219797959</v>
      </c>
      <c r="Z29" s="96">
        <f t="shared" si="52"/>
        <v>9.050553519479744E-2</v>
      </c>
      <c r="AA29" s="211">
        <v>1114543.3478091941</v>
      </c>
      <c r="AB29" s="96">
        <f t="shared" si="53"/>
        <v>0.19994409099106053</v>
      </c>
      <c r="AC29" s="204">
        <f t="shared" si="54"/>
        <v>1619046.0900071738</v>
      </c>
      <c r="AD29" s="96">
        <f t="shared" si="55"/>
        <v>0.29044962618585801</v>
      </c>
      <c r="AE29" s="211">
        <v>709030.46768024738</v>
      </c>
      <c r="AF29" s="96">
        <f t="shared" si="56"/>
        <v>0.12719689424727831</v>
      </c>
      <c r="AG29" s="211">
        <v>396037.28258179862</v>
      </c>
      <c r="AH29" s="96">
        <f t="shared" si="57"/>
        <v>7.1047316930326995E-2</v>
      </c>
      <c r="AI29" s="211">
        <v>294659.966604808</v>
      </c>
      <c r="AJ29" s="96">
        <f t="shared" si="58"/>
        <v>5.2860679927848542E-2</v>
      </c>
      <c r="AK29" s="211">
        <v>283716.43337505113</v>
      </c>
      <c r="AL29" s="96">
        <f t="shared" si="59"/>
        <v>5.0897459019343519E-2</v>
      </c>
    </row>
    <row r="30" spans="2:38" ht="12">
      <c r="B30" s="79"/>
      <c r="C30" s="79"/>
      <c r="D30" s="282">
        <f t="shared" si="0"/>
        <v>24</v>
      </c>
      <c r="E30" s="282" t="s">
        <v>163</v>
      </c>
      <c r="F30" s="205">
        <f t="shared" si="23"/>
        <v>5940744.9999999991</v>
      </c>
      <c r="G30" s="280"/>
      <c r="H30" s="294"/>
      <c r="I30" s="211">
        <v>526931.18758485827</v>
      </c>
      <c r="J30" s="96">
        <f t="shared" si="42"/>
        <v>8.8697829579431259E-2</v>
      </c>
      <c r="K30" s="211">
        <v>642730.72975436423</v>
      </c>
      <c r="L30" s="96">
        <f t="shared" si="43"/>
        <v>0.10819025724119859</v>
      </c>
      <c r="M30" s="204">
        <f t="shared" si="44"/>
        <v>1169661.9173392225</v>
      </c>
      <c r="N30" s="96">
        <f t="shared" si="45"/>
        <v>0.19688808682062986</v>
      </c>
      <c r="O30" s="211">
        <v>76580.266939184701</v>
      </c>
      <c r="P30" s="96">
        <f t="shared" si="46"/>
        <v>1.2890684070631665E-2</v>
      </c>
      <c r="Q30" s="211">
        <v>64801.784998246672</v>
      </c>
      <c r="R30" s="96">
        <f t="shared" si="47"/>
        <v>1.0908023320012335E-2</v>
      </c>
      <c r="S30" s="204">
        <f t="shared" si="48"/>
        <v>141382.05193743139</v>
      </c>
      <c r="T30" s="96">
        <f t="shared" si="49"/>
        <v>2.3798707390644002E-2</v>
      </c>
      <c r="U30" s="211">
        <v>1007689.3359590402</v>
      </c>
      <c r="V30" s="96">
        <f t="shared" si="50"/>
        <v>0.16962339503867618</v>
      </c>
      <c r="W30" s="211">
        <v>19119.866600290268</v>
      </c>
      <c r="X30" s="96">
        <f t="shared" si="51"/>
        <v>3.2184291027960756E-3</v>
      </c>
      <c r="Y30" s="211">
        <v>546413.63145539514</v>
      </c>
      <c r="Z30" s="96">
        <f t="shared" si="52"/>
        <v>9.1977290971990089E-2</v>
      </c>
      <c r="AA30" s="211">
        <v>1107652.0959593565</v>
      </c>
      <c r="AB30" s="96">
        <f t="shared" si="53"/>
        <v>0.18645003210192607</v>
      </c>
      <c r="AC30" s="204">
        <f t="shared" si="54"/>
        <v>1654065.7274147517</v>
      </c>
      <c r="AD30" s="96">
        <f t="shared" si="55"/>
        <v>0.27842732307391616</v>
      </c>
      <c r="AE30" s="211">
        <v>794046.66117466276</v>
      </c>
      <c r="AF30" s="96">
        <f t="shared" si="56"/>
        <v>0.13366112519131235</v>
      </c>
      <c r="AG30" s="211">
        <v>437364.43722895189</v>
      </c>
      <c r="AH30" s="96">
        <f t="shared" si="57"/>
        <v>7.3621143009664949E-2</v>
      </c>
      <c r="AI30" s="211">
        <v>403868.86969759164</v>
      </c>
      <c r="AJ30" s="96">
        <f t="shared" si="58"/>
        <v>6.7982865734447728E-2</v>
      </c>
      <c r="AK30" s="211">
        <v>313546.13264805696</v>
      </c>
      <c r="AL30" s="96">
        <f t="shared" si="59"/>
        <v>5.2778924637912755E-2</v>
      </c>
    </row>
    <row r="31" spans="2:38" ht="12">
      <c r="B31" s="79"/>
      <c r="C31" s="79"/>
      <c r="D31" s="282">
        <f t="shared" si="0"/>
        <v>25</v>
      </c>
      <c r="E31" s="282" t="s">
        <v>164</v>
      </c>
      <c r="F31" s="205">
        <f t="shared" si="23"/>
        <v>7104289</v>
      </c>
      <c r="G31" s="280"/>
      <c r="H31" s="294"/>
      <c r="I31" s="211">
        <v>640435.32445509057</v>
      </c>
      <c r="J31" s="96">
        <f t="shared" si="42"/>
        <v>9.0147701544108158E-2</v>
      </c>
      <c r="K31" s="211">
        <v>676791.94143777469</v>
      </c>
      <c r="L31" s="96">
        <f t="shared" si="43"/>
        <v>9.5265260385349562E-2</v>
      </c>
      <c r="M31" s="204">
        <f t="shared" si="44"/>
        <v>1317227.2658928651</v>
      </c>
      <c r="N31" s="96">
        <f t="shared" si="45"/>
        <v>0.18541296192945769</v>
      </c>
      <c r="O31" s="211">
        <v>103979.5967352548</v>
      </c>
      <c r="P31" s="96">
        <f t="shared" si="46"/>
        <v>1.4636172139851687E-2</v>
      </c>
      <c r="Q31" s="211">
        <v>76176.964008492796</v>
      </c>
      <c r="R31" s="96">
        <f t="shared" si="47"/>
        <v>1.0722672460043896E-2</v>
      </c>
      <c r="S31" s="204">
        <f t="shared" si="48"/>
        <v>180156.5607437476</v>
      </c>
      <c r="T31" s="96">
        <f t="shared" si="49"/>
        <v>2.5358844599895583E-2</v>
      </c>
      <c r="U31" s="211">
        <v>1193445.7656160246</v>
      </c>
      <c r="V31" s="96">
        <f t="shared" si="50"/>
        <v>0.1679894730656403</v>
      </c>
      <c r="W31" s="211">
        <v>27537.660528200086</v>
      </c>
      <c r="X31" s="96">
        <f t="shared" si="51"/>
        <v>3.876202182681488E-3</v>
      </c>
      <c r="Y31" s="211">
        <v>649670.29592440033</v>
      </c>
      <c r="Z31" s="96">
        <f t="shared" si="52"/>
        <v>9.1447616492572353E-2</v>
      </c>
      <c r="AA31" s="211">
        <v>1251638.4639341624</v>
      </c>
      <c r="AB31" s="96">
        <f t="shared" si="53"/>
        <v>0.17618067957738803</v>
      </c>
      <c r="AC31" s="204">
        <f t="shared" si="54"/>
        <v>1901308.7598585626</v>
      </c>
      <c r="AD31" s="96">
        <f t="shared" si="55"/>
        <v>0.26762829606996036</v>
      </c>
      <c r="AE31" s="211">
        <v>1010680.9609132676</v>
      </c>
      <c r="AF31" s="96">
        <f t="shared" si="56"/>
        <v>0.14226349194314414</v>
      </c>
      <c r="AG31" s="211">
        <v>708705.4724194156</v>
      </c>
      <c r="AH31" s="96">
        <f t="shared" si="57"/>
        <v>9.9757410265744487E-2</v>
      </c>
      <c r="AI31" s="211">
        <v>431556.76977459743</v>
      </c>
      <c r="AJ31" s="96">
        <f t="shared" si="58"/>
        <v>6.0745947944206298E-2</v>
      </c>
      <c r="AK31" s="211">
        <v>333669.78425331961</v>
      </c>
      <c r="AL31" s="96">
        <f t="shared" si="59"/>
        <v>4.6967371999269682E-2</v>
      </c>
    </row>
    <row r="32" spans="2:38" ht="12">
      <c r="B32" s="79"/>
      <c r="C32" s="79"/>
      <c r="D32" s="282">
        <f t="shared" si="0"/>
        <v>26</v>
      </c>
      <c r="E32" s="282" t="s">
        <v>165</v>
      </c>
      <c r="F32" s="205">
        <f t="shared" si="23"/>
        <v>6727500</v>
      </c>
      <c r="G32" s="280"/>
      <c r="H32" s="294"/>
      <c r="I32" s="211">
        <v>585770.00490763306</v>
      </c>
      <c r="J32" s="96">
        <f t="shared" si="42"/>
        <v>8.7070978061335277E-2</v>
      </c>
      <c r="K32" s="211">
        <v>675163.05855183874</v>
      </c>
      <c r="L32" s="96">
        <f t="shared" si="43"/>
        <v>0.10035868577507823</v>
      </c>
      <c r="M32" s="204">
        <f t="shared" si="44"/>
        <v>1260933.0634594718</v>
      </c>
      <c r="N32" s="96">
        <f t="shared" si="45"/>
        <v>0.18742966383641349</v>
      </c>
      <c r="O32" s="211">
        <v>99919.90734970913</v>
      </c>
      <c r="P32" s="96">
        <f t="shared" si="46"/>
        <v>1.4852457428422018E-2</v>
      </c>
      <c r="Q32" s="211">
        <v>77689.129634817567</v>
      </c>
      <c r="R32" s="96">
        <f t="shared" si="47"/>
        <v>1.1547993999972882E-2</v>
      </c>
      <c r="S32" s="204">
        <f t="shared" si="48"/>
        <v>177609.0369845267</v>
      </c>
      <c r="T32" s="96">
        <f t="shared" si="49"/>
        <v>2.6400451428394901E-2</v>
      </c>
      <c r="U32" s="211">
        <v>1183259.6294515179</v>
      </c>
      <c r="V32" s="96">
        <f t="shared" si="50"/>
        <v>0.17588400289134418</v>
      </c>
      <c r="W32" s="211">
        <v>29040.002446335064</v>
      </c>
      <c r="X32" s="96">
        <f t="shared" si="51"/>
        <v>4.3166112889386939E-3</v>
      </c>
      <c r="Y32" s="211">
        <v>606620.30973094946</v>
      </c>
      <c r="Z32" s="96">
        <f t="shared" si="52"/>
        <v>9.0170242992337335E-2</v>
      </c>
      <c r="AA32" s="211">
        <v>1239627.7647682379</v>
      </c>
      <c r="AB32" s="96">
        <f t="shared" si="53"/>
        <v>0.18426276696666488</v>
      </c>
      <c r="AC32" s="204">
        <f t="shared" si="54"/>
        <v>1846248.0744991875</v>
      </c>
      <c r="AD32" s="96">
        <f t="shared" si="55"/>
        <v>0.27443300995900222</v>
      </c>
      <c r="AE32" s="211">
        <v>891413.35873234121</v>
      </c>
      <c r="AF32" s="96">
        <f t="shared" si="56"/>
        <v>0.13250291471309419</v>
      </c>
      <c r="AG32" s="211">
        <v>525325.49689224141</v>
      </c>
      <c r="AH32" s="96">
        <f t="shared" si="57"/>
        <v>7.8086287163469548E-2</v>
      </c>
      <c r="AI32" s="211">
        <v>458714.26050627296</v>
      </c>
      <c r="AJ32" s="96">
        <f t="shared" si="58"/>
        <v>6.8184951394466439E-2</v>
      </c>
      <c r="AK32" s="211">
        <v>354957.07702810469</v>
      </c>
      <c r="AL32" s="96">
        <f t="shared" si="59"/>
        <v>5.2762107324876205E-2</v>
      </c>
    </row>
    <row r="33" spans="2:38" ht="12">
      <c r="B33" s="79"/>
      <c r="C33" s="79"/>
      <c r="D33" s="395">
        <f t="shared" si="0"/>
        <v>27</v>
      </c>
      <c r="E33" s="395" t="s">
        <v>166</v>
      </c>
      <c r="F33" s="205">
        <f t="shared" si="23"/>
        <v>0</v>
      </c>
      <c r="G33" s="280">
        <f>SUM(F33:F39)</f>
        <v>0</v>
      </c>
      <c r="H33" s="294"/>
      <c r="I33" s="211"/>
      <c r="J33" s="96" t="e">
        <f t="shared" si="42"/>
        <v>#DIV/0!</v>
      </c>
      <c r="K33" s="211"/>
      <c r="L33" s="96" t="e">
        <f t="shared" si="43"/>
        <v>#DIV/0!</v>
      </c>
      <c r="M33" s="204">
        <f t="shared" si="44"/>
        <v>0</v>
      </c>
      <c r="N33" s="96" t="e">
        <f t="shared" si="45"/>
        <v>#DIV/0!</v>
      </c>
      <c r="O33" s="211"/>
      <c r="P33" s="96" t="e">
        <f t="shared" si="46"/>
        <v>#DIV/0!</v>
      </c>
      <c r="Q33" s="211"/>
      <c r="R33" s="96" t="e">
        <f t="shared" si="47"/>
        <v>#DIV/0!</v>
      </c>
      <c r="S33" s="204">
        <f t="shared" si="48"/>
        <v>0</v>
      </c>
      <c r="T33" s="96" t="e">
        <f t="shared" si="49"/>
        <v>#DIV/0!</v>
      </c>
      <c r="U33" s="211"/>
      <c r="V33" s="96" t="e">
        <f t="shared" si="50"/>
        <v>#DIV/0!</v>
      </c>
      <c r="W33" s="211"/>
      <c r="X33" s="96" t="e">
        <f t="shared" si="51"/>
        <v>#DIV/0!</v>
      </c>
      <c r="Y33" s="211"/>
      <c r="Z33" s="96" t="e">
        <f t="shared" si="52"/>
        <v>#DIV/0!</v>
      </c>
      <c r="AA33" s="211"/>
      <c r="AB33" s="96" t="e">
        <f t="shared" si="53"/>
        <v>#DIV/0!</v>
      </c>
      <c r="AC33" s="204">
        <f t="shared" si="54"/>
        <v>0</v>
      </c>
      <c r="AD33" s="96" t="e">
        <f t="shared" si="55"/>
        <v>#DIV/0!</v>
      </c>
      <c r="AE33" s="211"/>
      <c r="AF33" s="96" t="e">
        <f t="shared" si="56"/>
        <v>#DIV/0!</v>
      </c>
      <c r="AG33" s="211"/>
      <c r="AH33" s="96" t="e">
        <f t="shared" si="57"/>
        <v>#DIV/0!</v>
      </c>
      <c r="AI33" s="211"/>
      <c r="AJ33" s="96" t="e">
        <f t="shared" si="58"/>
        <v>#DIV/0!</v>
      </c>
      <c r="AK33" s="211"/>
      <c r="AL33" s="96" t="e">
        <f t="shared" si="59"/>
        <v>#DIV/0!</v>
      </c>
    </row>
    <row r="34" spans="2:38" ht="12">
      <c r="B34" s="79"/>
      <c r="C34" s="79"/>
      <c r="D34" s="395">
        <f t="shared" si="0"/>
        <v>28</v>
      </c>
      <c r="E34" s="395" t="s">
        <v>167</v>
      </c>
      <c r="F34" s="205">
        <f t="shared" si="23"/>
        <v>0</v>
      </c>
      <c r="G34" s="280"/>
      <c r="H34" s="294"/>
      <c r="I34" s="211"/>
      <c r="J34" s="96" t="e">
        <f t="shared" si="42"/>
        <v>#DIV/0!</v>
      </c>
      <c r="K34" s="211"/>
      <c r="L34" s="96" t="e">
        <f t="shared" si="43"/>
        <v>#DIV/0!</v>
      </c>
      <c r="M34" s="204">
        <f t="shared" si="44"/>
        <v>0</v>
      </c>
      <c r="N34" s="96" t="e">
        <f t="shared" si="45"/>
        <v>#DIV/0!</v>
      </c>
      <c r="O34" s="211"/>
      <c r="P34" s="96" t="e">
        <f t="shared" si="46"/>
        <v>#DIV/0!</v>
      </c>
      <c r="Q34" s="211"/>
      <c r="R34" s="96" t="e">
        <f t="shared" si="47"/>
        <v>#DIV/0!</v>
      </c>
      <c r="S34" s="204">
        <f t="shared" si="48"/>
        <v>0</v>
      </c>
      <c r="T34" s="96" t="e">
        <f t="shared" si="49"/>
        <v>#DIV/0!</v>
      </c>
      <c r="U34" s="211"/>
      <c r="V34" s="96" t="e">
        <f t="shared" si="50"/>
        <v>#DIV/0!</v>
      </c>
      <c r="W34" s="211"/>
      <c r="X34" s="96" t="e">
        <f t="shared" si="51"/>
        <v>#DIV/0!</v>
      </c>
      <c r="Y34" s="211"/>
      <c r="Z34" s="96" t="e">
        <f t="shared" si="52"/>
        <v>#DIV/0!</v>
      </c>
      <c r="AA34" s="211"/>
      <c r="AB34" s="96" t="e">
        <f t="shared" si="53"/>
        <v>#DIV/0!</v>
      </c>
      <c r="AC34" s="204">
        <f t="shared" si="54"/>
        <v>0</v>
      </c>
      <c r="AD34" s="96" t="e">
        <f t="shared" si="55"/>
        <v>#DIV/0!</v>
      </c>
      <c r="AE34" s="211"/>
      <c r="AF34" s="96" t="e">
        <f t="shared" si="56"/>
        <v>#DIV/0!</v>
      </c>
      <c r="AG34" s="211"/>
      <c r="AH34" s="96" t="e">
        <f t="shared" si="57"/>
        <v>#DIV/0!</v>
      </c>
      <c r="AI34" s="211"/>
      <c r="AJ34" s="96" t="e">
        <f t="shared" si="58"/>
        <v>#DIV/0!</v>
      </c>
      <c r="AK34" s="211"/>
      <c r="AL34" s="96" t="e">
        <f t="shared" si="59"/>
        <v>#DIV/0!</v>
      </c>
    </row>
    <row r="35" spans="2:38" ht="12">
      <c r="B35" s="79"/>
      <c r="C35" s="79"/>
      <c r="D35" s="395">
        <f t="shared" si="0"/>
        <v>29</v>
      </c>
      <c r="E35" s="395" t="s">
        <v>161</v>
      </c>
      <c r="F35" s="205">
        <f t="shared" si="23"/>
        <v>0</v>
      </c>
      <c r="G35" s="280"/>
      <c r="H35" s="294"/>
      <c r="I35" s="211"/>
      <c r="J35" s="96" t="e">
        <f t="shared" si="42"/>
        <v>#DIV/0!</v>
      </c>
      <c r="K35" s="211"/>
      <c r="L35" s="96" t="e">
        <f t="shared" si="43"/>
        <v>#DIV/0!</v>
      </c>
      <c r="M35" s="204">
        <f t="shared" si="44"/>
        <v>0</v>
      </c>
      <c r="N35" s="96" t="e">
        <f t="shared" si="45"/>
        <v>#DIV/0!</v>
      </c>
      <c r="O35" s="211"/>
      <c r="P35" s="96" t="e">
        <f t="shared" si="46"/>
        <v>#DIV/0!</v>
      </c>
      <c r="Q35" s="211"/>
      <c r="R35" s="96" t="e">
        <f t="shared" si="47"/>
        <v>#DIV/0!</v>
      </c>
      <c r="S35" s="204">
        <f t="shared" si="48"/>
        <v>0</v>
      </c>
      <c r="T35" s="96" t="e">
        <f t="shared" si="49"/>
        <v>#DIV/0!</v>
      </c>
      <c r="U35" s="211"/>
      <c r="V35" s="96" t="e">
        <f t="shared" si="50"/>
        <v>#DIV/0!</v>
      </c>
      <c r="W35" s="211"/>
      <c r="X35" s="96" t="e">
        <f t="shared" si="51"/>
        <v>#DIV/0!</v>
      </c>
      <c r="Y35" s="211"/>
      <c r="Z35" s="96" t="e">
        <f t="shared" si="52"/>
        <v>#DIV/0!</v>
      </c>
      <c r="AA35" s="211"/>
      <c r="AB35" s="96" t="e">
        <f t="shared" si="53"/>
        <v>#DIV/0!</v>
      </c>
      <c r="AC35" s="204">
        <f t="shared" si="54"/>
        <v>0</v>
      </c>
      <c r="AD35" s="96" t="e">
        <f t="shared" si="55"/>
        <v>#DIV/0!</v>
      </c>
      <c r="AE35" s="211"/>
      <c r="AF35" s="96" t="e">
        <f t="shared" si="56"/>
        <v>#DIV/0!</v>
      </c>
      <c r="AG35" s="211"/>
      <c r="AH35" s="96" t="e">
        <f t="shared" si="57"/>
        <v>#DIV/0!</v>
      </c>
      <c r="AI35" s="211"/>
      <c r="AJ35" s="96" t="e">
        <f t="shared" si="58"/>
        <v>#DIV/0!</v>
      </c>
      <c r="AK35" s="211"/>
      <c r="AL35" s="96" t="e">
        <f t="shared" si="59"/>
        <v>#DIV/0!</v>
      </c>
    </row>
    <row r="36" spans="2:38" ht="12">
      <c r="B36" s="79"/>
      <c r="C36" s="79"/>
      <c r="D36" s="395">
        <f t="shared" si="0"/>
        <v>30</v>
      </c>
      <c r="E36" s="395" t="s">
        <v>162</v>
      </c>
      <c r="F36" s="205">
        <f t="shared" si="23"/>
        <v>0</v>
      </c>
      <c r="G36" s="280"/>
      <c r="H36" s="294"/>
      <c r="I36" s="211"/>
      <c r="J36" s="96" t="e">
        <f t="shared" si="42"/>
        <v>#DIV/0!</v>
      </c>
      <c r="K36" s="211"/>
      <c r="L36" s="96" t="e">
        <f t="shared" si="43"/>
        <v>#DIV/0!</v>
      </c>
      <c r="M36" s="204">
        <f t="shared" si="44"/>
        <v>0</v>
      </c>
      <c r="N36" s="96" t="e">
        <f t="shared" si="45"/>
        <v>#DIV/0!</v>
      </c>
      <c r="O36" s="211"/>
      <c r="P36" s="96" t="e">
        <f t="shared" si="46"/>
        <v>#DIV/0!</v>
      </c>
      <c r="Q36" s="211"/>
      <c r="R36" s="96" t="e">
        <f t="shared" si="47"/>
        <v>#DIV/0!</v>
      </c>
      <c r="S36" s="204">
        <f t="shared" si="48"/>
        <v>0</v>
      </c>
      <c r="T36" s="96" t="e">
        <f t="shared" si="49"/>
        <v>#DIV/0!</v>
      </c>
      <c r="U36" s="211"/>
      <c r="V36" s="96" t="e">
        <f t="shared" si="50"/>
        <v>#DIV/0!</v>
      </c>
      <c r="W36" s="211"/>
      <c r="X36" s="96" t="e">
        <f t="shared" si="51"/>
        <v>#DIV/0!</v>
      </c>
      <c r="Y36" s="211"/>
      <c r="Z36" s="96" t="e">
        <f t="shared" si="52"/>
        <v>#DIV/0!</v>
      </c>
      <c r="AA36" s="211"/>
      <c r="AB36" s="96" t="e">
        <f t="shared" si="53"/>
        <v>#DIV/0!</v>
      </c>
      <c r="AC36" s="204">
        <f t="shared" si="54"/>
        <v>0</v>
      </c>
      <c r="AD36" s="96" t="e">
        <f t="shared" si="55"/>
        <v>#DIV/0!</v>
      </c>
      <c r="AE36" s="211"/>
      <c r="AF36" s="96" t="e">
        <f t="shared" si="56"/>
        <v>#DIV/0!</v>
      </c>
      <c r="AG36" s="211"/>
      <c r="AH36" s="96" t="e">
        <f t="shared" si="57"/>
        <v>#DIV/0!</v>
      </c>
      <c r="AI36" s="211"/>
      <c r="AJ36" s="96" t="e">
        <f t="shared" si="58"/>
        <v>#DIV/0!</v>
      </c>
      <c r="AK36" s="211"/>
      <c r="AL36" s="96" t="e">
        <f t="shared" si="59"/>
        <v>#DIV/0!</v>
      </c>
    </row>
    <row r="37" spans="2:38" ht="12">
      <c r="B37" s="79"/>
      <c r="C37" s="79"/>
      <c r="D37" s="395">
        <f t="shared" si="0"/>
        <v>31</v>
      </c>
      <c r="E37" s="395" t="s">
        <v>163</v>
      </c>
      <c r="F37" s="205">
        <f t="shared" si="23"/>
        <v>0</v>
      </c>
      <c r="G37" s="280"/>
      <c r="H37" s="294"/>
      <c r="I37" s="211"/>
      <c r="J37" s="96" t="e">
        <f t="shared" si="42"/>
        <v>#DIV/0!</v>
      </c>
      <c r="K37" s="211"/>
      <c r="L37" s="96" t="e">
        <f t="shared" si="43"/>
        <v>#DIV/0!</v>
      </c>
      <c r="M37" s="204">
        <f t="shared" si="44"/>
        <v>0</v>
      </c>
      <c r="N37" s="96" t="e">
        <f t="shared" si="45"/>
        <v>#DIV/0!</v>
      </c>
      <c r="O37" s="211"/>
      <c r="P37" s="96" t="e">
        <f t="shared" si="46"/>
        <v>#DIV/0!</v>
      </c>
      <c r="Q37" s="211"/>
      <c r="R37" s="96" t="e">
        <f t="shared" si="47"/>
        <v>#DIV/0!</v>
      </c>
      <c r="S37" s="204">
        <f t="shared" si="48"/>
        <v>0</v>
      </c>
      <c r="T37" s="96" t="e">
        <f t="shared" si="49"/>
        <v>#DIV/0!</v>
      </c>
      <c r="U37" s="211"/>
      <c r="V37" s="96" t="e">
        <f t="shared" si="50"/>
        <v>#DIV/0!</v>
      </c>
      <c r="W37" s="211"/>
      <c r="X37" s="96" t="e">
        <f t="shared" si="51"/>
        <v>#DIV/0!</v>
      </c>
      <c r="Y37" s="211"/>
      <c r="Z37" s="96" t="e">
        <f t="shared" si="52"/>
        <v>#DIV/0!</v>
      </c>
      <c r="AA37" s="211"/>
      <c r="AB37" s="96" t="e">
        <f t="shared" si="53"/>
        <v>#DIV/0!</v>
      </c>
      <c r="AC37" s="204">
        <f t="shared" si="54"/>
        <v>0</v>
      </c>
      <c r="AD37" s="96" t="e">
        <f t="shared" si="55"/>
        <v>#DIV/0!</v>
      </c>
      <c r="AE37" s="211"/>
      <c r="AF37" s="96" t="e">
        <f t="shared" si="56"/>
        <v>#DIV/0!</v>
      </c>
      <c r="AG37" s="211"/>
      <c r="AH37" s="96" t="e">
        <f t="shared" si="57"/>
        <v>#DIV/0!</v>
      </c>
      <c r="AI37" s="211"/>
      <c r="AJ37" s="96" t="e">
        <f t="shared" si="58"/>
        <v>#DIV/0!</v>
      </c>
      <c r="AK37" s="211"/>
      <c r="AL37" s="96" t="e">
        <f t="shared" si="59"/>
        <v>#DIV/0!</v>
      </c>
    </row>
    <row r="38" spans="2:38" ht="12">
      <c r="B38" s="79"/>
      <c r="C38" s="79"/>
      <c r="D38" s="395">
        <f t="shared" si="0"/>
        <v>32</v>
      </c>
      <c r="E38" s="395" t="s">
        <v>164</v>
      </c>
      <c r="F38" s="205">
        <f t="shared" si="23"/>
        <v>0</v>
      </c>
      <c r="G38" s="280"/>
      <c r="H38" s="294"/>
      <c r="I38" s="211"/>
      <c r="J38" s="96" t="e">
        <f t="shared" si="42"/>
        <v>#DIV/0!</v>
      </c>
      <c r="K38" s="211"/>
      <c r="L38" s="96" t="e">
        <f t="shared" si="43"/>
        <v>#DIV/0!</v>
      </c>
      <c r="M38" s="204">
        <f t="shared" si="44"/>
        <v>0</v>
      </c>
      <c r="N38" s="96" t="e">
        <f t="shared" si="45"/>
        <v>#DIV/0!</v>
      </c>
      <c r="O38" s="211"/>
      <c r="P38" s="96" t="e">
        <f t="shared" si="46"/>
        <v>#DIV/0!</v>
      </c>
      <c r="Q38" s="211"/>
      <c r="R38" s="96" t="e">
        <f t="shared" si="47"/>
        <v>#DIV/0!</v>
      </c>
      <c r="S38" s="204">
        <f t="shared" si="48"/>
        <v>0</v>
      </c>
      <c r="T38" s="96" t="e">
        <f t="shared" si="49"/>
        <v>#DIV/0!</v>
      </c>
      <c r="U38" s="211"/>
      <c r="V38" s="96" t="e">
        <f t="shared" si="50"/>
        <v>#DIV/0!</v>
      </c>
      <c r="W38" s="211"/>
      <c r="X38" s="96" t="e">
        <f t="shared" si="51"/>
        <v>#DIV/0!</v>
      </c>
      <c r="Y38" s="211"/>
      <c r="Z38" s="96" t="e">
        <f t="shared" si="52"/>
        <v>#DIV/0!</v>
      </c>
      <c r="AA38" s="211"/>
      <c r="AB38" s="96" t="e">
        <f t="shared" si="53"/>
        <v>#DIV/0!</v>
      </c>
      <c r="AC38" s="204">
        <f t="shared" si="54"/>
        <v>0</v>
      </c>
      <c r="AD38" s="96" t="e">
        <f t="shared" si="55"/>
        <v>#DIV/0!</v>
      </c>
      <c r="AE38" s="211"/>
      <c r="AF38" s="96" t="e">
        <f t="shared" si="56"/>
        <v>#DIV/0!</v>
      </c>
      <c r="AG38" s="211"/>
      <c r="AH38" s="96" t="e">
        <f t="shared" si="57"/>
        <v>#DIV/0!</v>
      </c>
      <c r="AI38" s="211"/>
      <c r="AJ38" s="96" t="e">
        <f t="shared" si="58"/>
        <v>#DIV/0!</v>
      </c>
      <c r="AK38" s="211"/>
      <c r="AL38" s="96" t="e">
        <f t="shared" si="59"/>
        <v>#DIV/0!</v>
      </c>
    </row>
    <row r="39" spans="2:38" ht="12">
      <c r="B39" s="79"/>
      <c r="C39" s="75"/>
      <c r="D39" s="395">
        <f t="shared" si="0"/>
        <v>33</v>
      </c>
      <c r="E39" s="395" t="s">
        <v>165</v>
      </c>
      <c r="F39" s="205">
        <f t="shared" si="23"/>
        <v>0</v>
      </c>
      <c r="G39" s="280"/>
      <c r="H39" s="93"/>
      <c r="I39" s="211"/>
      <c r="J39" s="96" t="e">
        <f t="shared" si="42"/>
        <v>#DIV/0!</v>
      </c>
      <c r="K39" s="211"/>
      <c r="L39" s="96" t="e">
        <f t="shared" si="43"/>
        <v>#DIV/0!</v>
      </c>
      <c r="M39" s="204">
        <f t="shared" si="44"/>
        <v>0</v>
      </c>
      <c r="N39" s="96" t="e">
        <f t="shared" si="45"/>
        <v>#DIV/0!</v>
      </c>
      <c r="O39" s="211"/>
      <c r="P39" s="96" t="e">
        <f t="shared" si="46"/>
        <v>#DIV/0!</v>
      </c>
      <c r="Q39" s="211"/>
      <c r="R39" s="96" t="e">
        <f t="shared" si="47"/>
        <v>#DIV/0!</v>
      </c>
      <c r="S39" s="204">
        <f t="shared" si="48"/>
        <v>0</v>
      </c>
      <c r="T39" s="96" t="e">
        <f t="shared" si="49"/>
        <v>#DIV/0!</v>
      </c>
      <c r="U39" s="211"/>
      <c r="V39" s="96" t="e">
        <f t="shared" si="50"/>
        <v>#DIV/0!</v>
      </c>
      <c r="W39" s="211"/>
      <c r="X39" s="96" t="e">
        <f t="shared" si="51"/>
        <v>#DIV/0!</v>
      </c>
      <c r="Y39" s="211"/>
      <c r="Z39" s="96" t="e">
        <f t="shared" si="52"/>
        <v>#DIV/0!</v>
      </c>
      <c r="AA39" s="211"/>
      <c r="AB39" s="96" t="e">
        <f t="shared" si="53"/>
        <v>#DIV/0!</v>
      </c>
      <c r="AC39" s="204">
        <f t="shared" si="54"/>
        <v>0</v>
      </c>
      <c r="AD39" s="96" t="e">
        <f t="shared" si="55"/>
        <v>#DIV/0!</v>
      </c>
      <c r="AE39" s="211"/>
      <c r="AF39" s="96" t="e">
        <f t="shared" si="56"/>
        <v>#DIV/0!</v>
      </c>
      <c r="AG39" s="211"/>
      <c r="AH39" s="96" t="e">
        <f t="shared" si="57"/>
        <v>#DIV/0!</v>
      </c>
      <c r="AI39" s="211"/>
      <c r="AJ39" s="96" t="e">
        <f t="shared" si="58"/>
        <v>#DIV/0!</v>
      </c>
      <c r="AK39" s="211"/>
      <c r="AL39" s="96" t="e">
        <f t="shared" si="59"/>
        <v>#DIV/0!</v>
      </c>
    </row>
    <row r="40" spans="2:38" ht="12">
      <c r="B40" s="79"/>
      <c r="C40" s="75"/>
      <c r="D40" s="82"/>
      <c r="E40" s="82"/>
      <c r="F40" s="205">
        <f t="shared" si="23"/>
        <v>0</v>
      </c>
      <c r="G40" s="280"/>
      <c r="H40" s="93"/>
      <c r="I40" s="211"/>
      <c r="J40" s="96" t="e">
        <f t="shared" si="42"/>
        <v>#DIV/0!</v>
      </c>
      <c r="K40" s="211"/>
      <c r="L40" s="96" t="e">
        <f t="shared" si="43"/>
        <v>#DIV/0!</v>
      </c>
      <c r="M40" s="204">
        <f t="shared" si="44"/>
        <v>0</v>
      </c>
      <c r="N40" s="96" t="e">
        <f t="shared" si="45"/>
        <v>#DIV/0!</v>
      </c>
      <c r="O40" s="211"/>
      <c r="P40" s="96" t="e">
        <f t="shared" si="46"/>
        <v>#DIV/0!</v>
      </c>
      <c r="Q40" s="211"/>
      <c r="R40" s="96" t="e">
        <f t="shared" si="47"/>
        <v>#DIV/0!</v>
      </c>
      <c r="S40" s="204">
        <f t="shared" si="48"/>
        <v>0</v>
      </c>
      <c r="T40" s="96" t="e">
        <f t="shared" si="49"/>
        <v>#DIV/0!</v>
      </c>
      <c r="U40" s="211"/>
      <c r="V40" s="96" t="e">
        <f t="shared" si="50"/>
        <v>#DIV/0!</v>
      </c>
      <c r="W40" s="211"/>
      <c r="X40" s="96" t="e">
        <f t="shared" si="51"/>
        <v>#DIV/0!</v>
      </c>
      <c r="Y40" s="211"/>
      <c r="Z40" s="96" t="e">
        <f t="shared" si="52"/>
        <v>#DIV/0!</v>
      </c>
      <c r="AA40" s="211"/>
      <c r="AB40" s="96" t="e">
        <f t="shared" si="53"/>
        <v>#DIV/0!</v>
      </c>
      <c r="AC40" s="204">
        <f t="shared" si="54"/>
        <v>0</v>
      </c>
      <c r="AD40" s="96" t="e">
        <f t="shared" si="55"/>
        <v>#DIV/0!</v>
      </c>
      <c r="AE40" s="211"/>
      <c r="AF40" s="96" t="e">
        <f t="shared" si="56"/>
        <v>#DIV/0!</v>
      </c>
      <c r="AG40" s="211"/>
      <c r="AH40" s="96" t="e">
        <f t="shared" si="57"/>
        <v>#DIV/0!</v>
      </c>
      <c r="AI40" s="211"/>
      <c r="AJ40" s="96" t="e">
        <f t="shared" si="58"/>
        <v>#DIV/0!</v>
      </c>
      <c r="AK40" s="211"/>
      <c r="AL40" s="96" t="e">
        <f t="shared" si="59"/>
        <v>#DIV/0!</v>
      </c>
    </row>
    <row r="41" spans="2:38" ht="12">
      <c r="B41" s="79"/>
      <c r="C41" s="75"/>
      <c r="D41" s="82"/>
      <c r="E41" s="82"/>
      <c r="F41" s="205">
        <f t="shared" si="23"/>
        <v>0</v>
      </c>
      <c r="G41" s="280"/>
      <c r="H41" s="93"/>
      <c r="I41" s="211"/>
      <c r="J41" s="96" t="e">
        <f t="shared" si="42"/>
        <v>#DIV/0!</v>
      </c>
      <c r="K41" s="211"/>
      <c r="L41" s="96" t="e">
        <f t="shared" si="43"/>
        <v>#DIV/0!</v>
      </c>
      <c r="M41" s="204">
        <f t="shared" si="44"/>
        <v>0</v>
      </c>
      <c r="N41" s="96" t="e">
        <f t="shared" si="45"/>
        <v>#DIV/0!</v>
      </c>
      <c r="O41" s="211"/>
      <c r="P41" s="96" t="e">
        <f t="shared" si="46"/>
        <v>#DIV/0!</v>
      </c>
      <c r="Q41" s="211"/>
      <c r="R41" s="96" t="e">
        <f t="shared" si="47"/>
        <v>#DIV/0!</v>
      </c>
      <c r="S41" s="204">
        <f t="shared" si="48"/>
        <v>0</v>
      </c>
      <c r="T41" s="96" t="e">
        <f t="shared" si="49"/>
        <v>#DIV/0!</v>
      </c>
      <c r="U41" s="211"/>
      <c r="V41" s="96" t="e">
        <f t="shared" si="50"/>
        <v>#DIV/0!</v>
      </c>
      <c r="W41" s="211"/>
      <c r="X41" s="96" t="e">
        <f t="shared" si="51"/>
        <v>#DIV/0!</v>
      </c>
      <c r="Y41" s="211"/>
      <c r="Z41" s="96" t="e">
        <f t="shared" si="52"/>
        <v>#DIV/0!</v>
      </c>
      <c r="AA41" s="211"/>
      <c r="AB41" s="96" t="e">
        <f t="shared" si="53"/>
        <v>#DIV/0!</v>
      </c>
      <c r="AC41" s="204">
        <f t="shared" si="54"/>
        <v>0</v>
      </c>
      <c r="AD41" s="96" t="e">
        <f t="shared" si="55"/>
        <v>#DIV/0!</v>
      </c>
      <c r="AE41" s="211"/>
      <c r="AF41" s="96" t="e">
        <f t="shared" si="56"/>
        <v>#DIV/0!</v>
      </c>
      <c r="AG41" s="211"/>
      <c r="AH41" s="96" t="e">
        <f t="shared" si="57"/>
        <v>#DIV/0!</v>
      </c>
      <c r="AI41" s="211"/>
      <c r="AJ41" s="96" t="e">
        <f t="shared" si="58"/>
        <v>#DIV/0!</v>
      </c>
      <c r="AK41" s="211"/>
      <c r="AL41" s="96" t="e">
        <f t="shared" si="59"/>
        <v>#DIV/0!</v>
      </c>
    </row>
    <row r="42" spans="2:38" ht="12">
      <c r="B42" s="79"/>
      <c r="C42" s="75"/>
      <c r="D42" s="82"/>
      <c r="E42" s="82"/>
      <c r="F42" s="205">
        <f t="shared" si="23"/>
        <v>0</v>
      </c>
      <c r="G42" s="280"/>
      <c r="H42" s="93"/>
      <c r="I42" s="211"/>
      <c r="J42" s="96" t="e">
        <f>I42/F42</f>
        <v>#DIV/0!</v>
      </c>
      <c r="K42" s="211"/>
      <c r="L42" s="96" t="e">
        <f>K42/F42</f>
        <v>#DIV/0!</v>
      </c>
      <c r="M42" s="204">
        <f>SUM(I42+K42)</f>
        <v>0</v>
      </c>
      <c r="N42" s="96" t="e">
        <f>M42/F42</f>
        <v>#DIV/0!</v>
      </c>
      <c r="O42" s="211"/>
      <c r="P42" s="96" t="e">
        <f>O42/F42</f>
        <v>#DIV/0!</v>
      </c>
      <c r="Q42" s="211"/>
      <c r="R42" s="96" t="e">
        <f t="shared" si="47"/>
        <v>#DIV/0!</v>
      </c>
      <c r="S42" s="204">
        <f t="shared" si="48"/>
        <v>0</v>
      </c>
      <c r="T42" s="96" t="e">
        <f>S42/F42</f>
        <v>#DIV/0!</v>
      </c>
      <c r="U42" s="211"/>
      <c r="V42" s="96" t="e">
        <f>U42/F42</f>
        <v>#DIV/0!</v>
      </c>
      <c r="W42" s="211"/>
      <c r="X42" s="96" t="e">
        <f>W42/F42</f>
        <v>#DIV/0!</v>
      </c>
      <c r="Y42" s="211"/>
      <c r="Z42" s="96" t="e">
        <f>Y42/F42</f>
        <v>#DIV/0!</v>
      </c>
      <c r="AA42" s="211"/>
      <c r="AB42" s="96" t="e">
        <f t="shared" si="53"/>
        <v>#DIV/0!</v>
      </c>
      <c r="AC42" s="204">
        <f>SUM(Y42+AA42)</f>
        <v>0</v>
      </c>
      <c r="AD42" s="96" t="e">
        <f>AC42/F42</f>
        <v>#DIV/0!</v>
      </c>
      <c r="AE42" s="211"/>
      <c r="AF42" s="96" t="e">
        <f>AE42/F42</f>
        <v>#DIV/0!</v>
      </c>
      <c r="AG42" s="211"/>
      <c r="AH42" s="96" t="e">
        <f>AG42/F42</f>
        <v>#DIV/0!</v>
      </c>
      <c r="AI42" s="211"/>
      <c r="AJ42" s="96" t="e">
        <f>AI42/F42</f>
        <v>#DIV/0!</v>
      </c>
      <c r="AK42" s="211"/>
      <c r="AL42" s="96" t="e">
        <f>AK42/F42</f>
        <v>#DIV/0!</v>
      </c>
    </row>
    <row r="43" spans="2:38" ht="12">
      <c r="B43" s="79"/>
      <c r="C43" s="75"/>
      <c r="D43" s="82"/>
      <c r="E43" s="82"/>
      <c r="F43" s="205">
        <f t="shared" si="23"/>
        <v>0</v>
      </c>
      <c r="G43" s="280"/>
      <c r="H43" s="93"/>
      <c r="I43" s="211"/>
      <c r="J43" s="96" t="e">
        <f>I43/F43</f>
        <v>#DIV/0!</v>
      </c>
      <c r="K43" s="211"/>
      <c r="L43" s="96" t="e">
        <f>K43/F43</f>
        <v>#DIV/0!</v>
      </c>
      <c r="M43" s="204">
        <f>SUM(I43+K43)</f>
        <v>0</v>
      </c>
      <c r="N43" s="96" t="e">
        <f>M43/F43</f>
        <v>#DIV/0!</v>
      </c>
      <c r="O43" s="211"/>
      <c r="P43" s="96" t="e">
        <f>O43/F43</f>
        <v>#DIV/0!</v>
      </c>
      <c r="Q43" s="211"/>
      <c r="R43" s="96" t="e">
        <f t="shared" si="47"/>
        <v>#DIV/0!</v>
      </c>
      <c r="S43" s="204">
        <f t="shared" si="48"/>
        <v>0</v>
      </c>
      <c r="T43" s="96" t="e">
        <f>S43/F43</f>
        <v>#DIV/0!</v>
      </c>
      <c r="U43" s="211"/>
      <c r="V43" s="96" t="e">
        <f>U43/F43</f>
        <v>#DIV/0!</v>
      </c>
      <c r="W43" s="211"/>
      <c r="X43" s="96" t="e">
        <f>W43/F43</f>
        <v>#DIV/0!</v>
      </c>
      <c r="Y43" s="211"/>
      <c r="Z43" s="96" t="e">
        <f>Y43/F43</f>
        <v>#DIV/0!</v>
      </c>
      <c r="AA43" s="211"/>
      <c r="AB43" s="96" t="e">
        <f t="shared" si="53"/>
        <v>#DIV/0!</v>
      </c>
      <c r="AC43" s="204">
        <f>SUM(Y43+AA43)</f>
        <v>0</v>
      </c>
      <c r="AD43" s="96" t="e">
        <f>AC43/F43</f>
        <v>#DIV/0!</v>
      </c>
      <c r="AE43" s="211"/>
      <c r="AF43" s="96" t="e">
        <f>AE43/F43</f>
        <v>#DIV/0!</v>
      </c>
      <c r="AG43" s="211"/>
      <c r="AH43" s="96" t="e">
        <f>AG43/F43</f>
        <v>#DIV/0!</v>
      </c>
      <c r="AI43" s="211"/>
      <c r="AJ43" s="96" t="e">
        <f>AI43/F43</f>
        <v>#DIV/0!</v>
      </c>
      <c r="AK43" s="211"/>
      <c r="AL43" s="96" t="e">
        <f>AK43/F43</f>
        <v>#DIV/0!</v>
      </c>
    </row>
    <row r="44" spans="2:38" ht="12">
      <c r="B44" s="79"/>
      <c r="C44" s="75"/>
      <c r="D44" s="82"/>
      <c r="E44" s="82"/>
      <c r="F44" s="205">
        <f t="shared" si="23"/>
        <v>0</v>
      </c>
      <c r="G44" s="205"/>
      <c r="H44" s="93"/>
      <c r="I44" s="211"/>
      <c r="J44" s="96" t="e">
        <f>I44/F44</f>
        <v>#DIV/0!</v>
      </c>
      <c r="K44" s="211"/>
      <c r="L44" s="96" t="e">
        <f>K44/F44</f>
        <v>#DIV/0!</v>
      </c>
      <c r="M44" s="204">
        <f>SUM(I44+K44)</f>
        <v>0</v>
      </c>
      <c r="N44" s="96" t="e">
        <f>M44/F44</f>
        <v>#DIV/0!</v>
      </c>
      <c r="O44" s="211"/>
      <c r="P44" s="96" t="e">
        <f>O44/F44</f>
        <v>#DIV/0!</v>
      </c>
      <c r="Q44" s="211"/>
      <c r="R44" s="96" t="e">
        <f t="shared" si="47"/>
        <v>#DIV/0!</v>
      </c>
      <c r="S44" s="204">
        <f t="shared" si="48"/>
        <v>0</v>
      </c>
      <c r="T44" s="96" t="e">
        <f>S44/F44</f>
        <v>#DIV/0!</v>
      </c>
      <c r="U44" s="211"/>
      <c r="V44" s="96" t="e">
        <f>U44/F44</f>
        <v>#DIV/0!</v>
      </c>
      <c r="W44" s="211"/>
      <c r="X44" s="96" t="e">
        <f>W44/F44</f>
        <v>#DIV/0!</v>
      </c>
      <c r="Y44" s="211"/>
      <c r="Z44" s="96" t="e">
        <f>Y44/F44</f>
        <v>#DIV/0!</v>
      </c>
      <c r="AA44" s="211"/>
      <c r="AB44" s="96" t="e">
        <f t="shared" si="53"/>
        <v>#DIV/0!</v>
      </c>
      <c r="AC44" s="204">
        <f>SUM(Y44+AA44)</f>
        <v>0</v>
      </c>
      <c r="AD44" s="96" t="e">
        <f>AC44/F44</f>
        <v>#DIV/0!</v>
      </c>
      <c r="AE44" s="211"/>
      <c r="AF44" s="96" t="e">
        <f>AE44/F44</f>
        <v>#DIV/0!</v>
      </c>
      <c r="AG44" s="211"/>
      <c r="AH44" s="96" t="e">
        <f>AG44/F44</f>
        <v>#DIV/0!</v>
      </c>
      <c r="AI44" s="211"/>
      <c r="AJ44" s="96" t="e">
        <f>AI44/F44</f>
        <v>#DIV/0!</v>
      </c>
      <c r="AK44" s="211"/>
      <c r="AL44" s="96" t="e">
        <f>AK44/F44</f>
        <v>#DIV/0!</v>
      </c>
    </row>
    <row r="45" spans="2:38" ht="12">
      <c r="B45" s="79"/>
      <c r="C45" s="75"/>
      <c r="D45" s="82"/>
      <c r="E45" s="82"/>
      <c r="F45" s="205">
        <f t="shared" si="23"/>
        <v>0</v>
      </c>
      <c r="G45" s="205"/>
      <c r="H45" s="93"/>
      <c r="I45" s="211"/>
      <c r="J45" s="96" t="e">
        <f>I45/F45</f>
        <v>#DIV/0!</v>
      </c>
      <c r="K45" s="211"/>
      <c r="L45" s="96" t="e">
        <f>K45/F45</f>
        <v>#DIV/0!</v>
      </c>
      <c r="M45" s="204">
        <f>SUM(I45+K45)</f>
        <v>0</v>
      </c>
      <c r="N45" s="96" t="e">
        <f>M45/F45</f>
        <v>#DIV/0!</v>
      </c>
      <c r="O45" s="211"/>
      <c r="P45" s="96" t="e">
        <f>O45/F45</f>
        <v>#DIV/0!</v>
      </c>
      <c r="Q45" s="211"/>
      <c r="R45" s="96" t="e">
        <f t="shared" si="47"/>
        <v>#DIV/0!</v>
      </c>
      <c r="S45" s="204">
        <f t="shared" si="48"/>
        <v>0</v>
      </c>
      <c r="T45" s="96" t="e">
        <f>S45/F45</f>
        <v>#DIV/0!</v>
      </c>
      <c r="U45" s="211"/>
      <c r="V45" s="96" t="e">
        <f>U45/F45</f>
        <v>#DIV/0!</v>
      </c>
      <c r="W45" s="211"/>
      <c r="X45" s="96" t="e">
        <f>W45/F45</f>
        <v>#DIV/0!</v>
      </c>
      <c r="Y45" s="211"/>
      <c r="Z45" s="96" t="e">
        <f>Y45/F45</f>
        <v>#DIV/0!</v>
      </c>
      <c r="AA45" s="211"/>
      <c r="AB45" s="96" t="e">
        <f t="shared" si="53"/>
        <v>#DIV/0!</v>
      </c>
      <c r="AC45" s="204">
        <f>SUM(Y45+AA45)</f>
        <v>0</v>
      </c>
      <c r="AD45" s="96" t="e">
        <f>AC45/F45</f>
        <v>#DIV/0!</v>
      </c>
      <c r="AE45" s="211"/>
      <c r="AF45" s="96" t="e">
        <f>AE45/F45</f>
        <v>#DIV/0!</v>
      </c>
      <c r="AG45" s="211"/>
      <c r="AH45" s="96" t="e">
        <f>AG45/F45</f>
        <v>#DIV/0!</v>
      </c>
      <c r="AI45" s="211"/>
      <c r="AJ45" s="96" t="e">
        <f>AI45/F45</f>
        <v>#DIV/0!</v>
      </c>
      <c r="AK45" s="211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66">
        <f>SUM(I7:I45)</f>
        <v>14680973.493572259</v>
      </c>
      <c r="J46" s="262">
        <f>I46/$H$12</f>
        <v>8.4850899076526598E-2</v>
      </c>
      <c r="K46" s="266">
        <f>SUM(K7:K45)</f>
        <v>17808057.709470268</v>
      </c>
      <c r="L46" s="262">
        <f>K46/$H$12</f>
        <v>0.10292435362796576</v>
      </c>
      <c r="M46" s="266">
        <f>SUM(M8:M45)</f>
        <v>31318012.511305183</v>
      </c>
      <c r="N46" s="262" t="e">
        <f>M46/$H$8</f>
        <v>#DIV/0!</v>
      </c>
      <c r="O46" s="266">
        <f>SUM(O7:O45)</f>
        <v>2962264.2275998443</v>
      </c>
      <c r="P46" s="262">
        <f>O46/$H$12</f>
        <v>1.7120852586793908E-2</v>
      </c>
      <c r="Q46" s="266">
        <f>SUM(Q7:Q45)</f>
        <v>2035798.9325750833</v>
      </c>
      <c r="R46" s="262">
        <f>Q46/$H$12</f>
        <v>1.1766206773934923E-2</v>
      </c>
      <c r="S46" s="266">
        <f>SUM(S8:S45)</f>
        <v>4751794.9155113176</v>
      </c>
      <c r="T46" s="262" t="e">
        <f>S46/$H$8</f>
        <v>#DIV/0!</v>
      </c>
      <c r="U46" s="266">
        <f>SUM(U7:U45)</f>
        <v>29593653.04150448</v>
      </c>
      <c r="V46" s="262">
        <f>U46/$H$12</f>
        <v>0.17104097821781697</v>
      </c>
      <c r="W46" s="266">
        <f>SUM(W7:W45)</f>
        <v>748778.41720543057</v>
      </c>
      <c r="X46" s="262">
        <f>W46/$H$12</f>
        <v>4.3276777208811458E-3</v>
      </c>
      <c r="Y46" s="266">
        <f>SUM(Y7:Y45)</f>
        <v>14052929.893545838</v>
      </c>
      <c r="Z46" s="262">
        <f>Y46/$H$12</f>
        <v>8.1221026429128096E-2</v>
      </c>
      <c r="AA46" s="266">
        <f>SUM(AA7:AA45)</f>
        <v>33906743.266292825</v>
      </c>
      <c r="AB46" s="262">
        <f>AA46/$H$12</f>
        <v>0.19596913325683402</v>
      </c>
      <c r="AC46" s="266">
        <f>SUM(AC8:AC45)</f>
        <v>46235474.196470298</v>
      </c>
      <c r="AD46" s="262" t="e">
        <f>AC46/$H$8</f>
        <v>#DIV/0!</v>
      </c>
      <c r="AE46" s="266">
        <f>SUM(AE7:AE45)</f>
        <v>22197803.075460594</v>
      </c>
      <c r="AF46" s="262">
        <f>AE46/$H$12</f>
        <v>0.12829554860930503</v>
      </c>
      <c r="AG46" s="266">
        <f>SUM(AG7:AG45)</f>
        <v>13894002.92465408</v>
      </c>
      <c r="AH46" s="262">
        <f>AG46/$H$12</f>
        <v>8.0302484058359769E-2</v>
      </c>
      <c r="AI46" s="266">
        <f>SUM(AI7:AI45)</f>
        <v>10522330.64954666</v>
      </c>
      <c r="AJ46" s="262">
        <f>AI46/$H$12</f>
        <v>6.0815395953506206E-2</v>
      </c>
      <c r="AK46" s="266">
        <f>SUM(AK7:AK45)</f>
        <v>10617500.368572643</v>
      </c>
      <c r="AL46" s="262">
        <f>AK46/$H$12</f>
        <v>6.1365443688947634E-2</v>
      </c>
    </row>
    <row r="47" spans="2:38" ht="12">
      <c r="B47" s="79"/>
      <c r="C47" s="75"/>
      <c r="D47" s="78"/>
      <c r="F47" s="93"/>
      <c r="G47" s="93"/>
      <c r="H47" s="93"/>
      <c r="I47" s="263"/>
      <c r="J47" s="264"/>
      <c r="K47" s="263"/>
      <c r="L47" s="264"/>
      <c r="M47" s="265">
        <f>M46</f>
        <v>31318012.511305183</v>
      </c>
      <c r="N47" s="264"/>
      <c r="O47" s="263"/>
      <c r="P47" s="264"/>
      <c r="Q47" s="263"/>
      <c r="R47" s="264"/>
      <c r="S47" s="265">
        <f>S46</f>
        <v>4751794.9155113176</v>
      </c>
      <c r="T47" s="264"/>
      <c r="U47" s="265">
        <f>U46</f>
        <v>29593653.04150448</v>
      </c>
      <c r="V47" s="264"/>
      <c r="W47" s="265">
        <f>W46</f>
        <v>748778.41720543057</v>
      </c>
      <c r="X47" s="264"/>
      <c r="Y47" s="263"/>
      <c r="Z47" s="264"/>
      <c r="AA47" s="263"/>
      <c r="AB47" s="264"/>
      <c r="AC47" s="265">
        <f>AC46</f>
        <v>46235474.196470298</v>
      </c>
      <c r="AD47" s="264"/>
      <c r="AE47" s="265">
        <f>AE46</f>
        <v>22197803.075460594</v>
      </c>
      <c r="AF47" s="264"/>
      <c r="AG47" s="265">
        <f>AG46</f>
        <v>13894002.92465408</v>
      </c>
      <c r="AH47" s="264"/>
      <c r="AI47" s="265">
        <f>AI46</f>
        <v>10522330.64954666</v>
      </c>
      <c r="AJ47" s="264"/>
      <c r="AK47" s="265">
        <f>AK46</f>
        <v>10617500.368572643</v>
      </c>
      <c r="AL47" s="264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6" sqref="AK26:AK32"/>
    </sheetView>
  </sheetViews>
  <sheetFormatPr defaultColWidth="8.85546875" defaultRowHeight="14.25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35" t="s">
        <v>196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</row>
    <row r="3" spans="1:38" ht="25.35" customHeight="1">
      <c r="B3" s="79"/>
      <c r="C3" s="449" t="s">
        <v>179</v>
      </c>
      <c r="D3" s="450" t="s">
        <v>150</v>
      </c>
      <c r="E3" s="450"/>
      <c r="F3" s="457" t="s">
        <v>197</v>
      </c>
      <c r="G3" s="458"/>
      <c r="H3" s="458"/>
      <c r="I3" s="456" t="s">
        <v>198</v>
      </c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</row>
    <row r="4" spans="1:38" ht="25.35" customHeight="1">
      <c r="B4" s="79"/>
      <c r="C4" s="449"/>
      <c r="D4" s="450"/>
      <c r="E4" s="450"/>
      <c r="F4" s="458"/>
      <c r="G4" s="458"/>
      <c r="H4" s="458"/>
      <c r="I4" s="453" t="s">
        <v>182</v>
      </c>
      <c r="J4" s="453"/>
      <c r="K4" s="453"/>
      <c r="L4" s="453"/>
      <c r="M4" s="453"/>
      <c r="N4" s="453"/>
      <c r="O4" s="453" t="s">
        <v>183</v>
      </c>
      <c r="P4" s="453"/>
      <c r="Q4" s="453"/>
      <c r="R4" s="453"/>
      <c r="S4" s="453"/>
      <c r="T4" s="453"/>
      <c r="U4" s="453" t="s">
        <v>184</v>
      </c>
      <c r="V4" s="453"/>
      <c r="W4" s="453" t="s">
        <v>185</v>
      </c>
      <c r="X4" s="453"/>
      <c r="Y4" s="453" t="s">
        <v>186</v>
      </c>
      <c r="Z4" s="453"/>
      <c r="AA4" s="453"/>
      <c r="AB4" s="453"/>
      <c r="AC4" s="453"/>
      <c r="AD4" s="453"/>
      <c r="AE4" s="453" t="s">
        <v>187</v>
      </c>
      <c r="AF4" s="453"/>
      <c r="AG4" s="453" t="s">
        <v>188</v>
      </c>
      <c r="AH4" s="453"/>
      <c r="AI4" s="453" t="s">
        <v>189</v>
      </c>
      <c r="AJ4" s="453"/>
      <c r="AK4" s="453" t="s">
        <v>190</v>
      </c>
      <c r="AL4" s="453"/>
    </row>
    <row r="5" spans="1:38" ht="25.35" customHeight="1">
      <c r="B5" s="79"/>
      <c r="C5" s="449"/>
      <c r="D5" s="450"/>
      <c r="E5" s="450"/>
      <c r="F5" s="455" t="s">
        <v>157</v>
      </c>
      <c r="G5" s="455" t="s">
        <v>158</v>
      </c>
      <c r="H5" s="455" t="s">
        <v>159</v>
      </c>
      <c r="I5" s="453" t="s">
        <v>191</v>
      </c>
      <c r="J5" s="453"/>
      <c r="K5" s="453" t="s">
        <v>192</v>
      </c>
      <c r="L5" s="453"/>
      <c r="M5" s="454" t="s">
        <v>193</v>
      </c>
      <c r="N5" s="453"/>
      <c r="O5" s="453" t="s">
        <v>191</v>
      </c>
      <c r="P5" s="453"/>
      <c r="Q5" s="453" t="s">
        <v>192</v>
      </c>
      <c r="R5" s="453"/>
      <c r="S5" s="454" t="s">
        <v>193</v>
      </c>
      <c r="T5" s="453"/>
      <c r="U5" s="453" t="s">
        <v>191</v>
      </c>
      <c r="V5" s="453"/>
      <c r="W5" s="453" t="s">
        <v>191</v>
      </c>
      <c r="X5" s="453"/>
      <c r="Y5" s="453" t="s">
        <v>191</v>
      </c>
      <c r="Z5" s="453"/>
      <c r="AA5" s="453" t="s">
        <v>192</v>
      </c>
      <c r="AB5" s="453"/>
      <c r="AC5" s="454" t="s">
        <v>193</v>
      </c>
      <c r="AD5" s="453"/>
      <c r="AE5" s="453" t="s">
        <v>191</v>
      </c>
      <c r="AF5" s="453"/>
      <c r="AG5" s="453" t="s">
        <v>191</v>
      </c>
      <c r="AH5" s="453"/>
      <c r="AI5" s="453" t="s">
        <v>191</v>
      </c>
      <c r="AJ5" s="453"/>
      <c r="AK5" s="453" t="s">
        <v>191</v>
      </c>
      <c r="AL5" s="453"/>
    </row>
    <row r="6" spans="1:38" s="78" customFormat="1" ht="23.45" customHeight="1">
      <c r="B6" s="79"/>
      <c r="C6" s="449"/>
      <c r="D6" s="450"/>
      <c r="E6" s="450"/>
      <c r="F6" s="455"/>
      <c r="G6" s="455"/>
      <c r="H6" s="455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2">
      <c r="B7" s="79"/>
      <c r="C7" s="75"/>
      <c r="D7" s="82">
        <f t="shared" ref="D7:D39" si="0">D6+1</f>
        <v>1</v>
      </c>
      <c r="E7" s="82" t="s">
        <v>161</v>
      </c>
      <c r="F7" s="84">
        <f t="shared" ref="F7" si="1">SUM(M7,S7,U7,W7,AC7,AE7,AG7,AI7,AK7)</f>
        <v>205236</v>
      </c>
      <c r="G7" s="285"/>
      <c r="H7" s="84"/>
      <c r="I7" s="212">
        <v>25975</v>
      </c>
      <c r="J7" s="96">
        <f>I7/F7</f>
        <v>0.12656161687033463</v>
      </c>
      <c r="K7" s="212">
        <v>36003</v>
      </c>
      <c r="L7" s="96">
        <f>K7/F7</f>
        <v>0.17542244050751329</v>
      </c>
      <c r="M7" s="101">
        <f>SUM(I7+K7)</f>
        <v>61978</v>
      </c>
      <c r="N7" s="96">
        <f>M7/F7</f>
        <v>0.30198405737784795</v>
      </c>
      <c r="O7" s="212">
        <v>6148</v>
      </c>
      <c r="P7" s="96">
        <f>O7/F7</f>
        <v>2.9955758249040128E-2</v>
      </c>
      <c r="Q7" s="212">
        <v>3063</v>
      </c>
      <c r="R7" s="96">
        <f>Q7/F7</f>
        <v>1.4924282289656785E-2</v>
      </c>
      <c r="S7" s="101">
        <f t="shared" ref="S7" si="2">SUM(O7+Q7)</f>
        <v>9211</v>
      </c>
      <c r="T7" s="96">
        <f>S7/F7</f>
        <v>4.4880040538696916E-2</v>
      </c>
      <c r="U7" s="212">
        <v>34321</v>
      </c>
      <c r="V7" s="96">
        <f>U7/F7</f>
        <v>0.16722699721296458</v>
      </c>
      <c r="W7" s="212">
        <v>0</v>
      </c>
      <c r="X7" s="96">
        <f>W7/F7</f>
        <v>0</v>
      </c>
      <c r="Y7" s="212">
        <v>21075</v>
      </c>
      <c r="Z7" s="96">
        <f>Y7/F7</f>
        <v>0.1026866631585102</v>
      </c>
      <c r="AA7" s="212">
        <v>22860</v>
      </c>
      <c r="AB7" s="96">
        <f>AA7/F7</f>
        <v>0.11138396772496054</v>
      </c>
      <c r="AC7" s="101">
        <f>SUM(Y7+AA7)</f>
        <v>43935</v>
      </c>
      <c r="AD7" s="96">
        <f>AC7/F7</f>
        <v>0.21407063088347072</v>
      </c>
      <c r="AE7" s="212">
        <v>14418</v>
      </c>
      <c r="AF7" s="96">
        <f>AE7/F7</f>
        <v>7.0250833187160147E-2</v>
      </c>
      <c r="AG7" s="212">
        <v>11771</v>
      </c>
      <c r="AH7" s="96">
        <f>AG7/F7</f>
        <v>5.7353485743241929E-2</v>
      </c>
      <c r="AI7" s="212">
        <v>11535</v>
      </c>
      <c r="AJ7" s="96">
        <f>AI7/F7</f>
        <v>5.6203590013447935E-2</v>
      </c>
      <c r="AK7" s="212">
        <v>18067</v>
      </c>
      <c r="AL7" s="96">
        <f>AK7/F7</f>
        <v>8.8030365043169814E-2</v>
      </c>
    </row>
    <row r="8" spans="1:38" ht="12">
      <c r="B8" s="79"/>
      <c r="C8" s="75"/>
      <c r="D8" s="82">
        <f t="shared" si="0"/>
        <v>2</v>
      </c>
      <c r="E8" s="82" t="s">
        <v>162</v>
      </c>
      <c r="F8" s="84">
        <f>SUM(M8,S8,U8,W8,AC8,AE8,AG8,AI8,AK8)</f>
        <v>186163</v>
      </c>
      <c r="G8" s="285">
        <f>SUM(F7:F11)</f>
        <v>1028457</v>
      </c>
      <c r="H8" s="84"/>
      <c r="I8" s="212">
        <v>24907</v>
      </c>
      <c r="J8" s="96">
        <f t="shared" ref="J8:J13" si="3">I8/F8</f>
        <v>0.13379135488792079</v>
      </c>
      <c r="K8" s="212">
        <v>35005</v>
      </c>
      <c r="L8" s="96">
        <f t="shared" ref="L8:L13" si="4">K8/F8</f>
        <v>0.1880341421227634</v>
      </c>
      <c r="M8" s="101">
        <f t="shared" ref="M8:M13" si="5">SUM(I8+K8)</f>
        <v>59912</v>
      </c>
      <c r="N8" s="96">
        <f t="shared" ref="N8:N13" si="6">M8/F8</f>
        <v>0.32182549701068419</v>
      </c>
      <c r="O8" s="212">
        <v>4951</v>
      </c>
      <c r="P8" s="96">
        <f t="shared" ref="P8:P13" si="7">O8/F8</f>
        <v>2.6594973222391131E-2</v>
      </c>
      <c r="Q8" s="212">
        <v>2789</v>
      </c>
      <c r="R8" s="96">
        <f t="shared" ref="R8:R45" si="8">Q8/F8</f>
        <v>1.4981494711623685E-2</v>
      </c>
      <c r="S8" s="101">
        <f t="shared" ref="S8:S14" si="9">SUM(O8+Q8)</f>
        <v>7740</v>
      </c>
      <c r="T8" s="96">
        <f t="shared" ref="T8:T13" si="10">S8/F8</f>
        <v>4.1576467934014816E-2</v>
      </c>
      <c r="U8" s="212">
        <v>29211</v>
      </c>
      <c r="V8" s="96">
        <f t="shared" ref="V8:V13" si="11">U8/F8</f>
        <v>0.15691087917577606</v>
      </c>
      <c r="W8" s="212">
        <v>0</v>
      </c>
      <c r="X8" s="96">
        <f t="shared" ref="X8:X13" si="12">W8/F8</f>
        <v>0</v>
      </c>
      <c r="Y8" s="212">
        <v>19654</v>
      </c>
      <c r="Z8" s="96">
        <f t="shared" ref="Z8:Z13" si="13">Y8/F8</f>
        <v>0.10557414738696734</v>
      </c>
      <c r="AA8" s="212">
        <v>23708</v>
      </c>
      <c r="AB8" s="96">
        <f t="shared" ref="AB8:AB45" si="14">AA8/F8</f>
        <v>0.12735076250382729</v>
      </c>
      <c r="AC8" s="101">
        <f t="shared" ref="AC8:AC13" si="15">SUM(Y8+AA8)</f>
        <v>43362</v>
      </c>
      <c r="AD8" s="96">
        <f t="shared" ref="AD8:AD13" si="16">AC8/F8</f>
        <v>0.23292490989079462</v>
      </c>
      <c r="AE8" s="212">
        <v>12079</v>
      </c>
      <c r="AF8" s="96">
        <f t="shared" ref="AF8:AF13" si="17">AE8/F8</f>
        <v>6.488399950580942E-2</v>
      </c>
      <c r="AG8" s="212">
        <v>9768</v>
      </c>
      <c r="AH8" s="96">
        <f t="shared" ref="AH8:AH13" si="18">AG8/F8</f>
        <v>5.2470147129128772E-2</v>
      </c>
      <c r="AI8" s="212">
        <v>8961</v>
      </c>
      <c r="AJ8" s="96">
        <f t="shared" ref="AJ8:AJ13" si="19">AI8/F8</f>
        <v>4.8135236325155914E-2</v>
      </c>
      <c r="AK8" s="212">
        <v>15130</v>
      </c>
      <c r="AL8" s="96">
        <f t="shared" ref="AL8:AL13" si="20">AK8/F8</f>
        <v>8.1272863028636191E-2</v>
      </c>
    </row>
    <row r="9" spans="1:38" ht="12">
      <c r="B9" s="79"/>
      <c r="C9" s="75"/>
      <c r="D9" s="82">
        <f t="shared" si="0"/>
        <v>3</v>
      </c>
      <c r="E9" s="82" t="s">
        <v>163</v>
      </c>
      <c r="F9" s="84">
        <f t="shared" ref="F9:F45" si="21">SUM(M9,S9,U9,W9,AC9,AE9,AG9,AI9,AK9)</f>
        <v>199344</v>
      </c>
      <c r="G9" s="285"/>
      <c r="I9" s="212">
        <v>23447</v>
      </c>
      <c r="J9" s="96">
        <f t="shared" si="3"/>
        <v>0.11762079621157397</v>
      </c>
      <c r="K9" s="212">
        <v>37404</v>
      </c>
      <c r="L9" s="96">
        <f t="shared" si="4"/>
        <v>0.1876354442571635</v>
      </c>
      <c r="M9" s="101">
        <f t="shared" si="5"/>
        <v>60851</v>
      </c>
      <c r="N9" s="96">
        <f t="shared" si="6"/>
        <v>0.30525624046873745</v>
      </c>
      <c r="O9" s="212">
        <v>4238</v>
      </c>
      <c r="P9" s="96">
        <f t="shared" si="7"/>
        <v>2.1259731920699895E-2</v>
      </c>
      <c r="Q9" s="212">
        <v>2492</v>
      </c>
      <c r="R9" s="96">
        <f t="shared" si="8"/>
        <v>1.2501003290793804E-2</v>
      </c>
      <c r="S9" s="101">
        <f t="shared" si="9"/>
        <v>6730</v>
      </c>
      <c r="T9" s="96">
        <f t="shared" si="10"/>
        <v>3.3760735211493698E-2</v>
      </c>
      <c r="U9" s="212">
        <v>32498</v>
      </c>
      <c r="V9" s="96">
        <f t="shared" si="11"/>
        <v>0.16302472108515934</v>
      </c>
      <c r="W9" s="212">
        <v>0</v>
      </c>
      <c r="X9" s="96">
        <f t="shared" si="12"/>
        <v>0</v>
      </c>
      <c r="Y9" s="212">
        <v>20230</v>
      </c>
      <c r="Z9" s="96">
        <f t="shared" si="13"/>
        <v>0.10148286379324184</v>
      </c>
      <c r="AA9" s="212">
        <v>24984</v>
      </c>
      <c r="AB9" s="96">
        <f t="shared" si="14"/>
        <v>0.12533108596195522</v>
      </c>
      <c r="AC9" s="101">
        <f t="shared" si="15"/>
        <v>45214</v>
      </c>
      <c r="AD9" s="96">
        <f t="shared" si="16"/>
        <v>0.22681394975519706</v>
      </c>
      <c r="AE9" s="212">
        <v>14396</v>
      </c>
      <c r="AF9" s="96">
        <f t="shared" si="17"/>
        <v>7.2216871337988597E-2</v>
      </c>
      <c r="AG9" s="212">
        <v>10954</v>
      </c>
      <c r="AH9" s="96">
        <f t="shared" si="18"/>
        <v>5.4950236776627338E-2</v>
      </c>
      <c r="AI9" s="212">
        <v>12318</v>
      </c>
      <c r="AJ9" s="96">
        <f t="shared" si="19"/>
        <v>6.1792679990368408E-2</v>
      </c>
      <c r="AK9" s="212">
        <v>16383</v>
      </c>
      <c r="AL9" s="96">
        <f t="shared" si="20"/>
        <v>8.2184565374428128E-2</v>
      </c>
    </row>
    <row r="10" spans="1:38" ht="12">
      <c r="B10" s="79"/>
      <c r="C10" s="75"/>
      <c r="D10" s="82">
        <f t="shared" si="0"/>
        <v>4</v>
      </c>
      <c r="E10" s="82" t="s">
        <v>164</v>
      </c>
      <c r="F10" s="84">
        <f t="shared" si="21"/>
        <v>216721</v>
      </c>
      <c r="G10" s="285"/>
      <c r="H10" s="365"/>
      <c r="I10" s="212">
        <v>28967</v>
      </c>
      <c r="J10" s="96">
        <f t="shared" si="3"/>
        <v>0.13366032825614499</v>
      </c>
      <c r="K10" s="212">
        <v>38308</v>
      </c>
      <c r="L10" s="96">
        <f t="shared" si="4"/>
        <v>0.1767618274186627</v>
      </c>
      <c r="M10" s="101">
        <f t="shared" si="5"/>
        <v>67275</v>
      </c>
      <c r="N10" s="96">
        <f t="shared" si="6"/>
        <v>0.31042215567480769</v>
      </c>
      <c r="O10" s="212">
        <v>5888</v>
      </c>
      <c r="P10" s="96">
        <f t="shared" si="7"/>
        <v>2.7168571573590008E-2</v>
      </c>
      <c r="Q10" s="212">
        <v>2772</v>
      </c>
      <c r="R10" s="96">
        <f t="shared" si="8"/>
        <v>1.2790638655229536E-2</v>
      </c>
      <c r="S10" s="101">
        <f t="shared" si="9"/>
        <v>8660</v>
      </c>
      <c r="T10" s="96">
        <f t="shared" si="10"/>
        <v>3.9959210228819542E-2</v>
      </c>
      <c r="U10" s="212">
        <v>39158</v>
      </c>
      <c r="V10" s="96">
        <f t="shared" si="11"/>
        <v>0.18068392080139903</v>
      </c>
      <c r="W10" s="212">
        <v>0</v>
      </c>
      <c r="X10" s="96">
        <f t="shared" si="12"/>
        <v>0</v>
      </c>
      <c r="Y10" s="212">
        <v>19284</v>
      </c>
      <c r="Z10" s="96">
        <f t="shared" si="13"/>
        <v>8.8980763285514561E-2</v>
      </c>
      <c r="AA10" s="212">
        <v>25818</v>
      </c>
      <c r="AB10" s="96">
        <f t="shared" si="14"/>
        <v>0.11913012582998417</v>
      </c>
      <c r="AC10" s="101">
        <f t="shared" si="15"/>
        <v>45102</v>
      </c>
      <c r="AD10" s="96">
        <f t="shared" si="16"/>
        <v>0.20811088911549872</v>
      </c>
      <c r="AE10" s="212">
        <v>16716</v>
      </c>
      <c r="AF10" s="96">
        <f t="shared" si="17"/>
        <v>7.7131427042141737E-2</v>
      </c>
      <c r="AG10" s="212">
        <v>12830</v>
      </c>
      <c r="AH10" s="96">
        <f t="shared" si="18"/>
        <v>5.9200538941773066E-2</v>
      </c>
      <c r="AI10" s="212">
        <v>12183</v>
      </c>
      <c r="AJ10" s="96">
        <f t="shared" si="19"/>
        <v>5.6215133743384355E-2</v>
      </c>
      <c r="AK10" s="212">
        <v>14797</v>
      </c>
      <c r="AL10" s="96">
        <f t="shared" si="20"/>
        <v>6.8276724452175835E-2</v>
      </c>
    </row>
    <row r="11" spans="1:38" ht="12">
      <c r="B11" s="79"/>
      <c r="C11" s="75"/>
      <c r="D11" s="82">
        <f t="shared" si="0"/>
        <v>5</v>
      </c>
      <c r="E11" s="82" t="s">
        <v>165</v>
      </c>
      <c r="F11" s="84">
        <f t="shared" si="21"/>
        <v>220993</v>
      </c>
      <c r="G11" s="285"/>
      <c r="H11" s="365"/>
      <c r="I11" s="360">
        <v>28010</v>
      </c>
      <c r="J11" s="361">
        <f t="shared" si="3"/>
        <v>0.12674609603019099</v>
      </c>
      <c r="K11" s="360">
        <v>40874</v>
      </c>
      <c r="L11" s="361">
        <f t="shared" si="4"/>
        <v>0.18495608458186458</v>
      </c>
      <c r="M11" s="362">
        <f t="shared" si="5"/>
        <v>68884</v>
      </c>
      <c r="N11" s="361">
        <f t="shared" si="6"/>
        <v>0.31170218061205557</v>
      </c>
      <c r="O11" s="360">
        <v>5380</v>
      </c>
      <c r="P11" s="361">
        <f t="shared" si="7"/>
        <v>2.4344662500622193E-2</v>
      </c>
      <c r="Q11" s="360">
        <v>2779</v>
      </c>
      <c r="R11" s="361">
        <f t="shared" si="8"/>
        <v>1.2575058938518414E-2</v>
      </c>
      <c r="S11" s="362">
        <f t="shared" si="9"/>
        <v>8159</v>
      </c>
      <c r="T11" s="361">
        <f t="shared" si="10"/>
        <v>3.6919721439140608E-2</v>
      </c>
      <c r="U11" s="360">
        <v>37100</v>
      </c>
      <c r="V11" s="361">
        <f t="shared" si="11"/>
        <v>0.16787862058979244</v>
      </c>
      <c r="W11" s="360">
        <v>0</v>
      </c>
      <c r="X11" s="361">
        <f t="shared" si="12"/>
        <v>0</v>
      </c>
      <c r="Y11" s="360">
        <v>19315</v>
      </c>
      <c r="Z11" s="361">
        <f t="shared" si="13"/>
        <v>8.7400958401397333E-2</v>
      </c>
      <c r="AA11" s="360">
        <v>32288</v>
      </c>
      <c r="AB11" s="361">
        <f t="shared" si="14"/>
        <v>0.14610417524536976</v>
      </c>
      <c r="AC11" s="362">
        <f t="shared" si="15"/>
        <v>51603</v>
      </c>
      <c r="AD11" s="361">
        <f t="shared" si="16"/>
        <v>0.23350513364676709</v>
      </c>
      <c r="AE11" s="360">
        <v>16327</v>
      </c>
      <c r="AF11" s="361">
        <f t="shared" si="17"/>
        <v>7.3880168150122397E-2</v>
      </c>
      <c r="AG11" s="360">
        <v>12596</v>
      </c>
      <c r="AH11" s="361">
        <f t="shared" si="18"/>
        <v>5.6997280456847051E-2</v>
      </c>
      <c r="AI11" s="360">
        <v>11004</v>
      </c>
      <c r="AJ11" s="361">
        <f t="shared" si="19"/>
        <v>4.979343237116108E-2</v>
      </c>
      <c r="AK11" s="360">
        <v>15320</v>
      </c>
      <c r="AL11" s="361">
        <f t="shared" si="20"/>
        <v>6.9323462734113744E-2</v>
      </c>
    </row>
    <row r="12" spans="1:38" ht="12">
      <c r="B12" s="79"/>
      <c r="C12" s="75"/>
      <c r="D12" s="282">
        <f t="shared" si="0"/>
        <v>6</v>
      </c>
      <c r="E12" s="282" t="s">
        <v>166</v>
      </c>
      <c r="F12" s="84">
        <f t="shared" si="21"/>
        <v>233027</v>
      </c>
      <c r="G12" s="285">
        <f>SUM(F12:F18)</f>
        <v>1492256</v>
      </c>
      <c r="H12" s="365">
        <f>SUM(F7:F37)</f>
        <v>5357363</v>
      </c>
      <c r="I12" s="212">
        <v>31949</v>
      </c>
      <c r="J12" s="96">
        <f t="shared" si="3"/>
        <v>0.13710428405292091</v>
      </c>
      <c r="K12" s="212">
        <v>40263</v>
      </c>
      <c r="L12" s="96">
        <f t="shared" si="4"/>
        <v>0.17278255309470578</v>
      </c>
      <c r="M12" s="101">
        <f t="shared" si="5"/>
        <v>72212</v>
      </c>
      <c r="N12" s="96">
        <f t="shared" si="6"/>
        <v>0.30988683714762666</v>
      </c>
      <c r="O12" s="212">
        <v>5500</v>
      </c>
      <c r="P12" s="96">
        <f t="shared" si="7"/>
        <v>2.3602415170774202E-2</v>
      </c>
      <c r="Q12" s="212">
        <v>2973</v>
      </c>
      <c r="R12" s="96">
        <f t="shared" si="8"/>
        <v>1.2758178236856673E-2</v>
      </c>
      <c r="S12" s="101">
        <f t="shared" si="9"/>
        <v>8473</v>
      </c>
      <c r="T12" s="96">
        <f t="shared" si="10"/>
        <v>3.6360593407630877E-2</v>
      </c>
      <c r="U12" s="212">
        <v>44501</v>
      </c>
      <c r="V12" s="96">
        <f t="shared" si="11"/>
        <v>0.19096928682084049</v>
      </c>
      <c r="W12" s="212">
        <v>1960</v>
      </c>
      <c r="X12" s="96">
        <f t="shared" si="12"/>
        <v>8.4110424972213514E-3</v>
      </c>
      <c r="Y12" s="212">
        <v>22207</v>
      </c>
      <c r="Z12" s="96">
        <f t="shared" si="13"/>
        <v>9.5297969763160489E-2</v>
      </c>
      <c r="AA12" s="212">
        <v>31308</v>
      </c>
      <c r="AB12" s="96">
        <f t="shared" si="14"/>
        <v>0.13435352984847249</v>
      </c>
      <c r="AC12" s="101">
        <f t="shared" si="15"/>
        <v>53515</v>
      </c>
      <c r="AD12" s="96">
        <f t="shared" si="16"/>
        <v>0.22965149961163298</v>
      </c>
      <c r="AE12" s="212">
        <v>15711</v>
      </c>
      <c r="AF12" s="96">
        <f t="shared" si="17"/>
        <v>6.7421371772369731E-2</v>
      </c>
      <c r="AG12" s="212">
        <v>11684</v>
      </c>
      <c r="AH12" s="96">
        <f t="shared" si="18"/>
        <v>5.014011251915014E-2</v>
      </c>
      <c r="AI12" s="212">
        <v>9645</v>
      </c>
      <c r="AJ12" s="96">
        <f t="shared" si="19"/>
        <v>4.1390053513112215E-2</v>
      </c>
      <c r="AK12" s="212">
        <v>15326</v>
      </c>
      <c r="AL12" s="96">
        <f t="shared" si="20"/>
        <v>6.5769202710415531E-2</v>
      </c>
    </row>
    <row r="13" spans="1:38" ht="12">
      <c r="B13" s="79"/>
      <c r="C13" s="75"/>
      <c r="D13" s="282">
        <f t="shared" si="0"/>
        <v>7</v>
      </c>
      <c r="E13" s="282" t="s">
        <v>167</v>
      </c>
      <c r="F13" s="84">
        <f t="shared" si="21"/>
        <v>220329</v>
      </c>
      <c r="G13" s="285"/>
      <c r="H13" s="365"/>
      <c r="I13" s="212">
        <v>30333</v>
      </c>
      <c r="J13" s="96">
        <f t="shared" si="3"/>
        <v>0.13767139141919585</v>
      </c>
      <c r="K13" s="212">
        <v>39873</v>
      </c>
      <c r="L13" s="96">
        <f t="shared" si="4"/>
        <v>0.18097027626867093</v>
      </c>
      <c r="M13" s="101">
        <f t="shared" si="5"/>
        <v>70206</v>
      </c>
      <c r="N13" s="96">
        <f t="shared" si="6"/>
        <v>0.31864166768786678</v>
      </c>
      <c r="O13" s="212">
        <v>5446</v>
      </c>
      <c r="P13" s="96">
        <f t="shared" si="7"/>
        <v>2.4717581435035788E-2</v>
      </c>
      <c r="Q13" s="212">
        <v>3063</v>
      </c>
      <c r="R13" s="96">
        <f t="shared" si="8"/>
        <v>1.3901937557017007E-2</v>
      </c>
      <c r="S13" s="101">
        <f t="shared" si="9"/>
        <v>8509</v>
      </c>
      <c r="T13" s="96">
        <f t="shared" si="10"/>
        <v>3.8619518992052793E-2</v>
      </c>
      <c r="U13" s="212">
        <v>38401</v>
      </c>
      <c r="V13" s="96">
        <f t="shared" si="11"/>
        <v>0.17428935818707478</v>
      </c>
      <c r="W13" s="212">
        <v>1921</v>
      </c>
      <c r="X13" s="96">
        <f t="shared" si="12"/>
        <v>8.7187796431699872E-3</v>
      </c>
      <c r="Y13" s="212">
        <v>17146</v>
      </c>
      <c r="Z13" s="96">
        <f t="shared" si="13"/>
        <v>7.7819987382505257E-2</v>
      </c>
      <c r="AA13" s="212">
        <v>30467</v>
      </c>
      <c r="AB13" s="96">
        <f t="shared" si="14"/>
        <v>0.13827957282064549</v>
      </c>
      <c r="AC13" s="101">
        <f t="shared" si="15"/>
        <v>47613</v>
      </c>
      <c r="AD13" s="96">
        <f t="shared" si="16"/>
        <v>0.21609956020315074</v>
      </c>
      <c r="AE13" s="212">
        <v>16349</v>
      </c>
      <c r="AF13" s="96">
        <f t="shared" si="17"/>
        <v>7.420266964403234E-2</v>
      </c>
      <c r="AG13" s="212">
        <v>11226</v>
      </c>
      <c r="AH13" s="96">
        <f t="shared" si="18"/>
        <v>5.09510777065207E-2</v>
      </c>
      <c r="AI13" s="212">
        <v>10312</v>
      </c>
      <c r="AJ13" s="96">
        <f t="shared" si="19"/>
        <v>4.680273590857309E-2</v>
      </c>
      <c r="AK13" s="212">
        <v>15792</v>
      </c>
      <c r="AL13" s="96">
        <f t="shared" si="20"/>
        <v>7.1674632027558791E-2</v>
      </c>
    </row>
    <row r="14" spans="1:38" ht="12">
      <c r="B14" s="79"/>
      <c r="C14" s="75"/>
      <c r="D14" s="282">
        <f t="shared" si="0"/>
        <v>8</v>
      </c>
      <c r="E14" s="282" t="s">
        <v>161</v>
      </c>
      <c r="F14" s="84">
        <f t="shared" si="21"/>
        <v>207527</v>
      </c>
      <c r="G14" s="285"/>
      <c r="H14" s="365"/>
      <c r="I14" s="212">
        <v>28577</v>
      </c>
      <c r="J14" s="96">
        <f>I14/F14</f>
        <v>0.13770256400372</v>
      </c>
      <c r="K14" s="212">
        <v>36237</v>
      </c>
      <c r="L14" s="96">
        <f>K14/F14</f>
        <v>0.17461342379545794</v>
      </c>
      <c r="M14" s="101">
        <f>SUM(I14+K14)</f>
        <v>64814</v>
      </c>
      <c r="N14" s="96">
        <f>M14/F14</f>
        <v>0.31231598779917796</v>
      </c>
      <c r="O14" s="212">
        <v>5213</v>
      </c>
      <c r="P14" s="96">
        <f>O14/F14</f>
        <v>2.5119622988815912E-2</v>
      </c>
      <c r="Q14" s="212">
        <v>2984</v>
      </c>
      <c r="R14" s="96">
        <f t="shared" si="8"/>
        <v>1.4378851908426374E-2</v>
      </c>
      <c r="S14" s="101">
        <f t="shared" si="9"/>
        <v>8197</v>
      </c>
      <c r="T14" s="96">
        <f>S14/F14</f>
        <v>3.9498474897242286E-2</v>
      </c>
      <c r="U14" s="212">
        <v>35934</v>
      </c>
      <c r="V14" s="96">
        <f>U14/F14</f>
        <v>0.17315337281413984</v>
      </c>
      <c r="W14" s="212">
        <v>165</v>
      </c>
      <c r="X14" s="96">
        <f>W14/F14</f>
        <v>7.9507726705440739E-4</v>
      </c>
      <c r="Y14" s="212">
        <v>22070</v>
      </c>
      <c r="Z14" s="96">
        <f>Y14/F14</f>
        <v>0.10634760778115619</v>
      </c>
      <c r="AA14" s="212">
        <v>24254</v>
      </c>
      <c r="AB14" s="96">
        <f t="shared" si="14"/>
        <v>0.11687153960689453</v>
      </c>
      <c r="AC14" s="101">
        <f>SUM(Y14+AA14)</f>
        <v>46324</v>
      </c>
      <c r="AD14" s="96">
        <f>AC14/F14</f>
        <v>0.22321914738805071</v>
      </c>
      <c r="AE14" s="212">
        <v>15213</v>
      </c>
      <c r="AF14" s="96">
        <f>AE14/F14</f>
        <v>7.3306124022416361E-2</v>
      </c>
      <c r="AG14" s="212">
        <v>10676</v>
      </c>
      <c r="AH14" s="96">
        <f>AG14/F14</f>
        <v>5.1443908503471837E-2</v>
      </c>
      <c r="AI14" s="212">
        <v>10794</v>
      </c>
      <c r="AJ14" s="96">
        <f>AI14/F14</f>
        <v>5.2012509215668322E-2</v>
      </c>
      <c r="AK14" s="212">
        <v>15410</v>
      </c>
      <c r="AL14" s="96">
        <f>AK14/F14</f>
        <v>7.4255398092778285E-2</v>
      </c>
    </row>
    <row r="15" spans="1:38" ht="12">
      <c r="B15" s="79"/>
      <c r="C15" s="75"/>
      <c r="D15" s="282">
        <f t="shared" si="0"/>
        <v>9</v>
      </c>
      <c r="E15" s="282" t="s">
        <v>162</v>
      </c>
      <c r="F15" s="84">
        <f t="shared" si="21"/>
        <v>189878</v>
      </c>
      <c r="G15" s="285"/>
      <c r="H15" s="365"/>
      <c r="I15" s="212">
        <v>26367</v>
      </c>
      <c r="J15" s="96">
        <f t="shared" ref="J15" si="22">I15/F15</f>
        <v>0.13886284877658286</v>
      </c>
      <c r="K15" s="212">
        <v>34768</v>
      </c>
      <c r="L15" s="96">
        <f t="shared" ref="L15" si="23">K15/F15</f>
        <v>0.18310704768324926</v>
      </c>
      <c r="M15" s="101">
        <f t="shared" ref="M15" si="24">SUM(I15+K15)</f>
        <v>61135</v>
      </c>
      <c r="N15" s="96">
        <f t="shared" ref="N15" si="25">M15/F15</f>
        <v>0.32196989645983209</v>
      </c>
      <c r="O15" s="212">
        <v>3924</v>
      </c>
      <c r="P15" s="96">
        <f t="shared" ref="P15" si="26">O15/F15</f>
        <v>2.0665901262916189E-2</v>
      </c>
      <c r="Q15" s="212">
        <v>2467</v>
      </c>
      <c r="R15" s="96">
        <f t="shared" si="8"/>
        <v>1.2992553113051539E-2</v>
      </c>
      <c r="S15" s="101">
        <f t="shared" ref="S15" si="27">SUM(O15+Q15)</f>
        <v>6391</v>
      </c>
      <c r="T15" s="96">
        <f t="shared" ref="T15" si="28">S15/F15</f>
        <v>3.3658454375967727E-2</v>
      </c>
      <c r="U15" s="212">
        <v>32725</v>
      </c>
      <c r="V15" s="96">
        <f t="shared" ref="V15" si="29">U15/F15</f>
        <v>0.17234750734682269</v>
      </c>
      <c r="W15" s="212">
        <v>969</v>
      </c>
      <c r="X15" s="96">
        <f t="shared" ref="X15" si="30">W15/F15</f>
        <v>5.103276840918906E-3</v>
      </c>
      <c r="Y15" s="212">
        <v>19620</v>
      </c>
      <c r="Z15" s="96">
        <f t="shared" ref="Z15" si="31">Y15/F15</f>
        <v>0.10332950631458095</v>
      </c>
      <c r="AA15" s="212">
        <v>24189</v>
      </c>
      <c r="AB15" s="96">
        <f t="shared" si="14"/>
        <v>0.12739232559854222</v>
      </c>
      <c r="AC15" s="101">
        <f t="shared" ref="AC15" si="32">SUM(Y15+AA15)</f>
        <v>43809</v>
      </c>
      <c r="AD15" s="96">
        <f t="shared" ref="AD15" si="33">AC15/F15</f>
        <v>0.23072183191312318</v>
      </c>
      <c r="AE15" s="212">
        <v>13099</v>
      </c>
      <c r="AF15" s="96">
        <f t="shared" ref="AF15" si="34">AE15/F15</f>
        <v>6.8986401794836685E-2</v>
      </c>
      <c r="AG15" s="212">
        <v>9186</v>
      </c>
      <c r="AH15" s="96">
        <f t="shared" ref="AH15" si="35">AG15/F15</f>
        <v>4.8378432467163127E-2</v>
      </c>
      <c r="AI15" s="212">
        <v>10042</v>
      </c>
      <c r="AJ15" s="96">
        <f t="shared" ref="AJ15" si="36">AI15/F15</f>
        <v>5.2886590336953199E-2</v>
      </c>
      <c r="AK15" s="212">
        <v>12522</v>
      </c>
      <c r="AL15" s="96">
        <f t="shared" ref="AL15" si="37">AK15/F15</f>
        <v>6.5947608464382398E-2</v>
      </c>
    </row>
    <row r="16" spans="1:38" ht="12">
      <c r="B16" s="79"/>
      <c r="C16" s="75"/>
      <c r="D16" s="282">
        <f t="shared" si="0"/>
        <v>10</v>
      </c>
      <c r="E16" s="282" t="s">
        <v>163</v>
      </c>
      <c r="F16" s="84">
        <f t="shared" si="21"/>
        <v>195163</v>
      </c>
      <c r="G16" s="285"/>
      <c r="H16" s="365"/>
      <c r="I16" s="212">
        <v>25286</v>
      </c>
      <c r="J16" s="96">
        <f t="shared" ref="J16:J41" si="38">I16/F16</f>
        <v>0.12956349308014325</v>
      </c>
      <c r="K16" s="212">
        <v>36354</v>
      </c>
      <c r="L16" s="96">
        <f t="shared" ref="L16:L41" si="39">K16/F16</f>
        <v>0.18627506238375102</v>
      </c>
      <c r="M16" s="101">
        <f t="shared" ref="M16:M41" si="40">SUM(I16+K16)</f>
        <v>61640</v>
      </c>
      <c r="N16" s="96">
        <f t="shared" ref="N16:N41" si="41">M16/F16</f>
        <v>0.31583855546389428</v>
      </c>
      <c r="O16" s="212">
        <v>3485</v>
      </c>
      <c r="P16" s="96">
        <f t="shared" ref="P16:P41" si="42">O16/F16</f>
        <v>1.7856868361318487E-2</v>
      </c>
      <c r="Q16" s="212">
        <v>2311</v>
      </c>
      <c r="R16" s="96">
        <f t="shared" si="8"/>
        <v>1.1841383868868587E-2</v>
      </c>
      <c r="S16" s="101">
        <f t="shared" ref="S16:S45" si="43">SUM(O16+Q16)</f>
        <v>5796</v>
      </c>
      <c r="T16" s="96">
        <f t="shared" ref="T16:T41" si="44">S16/F16</f>
        <v>2.9698252230187076E-2</v>
      </c>
      <c r="U16" s="212">
        <v>34027</v>
      </c>
      <c r="V16" s="96">
        <f t="shared" ref="V16:V41" si="45">U16/F16</f>
        <v>0.17435169576200407</v>
      </c>
      <c r="W16" s="212">
        <v>1383</v>
      </c>
      <c r="X16" s="96">
        <f t="shared" ref="X16:X41" si="46">W16/F16</f>
        <v>7.0863842019235207E-3</v>
      </c>
      <c r="Y16" s="212">
        <v>21140</v>
      </c>
      <c r="Z16" s="96">
        <f t="shared" ref="Z16:Z41" si="47">Y16/F16</f>
        <v>0.10831971224053739</v>
      </c>
      <c r="AA16" s="212">
        <v>24367</v>
      </c>
      <c r="AB16" s="96">
        <f t="shared" si="14"/>
        <v>0.12485460871169228</v>
      </c>
      <c r="AC16" s="101">
        <f t="shared" ref="AC16:AC41" si="48">SUM(Y16+AA16)</f>
        <v>45507</v>
      </c>
      <c r="AD16" s="96">
        <f t="shared" ref="AD16:AD41" si="49">AC16/F16</f>
        <v>0.23317432095222967</v>
      </c>
      <c r="AE16" s="212">
        <v>14207</v>
      </c>
      <c r="AF16" s="96">
        <f t="shared" ref="AF16:AF41" si="50">AE16/F16</f>
        <v>7.2795560633931639E-2</v>
      </c>
      <c r="AG16" s="212">
        <v>9673</v>
      </c>
      <c r="AH16" s="96">
        <f t="shared" ref="AH16:AH41" si="51">AG16/F16</f>
        <v>4.9563698037025462E-2</v>
      </c>
      <c r="AI16" s="212">
        <v>9303</v>
      </c>
      <c r="AJ16" s="96">
        <f t="shared" ref="AJ16:AJ41" si="52">AI16/F16</f>
        <v>4.7667846876713313E-2</v>
      </c>
      <c r="AK16" s="212">
        <v>13627</v>
      </c>
      <c r="AL16" s="96">
        <f t="shared" ref="AL16:AL41" si="53">AK16/F16</f>
        <v>6.9823685842090977E-2</v>
      </c>
    </row>
    <row r="17" spans="2:38" ht="12">
      <c r="B17" s="79"/>
      <c r="C17" s="75"/>
      <c r="D17" s="282">
        <f t="shared" si="0"/>
        <v>11</v>
      </c>
      <c r="E17" s="282" t="s">
        <v>164</v>
      </c>
      <c r="F17" s="84">
        <f t="shared" si="21"/>
        <v>229137</v>
      </c>
      <c r="G17" s="285"/>
      <c r="H17" s="365"/>
      <c r="I17" s="212">
        <v>30837</v>
      </c>
      <c r="J17" s="96">
        <f t="shared" si="38"/>
        <v>0.13457887639272575</v>
      </c>
      <c r="K17" s="212">
        <v>38139</v>
      </c>
      <c r="L17" s="96">
        <f t="shared" si="39"/>
        <v>0.16644627449953522</v>
      </c>
      <c r="M17" s="101">
        <f t="shared" si="40"/>
        <v>68976</v>
      </c>
      <c r="N17" s="96">
        <f t="shared" si="41"/>
        <v>0.30102515089226095</v>
      </c>
      <c r="O17" s="212">
        <v>5003</v>
      </c>
      <c r="P17" s="96">
        <f t="shared" si="42"/>
        <v>2.1834099250666632E-2</v>
      </c>
      <c r="Q17" s="212">
        <v>2786</v>
      </c>
      <c r="R17" s="96">
        <f t="shared" si="8"/>
        <v>1.2158664903529329E-2</v>
      </c>
      <c r="S17" s="101">
        <f t="shared" si="43"/>
        <v>7789</v>
      </c>
      <c r="T17" s="96">
        <f t="shared" si="44"/>
        <v>3.3992764154195963E-2</v>
      </c>
      <c r="U17" s="212">
        <v>42693</v>
      </c>
      <c r="V17" s="96">
        <f t="shared" si="45"/>
        <v>0.1863208473533301</v>
      </c>
      <c r="W17" s="212">
        <v>2513</v>
      </c>
      <c r="X17" s="96">
        <f t="shared" si="46"/>
        <v>1.0967237940620676E-2</v>
      </c>
      <c r="Y17" s="212">
        <v>24923</v>
      </c>
      <c r="Z17" s="96">
        <f t="shared" si="47"/>
        <v>0.10876898973103427</v>
      </c>
      <c r="AA17" s="212">
        <v>26403</v>
      </c>
      <c r="AB17" s="96">
        <f t="shared" si="14"/>
        <v>0.11522800769845115</v>
      </c>
      <c r="AC17" s="101">
        <f t="shared" si="48"/>
        <v>51326</v>
      </c>
      <c r="AD17" s="96">
        <f t="shared" si="49"/>
        <v>0.22399699742948542</v>
      </c>
      <c r="AE17" s="212">
        <v>17519</v>
      </c>
      <c r="AF17" s="96">
        <f t="shared" si="50"/>
        <v>7.6456443088632559E-2</v>
      </c>
      <c r="AG17" s="212">
        <v>11668</v>
      </c>
      <c r="AH17" s="96">
        <f t="shared" si="51"/>
        <v>5.0921501110689237E-2</v>
      </c>
      <c r="AI17" s="212">
        <v>11950</v>
      </c>
      <c r="AJ17" s="96">
        <f t="shared" si="52"/>
        <v>5.2152205885561916E-2</v>
      </c>
      <c r="AK17" s="212">
        <v>14703</v>
      </c>
      <c r="AL17" s="96">
        <f t="shared" si="53"/>
        <v>6.4166852145223163E-2</v>
      </c>
    </row>
    <row r="18" spans="2:38" ht="12">
      <c r="B18" s="79"/>
      <c r="C18" s="75"/>
      <c r="D18" s="282">
        <f t="shared" si="0"/>
        <v>12</v>
      </c>
      <c r="E18" s="282" t="s">
        <v>165</v>
      </c>
      <c r="F18" s="84">
        <f t="shared" si="21"/>
        <v>217195</v>
      </c>
      <c r="G18" s="285"/>
      <c r="H18" s="365"/>
      <c r="I18" s="212">
        <v>29565</v>
      </c>
      <c r="J18" s="96">
        <f t="shared" si="38"/>
        <v>0.13612191809203711</v>
      </c>
      <c r="K18" s="212">
        <v>37713</v>
      </c>
      <c r="L18" s="96">
        <f t="shared" si="39"/>
        <v>0.17363659384424135</v>
      </c>
      <c r="M18" s="101">
        <f t="shared" si="40"/>
        <v>67278</v>
      </c>
      <c r="N18" s="96">
        <f t="shared" si="41"/>
        <v>0.30975851193627846</v>
      </c>
      <c r="O18" s="212">
        <v>4586</v>
      </c>
      <c r="P18" s="96">
        <f t="shared" si="42"/>
        <v>2.1114666543889132E-2</v>
      </c>
      <c r="Q18" s="212">
        <v>2746</v>
      </c>
      <c r="R18" s="96">
        <f t="shared" si="8"/>
        <v>1.2643016644029559E-2</v>
      </c>
      <c r="S18" s="101">
        <f t="shared" si="43"/>
        <v>7332</v>
      </c>
      <c r="T18" s="96">
        <f t="shared" si="44"/>
        <v>3.3757683187918691E-2</v>
      </c>
      <c r="U18" s="212">
        <v>39358</v>
      </c>
      <c r="V18" s="96">
        <f t="shared" si="45"/>
        <v>0.18121043302101797</v>
      </c>
      <c r="W18" s="212">
        <v>1541</v>
      </c>
      <c r="X18" s="96">
        <f t="shared" si="46"/>
        <v>7.0950067911323923E-3</v>
      </c>
      <c r="Y18" s="212">
        <v>20825</v>
      </c>
      <c r="Z18" s="96">
        <f t="shared" si="47"/>
        <v>9.5881581067704141E-2</v>
      </c>
      <c r="AA18" s="212">
        <v>25645</v>
      </c>
      <c r="AB18" s="96">
        <f t="shared" si="14"/>
        <v>0.1180736204792928</v>
      </c>
      <c r="AC18" s="101">
        <f t="shared" si="48"/>
        <v>46470</v>
      </c>
      <c r="AD18" s="96">
        <f t="shared" si="49"/>
        <v>0.21395520154699693</v>
      </c>
      <c r="AE18" s="212">
        <v>16369</v>
      </c>
      <c r="AF18" s="96">
        <f t="shared" si="50"/>
        <v>7.5365455005870302E-2</v>
      </c>
      <c r="AG18" s="212">
        <v>11465</v>
      </c>
      <c r="AH18" s="96">
        <f t="shared" si="51"/>
        <v>5.2786666359722831E-2</v>
      </c>
      <c r="AI18" s="212">
        <v>11884</v>
      </c>
      <c r="AJ18" s="96">
        <f t="shared" si="52"/>
        <v>5.4715808374962593E-2</v>
      </c>
      <c r="AK18" s="212">
        <v>15498</v>
      </c>
      <c r="AL18" s="96">
        <f t="shared" si="53"/>
        <v>7.1355233776099813E-2</v>
      </c>
    </row>
    <row r="19" spans="2:38" ht="12">
      <c r="B19" s="79"/>
      <c r="C19" s="75"/>
      <c r="D19" s="395">
        <f t="shared" si="0"/>
        <v>13</v>
      </c>
      <c r="E19" s="395" t="s">
        <v>166</v>
      </c>
      <c r="F19" s="84">
        <f t="shared" si="21"/>
        <v>214686</v>
      </c>
      <c r="G19" s="285">
        <f>SUM(F19:F25)</f>
        <v>1418907</v>
      </c>
      <c r="H19" s="365"/>
      <c r="I19" s="212">
        <v>33071</v>
      </c>
      <c r="J19" s="96">
        <f t="shared" si="38"/>
        <v>0.15404357992603152</v>
      </c>
      <c r="K19" s="212">
        <v>37271</v>
      </c>
      <c r="L19" s="96">
        <f t="shared" si="39"/>
        <v>0.17360703539122252</v>
      </c>
      <c r="M19" s="101">
        <f t="shared" si="40"/>
        <v>70342</v>
      </c>
      <c r="N19" s="96">
        <f t="shared" si="41"/>
        <v>0.32765061531725403</v>
      </c>
      <c r="O19" s="212">
        <v>4483</v>
      </c>
      <c r="P19" s="96">
        <f t="shared" si="42"/>
        <v>2.0881659726297942E-2</v>
      </c>
      <c r="Q19" s="212">
        <v>2763</v>
      </c>
      <c r="R19" s="96">
        <f t="shared" si="8"/>
        <v>1.2869958916743524E-2</v>
      </c>
      <c r="S19" s="101">
        <f t="shared" si="43"/>
        <v>7246</v>
      </c>
      <c r="T19" s="96">
        <f t="shared" si="44"/>
        <v>3.3751618643041464E-2</v>
      </c>
      <c r="U19" s="212">
        <v>37212</v>
      </c>
      <c r="V19" s="96">
        <f t="shared" si="45"/>
        <v>0.17333221542159247</v>
      </c>
      <c r="W19" s="212">
        <v>1204</v>
      </c>
      <c r="X19" s="96">
        <f t="shared" si="46"/>
        <v>5.608190566688093E-3</v>
      </c>
      <c r="Y19" s="212">
        <v>21070</v>
      </c>
      <c r="Z19" s="96">
        <f t="shared" si="47"/>
        <v>9.8143334917041636E-2</v>
      </c>
      <c r="AA19" s="212">
        <v>24797</v>
      </c>
      <c r="AB19" s="96">
        <f t="shared" si="14"/>
        <v>0.11550357265960519</v>
      </c>
      <c r="AC19" s="101">
        <f t="shared" si="48"/>
        <v>45867</v>
      </c>
      <c r="AD19" s="96">
        <f t="shared" si="49"/>
        <v>0.21364690757664681</v>
      </c>
      <c r="AE19" s="212">
        <v>16985</v>
      </c>
      <c r="AF19" s="96">
        <f t="shared" si="50"/>
        <v>7.911554549434989E-2</v>
      </c>
      <c r="AG19" s="212">
        <v>9361</v>
      </c>
      <c r="AH19" s="96">
        <f t="shared" si="51"/>
        <v>4.3603215859441227E-2</v>
      </c>
      <c r="AI19" s="212">
        <v>11800</v>
      </c>
      <c r="AJ19" s="96">
        <f t="shared" si="52"/>
        <v>5.4963993926012873E-2</v>
      </c>
      <c r="AK19" s="212">
        <v>14669</v>
      </c>
      <c r="AL19" s="96">
        <f t="shared" si="53"/>
        <v>6.8327697194973128E-2</v>
      </c>
    </row>
    <row r="20" spans="2:38" ht="12">
      <c r="B20" s="79"/>
      <c r="C20" s="75"/>
      <c r="D20" s="395">
        <f t="shared" si="0"/>
        <v>14</v>
      </c>
      <c r="E20" s="395" t="s">
        <v>167</v>
      </c>
      <c r="F20" s="84">
        <f t="shared" si="21"/>
        <v>207749</v>
      </c>
      <c r="G20" s="285"/>
      <c r="H20" s="365"/>
      <c r="I20" s="212">
        <v>31002</v>
      </c>
      <c r="J20" s="96">
        <f t="shared" si="38"/>
        <v>0.14922815512950724</v>
      </c>
      <c r="K20" s="212">
        <v>35804</v>
      </c>
      <c r="L20" s="96">
        <f t="shared" si="39"/>
        <v>0.17234258648657755</v>
      </c>
      <c r="M20" s="101">
        <f t="shared" si="40"/>
        <v>66806</v>
      </c>
      <c r="N20" s="96">
        <f t="shared" si="41"/>
        <v>0.32157074161608479</v>
      </c>
      <c r="O20" s="212">
        <v>4768</v>
      </c>
      <c r="P20" s="96">
        <f t="shared" si="42"/>
        <v>2.2950772326220583E-2</v>
      </c>
      <c r="Q20" s="212">
        <v>2798</v>
      </c>
      <c r="R20" s="96">
        <f t="shared" si="8"/>
        <v>1.346817553875109E-2</v>
      </c>
      <c r="S20" s="101">
        <f t="shared" si="43"/>
        <v>7566</v>
      </c>
      <c r="T20" s="96">
        <f t="shared" si="44"/>
        <v>3.6418947864971671E-2</v>
      </c>
      <c r="U20" s="212">
        <v>35316</v>
      </c>
      <c r="V20" s="96">
        <f t="shared" si="45"/>
        <v>0.16999359804379324</v>
      </c>
      <c r="W20" s="212">
        <v>1752</v>
      </c>
      <c r="X20" s="96">
        <f t="shared" si="46"/>
        <v>8.433253589668302E-3</v>
      </c>
      <c r="Y20" s="212">
        <v>21976</v>
      </c>
      <c r="Z20" s="96">
        <f t="shared" si="47"/>
        <v>0.10578149593981198</v>
      </c>
      <c r="AA20" s="212">
        <v>23359</v>
      </c>
      <c r="AB20" s="96">
        <f t="shared" si="14"/>
        <v>0.11243856769467001</v>
      </c>
      <c r="AC20" s="101">
        <f t="shared" si="48"/>
        <v>45335</v>
      </c>
      <c r="AD20" s="96">
        <f t="shared" si="49"/>
        <v>0.21822006363448199</v>
      </c>
      <c r="AE20" s="212">
        <v>15489</v>
      </c>
      <c r="AF20" s="96">
        <f t="shared" si="50"/>
        <v>7.4556315553865479E-2</v>
      </c>
      <c r="AG20" s="212">
        <v>9446</v>
      </c>
      <c r="AH20" s="96">
        <f t="shared" si="51"/>
        <v>4.5468329570780126E-2</v>
      </c>
      <c r="AI20" s="212">
        <v>11269</v>
      </c>
      <c r="AJ20" s="96">
        <f t="shared" si="52"/>
        <v>5.4243341724869915E-2</v>
      </c>
      <c r="AK20" s="212">
        <v>14770</v>
      </c>
      <c r="AL20" s="96">
        <f t="shared" si="53"/>
        <v>7.1095408401484483E-2</v>
      </c>
    </row>
    <row r="21" spans="2:38" ht="12">
      <c r="B21" s="79"/>
      <c r="C21" s="75"/>
      <c r="D21" s="395">
        <f t="shared" si="0"/>
        <v>15</v>
      </c>
      <c r="E21" s="395" t="s">
        <v>161</v>
      </c>
      <c r="F21" s="84">
        <f t="shared" si="21"/>
        <v>194623</v>
      </c>
      <c r="G21" s="285"/>
      <c r="H21" s="365"/>
      <c r="I21" s="212">
        <v>28792</v>
      </c>
      <c r="J21" s="96">
        <f t="shared" si="38"/>
        <v>0.14793729415331178</v>
      </c>
      <c r="K21" s="212">
        <v>34026</v>
      </c>
      <c r="L21" s="96">
        <f t="shared" si="39"/>
        <v>0.17483031296403817</v>
      </c>
      <c r="M21" s="101">
        <f t="shared" si="40"/>
        <v>62818</v>
      </c>
      <c r="N21" s="96">
        <f t="shared" si="41"/>
        <v>0.32276760711734997</v>
      </c>
      <c r="O21" s="212">
        <v>4622</v>
      </c>
      <c r="P21" s="96">
        <f t="shared" si="42"/>
        <v>2.3748477826361736E-2</v>
      </c>
      <c r="Q21" s="212">
        <v>2804</v>
      </c>
      <c r="R21" s="96">
        <f t="shared" si="8"/>
        <v>1.4407341372807941E-2</v>
      </c>
      <c r="S21" s="101">
        <f t="shared" si="43"/>
        <v>7426</v>
      </c>
      <c r="T21" s="96">
        <f t="shared" si="44"/>
        <v>3.8155819199169674E-2</v>
      </c>
      <c r="U21" s="212">
        <v>33955</v>
      </c>
      <c r="V21" s="96">
        <f t="shared" si="45"/>
        <v>0.17446550510474096</v>
      </c>
      <c r="W21" s="212">
        <v>1326</v>
      </c>
      <c r="X21" s="96">
        <f t="shared" si="46"/>
        <v>6.8131721327900612E-3</v>
      </c>
      <c r="Y21" s="212">
        <v>21757</v>
      </c>
      <c r="Z21" s="96">
        <f t="shared" si="47"/>
        <v>0.11179048724970841</v>
      </c>
      <c r="AA21" s="212">
        <v>19974</v>
      </c>
      <c r="AB21" s="96">
        <f t="shared" si="14"/>
        <v>0.10262918565637155</v>
      </c>
      <c r="AC21" s="101">
        <f t="shared" si="48"/>
        <v>41731</v>
      </c>
      <c r="AD21" s="96">
        <f t="shared" si="49"/>
        <v>0.21441967290607997</v>
      </c>
      <c r="AE21" s="212">
        <v>13835</v>
      </c>
      <c r="AF21" s="96">
        <f t="shared" si="50"/>
        <v>7.1086151174321641E-2</v>
      </c>
      <c r="AG21" s="212">
        <v>7618</v>
      </c>
      <c r="AH21" s="96">
        <f t="shared" si="51"/>
        <v>3.9142341860931136E-2</v>
      </c>
      <c r="AI21" s="212">
        <v>11452</v>
      </c>
      <c r="AJ21" s="96">
        <f t="shared" si="52"/>
        <v>5.8841966262980223E-2</v>
      </c>
      <c r="AK21" s="212">
        <v>14462</v>
      </c>
      <c r="AL21" s="96">
        <f t="shared" si="53"/>
        <v>7.430776424163639E-2</v>
      </c>
    </row>
    <row r="22" spans="2:38" ht="12">
      <c r="B22" s="79"/>
      <c r="C22" s="75"/>
      <c r="D22" s="395">
        <f t="shared" si="0"/>
        <v>16</v>
      </c>
      <c r="E22" s="395" t="s">
        <v>162</v>
      </c>
      <c r="F22" s="84">
        <f t="shared" si="21"/>
        <v>183688</v>
      </c>
      <c r="G22" s="285"/>
      <c r="H22" s="365"/>
      <c r="I22" s="212">
        <v>27950</v>
      </c>
      <c r="J22" s="96">
        <f t="shared" si="38"/>
        <v>0.15216018466094683</v>
      </c>
      <c r="K22" s="212">
        <v>33702</v>
      </c>
      <c r="L22" s="96">
        <f t="shared" si="39"/>
        <v>0.18347415182265581</v>
      </c>
      <c r="M22" s="101">
        <f t="shared" si="40"/>
        <v>61652</v>
      </c>
      <c r="N22" s="96">
        <f t="shared" si="41"/>
        <v>0.33563433648360264</v>
      </c>
      <c r="O22" s="212">
        <v>3564</v>
      </c>
      <c r="P22" s="96">
        <f t="shared" si="42"/>
        <v>1.9402465049431643E-2</v>
      </c>
      <c r="Q22" s="212">
        <v>2510</v>
      </c>
      <c r="R22" s="96">
        <f t="shared" si="8"/>
        <v>1.3664474543791646E-2</v>
      </c>
      <c r="S22" s="101">
        <f t="shared" si="43"/>
        <v>6074</v>
      </c>
      <c r="T22" s="96">
        <f t="shared" si="44"/>
        <v>3.3066939593223293E-2</v>
      </c>
      <c r="U22" s="212">
        <v>29778</v>
      </c>
      <c r="V22" s="96">
        <f t="shared" si="45"/>
        <v>0.16211184181873611</v>
      </c>
      <c r="W22" s="212">
        <v>1316</v>
      </c>
      <c r="X22" s="96">
        <f t="shared" si="46"/>
        <v>7.1643221114062973E-3</v>
      </c>
      <c r="Y22" s="212">
        <v>20714</v>
      </c>
      <c r="Z22" s="96">
        <f t="shared" si="47"/>
        <v>0.11276730107573713</v>
      </c>
      <c r="AA22" s="212">
        <v>21921</v>
      </c>
      <c r="AB22" s="96">
        <f t="shared" si="14"/>
        <v>0.11933822568703453</v>
      </c>
      <c r="AC22" s="101">
        <f t="shared" si="48"/>
        <v>42635</v>
      </c>
      <c r="AD22" s="96">
        <f t="shared" si="49"/>
        <v>0.23210552676277166</v>
      </c>
      <c r="AE22" s="212">
        <v>12333</v>
      </c>
      <c r="AF22" s="96">
        <f t="shared" si="50"/>
        <v>6.7141021732502942E-2</v>
      </c>
      <c r="AG22" s="212">
        <v>6633</v>
      </c>
      <c r="AH22" s="96">
        <f t="shared" si="51"/>
        <v>3.6110143286442228E-2</v>
      </c>
      <c r="AI22" s="212">
        <v>11044</v>
      </c>
      <c r="AJ22" s="96">
        <f t="shared" si="52"/>
        <v>6.0123687992683243E-2</v>
      </c>
      <c r="AK22" s="212">
        <v>12223</v>
      </c>
      <c r="AL22" s="96">
        <f t="shared" si="53"/>
        <v>6.6542180218631591E-2</v>
      </c>
    </row>
    <row r="23" spans="2:38" ht="12">
      <c r="B23" s="79"/>
      <c r="C23" s="75"/>
      <c r="D23" s="395">
        <f t="shared" si="0"/>
        <v>17</v>
      </c>
      <c r="E23" s="395" t="s">
        <v>163</v>
      </c>
      <c r="F23" s="84">
        <f t="shared" si="21"/>
        <v>191838</v>
      </c>
      <c r="G23" s="285"/>
      <c r="H23" s="365"/>
      <c r="I23" s="212">
        <v>26696</v>
      </c>
      <c r="J23" s="96">
        <f t="shared" si="38"/>
        <v>0.13915908214222417</v>
      </c>
      <c r="K23" s="212">
        <v>36102</v>
      </c>
      <c r="L23" s="96">
        <f t="shared" si="39"/>
        <v>0.18819003534232009</v>
      </c>
      <c r="M23" s="101">
        <f t="shared" si="40"/>
        <v>62798</v>
      </c>
      <c r="N23" s="96">
        <f t="shared" si="41"/>
        <v>0.32734911748454426</v>
      </c>
      <c r="O23" s="212">
        <v>3392</v>
      </c>
      <c r="P23" s="96">
        <f t="shared" si="42"/>
        <v>1.7681585504436034E-2</v>
      </c>
      <c r="Q23" s="212">
        <v>2388</v>
      </c>
      <c r="R23" s="96">
        <f t="shared" si="8"/>
        <v>1.2448003002533388E-2</v>
      </c>
      <c r="S23" s="101">
        <f t="shared" si="43"/>
        <v>5780</v>
      </c>
      <c r="T23" s="96">
        <f t="shared" si="44"/>
        <v>3.0129588506969424E-2</v>
      </c>
      <c r="U23" s="212">
        <v>32496</v>
      </c>
      <c r="V23" s="96">
        <f t="shared" si="45"/>
        <v>0.1693929252807056</v>
      </c>
      <c r="W23" s="212">
        <v>1037</v>
      </c>
      <c r="X23" s="96">
        <f t="shared" si="46"/>
        <v>5.4056026438974551E-3</v>
      </c>
      <c r="Y23" s="212">
        <v>20787</v>
      </c>
      <c r="Z23" s="96">
        <f t="shared" si="47"/>
        <v>0.10835705126200232</v>
      </c>
      <c r="AA23" s="212">
        <v>21699</v>
      </c>
      <c r="AB23" s="96">
        <f t="shared" si="14"/>
        <v>0.11311106245894974</v>
      </c>
      <c r="AC23" s="101">
        <f t="shared" si="48"/>
        <v>42486</v>
      </c>
      <c r="AD23" s="96">
        <f t="shared" si="49"/>
        <v>0.22146811372095204</v>
      </c>
      <c r="AE23" s="212">
        <v>13870</v>
      </c>
      <c r="AF23" s="96">
        <f t="shared" si="50"/>
        <v>7.2300586953575413E-2</v>
      </c>
      <c r="AG23" s="212">
        <v>7381</v>
      </c>
      <c r="AH23" s="96">
        <f t="shared" si="51"/>
        <v>3.8475171759505419E-2</v>
      </c>
      <c r="AI23" s="212">
        <v>12503</v>
      </c>
      <c r="AJ23" s="96">
        <f t="shared" si="52"/>
        <v>6.5174782889729874E-2</v>
      </c>
      <c r="AK23" s="212">
        <v>13487</v>
      </c>
      <c r="AL23" s="96">
        <f t="shared" si="53"/>
        <v>7.0304110760120525E-2</v>
      </c>
    </row>
    <row r="24" spans="2:38" ht="12">
      <c r="B24" s="79"/>
      <c r="C24" s="75"/>
      <c r="D24" s="395">
        <f t="shared" si="0"/>
        <v>18</v>
      </c>
      <c r="E24" s="395" t="s">
        <v>164</v>
      </c>
      <c r="F24" s="84">
        <f t="shared" si="21"/>
        <v>212538</v>
      </c>
      <c r="G24" s="285"/>
      <c r="H24" s="365"/>
      <c r="I24" s="212">
        <v>31697</v>
      </c>
      <c r="J24" s="96">
        <f t="shared" si="38"/>
        <v>0.1491356839718074</v>
      </c>
      <c r="K24" s="212">
        <v>37713</v>
      </c>
      <c r="L24" s="96">
        <f t="shared" si="39"/>
        <v>0.17744121051294356</v>
      </c>
      <c r="M24" s="101">
        <f t="shared" si="40"/>
        <v>69410</v>
      </c>
      <c r="N24" s="96">
        <f t="shared" si="41"/>
        <v>0.32657689448475097</v>
      </c>
      <c r="O24" s="212">
        <v>4580</v>
      </c>
      <c r="P24" s="96">
        <f t="shared" si="42"/>
        <v>2.1549087692553801E-2</v>
      </c>
      <c r="Q24" s="212">
        <v>2681</v>
      </c>
      <c r="R24" s="96">
        <f t="shared" si="8"/>
        <v>1.2614214869811517E-2</v>
      </c>
      <c r="S24" s="101">
        <f t="shared" si="43"/>
        <v>7261</v>
      </c>
      <c r="T24" s="96">
        <f t="shared" si="44"/>
        <v>3.4163302562365321E-2</v>
      </c>
      <c r="U24" s="212">
        <v>39095</v>
      </c>
      <c r="V24" s="96">
        <f t="shared" si="45"/>
        <v>0.18394357714855697</v>
      </c>
      <c r="W24" s="212">
        <v>1434</v>
      </c>
      <c r="X24" s="96">
        <f t="shared" si="46"/>
        <v>6.7470287666205574E-3</v>
      </c>
      <c r="Y24" s="212">
        <v>19264</v>
      </c>
      <c r="Z24" s="96">
        <f t="shared" si="47"/>
        <v>9.0637909456191365E-2</v>
      </c>
      <c r="AA24" s="212">
        <v>23896</v>
      </c>
      <c r="AB24" s="96">
        <f t="shared" si="14"/>
        <v>0.11243165927975232</v>
      </c>
      <c r="AC24" s="101">
        <f t="shared" si="48"/>
        <v>43160</v>
      </c>
      <c r="AD24" s="96">
        <f t="shared" si="49"/>
        <v>0.2030695687359437</v>
      </c>
      <c r="AE24" s="212">
        <v>16376</v>
      </c>
      <c r="AF24" s="96">
        <f t="shared" si="50"/>
        <v>7.7049751103332106E-2</v>
      </c>
      <c r="AG24" s="212">
        <v>8587</v>
      </c>
      <c r="AH24" s="96">
        <f t="shared" si="51"/>
        <v>4.0402186903047928E-2</v>
      </c>
      <c r="AI24" s="212">
        <v>12947</v>
      </c>
      <c r="AJ24" s="96">
        <f t="shared" si="52"/>
        <v>6.0916165579802201E-2</v>
      </c>
      <c r="AK24" s="212">
        <v>14268</v>
      </c>
      <c r="AL24" s="96">
        <f t="shared" si="53"/>
        <v>6.7131524715580274E-2</v>
      </c>
    </row>
    <row r="25" spans="2:38" ht="12">
      <c r="B25" s="79"/>
      <c r="C25" s="75"/>
      <c r="D25" s="395">
        <f t="shared" si="0"/>
        <v>19</v>
      </c>
      <c r="E25" s="395" t="s">
        <v>165</v>
      </c>
      <c r="F25" s="84">
        <f t="shared" si="21"/>
        <v>213785</v>
      </c>
      <c r="G25" s="285"/>
      <c r="H25" s="365"/>
      <c r="I25" s="212">
        <v>30734</v>
      </c>
      <c r="J25" s="96">
        <f t="shared" si="38"/>
        <v>0.14376125546694107</v>
      </c>
      <c r="K25" s="212">
        <v>38342</v>
      </c>
      <c r="L25" s="96">
        <f t="shared" si="39"/>
        <v>0.17934841078653788</v>
      </c>
      <c r="M25" s="101">
        <f t="shared" si="40"/>
        <v>69076</v>
      </c>
      <c r="N25" s="96">
        <f t="shared" si="41"/>
        <v>0.32310966625347898</v>
      </c>
      <c r="O25" s="212">
        <v>4199</v>
      </c>
      <c r="P25" s="96">
        <f t="shared" si="42"/>
        <v>1.964122833688051E-2</v>
      </c>
      <c r="Q25" s="212">
        <v>2678</v>
      </c>
      <c r="R25" s="96">
        <f t="shared" si="8"/>
        <v>1.2526603830951657E-2</v>
      </c>
      <c r="S25" s="101">
        <f t="shared" si="43"/>
        <v>6877</v>
      </c>
      <c r="T25" s="96">
        <f t="shared" si="44"/>
        <v>3.2167832167832165E-2</v>
      </c>
      <c r="U25" s="212">
        <v>37541</v>
      </c>
      <c r="V25" s="96">
        <f t="shared" si="45"/>
        <v>0.17560165586921439</v>
      </c>
      <c r="W25" s="212">
        <v>1501</v>
      </c>
      <c r="X25" s="96">
        <f t="shared" si="46"/>
        <v>7.0210725729120379E-3</v>
      </c>
      <c r="Y25" s="212">
        <v>20054</v>
      </c>
      <c r="Z25" s="96">
        <f t="shared" si="47"/>
        <v>9.3804523235961362E-2</v>
      </c>
      <c r="AA25" s="212">
        <v>26947</v>
      </c>
      <c r="AB25" s="96">
        <f t="shared" si="14"/>
        <v>0.126047196950207</v>
      </c>
      <c r="AC25" s="101">
        <f t="shared" si="48"/>
        <v>47001</v>
      </c>
      <c r="AD25" s="96">
        <f t="shared" si="49"/>
        <v>0.21985172018616836</v>
      </c>
      <c r="AE25" s="212">
        <v>15919</v>
      </c>
      <c r="AF25" s="96">
        <f t="shared" si="50"/>
        <v>7.4462661084734663E-2</v>
      </c>
      <c r="AG25" s="212">
        <v>8562</v>
      </c>
      <c r="AH25" s="96">
        <f t="shared" si="51"/>
        <v>4.004958252449891E-2</v>
      </c>
      <c r="AI25" s="212">
        <v>12471</v>
      </c>
      <c r="AJ25" s="96">
        <f t="shared" si="52"/>
        <v>5.8334307832635594E-2</v>
      </c>
      <c r="AK25" s="212">
        <v>14837</v>
      </c>
      <c r="AL25" s="96">
        <f t="shared" si="53"/>
        <v>6.9401501508524921E-2</v>
      </c>
    </row>
    <row r="26" spans="2:38" ht="12">
      <c r="B26" s="79"/>
      <c r="C26" s="75"/>
      <c r="D26" s="282">
        <f t="shared" si="0"/>
        <v>20</v>
      </c>
      <c r="E26" s="282" t="s">
        <v>166</v>
      </c>
      <c r="F26" s="84">
        <f t="shared" si="21"/>
        <v>228373</v>
      </c>
      <c r="G26" s="285">
        <f>SUM(F26:F32)</f>
        <v>1417743</v>
      </c>
      <c r="H26" s="365"/>
      <c r="I26" s="212">
        <v>34975</v>
      </c>
      <c r="J26" s="96">
        <f t="shared" si="38"/>
        <v>0.15314857710850233</v>
      </c>
      <c r="K26" s="212">
        <v>37369</v>
      </c>
      <c r="L26" s="96">
        <f t="shared" si="39"/>
        <v>0.16363142753302712</v>
      </c>
      <c r="M26" s="101">
        <f t="shared" si="40"/>
        <v>72344</v>
      </c>
      <c r="N26" s="96">
        <f t="shared" si="41"/>
        <v>0.31678000464152944</v>
      </c>
      <c r="O26" s="212">
        <v>4384</v>
      </c>
      <c r="P26" s="96">
        <f t="shared" si="42"/>
        <v>1.9196665104894185E-2</v>
      </c>
      <c r="Q26" s="212">
        <v>2852</v>
      </c>
      <c r="R26" s="96">
        <f t="shared" si="8"/>
        <v>1.2488341441413827E-2</v>
      </c>
      <c r="S26" s="101">
        <f t="shared" si="43"/>
        <v>7236</v>
      </c>
      <c r="T26" s="96">
        <f t="shared" si="44"/>
        <v>3.1685006546308014E-2</v>
      </c>
      <c r="U26" s="212">
        <v>34876</v>
      </c>
      <c r="V26" s="96">
        <f t="shared" si="45"/>
        <v>0.15271507577515731</v>
      </c>
      <c r="W26" s="212">
        <v>1610</v>
      </c>
      <c r="X26" s="96">
        <f t="shared" si="46"/>
        <v>7.0498701685400636E-3</v>
      </c>
      <c r="Y26" s="212">
        <v>23706</v>
      </c>
      <c r="Z26" s="96">
        <f t="shared" si="47"/>
        <v>0.10380386473006879</v>
      </c>
      <c r="AA26" s="212">
        <v>26148</v>
      </c>
      <c r="AB26" s="96">
        <f t="shared" si="14"/>
        <v>0.11449689761924571</v>
      </c>
      <c r="AC26" s="101">
        <f t="shared" si="48"/>
        <v>49854</v>
      </c>
      <c r="AD26" s="96">
        <f t="shared" si="49"/>
        <v>0.2183007623493145</v>
      </c>
      <c r="AE26" s="212">
        <v>18570</v>
      </c>
      <c r="AF26" s="96">
        <f t="shared" si="50"/>
        <v>8.1314341012291291E-2</v>
      </c>
      <c r="AG26" s="212">
        <v>20051</v>
      </c>
      <c r="AH26" s="96">
        <f t="shared" si="51"/>
        <v>8.7799345807078766E-2</v>
      </c>
      <c r="AI26" s="212">
        <v>9708</v>
      </c>
      <c r="AJ26" s="96">
        <f t="shared" si="52"/>
        <v>4.2509403475892507E-2</v>
      </c>
      <c r="AK26" s="212">
        <v>14124</v>
      </c>
      <c r="AL26" s="96">
        <f t="shared" si="53"/>
        <v>6.1846190223888112E-2</v>
      </c>
    </row>
    <row r="27" spans="2:38" ht="12">
      <c r="B27" s="79"/>
      <c r="C27" s="75"/>
      <c r="D27" s="282">
        <f t="shared" si="0"/>
        <v>21</v>
      </c>
      <c r="E27" s="282" t="s">
        <v>167</v>
      </c>
      <c r="F27" s="84">
        <f t="shared" si="21"/>
        <v>211084</v>
      </c>
      <c r="G27" s="285"/>
      <c r="H27" s="365"/>
      <c r="I27" s="212">
        <v>33073</v>
      </c>
      <c r="J27" s="96">
        <f t="shared" si="38"/>
        <v>0.15668170017623315</v>
      </c>
      <c r="K27" s="212">
        <v>36743</v>
      </c>
      <c r="L27" s="96">
        <f t="shared" si="39"/>
        <v>0.17406814348790056</v>
      </c>
      <c r="M27" s="101">
        <f t="shared" si="40"/>
        <v>69816</v>
      </c>
      <c r="N27" s="96">
        <f t="shared" si="41"/>
        <v>0.33074984366413374</v>
      </c>
      <c r="O27" s="212">
        <v>4677</v>
      </c>
      <c r="P27" s="96">
        <f t="shared" si="42"/>
        <v>2.2157055958765232E-2</v>
      </c>
      <c r="Q27" s="212">
        <v>2971</v>
      </c>
      <c r="R27" s="96">
        <f t="shared" si="8"/>
        <v>1.4074965416611396E-2</v>
      </c>
      <c r="S27" s="101">
        <f t="shared" si="43"/>
        <v>7648</v>
      </c>
      <c r="T27" s="96">
        <f t="shared" si="44"/>
        <v>3.6232021375376629E-2</v>
      </c>
      <c r="U27" s="212">
        <v>32646</v>
      </c>
      <c r="V27" s="96">
        <f t="shared" si="45"/>
        <v>0.15465880881544788</v>
      </c>
      <c r="W27" s="212">
        <v>1587</v>
      </c>
      <c r="X27" s="96">
        <f t="shared" si="46"/>
        <v>7.5183339334103962E-3</v>
      </c>
      <c r="Y27" s="212">
        <v>22122</v>
      </c>
      <c r="Z27" s="96">
        <f t="shared" si="47"/>
        <v>0.10480187982035588</v>
      </c>
      <c r="AA27" s="212">
        <v>24715</v>
      </c>
      <c r="AB27" s="96">
        <f t="shared" si="14"/>
        <v>0.11708608895037047</v>
      </c>
      <c r="AC27" s="101">
        <f t="shared" si="48"/>
        <v>46837</v>
      </c>
      <c r="AD27" s="96">
        <f t="shared" si="49"/>
        <v>0.22188796877072633</v>
      </c>
      <c r="AE27" s="212">
        <v>15064</v>
      </c>
      <c r="AF27" s="96">
        <f t="shared" si="50"/>
        <v>7.1364954236228226E-2</v>
      </c>
      <c r="AG27" s="212">
        <v>13960</v>
      </c>
      <c r="AH27" s="96">
        <f t="shared" si="51"/>
        <v>6.6134808891247093E-2</v>
      </c>
      <c r="AI27" s="212">
        <v>9531</v>
      </c>
      <c r="AJ27" s="96">
        <f t="shared" si="52"/>
        <v>4.5152640654905159E-2</v>
      </c>
      <c r="AK27" s="212">
        <v>13995</v>
      </c>
      <c r="AL27" s="96">
        <f t="shared" si="53"/>
        <v>6.6300619658524573E-2</v>
      </c>
    </row>
    <row r="28" spans="2:38" ht="12">
      <c r="B28" s="79"/>
      <c r="C28" s="75"/>
      <c r="D28" s="282">
        <f t="shared" si="0"/>
        <v>22</v>
      </c>
      <c r="E28" s="282" t="s">
        <v>161</v>
      </c>
      <c r="F28" s="84">
        <f t="shared" si="21"/>
        <v>197525</v>
      </c>
      <c r="G28" s="285"/>
      <c r="H28" s="365"/>
      <c r="I28" s="212">
        <v>30974</v>
      </c>
      <c r="J28" s="96">
        <f t="shared" si="38"/>
        <v>0.15681053031261866</v>
      </c>
      <c r="K28" s="212">
        <v>34321</v>
      </c>
      <c r="L28" s="96">
        <f t="shared" si="39"/>
        <v>0.17375522085811923</v>
      </c>
      <c r="M28" s="101">
        <f t="shared" si="40"/>
        <v>65295</v>
      </c>
      <c r="N28" s="96">
        <f t="shared" si="41"/>
        <v>0.33056575117073789</v>
      </c>
      <c r="O28" s="212">
        <v>4465</v>
      </c>
      <c r="P28" s="96">
        <f t="shared" si="42"/>
        <v>2.2604733578028096E-2</v>
      </c>
      <c r="Q28" s="212">
        <v>2985</v>
      </c>
      <c r="R28" s="96">
        <f t="shared" si="8"/>
        <v>1.5112011137830655E-2</v>
      </c>
      <c r="S28" s="101">
        <f t="shared" si="43"/>
        <v>7450</v>
      </c>
      <c r="T28" s="96">
        <f t="shared" si="44"/>
        <v>3.7716744715858751E-2</v>
      </c>
      <c r="U28" s="212">
        <v>32042</v>
      </c>
      <c r="V28" s="96">
        <f t="shared" si="45"/>
        <v>0.16221744083027465</v>
      </c>
      <c r="W28" s="212">
        <v>1143</v>
      </c>
      <c r="X28" s="96">
        <f t="shared" si="46"/>
        <v>5.7866092899632954E-3</v>
      </c>
      <c r="Y28" s="212">
        <v>21475</v>
      </c>
      <c r="Z28" s="96">
        <f t="shared" si="47"/>
        <v>0.10872041513732439</v>
      </c>
      <c r="AA28" s="212">
        <v>20314</v>
      </c>
      <c r="AB28" s="96">
        <f t="shared" si="14"/>
        <v>0.10284267814200734</v>
      </c>
      <c r="AC28" s="101">
        <f t="shared" si="48"/>
        <v>41789</v>
      </c>
      <c r="AD28" s="96">
        <f t="shared" si="49"/>
        <v>0.21156309327933173</v>
      </c>
      <c r="AE28" s="212">
        <v>15124</v>
      </c>
      <c r="AF28" s="96">
        <f t="shared" si="50"/>
        <v>7.6567523098341986E-2</v>
      </c>
      <c r="AG28" s="212">
        <v>13010</v>
      </c>
      <c r="AH28" s="96">
        <f t="shared" si="51"/>
        <v>6.5865080369573475E-2</v>
      </c>
      <c r="AI28" s="212">
        <v>8706</v>
      </c>
      <c r="AJ28" s="96">
        <f t="shared" si="52"/>
        <v>4.4075433489431715E-2</v>
      </c>
      <c r="AK28" s="212">
        <v>12966</v>
      </c>
      <c r="AL28" s="96">
        <f t="shared" si="53"/>
        <v>6.5642323756486515E-2</v>
      </c>
    </row>
    <row r="29" spans="2:38" ht="12">
      <c r="B29" s="79"/>
      <c r="C29" s="75"/>
      <c r="D29" s="282">
        <f t="shared" si="0"/>
        <v>23</v>
      </c>
      <c r="E29" s="282" t="s">
        <v>162</v>
      </c>
      <c r="F29" s="84">
        <f t="shared" si="21"/>
        <v>174499</v>
      </c>
      <c r="G29" s="285"/>
      <c r="H29" s="365"/>
      <c r="I29" s="212">
        <v>28088</v>
      </c>
      <c r="J29" s="96">
        <f t="shared" si="38"/>
        <v>0.16096367314425872</v>
      </c>
      <c r="K29" s="212">
        <v>32560</v>
      </c>
      <c r="L29" s="96">
        <f t="shared" si="39"/>
        <v>0.18659132717092936</v>
      </c>
      <c r="M29" s="101">
        <f t="shared" si="40"/>
        <v>60648</v>
      </c>
      <c r="N29" s="96">
        <f t="shared" si="41"/>
        <v>0.34755500031518805</v>
      </c>
      <c r="O29" s="212">
        <v>3371</v>
      </c>
      <c r="P29" s="96">
        <f t="shared" si="42"/>
        <v>1.9318162281732273E-2</v>
      </c>
      <c r="Q29" s="212">
        <v>2458</v>
      </c>
      <c r="R29" s="96">
        <f t="shared" si="8"/>
        <v>1.4086040607682565E-2</v>
      </c>
      <c r="S29" s="101">
        <f t="shared" si="43"/>
        <v>5829</v>
      </c>
      <c r="T29" s="96">
        <f t="shared" si="44"/>
        <v>3.3404202889414841E-2</v>
      </c>
      <c r="U29" s="212">
        <v>28308</v>
      </c>
      <c r="V29" s="96">
        <f t="shared" si="45"/>
        <v>0.16222442535487308</v>
      </c>
      <c r="W29" s="212">
        <v>799</v>
      </c>
      <c r="X29" s="96">
        <f t="shared" si="46"/>
        <v>4.5788228012767981E-3</v>
      </c>
      <c r="Y29" s="212">
        <v>19068</v>
      </c>
      <c r="Z29" s="96">
        <f t="shared" si="47"/>
        <v>0.10927283250906882</v>
      </c>
      <c r="AA29" s="212">
        <v>20883</v>
      </c>
      <c r="AB29" s="96">
        <f t="shared" si="14"/>
        <v>0.11967403824663751</v>
      </c>
      <c r="AC29" s="101">
        <f t="shared" si="48"/>
        <v>39951</v>
      </c>
      <c r="AD29" s="96">
        <f t="shared" si="49"/>
        <v>0.22894687075570633</v>
      </c>
      <c r="AE29" s="212">
        <v>12559</v>
      </c>
      <c r="AF29" s="96">
        <f t="shared" si="50"/>
        <v>7.1971759150482234E-2</v>
      </c>
      <c r="AG29" s="212">
        <v>7994</v>
      </c>
      <c r="AH29" s="96">
        <f t="shared" si="51"/>
        <v>4.5811150780233699E-2</v>
      </c>
      <c r="AI29" s="212">
        <v>7946</v>
      </c>
      <c r="AJ29" s="96">
        <f t="shared" si="52"/>
        <v>4.5536077570645102E-2</v>
      </c>
      <c r="AK29" s="212">
        <v>10465</v>
      </c>
      <c r="AL29" s="96">
        <f t="shared" si="53"/>
        <v>5.9971690382179837E-2</v>
      </c>
    </row>
    <row r="30" spans="2:38" ht="12">
      <c r="B30" s="79"/>
      <c r="C30" s="75"/>
      <c r="D30" s="282">
        <f t="shared" si="0"/>
        <v>24</v>
      </c>
      <c r="E30" s="282" t="s">
        <v>163</v>
      </c>
      <c r="F30" s="84">
        <f t="shared" si="21"/>
        <v>183312</v>
      </c>
      <c r="G30" s="285"/>
      <c r="H30" s="365"/>
      <c r="I30" s="212">
        <v>26307</v>
      </c>
      <c r="J30" s="96">
        <f t="shared" si="38"/>
        <v>0.14350942655145327</v>
      </c>
      <c r="K30" s="212">
        <v>34588</v>
      </c>
      <c r="L30" s="96">
        <f t="shared" si="39"/>
        <v>0.18868377411189666</v>
      </c>
      <c r="M30" s="101">
        <f t="shared" si="40"/>
        <v>60895</v>
      </c>
      <c r="N30" s="96">
        <f t="shared" si="41"/>
        <v>0.3321932006633499</v>
      </c>
      <c r="O30" s="212">
        <v>3105</v>
      </c>
      <c r="P30" s="96">
        <f t="shared" si="42"/>
        <v>1.6938334642576592E-2</v>
      </c>
      <c r="Q30" s="212">
        <v>2252</v>
      </c>
      <c r="R30" s="96">
        <f t="shared" si="8"/>
        <v>1.2285065898577288E-2</v>
      </c>
      <c r="S30" s="101">
        <f t="shared" si="43"/>
        <v>5357</v>
      </c>
      <c r="T30" s="96">
        <f t="shared" si="44"/>
        <v>2.9223400541153879E-2</v>
      </c>
      <c r="U30" s="212">
        <v>31032</v>
      </c>
      <c r="V30" s="96">
        <f t="shared" si="45"/>
        <v>0.16928515318146112</v>
      </c>
      <c r="W30" s="212">
        <v>710</v>
      </c>
      <c r="X30" s="96">
        <f t="shared" si="46"/>
        <v>3.8731779698001224E-3</v>
      </c>
      <c r="Y30" s="212">
        <v>19466</v>
      </c>
      <c r="Z30" s="96">
        <f t="shared" si="47"/>
        <v>0.1061905385353932</v>
      </c>
      <c r="AA30" s="212">
        <v>20727</v>
      </c>
      <c r="AB30" s="96">
        <f t="shared" si="14"/>
        <v>0.11306952081696779</v>
      </c>
      <c r="AC30" s="101">
        <f t="shared" si="48"/>
        <v>40193</v>
      </c>
      <c r="AD30" s="96">
        <f t="shared" si="49"/>
        <v>0.21926005935236101</v>
      </c>
      <c r="AE30" s="212">
        <v>14024</v>
      </c>
      <c r="AF30" s="96">
        <f t="shared" si="50"/>
        <v>7.6503447673911151E-2</v>
      </c>
      <c r="AG30" s="212">
        <v>8747</v>
      </c>
      <c r="AH30" s="96">
        <f t="shared" si="51"/>
        <v>4.7716461551889675E-2</v>
      </c>
      <c r="AI30" s="212">
        <v>10911</v>
      </c>
      <c r="AJ30" s="96">
        <f t="shared" si="52"/>
        <v>5.9521471589421317E-2</v>
      </c>
      <c r="AK30" s="212">
        <v>11443</v>
      </c>
      <c r="AL30" s="96">
        <f t="shared" si="53"/>
        <v>6.2423627476651831E-2</v>
      </c>
    </row>
    <row r="31" spans="2:38" ht="12">
      <c r="B31" s="79"/>
      <c r="C31" s="75"/>
      <c r="D31" s="282">
        <f t="shared" si="0"/>
        <v>25</v>
      </c>
      <c r="E31" s="282" t="s">
        <v>164</v>
      </c>
      <c r="F31" s="84">
        <f t="shared" si="21"/>
        <v>215741</v>
      </c>
      <c r="G31" s="285"/>
      <c r="H31" s="365"/>
      <c r="I31" s="212">
        <v>31844</v>
      </c>
      <c r="J31" s="96">
        <f t="shared" si="38"/>
        <v>0.14760291275186452</v>
      </c>
      <c r="K31" s="212">
        <v>36348</v>
      </c>
      <c r="L31" s="96">
        <f t="shared" si="39"/>
        <v>0.16847979753500725</v>
      </c>
      <c r="M31" s="101">
        <f t="shared" si="40"/>
        <v>68192</v>
      </c>
      <c r="N31" s="96">
        <f t="shared" si="41"/>
        <v>0.31608271028687174</v>
      </c>
      <c r="O31" s="212">
        <v>4232</v>
      </c>
      <c r="P31" s="96">
        <f t="shared" si="42"/>
        <v>1.9616113766043542E-2</v>
      </c>
      <c r="Q31" s="212">
        <v>2650</v>
      </c>
      <c r="R31" s="96">
        <f t="shared" si="8"/>
        <v>1.2283247041591538E-2</v>
      </c>
      <c r="S31" s="101">
        <f t="shared" si="43"/>
        <v>6882</v>
      </c>
      <c r="T31" s="96">
        <f t="shared" si="44"/>
        <v>3.1899360807635078E-2</v>
      </c>
      <c r="U31" s="212">
        <v>36594</v>
      </c>
      <c r="V31" s="96">
        <f t="shared" si="45"/>
        <v>0.16962005367547198</v>
      </c>
      <c r="W31" s="212">
        <v>1022</v>
      </c>
      <c r="X31" s="96">
        <f t="shared" si="46"/>
        <v>4.7371616892477554E-3</v>
      </c>
      <c r="Y31" s="212">
        <v>24061</v>
      </c>
      <c r="Z31" s="96">
        <f t="shared" si="47"/>
        <v>0.1115272479500883</v>
      </c>
      <c r="AA31" s="212">
        <v>23418</v>
      </c>
      <c r="AB31" s="96">
        <f t="shared" si="14"/>
        <v>0.10854682234716628</v>
      </c>
      <c r="AC31" s="101">
        <f t="shared" si="48"/>
        <v>47479</v>
      </c>
      <c r="AD31" s="96">
        <f t="shared" si="49"/>
        <v>0.22007407029725456</v>
      </c>
      <c r="AE31" s="212">
        <v>17704</v>
      </c>
      <c r="AF31" s="96">
        <f t="shared" si="50"/>
        <v>8.2061360612957199E-2</v>
      </c>
      <c r="AG31" s="212">
        <v>13907</v>
      </c>
      <c r="AH31" s="96">
        <f t="shared" si="51"/>
        <v>6.4461553436759814E-2</v>
      </c>
      <c r="AI31" s="212">
        <v>11631</v>
      </c>
      <c r="AJ31" s="96">
        <f t="shared" si="52"/>
        <v>5.3911866543679687E-2</v>
      </c>
      <c r="AK31" s="212">
        <v>12330</v>
      </c>
      <c r="AL31" s="96">
        <f t="shared" si="53"/>
        <v>5.7151862650122134E-2</v>
      </c>
    </row>
    <row r="32" spans="2:38" ht="12">
      <c r="B32" s="79"/>
      <c r="C32" s="75"/>
      <c r="D32" s="282">
        <f t="shared" si="0"/>
        <v>26</v>
      </c>
      <c r="E32" s="282" t="s">
        <v>165</v>
      </c>
      <c r="F32" s="84">
        <f t="shared" si="21"/>
        <v>207209</v>
      </c>
      <c r="G32" s="285"/>
      <c r="H32" s="365"/>
      <c r="I32" s="212">
        <v>29688</v>
      </c>
      <c r="J32" s="96">
        <f t="shared" si="38"/>
        <v>0.14327562991954981</v>
      </c>
      <c r="K32" s="212">
        <v>36298</v>
      </c>
      <c r="L32" s="96">
        <f t="shared" si="39"/>
        <v>0.17517578869643693</v>
      </c>
      <c r="M32" s="101">
        <f t="shared" si="40"/>
        <v>65986</v>
      </c>
      <c r="N32" s="96">
        <f t="shared" si="41"/>
        <v>0.31845141861598675</v>
      </c>
      <c r="O32" s="212">
        <v>4053</v>
      </c>
      <c r="P32" s="96">
        <f t="shared" si="42"/>
        <v>1.9559961198596584E-2</v>
      </c>
      <c r="Q32" s="212">
        <v>2701</v>
      </c>
      <c r="R32" s="96">
        <f t="shared" si="8"/>
        <v>1.3035148087196984E-2</v>
      </c>
      <c r="S32" s="101">
        <f t="shared" si="43"/>
        <v>6754</v>
      </c>
      <c r="T32" s="96">
        <f t="shared" si="44"/>
        <v>3.2595109285793573E-2</v>
      </c>
      <c r="U32" s="212">
        <v>36289</v>
      </c>
      <c r="V32" s="96">
        <f t="shared" si="45"/>
        <v>0.17513235428963028</v>
      </c>
      <c r="W32" s="212">
        <v>1078</v>
      </c>
      <c r="X32" s="96">
        <f t="shared" si="46"/>
        <v>5.2024767263970191E-3</v>
      </c>
      <c r="Y32" s="212">
        <v>22206</v>
      </c>
      <c r="Z32" s="96">
        <f t="shared" si="47"/>
        <v>0.10716715972761801</v>
      </c>
      <c r="AA32" s="212">
        <v>23190</v>
      </c>
      <c r="AB32" s="96">
        <f t="shared" si="14"/>
        <v>0.11191598820514553</v>
      </c>
      <c r="AC32" s="101">
        <f t="shared" si="48"/>
        <v>45396</v>
      </c>
      <c r="AD32" s="96">
        <f t="shared" si="49"/>
        <v>0.21908314793276354</v>
      </c>
      <c r="AE32" s="212">
        <v>15789</v>
      </c>
      <c r="AF32" s="96">
        <f t="shared" si="50"/>
        <v>7.6198427674473601E-2</v>
      </c>
      <c r="AG32" s="212">
        <v>10543</v>
      </c>
      <c r="AH32" s="96">
        <f t="shared" si="51"/>
        <v>5.088099455139497E-2</v>
      </c>
      <c r="AI32" s="212">
        <v>12395</v>
      </c>
      <c r="AJ32" s="96">
        <f t="shared" si="52"/>
        <v>5.9818830263164244E-2</v>
      </c>
      <c r="AK32" s="212">
        <v>12979</v>
      </c>
      <c r="AL32" s="96">
        <f t="shared" si="53"/>
        <v>6.2637240660396026E-2</v>
      </c>
    </row>
    <row r="33" spans="2:38" ht="12">
      <c r="B33" s="79"/>
      <c r="C33" s="75"/>
      <c r="D33" s="395">
        <f t="shared" si="0"/>
        <v>27</v>
      </c>
      <c r="E33" s="395" t="s">
        <v>166</v>
      </c>
      <c r="F33" s="84">
        <f t="shared" si="21"/>
        <v>0</v>
      </c>
      <c r="G33" s="285">
        <f>SUM(F33:F39)</f>
        <v>0</v>
      </c>
      <c r="H33" s="365"/>
      <c r="I33" s="212"/>
      <c r="J33" s="96" t="e">
        <f t="shared" si="38"/>
        <v>#DIV/0!</v>
      </c>
      <c r="K33" s="212"/>
      <c r="L33" s="96" t="e">
        <f t="shared" si="39"/>
        <v>#DIV/0!</v>
      </c>
      <c r="M33" s="101">
        <f t="shared" si="40"/>
        <v>0</v>
      </c>
      <c r="N33" s="96" t="e">
        <f t="shared" si="41"/>
        <v>#DIV/0!</v>
      </c>
      <c r="O33" s="212"/>
      <c r="P33" s="96" t="e">
        <f t="shared" si="42"/>
        <v>#DIV/0!</v>
      </c>
      <c r="Q33" s="212"/>
      <c r="R33" s="96" t="e">
        <f t="shared" si="8"/>
        <v>#DIV/0!</v>
      </c>
      <c r="S33" s="101">
        <f t="shared" si="43"/>
        <v>0</v>
      </c>
      <c r="T33" s="96" t="e">
        <f t="shared" si="44"/>
        <v>#DIV/0!</v>
      </c>
      <c r="U33" s="212"/>
      <c r="V33" s="96" t="e">
        <f t="shared" si="45"/>
        <v>#DIV/0!</v>
      </c>
      <c r="W33" s="212"/>
      <c r="X33" s="96" t="e">
        <f t="shared" si="46"/>
        <v>#DIV/0!</v>
      </c>
      <c r="Y33" s="212"/>
      <c r="Z33" s="96" t="e">
        <f t="shared" si="47"/>
        <v>#DIV/0!</v>
      </c>
      <c r="AA33" s="212"/>
      <c r="AB33" s="96" t="e">
        <f t="shared" si="14"/>
        <v>#DIV/0!</v>
      </c>
      <c r="AC33" s="101">
        <f t="shared" si="48"/>
        <v>0</v>
      </c>
      <c r="AD33" s="96" t="e">
        <f t="shared" si="49"/>
        <v>#DIV/0!</v>
      </c>
      <c r="AE33" s="212"/>
      <c r="AF33" s="96" t="e">
        <f t="shared" si="50"/>
        <v>#DIV/0!</v>
      </c>
      <c r="AG33" s="212"/>
      <c r="AH33" s="96" t="e">
        <f t="shared" si="51"/>
        <v>#DIV/0!</v>
      </c>
      <c r="AI33" s="212"/>
      <c r="AJ33" s="96" t="e">
        <f t="shared" si="52"/>
        <v>#DIV/0!</v>
      </c>
      <c r="AK33" s="212"/>
      <c r="AL33" s="96" t="e">
        <f t="shared" si="53"/>
        <v>#DIV/0!</v>
      </c>
    </row>
    <row r="34" spans="2:38" ht="12">
      <c r="B34" s="79"/>
      <c r="C34" s="75"/>
      <c r="D34" s="395">
        <f t="shared" si="0"/>
        <v>28</v>
      </c>
      <c r="E34" s="395" t="s">
        <v>167</v>
      </c>
      <c r="F34" s="84">
        <f t="shared" si="21"/>
        <v>0</v>
      </c>
      <c r="G34" s="285"/>
      <c r="H34" s="365"/>
      <c r="I34" s="212"/>
      <c r="J34" s="96" t="e">
        <f t="shared" si="38"/>
        <v>#DIV/0!</v>
      </c>
      <c r="K34" s="212"/>
      <c r="L34" s="96" t="e">
        <f t="shared" si="39"/>
        <v>#DIV/0!</v>
      </c>
      <c r="M34" s="101">
        <f t="shared" si="40"/>
        <v>0</v>
      </c>
      <c r="N34" s="96" t="e">
        <f t="shared" si="41"/>
        <v>#DIV/0!</v>
      </c>
      <c r="O34" s="212"/>
      <c r="P34" s="96" t="e">
        <f t="shared" si="42"/>
        <v>#DIV/0!</v>
      </c>
      <c r="Q34" s="212"/>
      <c r="R34" s="96" t="e">
        <f t="shared" si="8"/>
        <v>#DIV/0!</v>
      </c>
      <c r="S34" s="101">
        <f t="shared" si="43"/>
        <v>0</v>
      </c>
      <c r="T34" s="96" t="e">
        <f t="shared" si="44"/>
        <v>#DIV/0!</v>
      </c>
      <c r="U34" s="212"/>
      <c r="V34" s="96" t="e">
        <f t="shared" si="45"/>
        <v>#DIV/0!</v>
      </c>
      <c r="W34" s="212"/>
      <c r="X34" s="96" t="e">
        <f t="shared" si="46"/>
        <v>#DIV/0!</v>
      </c>
      <c r="Y34" s="212"/>
      <c r="Z34" s="96" t="e">
        <f t="shared" si="47"/>
        <v>#DIV/0!</v>
      </c>
      <c r="AA34" s="212"/>
      <c r="AB34" s="96" t="e">
        <f t="shared" si="14"/>
        <v>#DIV/0!</v>
      </c>
      <c r="AC34" s="101">
        <f t="shared" si="48"/>
        <v>0</v>
      </c>
      <c r="AD34" s="96" t="e">
        <f t="shared" si="49"/>
        <v>#DIV/0!</v>
      </c>
      <c r="AE34" s="212"/>
      <c r="AF34" s="96" t="e">
        <f t="shared" si="50"/>
        <v>#DIV/0!</v>
      </c>
      <c r="AG34" s="212"/>
      <c r="AH34" s="96" t="e">
        <f t="shared" si="51"/>
        <v>#DIV/0!</v>
      </c>
      <c r="AI34" s="212"/>
      <c r="AJ34" s="96" t="e">
        <f t="shared" si="52"/>
        <v>#DIV/0!</v>
      </c>
      <c r="AK34" s="212"/>
      <c r="AL34" s="96" t="e">
        <f t="shared" si="53"/>
        <v>#DIV/0!</v>
      </c>
    </row>
    <row r="35" spans="2:38" ht="12">
      <c r="B35" s="79"/>
      <c r="C35" s="75"/>
      <c r="D35" s="395">
        <f t="shared" si="0"/>
        <v>29</v>
      </c>
      <c r="E35" s="395" t="s">
        <v>161</v>
      </c>
      <c r="F35" s="84">
        <f t="shared" si="21"/>
        <v>0</v>
      </c>
      <c r="G35" s="285"/>
      <c r="H35" s="365"/>
      <c r="I35" s="212"/>
      <c r="J35" s="96" t="e">
        <f t="shared" si="38"/>
        <v>#DIV/0!</v>
      </c>
      <c r="K35" s="212"/>
      <c r="L35" s="96" t="e">
        <f t="shared" si="39"/>
        <v>#DIV/0!</v>
      </c>
      <c r="M35" s="101">
        <f t="shared" si="40"/>
        <v>0</v>
      </c>
      <c r="N35" s="96" t="e">
        <f t="shared" si="41"/>
        <v>#DIV/0!</v>
      </c>
      <c r="O35" s="212"/>
      <c r="P35" s="96" t="e">
        <f t="shared" si="42"/>
        <v>#DIV/0!</v>
      </c>
      <c r="Q35" s="212"/>
      <c r="R35" s="96" t="e">
        <f t="shared" si="8"/>
        <v>#DIV/0!</v>
      </c>
      <c r="S35" s="101">
        <f t="shared" si="43"/>
        <v>0</v>
      </c>
      <c r="T35" s="96" t="e">
        <f t="shared" si="44"/>
        <v>#DIV/0!</v>
      </c>
      <c r="U35" s="212"/>
      <c r="V35" s="96" t="e">
        <f t="shared" si="45"/>
        <v>#DIV/0!</v>
      </c>
      <c r="W35" s="212"/>
      <c r="X35" s="96" t="e">
        <f t="shared" si="46"/>
        <v>#DIV/0!</v>
      </c>
      <c r="Y35" s="212"/>
      <c r="Z35" s="96" t="e">
        <f t="shared" si="47"/>
        <v>#DIV/0!</v>
      </c>
      <c r="AA35" s="212"/>
      <c r="AB35" s="96" t="e">
        <f t="shared" si="14"/>
        <v>#DIV/0!</v>
      </c>
      <c r="AC35" s="101">
        <f t="shared" si="48"/>
        <v>0</v>
      </c>
      <c r="AD35" s="96" t="e">
        <f t="shared" si="49"/>
        <v>#DIV/0!</v>
      </c>
      <c r="AE35" s="212"/>
      <c r="AF35" s="96" t="e">
        <f t="shared" si="50"/>
        <v>#DIV/0!</v>
      </c>
      <c r="AG35" s="212"/>
      <c r="AH35" s="96" t="e">
        <f t="shared" si="51"/>
        <v>#DIV/0!</v>
      </c>
      <c r="AI35" s="212"/>
      <c r="AJ35" s="96" t="e">
        <f t="shared" si="52"/>
        <v>#DIV/0!</v>
      </c>
      <c r="AK35" s="212"/>
      <c r="AL35" s="96" t="e">
        <f t="shared" si="53"/>
        <v>#DIV/0!</v>
      </c>
    </row>
    <row r="36" spans="2:38" ht="12">
      <c r="B36" s="79"/>
      <c r="C36" s="75"/>
      <c r="D36" s="395">
        <f t="shared" si="0"/>
        <v>30</v>
      </c>
      <c r="E36" s="395" t="s">
        <v>162</v>
      </c>
      <c r="F36" s="84">
        <f t="shared" si="21"/>
        <v>0</v>
      </c>
      <c r="G36" s="285"/>
      <c r="H36" s="365"/>
      <c r="I36" s="212"/>
      <c r="J36" s="96" t="e">
        <f t="shared" si="38"/>
        <v>#DIV/0!</v>
      </c>
      <c r="K36" s="212"/>
      <c r="L36" s="96" t="e">
        <f t="shared" si="39"/>
        <v>#DIV/0!</v>
      </c>
      <c r="M36" s="101">
        <f t="shared" si="40"/>
        <v>0</v>
      </c>
      <c r="N36" s="96" t="e">
        <f t="shared" si="41"/>
        <v>#DIV/0!</v>
      </c>
      <c r="O36" s="212"/>
      <c r="P36" s="96" t="e">
        <f t="shared" si="42"/>
        <v>#DIV/0!</v>
      </c>
      <c r="Q36" s="212"/>
      <c r="R36" s="96" t="e">
        <f t="shared" si="8"/>
        <v>#DIV/0!</v>
      </c>
      <c r="S36" s="101">
        <f t="shared" si="43"/>
        <v>0</v>
      </c>
      <c r="T36" s="96" t="e">
        <f t="shared" si="44"/>
        <v>#DIV/0!</v>
      </c>
      <c r="U36" s="212"/>
      <c r="V36" s="96" t="e">
        <f t="shared" si="45"/>
        <v>#DIV/0!</v>
      </c>
      <c r="W36" s="212"/>
      <c r="X36" s="96" t="e">
        <f t="shared" si="46"/>
        <v>#DIV/0!</v>
      </c>
      <c r="Y36" s="212"/>
      <c r="Z36" s="96" t="e">
        <f t="shared" si="47"/>
        <v>#DIV/0!</v>
      </c>
      <c r="AA36" s="212"/>
      <c r="AB36" s="96" t="e">
        <f t="shared" si="14"/>
        <v>#DIV/0!</v>
      </c>
      <c r="AC36" s="101">
        <f t="shared" si="48"/>
        <v>0</v>
      </c>
      <c r="AD36" s="96" t="e">
        <f t="shared" si="49"/>
        <v>#DIV/0!</v>
      </c>
      <c r="AE36" s="212"/>
      <c r="AF36" s="96" t="e">
        <f t="shared" si="50"/>
        <v>#DIV/0!</v>
      </c>
      <c r="AG36" s="212"/>
      <c r="AH36" s="96" t="e">
        <f t="shared" si="51"/>
        <v>#DIV/0!</v>
      </c>
      <c r="AI36" s="212"/>
      <c r="AJ36" s="96" t="e">
        <f t="shared" si="52"/>
        <v>#DIV/0!</v>
      </c>
      <c r="AK36" s="212"/>
      <c r="AL36" s="96" t="e">
        <f t="shared" si="53"/>
        <v>#DIV/0!</v>
      </c>
    </row>
    <row r="37" spans="2:38" ht="12">
      <c r="B37" s="79"/>
      <c r="C37" s="75"/>
      <c r="D37" s="395">
        <f t="shared" si="0"/>
        <v>31</v>
      </c>
      <c r="E37" s="395" t="s">
        <v>163</v>
      </c>
      <c r="F37" s="84">
        <f t="shared" si="21"/>
        <v>0</v>
      </c>
      <c r="G37" s="285"/>
      <c r="H37" s="365"/>
      <c r="I37" s="212"/>
      <c r="J37" s="96" t="e">
        <f t="shared" si="38"/>
        <v>#DIV/0!</v>
      </c>
      <c r="K37" s="212"/>
      <c r="L37" s="96" t="e">
        <f t="shared" si="39"/>
        <v>#DIV/0!</v>
      </c>
      <c r="M37" s="101">
        <f t="shared" si="40"/>
        <v>0</v>
      </c>
      <c r="N37" s="96" t="e">
        <f t="shared" si="41"/>
        <v>#DIV/0!</v>
      </c>
      <c r="O37" s="212"/>
      <c r="P37" s="96" t="e">
        <f t="shared" si="42"/>
        <v>#DIV/0!</v>
      </c>
      <c r="Q37" s="212"/>
      <c r="R37" s="96" t="e">
        <f t="shared" si="8"/>
        <v>#DIV/0!</v>
      </c>
      <c r="S37" s="101">
        <f t="shared" si="43"/>
        <v>0</v>
      </c>
      <c r="T37" s="96" t="e">
        <f t="shared" si="44"/>
        <v>#DIV/0!</v>
      </c>
      <c r="U37" s="212"/>
      <c r="V37" s="96" t="e">
        <f t="shared" si="45"/>
        <v>#DIV/0!</v>
      </c>
      <c r="W37" s="212"/>
      <c r="X37" s="96" t="e">
        <f t="shared" si="46"/>
        <v>#DIV/0!</v>
      </c>
      <c r="Y37" s="212"/>
      <c r="Z37" s="96" t="e">
        <f t="shared" si="47"/>
        <v>#DIV/0!</v>
      </c>
      <c r="AA37" s="212"/>
      <c r="AB37" s="96" t="e">
        <f t="shared" si="14"/>
        <v>#DIV/0!</v>
      </c>
      <c r="AC37" s="101">
        <f t="shared" si="48"/>
        <v>0</v>
      </c>
      <c r="AD37" s="96" t="e">
        <f t="shared" si="49"/>
        <v>#DIV/0!</v>
      </c>
      <c r="AE37" s="212"/>
      <c r="AF37" s="96" t="e">
        <f t="shared" si="50"/>
        <v>#DIV/0!</v>
      </c>
      <c r="AG37" s="212"/>
      <c r="AH37" s="96" t="e">
        <f t="shared" si="51"/>
        <v>#DIV/0!</v>
      </c>
      <c r="AI37" s="212"/>
      <c r="AJ37" s="96" t="e">
        <f t="shared" si="52"/>
        <v>#DIV/0!</v>
      </c>
      <c r="AK37" s="212"/>
      <c r="AL37" s="96" t="e">
        <f t="shared" si="53"/>
        <v>#DIV/0!</v>
      </c>
    </row>
    <row r="38" spans="2:38" ht="12">
      <c r="B38" s="79"/>
      <c r="C38" s="75"/>
      <c r="D38" s="395">
        <f t="shared" si="0"/>
        <v>32</v>
      </c>
      <c r="E38" s="395" t="s">
        <v>164</v>
      </c>
      <c r="F38" s="84">
        <f t="shared" si="21"/>
        <v>0</v>
      </c>
      <c r="G38" s="285"/>
      <c r="H38" s="365"/>
      <c r="I38" s="212"/>
      <c r="J38" s="96" t="e">
        <f t="shared" si="38"/>
        <v>#DIV/0!</v>
      </c>
      <c r="K38" s="212"/>
      <c r="L38" s="96" t="e">
        <f t="shared" si="39"/>
        <v>#DIV/0!</v>
      </c>
      <c r="M38" s="101">
        <f t="shared" si="40"/>
        <v>0</v>
      </c>
      <c r="N38" s="96" t="e">
        <f t="shared" si="41"/>
        <v>#DIV/0!</v>
      </c>
      <c r="O38" s="212"/>
      <c r="P38" s="96" t="e">
        <f t="shared" si="42"/>
        <v>#DIV/0!</v>
      </c>
      <c r="Q38" s="212"/>
      <c r="R38" s="96" t="e">
        <f t="shared" si="8"/>
        <v>#DIV/0!</v>
      </c>
      <c r="S38" s="101">
        <f t="shared" si="43"/>
        <v>0</v>
      </c>
      <c r="T38" s="96" t="e">
        <f t="shared" si="44"/>
        <v>#DIV/0!</v>
      </c>
      <c r="U38" s="212"/>
      <c r="V38" s="96" t="e">
        <f t="shared" si="45"/>
        <v>#DIV/0!</v>
      </c>
      <c r="W38" s="212"/>
      <c r="X38" s="96" t="e">
        <f t="shared" si="46"/>
        <v>#DIV/0!</v>
      </c>
      <c r="Y38" s="212"/>
      <c r="Z38" s="96" t="e">
        <f t="shared" si="47"/>
        <v>#DIV/0!</v>
      </c>
      <c r="AA38" s="212"/>
      <c r="AB38" s="96" t="e">
        <f t="shared" si="14"/>
        <v>#DIV/0!</v>
      </c>
      <c r="AC38" s="101">
        <f t="shared" si="48"/>
        <v>0</v>
      </c>
      <c r="AD38" s="96" t="e">
        <f t="shared" si="49"/>
        <v>#DIV/0!</v>
      </c>
      <c r="AE38" s="212"/>
      <c r="AF38" s="96" t="e">
        <f t="shared" si="50"/>
        <v>#DIV/0!</v>
      </c>
      <c r="AG38" s="212"/>
      <c r="AH38" s="96" t="e">
        <f t="shared" si="51"/>
        <v>#DIV/0!</v>
      </c>
      <c r="AI38" s="212"/>
      <c r="AJ38" s="96" t="e">
        <f t="shared" si="52"/>
        <v>#DIV/0!</v>
      </c>
      <c r="AK38" s="212"/>
      <c r="AL38" s="96" t="e">
        <f t="shared" si="53"/>
        <v>#DIV/0!</v>
      </c>
    </row>
    <row r="39" spans="2:38" s="357" customFormat="1" ht="12">
      <c r="B39" s="356"/>
      <c r="D39" s="395">
        <f t="shared" si="0"/>
        <v>33</v>
      </c>
      <c r="E39" s="395" t="s">
        <v>165</v>
      </c>
      <c r="F39" s="358">
        <f t="shared" si="21"/>
        <v>0</v>
      </c>
      <c r="G39" s="359"/>
      <c r="H39" s="365"/>
      <c r="I39" s="360"/>
      <c r="J39" s="361" t="e">
        <f t="shared" si="38"/>
        <v>#DIV/0!</v>
      </c>
      <c r="K39" s="360"/>
      <c r="L39" s="361" t="e">
        <f t="shared" si="39"/>
        <v>#DIV/0!</v>
      </c>
      <c r="M39" s="362">
        <f t="shared" si="40"/>
        <v>0</v>
      </c>
      <c r="N39" s="361" t="e">
        <f t="shared" si="41"/>
        <v>#DIV/0!</v>
      </c>
      <c r="O39" s="360"/>
      <c r="P39" s="361" t="e">
        <f t="shared" si="42"/>
        <v>#DIV/0!</v>
      </c>
      <c r="Q39" s="360"/>
      <c r="R39" s="361" t="e">
        <f t="shared" si="8"/>
        <v>#DIV/0!</v>
      </c>
      <c r="S39" s="362">
        <f t="shared" si="43"/>
        <v>0</v>
      </c>
      <c r="T39" s="361" t="e">
        <f t="shared" si="44"/>
        <v>#DIV/0!</v>
      </c>
      <c r="U39" s="360"/>
      <c r="V39" s="361" t="e">
        <f t="shared" si="45"/>
        <v>#DIV/0!</v>
      </c>
      <c r="W39" s="360"/>
      <c r="X39" s="361" t="e">
        <f t="shared" si="46"/>
        <v>#DIV/0!</v>
      </c>
      <c r="Y39" s="360"/>
      <c r="Z39" s="361" t="e">
        <f t="shared" si="47"/>
        <v>#DIV/0!</v>
      </c>
      <c r="AA39" s="360"/>
      <c r="AB39" s="361" t="e">
        <f t="shared" si="14"/>
        <v>#DIV/0!</v>
      </c>
      <c r="AC39" s="362">
        <f t="shared" si="48"/>
        <v>0</v>
      </c>
      <c r="AD39" s="361" t="e">
        <f t="shared" si="49"/>
        <v>#DIV/0!</v>
      </c>
      <c r="AE39" s="360"/>
      <c r="AF39" s="361" t="e">
        <f t="shared" si="50"/>
        <v>#DIV/0!</v>
      </c>
      <c r="AG39" s="360"/>
      <c r="AH39" s="361" t="e">
        <f t="shared" si="51"/>
        <v>#DIV/0!</v>
      </c>
      <c r="AI39" s="360"/>
      <c r="AJ39" s="361" t="e">
        <f t="shared" si="52"/>
        <v>#DIV/0!</v>
      </c>
      <c r="AK39" s="360"/>
      <c r="AL39" s="361" t="e">
        <f t="shared" si="53"/>
        <v>#DIV/0!</v>
      </c>
    </row>
    <row r="40" spans="2:38" ht="12">
      <c r="B40" s="79"/>
      <c r="C40" s="75"/>
      <c r="D40" s="82"/>
      <c r="E40" s="82"/>
      <c r="F40" s="84">
        <f t="shared" si="21"/>
        <v>0</v>
      </c>
      <c r="G40" s="285"/>
      <c r="H40" s="84"/>
      <c r="I40" s="212"/>
      <c r="J40" s="96" t="e">
        <f t="shared" si="38"/>
        <v>#DIV/0!</v>
      </c>
      <c r="K40" s="212"/>
      <c r="L40" s="96" t="e">
        <f t="shared" si="39"/>
        <v>#DIV/0!</v>
      </c>
      <c r="M40" s="101">
        <f t="shared" si="40"/>
        <v>0</v>
      </c>
      <c r="N40" s="96" t="e">
        <f t="shared" si="41"/>
        <v>#DIV/0!</v>
      </c>
      <c r="O40" s="212"/>
      <c r="P40" s="96" t="e">
        <f t="shared" si="42"/>
        <v>#DIV/0!</v>
      </c>
      <c r="Q40" s="212"/>
      <c r="R40" s="96" t="e">
        <f t="shared" si="8"/>
        <v>#DIV/0!</v>
      </c>
      <c r="S40" s="101">
        <f t="shared" si="43"/>
        <v>0</v>
      </c>
      <c r="T40" s="96" t="e">
        <f t="shared" si="44"/>
        <v>#DIV/0!</v>
      </c>
      <c r="U40" s="212"/>
      <c r="V40" s="96" t="e">
        <f t="shared" si="45"/>
        <v>#DIV/0!</v>
      </c>
      <c r="W40" s="212"/>
      <c r="X40" s="96" t="e">
        <f t="shared" si="46"/>
        <v>#DIV/0!</v>
      </c>
      <c r="Y40" s="212"/>
      <c r="Z40" s="96" t="e">
        <f t="shared" si="47"/>
        <v>#DIV/0!</v>
      </c>
      <c r="AA40" s="212"/>
      <c r="AB40" s="96" t="e">
        <f t="shared" si="14"/>
        <v>#DIV/0!</v>
      </c>
      <c r="AC40" s="101">
        <f t="shared" si="48"/>
        <v>0</v>
      </c>
      <c r="AD40" s="96" t="e">
        <f t="shared" si="49"/>
        <v>#DIV/0!</v>
      </c>
      <c r="AE40" s="212"/>
      <c r="AF40" s="96" t="e">
        <f t="shared" si="50"/>
        <v>#DIV/0!</v>
      </c>
      <c r="AG40" s="212"/>
      <c r="AH40" s="96" t="e">
        <f t="shared" si="51"/>
        <v>#DIV/0!</v>
      </c>
      <c r="AI40" s="212"/>
      <c r="AJ40" s="96" t="e">
        <f t="shared" si="52"/>
        <v>#DIV/0!</v>
      </c>
      <c r="AK40" s="212"/>
      <c r="AL40" s="96" t="e">
        <f t="shared" si="53"/>
        <v>#DIV/0!</v>
      </c>
    </row>
    <row r="41" spans="2:38" ht="12">
      <c r="B41" s="79"/>
      <c r="C41" s="75"/>
      <c r="D41" s="82"/>
      <c r="E41" s="82"/>
      <c r="F41" s="84">
        <f t="shared" si="21"/>
        <v>0</v>
      </c>
      <c r="G41" s="285"/>
      <c r="H41" s="84"/>
      <c r="I41" s="212"/>
      <c r="J41" s="96" t="e">
        <f t="shared" si="38"/>
        <v>#DIV/0!</v>
      </c>
      <c r="K41" s="212"/>
      <c r="L41" s="96" t="e">
        <f t="shared" si="39"/>
        <v>#DIV/0!</v>
      </c>
      <c r="M41" s="101">
        <f t="shared" si="40"/>
        <v>0</v>
      </c>
      <c r="N41" s="96" t="e">
        <f t="shared" si="41"/>
        <v>#DIV/0!</v>
      </c>
      <c r="O41" s="212"/>
      <c r="P41" s="96" t="e">
        <f t="shared" si="42"/>
        <v>#DIV/0!</v>
      </c>
      <c r="Q41" s="212"/>
      <c r="R41" s="96" t="e">
        <f t="shared" si="8"/>
        <v>#DIV/0!</v>
      </c>
      <c r="S41" s="101">
        <f t="shared" si="43"/>
        <v>0</v>
      </c>
      <c r="T41" s="96" t="e">
        <f t="shared" si="44"/>
        <v>#DIV/0!</v>
      </c>
      <c r="U41" s="212"/>
      <c r="V41" s="96" t="e">
        <f t="shared" si="45"/>
        <v>#DIV/0!</v>
      </c>
      <c r="W41" s="212"/>
      <c r="X41" s="96" t="e">
        <f t="shared" si="46"/>
        <v>#DIV/0!</v>
      </c>
      <c r="Y41" s="212"/>
      <c r="Z41" s="96" t="e">
        <f t="shared" si="47"/>
        <v>#DIV/0!</v>
      </c>
      <c r="AA41" s="212"/>
      <c r="AB41" s="96" t="e">
        <f t="shared" si="14"/>
        <v>#DIV/0!</v>
      </c>
      <c r="AC41" s="101">
        <f t="shared" si="48"/>
        <v>0</v>
      </c>
      <c r="AD41" s="96" t="e">
        <f t="shared" si="49"/>
        <v>#DIV/0!</v>
      </c>
      <c r="AE41" s="212"/>
      <c r="AF41" s="96" t="e">
        <f t="shared" si="50"/>
        <v>#DIV/0!</v>
      </c>
      <c r="AG41" s="212"/>
      <c r="AH41" s="96" t="e">
        <f t="shared" si="51"/>
        <v>#DIV/0!</v>
      </c>
      <c r="AI41" s="212"/>
      <c r="AJ41" s="96" t="e">
        <f t="shared" si="52"/>
        <v>#DIV/0!</v>
      </c>
      <c r="AK41" s="212"/>
      <c r="AL41" s="96" t="e">
        <f t="shared" si="53"/>
        <v>#DIV/0!</v>
      </c>
    </row>
    <row r="42" spans="2:38" ht="12">
      <c r="B42" s="79"/>
      <c r="C42" s="75"/>
      <c r="D42" s="82"/>
      <c r="E42" s="82"/>
      <c r="F42" s="84">
        <f t="shared" si="21"/>
        <v>0</v>
      </c>
      <c r="G42" s="285"/>
      <c r="H42" s="84"/>
      <c r="I42" s="212"/>
      <c r="J42" s="96" t="e">
        <f>I42/F42</f>
        <v>#DIV/0!</v>
      </c>
      <c r="K42" s="212"/>
      <c r="L42" s="96" t="e">
        <f>K42/F42</f>
        <v>#DIV/0!</v>
      </c>
      <c r="M42" s="101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8"/>
        <v>#DIV/0!</v>
      </c>
      <c r="S42" s="101">
        <f t="shared" si="43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14"/>
        <v>#DIV/0!</v>
      </c>
      <c r="AC42" s="101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2">
      <c r="B43" s="79"/>
      <c r="C43" s="75"/>
      <c r="D43" s="82"/>
      <c r="E43" s="82"/>
      <c r="F43" s="84">
        <f t="shared" ref="F43" si="54">SUM(M43,S43,U43,W43,AC43,AE43,AG43,AI43,AK43)</f>
        <v>0</v>
      </c>
      <c r="G43" s="285"/>
      <c r="H43" s="84"/>
      <c r="I43" s="212"/>
      <c r="J43" s="96" t="e">
        <f>I43/F43</f>
        <v>#DIV/0!</v>
      </c>
      <c r="K43" s="212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8"/>
        <v>#DIV/0!</v>
      </c>
      <c r="S43" s="101">
        <f t="shared" ref="S43" si="55">SUM(O43+Q43)</f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14"/>
        <v>#DIV/0!</v>
      </c>
      <c r="AC43" s="101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21"/>
        <v>0</v>
      </c>
      <c r="G44" s="285"/>
      <c r="H44" s="84"/>
      <c r="I44" s="212"/>
      <c r="J44" s="96" t="e">
        <f>I44/F44</f>
        <v>#DIV/0!</v>
      </c>
      <c r="K44" s="212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8"/>
        <v>#DIV/0!</v>
      </c>
      <c r="S44" s="101">
        <f t="shared" si="43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14"/>
        <v>#DIV/0!</v>
      </c>
      <c r="AC44" s="101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21"/>
        <v>0</v>
      </c>
      <c r="G45" s="285"/>
      <c r="H45" s="84"/>
      <c r="I45" s="212"/>
      <c r="J45" s="96" t="e">
        <f>I45/F45</f>
        <v>#DIV/0!</v>
      </c>
      <c r="K45" s="212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8"/>
        <v>#DIV/0!</v>
      </c>
      <c r="S45" s="101">
        <f t="shared" si="43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14"/>
        <v>#DIV/0!</v>
      </c>
      <c r="AC45" s="101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0">
        <f>SUM(I7:I44)</f>
        <v>759111</v>
      </c>
      <c r="J46" s="259">
        <f>I46/$H$12</f>
        <v>0.14169489728435425</v>
      </c>
      <c r="K46" s="260">
        <f>SUM(K7:K44)</f>
        <v>952128</v>
      </c>
      <c r="L46" s="259">
        <f>K46/$H$12</f>
        <v>0.17772325675896891</v>
      </c>
      <c r="M46" s="260">
        <f>SUM(M7:M44)</f>
        <v>1711239</v>
      </c>
      <c r="N46" s="259">
        <f>M46/$H$12</f>
        <v>0.31941815404332319</v>
      </c>
      <c r="O46" s="260">
        <f>SUM(O7:O44)</f>
        <v>117657</v>
      </c>
      <c r="P46" s="259">
        <f>O46/$H$12</f>
        <v>2.1961737518999554E-2</v>
      </c>
      <c r="Q46" s="260">
        <f>SUM(Q7:Q44)</f>
        <v>70716</v>
      </c>
      <c r="R46" s="259">
        <f>Q46/$H$12</f>
        <v>1.3199777577140097E-2</v>
      </c>
      <c r="S46" s="260">
        <f>SUM(S7:S44)</f>
        <v>188373</v>
      </c>
      <c r="T46" s="259">
        <f>S46/$H$12</f>
        <v>3.5161515096139649E-2</v>
      </c>
      <c r="U46" s="260">
        <f>SUM(U7:U44)</f>
        <v>917107</v>
      </c>
      <c r="V46" s="259">
        <f>U46/$H$12</f>
        <v>0.17118627205212714</v>
      </c>
      <c r="W46" s="260">
        <f>SUM(W7:W44)</f>
        <v>27971</v>
      </c>
      <c r="X46" s="259">
        <f>W46/$H$12</f>
        <v>5.2210387834462592E-3</v>
      </c>
      <c r="Y46" s="260">
        <f>SUM(Y7:Y44)</f>
        <v>545215</v>
      </c>
      <c r="Z46" s="259">
        <f>Y46/$H$12</f>
        <v>0.10176928462753038</v>
      </c>
      <c r="AA46" s="260">
        <f>SUM(AA7:AA44)</f>
        <v>638279</v>
      </c>
      <c r="AB46" s="259">
        <f>AA46/$H$12</f>
        <v>0.11914051745233616</v>
      </c>
      <c r="AC46" s="260">
        <f>SUM(AC7:AC44)</f>
        <v>1183494</v>
      </c>
      <c r="AD46" s="259">
        <f>AC46/$H$12</f>
        <v>0.22090980207986652</v>
      </c>
      <c r="AE46" s="260">
        <f>SUM(AE7:AE44)</f>
        <v>396044</v>
      </c>
      <c r="AF46" s="259">
        <f>AE46/$H$12</f>
        <v>7.3925175501454721E-2</v>
      </c>
      <c r="AG46" s="260">
        <f>SUM(AG7:AG44)</f>
        <v>279297</v>
      </c>
      <c r="AH46" s="259">
        <f>AG46/$H$12</f>
        <v>5.2133297669021118E-2</v>
      </c>
      <c r="AI46" s="260">
        <f>SUM(AI7:AI44)</f>
        <v>284245</v>
      </c>
      <c r="AJ46" s="259">
        <f>AI46/$H$12</f>
        <v>5.3056886382348928E-2</v>
      </c>
      <c r="AK46" s="260">
        <f>SUM(AK7:AK44)</f>
        <v>369593</v>
      </c>
      <c r="AL46" s="259">
        <f>AK46/$H$12</f>
        <v>6.8987858392272464E-2</v>
      </c>
    </row>
    <row r="47" spans="2:38" ht="12">
      <c r="B47" s="79"/>
      <c r="C47" s="75"/>
      <c r="D47" s="78"/>
      <c r="F47" s="84"/>
      <c r="G47" s="84"/>
      <c r="H47" s="84"/>
      <c r="M47" s="261">
        <f>M46</f>
        <v>1711239</v>
      </c>
      <c r="S47" s="261">
        <f>S46</f>
        <v>188373</v>
      </c>
      <c r="U47" s="261">
        <f>U46</f>
        <v>917107</v>
      </c>
      <c r="W47" s="261">
        <f>W46</f>
        <v>27971</v>
      </c>
      <c r="Y47" s="261"/>
      <c r="AA47" s="261"/>
      <c r="AC47" s="261">
        <f>AC46</f>
        <v>1183494</v>
      </c>
      <c r="AE47" s="261">
        <f>AE46</f>
        <v>396044</v>
      </c>
      <c r="AG47" s="261">
        <f>AG46</f>
        <v>279297</v>
      </c>
      <c r="AI47" s="261">
        <f>AI46</f>
        <v>284245</v>
      </c>
      <c r="AK47" s="261">
        <f>AK46</f>
        <v>369593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121" zoomScale="55" zoomScaleNormal="55" workbookViewId="0">
      <pane xSplit="15" topLeftCell="P1" activePane="topRight" state="frozen"/>
      <selection activeCell="BB45" sqref="BB45"/>
      <selection pane="topRight" activeCell="D135" sqref="D135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200</v>
      </c>
      <c r="C1" s="197">
        <f>AVERAGE(L7,L42,L77,L112,L147,L182)</f>
        <v>793.62477019016274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497">
        <v>46386</v>
      </c>
      <c r="Q2" s="498"/>
      <c r="R2" s="498"/>
      <c r="S2" s="498"/>
      <c r="T2" s="499"/>
      <c r="U2" s="475">
        <f>P2+1</f>
        <v>46387</v>
      </c>
      <c r="V2" s="476"/>
      <c r="W2" s="476"/>
      <c r="X2" s="476"/>
      <c r="Y2" s="477"/>
      <c r="Z2" s="475">
        <f>U2+1</f>
        <v>46388</v>
      </c>
      <c r="AA2" s="476"/>
      <c r="AB2" s="476"/>
      <c r="AC2" s="476"/>
      <c r="AD2" s="477"/>
      <c r="AE2" s="475">
        <f>Z2+1</f>
        <v>46389</v>
      </c>
      <c r="AF2" s="476"/>
      <c r="AG2" s="476"/>
      <c r="AH2" s="476"/>
      <c r="AI2" s="477"/>
      <c r="AJ2" s="475">
        <f>AE2+1</f>
        <v>46390</v>
      </c>
      <c r="AK2" s="476"/>
      <c r="AL2" s="476"/>
      <c r="AM2" s="476"/>
      <c r="AN2" s="477"/>
      <c r="AO2" s="475">
        <f>AJ2+1</f>
        <v>46391</v>
      </c>
      <c r="AP2" s="476"/>
      <c r="AQ2" s="476"/>
      <c r="AR2" s="476"/>
      <c r="AS2" s="477"/>
      <c r="AT2" s="475">
        <f>AO2+1</f>
        <v>46392</v>
      </c>
      <c r="AU2" s="476"/>
      <c r="AV2" s="476"/>
      <c r="AW2" s="476"/>
      <c r="AX2" s="477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8" t="s">
        <v>203</v>
      </c>
      <c r="Q3" s="479"/>
      <c r="R3" s="479"/>
      <c r="S3" s="479"/>
      <c r="T3" s="479"/>
      <c r="U3" s="478" t="s">
        <v>204</v>
      </c>
      <c r="V3" s="479"/>
      <c r="W3" s="479"/>
      <c r="X3" s="479"/>
      <c r="Y3" s="479"/>
      <c r="Z3" s="478" t="s">
        <v>205</v>
      </c>
      <c r="AA3" s="479"/>
      <c r="AB3" s="479"/>
      <c r="AC3" s="479"/>
      <c r="AD3" s="479"/>
      <c r="AE3" s="478" t="s">
        <v>206</v>
      </c>
      <c r="AF3" s="479"/>
      <c r="AG3" s="479"/>
      <c r="AH3" s="479"/>
      <c r="AI3" s="479"/>
      <c r="AJ3" s="478" t="s">
        <v>207</v>
      </c>
      <c r="AK3" s="479"/>
      <c r="AL3" s="479"/>
      <c r="AM3" s="479"/>
      <c r="AN3" s="479"/>
      <c r="AO3" s="478" t="s">
        <v>157</v>
      </c>
      <c r="AP3" s="479"/>
      <c r="AQ3" s="479"/>
      <c r="AR3" s="479"/>
      <c r="AS3" s="479"/>
      <c r="AT3" s="478" t="s">
        <v>208</v>
      </c>
      <c r="AU3" s="479"/>
      <c r="AV3" s="479"/>
      <c r="AW3" s="479"/>
      <c r="AX3" s="479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88" t="s">
        <v>216</v>
      </c>
      <c r="AU4" s="489"/>
      <c r="AV4" s="489"/>
      <c r="AW4" s="490"/>
      <c r="AX4" s="486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88" t="s">
        <v>218</v>
      </c>
      <c r="AU5" s="489"/>
      <c r="AV5" s="489"/>
      <c r="AW5" s="490"/>
      <c r="AX5" s="486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390" t="s">
        <v>219</v>
      </c>
      <c r="AU6" s="390" t="s">
        <v>220</v>
      </c>
      <c r="AV6" s="390" t="s">
        <v>221</v>
      </c>
      <c r="AW6" s="390" t="s">
        <v>214</v>
      </c>
      <c r="AX6" s="486"/>
    </row>
    <row r="7" spans="1:54">
      <c r="A7" s="79"/>
      <c r="B7" s="501" t="s">
        <v>222</v>
      </c>
      <c r="C7" s="182">
        <v>1</v>
      </c>
      <c r="D7" s="182" t="s">
        <v>223</v>
      </c>
      <c r="E7" s="166">
        <v>4</v>
      </c>
      <c r="F7" s="166">
        <v>2200</v>
      </c>
      <c r="G7" s="166">
        <v>550</v>
      </c>
      <c r="H7" s="459">
        <f>AVERAGE(G7:G36)</f>
        <v>859.12698412698421</v>
      </c>
      <c r="I7" s="166">
        <f>AVERAGE(P7,U7,Z7,AE7,AJ7,AO7,AT7)</f>
        <v>3</v>
      </c>
      <c r="J7" s="166">
        <f>AVERAGE(Q7,V7,AA7,AF7,AK7,AP7,AU7)</f>
        <v>3182.8131040056273</v>
      </c>
      <c r="K7" s="180">
        <f>AVERAGE(R7,W7,AB7,AG7,AL7,AQ7,AV7)</f>
        <v>1060.9377013352091</v>
      </c>
      <c r="L7" s="459">
        <f>AVERAGE(K7:K36)</f>
        <v>790.50928804144269</v>
      </c>
      <c r="M7" s="166" t="e">
        <f>RANK(K7, K$182:$K$211)</f>
        <v>#DIV/0!</v>
      </c>
      <c r="N7" s="462"/>
      <c r="O7" s="462"/>
      <c r="P7" s="182">
        <v>3</v>
      </c>
      <c r="Q7" s="166">
        <v>3340.3846153846116</v>
      </c>
      <c r="R7" s="166">
        <v>1113.4615384615372</v>
      </c>
      <c r="S7" s="182">
        <f>RANK(R7, R$7:R$36)</f>
        <v>1</v>
      </c>
      <c r="T7" s="491">
        <f>AVERAGE(R7:R36)</f>
        <v>811.07092849128799</v>
      </c>
      <c r="U7" s="182">
        <v>3</v>
      </c>
      <c r="V7" s="166">
        <v>3276.2790697674413</v>
      </c>
      <c r="W7" s="180">
        <v>1092.0930232558137</v>
      </c>
      <c r="X7" s="182">
        <f>RANK(W7, W$7:W$36)</f>
        <v>1</v>
      </c>
      <c r="Y7" s="491">
        <f>AVERAGE(W7:W36)</f>
        <v>810.48809663799454</v>
      </c>
      <c r="Z7" s="182">
        <v>3</v>
      </c>
      <c r="AA7" s="166">
        <v>2811.2727272727293</v>
      </c>
      <c r="AB7" s="180">
        <v>937.0909090909098</v>
      </c>
      <c r="AC7" s="182">
        <f>RANK(AB7, AB$7:AB$36)</f>
        <v>2</v>
      </c>
      <c r="AD7" s="491">
        <f>AVERAGE(AB7:AB36)</f>
        <v>741.27956091527506</v>
      </c>
      <c r="AE7" s="182">
        <v>3</v>
      </c>
      <c r="AF7" s="166">
        <v>3186.9767441860458</v>
      </c>
      <c r="AG7" s="180">
        <v>1062.3255813953485</v>
      </c>
      <c r="AH7" s="182">
        <f>RANK(AG7, AG$7:AG$36)</f>
        <v>1</v>
      </c>
      <c r="AI7" s="491">
        <f>AVERAGE(AG7:AG36)</f>
        <v>795.93774932408769</v>
      </c>
      <c r="AJ7" s="182">
        <v>3</v>
      </c>
      <c r="AK7" s="166">
        <v>3181.4285714285643</v>
      </c>
      <c r="AL7" s="180">
        <v>1060.4761904761881</v>
      </c>
      <c r="AM7" s="182">
        <f>RANK(AL7, AL$7:AL$36)</f>
        <v>2</v>
      </c>
      <c r="AN7" s="491">
        <f>AVERAGE(AL7:AL36)</f>
        <v>798.04420079625095</v>
      </c>
      <c r="AO7" s="182">
        <v>3</v>
      </c>
      <c r="AP7" s="166">
        <v>3323.749999999995</v>
      </c>
      <c r="AQ7" s="180">
        <v>1107.9166666666649</v>
      </c>
      <c r="AR7" s="182">
        <f>RANK(AQ7, AQ$7:AQ$36)</f>
        <v>1</v>
      </c>
      <c r="AS7" s="491">
        <f>AVERAGE(AQ7:AQ36)</f>
        <v>795.96598312690651</v>
      </c>
      <c r="AT7" s="182">
        <v>3</v>
      </c>
      <c r="AU7" s="166">
        <v>3159.6000000000013</v>
      </c>
      <c r="AV7" s="180">
        <v>1053.2000000000005</v>
      </c>
      <c r="AW7" s="182">
        <f>RANK(AV7, AV$7:AV$36)</f>
        <v>2</v>
      </c>
      <c r="AX7" s="487">
        <f>AVERAGE(AV7:AV36)</f>
        <v>780.77849699829676</v>
      </c>
      <c r="AZ7" s="166" t="e">
        <f>RANK(AX7, $K$7:AX$36)</f>
        <v>#DIV/0!</v>
      </c>
      <c r="BB7" s="182" t="e">
        <f t="shared" ref="BB7:BB36" si="0">RANK(BA7, BA$7:BA$36)</f>
        <v>#N/A</v>
      </c>
    </row>
    <row r="8" spans="1:54" ht="15" customHeight="1">
      <c r="A8" s="79"/>
      <c r="B8" s="479"/>
      <c r="C8" s="182">
        <v>2</v>
      </c>
      <c r="D8" s="182" t="s">
        <v>224</v>
      </c>
      <c r="E8" s="166">
        <v>3</v>
      </c>
      <c r="F8" s="166">
        <v>2700</v>
      </c>
      <c r="G8" s="166">
        <v>900</v>
      </c>
      <c r="H8" s="460"/>
      <c r="I8" s="166">
        <f t="shared" ref="I8:K23" si="1">AVERAGE(P8,U8,Z8,AE8,AJ8,AO8,AT8)</f>
        <v>3</v>
      </c>
      <c r="J8" s="166">
        <f t="shared" si="1"/>
        <v>2825.2100840336157</v>
      </c>
      <c r="K8" s="180">
        <f t="shared" si="1"/>
        <v>941.7366946778717</v>
      </c>
      <c r="L8" s="460"/>
      <c r="M8" s="166" t="e">
        <f>RANK(K8, K$182:$K$211)</f>
        <v>#DIV/0!</v>
      </c>
      <c r="N8" s="462"/>
      <c r="O8" s="462"/>
      <c r="P8" s="182">
        <v>3</v>
      </c>
      <c r="Q8" s="166">
        <v>2899.9999999999991</v>
      </c>
      <c r="R8" s="166">
        <v>966.6666666666664</v>
      </c>
      <c r="S8" s="182">
        <f t="shared" ref="S8:S36" si="2">RANK(R8, R$7:R$36)</f>
        <v>3</v>
      </c>
      <c r="T8" s="491"/>
      <c r="U8" s="182">
        <v>3</v>
      </c>
      <c r="V8" s="166">
        <v>2852.0000000000027</v>
      </c>
      <c r="W8" s="180">
        <v>950.66666666666754</v>
      </c>
      <c r="X8" s="182">
        <f t="shared" ref="X8:X36" si="3">RANK(W8, W$7:W$36)</f>
        <v>6</v>
      </c>
      <c r="Y8" s="491"/>
      <c r="Z8" s="182">
        <v>3</v>
      </c>
      <c r="AA8" s="166">
        <v>2507.9999999999991</v>
      </c>
      <c r="AB8" s="180">
        <v>835.99999999999966</v>
      </c>
      <c r="AC8" s="182">
        <f t="shared" ref="AC8:AC36" si="4">RANK(AB8, AB$7:AB$36)</f>
        <v>8</v>
      </c>
      <c r="AD8" s="491"/>
      <c r="AE8" s="182">
        <v>3</v>
      </c>
      <c r="AF8" s="166">
        <v>2940.0000000000032</v>
      </c>
      <c r="AG8" s="180">
        <v>980.00000000000102</v>
      </c>
      <c r="AH8" s="182">
        <f t="shared" ref="AH8:AH36" si="5">RANK(AG8, AG$7:AG$36)</f>
        <v>3</v>
      </c>
      <c r="AI8" s="491"/>
      <c r="AJ8" s="182">
        <v>3</v>
      </c>
      <c r="AK8" s="166">
        <v>2910.0000000000023</v>
      </c>
      <c r="AL8" s="180">
        <v>970.0000000000008</v>
      </c>
      <c r="AM8" s="182">
        <f t="shared" ref="AM8:AM36" si="6">RANK(AL8, AL$7:AL$36)</f>
        <v>5</v>
      </c>
      <c r="AN8" s="491"/>
      <c r="AO8" s="182">
        <v>3</v>
      </c>
      <c r="AP8" s="166">
        <v>2936.4705882352978</v>
      </c>
      <c r="AQ8" s="180">
        <v>978.82352941176589</v>
      </c>
      <c r="AR8" s="182">
        <f t="shared" ref="AR8:AR36" si="7">RANK(AQ8, AQ$7:AQ$36)</f>
        <v>3</v>
      </c>
      <c r="AS8" s="491"/>
      <c r="AT8" s="182">
        <v>3</v>
      </c>
      <c r="AU8" s="166">
        <v>2730.0000000000036</v>
      </c>
      <c r="AV8" s="180">
        <v>910.00000000000125</v>
      </c>
      <c r="AW8" s="182">
        <f t="shared" ref="AW8:AW36" si="8">RANK(AV8, AV$7:AV$36)</f>
        <v>7</v>
      </c>
      <c r="AX8" s="487"/>
      <c r="AZ8" s="166" t="e">
        <f>RANK(AX8, $K$7:AX$36)</f>
        <v>#DIV/0!</v>
      </c>
      <c r="BB8" s="182" t="e">
        <f t="shared" si="0"/>
        <v>#N/A</v>
      </c>
    </row>
    <row r="9" spans="1:54">
      <c r="A9" s="79"/>
      <c r="B9" s="479"/>
      <c r="C9" s="182">
        <v>3</v>
      </c>
      <c r="D9" s="182" t="s">
        <v>225</v>
      </c>
      <c r="E9" s="166">
        <v>4</v>
      </c>
      <c r="F9" s="166">
        <v>3600</v>
      </c>
      <c r="G9" s="166">
        <v>900</v>
      </c>
      <c r="H9" s="460"/>
      <c r="I9" s="166">
        <f t="shared" si="1"/>
        <v>4</v>
      </c>
      <c r="J9" s="166">
        <f t="shared" si="1"/>
        <v>3245.0685805422654</v>
      </c>
      <c r="K9" s="180">
        <f t="shared" si="1"/>
        <v>811.26714513556635</v>
      </c>
      <c r="L9" s="460"/>
      <c r="M9" s="166" t="e">
        <f>RANK(K9, K$182:$K$211)</f>
        <v>#DIV/0!</v>
      </c>
      <c r="N9" s="462"/>
      <c r="O9" s="462"/>
      <c r="P9" s="182">
        <v>4</v>
      </c>
      <c r="Q9" s="166">
        <v>3308.1818181818239</v>
      </c>
      <c r="R9" s="166">
        <v>827.04545454545598</v>
      </c>
      <c r="S9" s="182">
        <f t="shared" si="2"/>
        <v>11</v>
      </c>
      <c r="T9" s="491"/>
      <c r="U9" s="182">
        <v>4</v>
      </c>
      <c r="V9" s="166">
        <v>3411.9999999999941</v>
      </c>
      <c r="W9" s="180">
        <v>852.99999999999852</v>
      </c>
      <c r="X9" s="182">
        <f t="shared" si="3"/>
        <v>11</v>
      </c>
      <c r="Y9" s="491"/>
      <c r="Z9" s="182">
        <v>4</v>
      </c>
      <c r="AA9" s="166">
        <v>2775.0000000000041</v>
      </c>
      <c r="AB9" s="180">
        <v>693.75000000000102</v>
      </c>
      <c r="AC9" s="182">
        <f t="shared" si="4"/>
        <v>13</v>
      </c>
      <c r="AD9" s="491"/>
      <c r="AE9" s="182">
        <v>4</v>
      </c>
      <c r="AF9" s="166">
        <v>3315.0000000000036</v>
      </c>
      <c r="AG9" s="180">
        <v>828.75000000000091</v>
      </c>
      <c r="AH9" s="182">
        <f t="shared" si="5"/>
        <v>10</v>
      </c>
      <c r="AI9" s="491"/>
      <c r="AJ9" s="182">
        <v>4</v>
      </c>
      <c r="AK9" s="166">
        <v>3295.9999999999941</v>
      </c>
      <c r="AL9" s="180">
        <v>823.99999999999852</v>
      </c>
      <c r="AM9" s="182">
        <f t="shared" si="6"/>
        <v>11</v>
      </c>
      <c r="AN9" s="491"/>
      <c r="AO9" s="182">
        <v>4</v>
      </c>
      <c r="AP9" s="166">
        <v>3476.6666666666642</v>
      </c>
      <c r="AQ9" s="180">
        <v>869.16666666666606</v>
      </c>
      <c r="AR9" s="182">
        <f t="shared" si="7"/>
        <v>9</v>
      </c>
      <c r="AS9" s="491"/>
      <c r="AT9" s="182">
        <v>4</v>
      </c>
      <c r="AU9" s="166">
        <v>3132.6315789473729</v>
      </c>
      <c r="AV9" s="180">
        <v>783.15789473684322</v>
      </c>
      <c r="AW9" s="182">
        <f t="shared" si="8"/>
        <v>13</v>
      </c>
      <c r="AX9" s="487"/>
      <c r="AZ9" s="166" t="e">
        <f>RANK(AX9, $K$7:AX$36)</f>
        <v>#DIV/0!</v>
      </c>
      <c r="BB9" s="182" t="e">
        <f t="shared" si="0"/>
        <v>#N/A</v>
      </c>
    </row>
    <row r="10" spans="1:54">
      <c r="A10" s="79"/>
      <c r="B10" s="479"/>
      <c r="C10" s="182">
        <v>4</v>
      </c>
      <c r="D10" s="182" t="s">
        <v>226</v>
      </c>
      <c r="E10" s="166">
        <v>3</v>
      </c>
      <c r="F10" s="166">
        <v>3600</v>
      </c>
      <c r="G10" s="166">
        <v>1200</v>
      </c>
      <c r="H10" s="460"/>
      <c r="I10" s="166">
        <f t="shared" si="1"/>
        <v>3</v>
      </c>
      <c r="J10" s="166">
        <f t="shared" si="1"/>
        <v>3199.7136046833316</v>
      </c>
      <c r="K10" s="180">
        <f t="shared" si="1"/>
        <v>1066.5712015611102</v>
      </c>
      <c r="L10" s="460"/>
      <c r="M10" s="166" t="e">
        <f>RANK(K10, K$182:$K$211)</f>
        <v>#DIV/0!</v>
      </c>
      <c r="N10" s="462"/>
      <c r="O10" s="462"/>
      <c r="P10" s="182">
        <v>3</v>
      </c>
      <c r="Q10" s="166">
        <v>3275.9999999999977</v>
      </c>
      <c r="R10" s="166">
        <v>1091.9999999999993</v>
      </c>
      <c r="S10" s="182">
        <f t="shared" si="2"/>
        <v>2</v>
      </c>
      <c r="T10" s="491"/>
      <c r="U10" s="182">
        <v>3</v>
      </c>
      <c r="V10" s="166">
        <v>3238.9655172413773</v>
      </c>
      <c r="W10" s="180">
        <v>1079.6551724137923</v>
      </c>
      <c r="X10" s="182">
        <f t="shared" si="3"/>
        <v>2</v>
      </c>
      <c r="Y10" s="491"/>
      <c r="Z10" s="182">
        <v>3</v>
      </c>
      <c r="AA10" s="166">
        <v>3045.428571428572</v>
      </c>
      <c r="AB10" s="180">
        <v>1015.1428571428573</v>
      </c>
      <c r="AC10" s="182">
        <f t="shared" si="4"/>
        <v>1</v>
      </c>
      <c r="AD10" s="491"/>
      <c r="AE10" s="182">
        <v>3</v>
      </c>
      <c r="AF10" s="166">
        <v>3182.9508196721299</v>
      </c>
      <c r="AG10" s="180">
        <v>1060.9836065573766</v>
      </c>
      <c r="AH10" s="182">
        <f t="shared" si="5"/>
        <v>2</v>
      </c>
      <c r="AI10" s="491"/>
      <c r="AJ10" s="182">
        <v>3</v>
      </c>
      <c r="AK10" s="166">
        <v>3256.8421052631556</v>
      </c>
      <c r="AL10" s="180">
        <v>1085.6140350877185</v>
      </c>
      <c r="AM10" s="182">
        <f t="shared" si="6"/>
        <v>1</v>
      </c>
      <c r="AN10" s="491"/>
      <c r="AO10" s="182">
        <v>3</v>
      </c>
      <c r="AP10" s="166">
        <v>3221.0958904109593</v>
      </c>
      <c r="AQ10" s="180">
        <v>1073.6986301369864</v>
      </c>
      <c r="AR10" s="182">
        <f t="shared" si="7"/>
        <v>2</v>
      </c>
      <c r="AS10" s="491"/>
      <c r="AT10" s="182">
        <v>3</v>
      </c>
      <c r="AU10" s="166">
        <v>3176.7123287671238</v>
      </c>
      <c r="AV10" s="180">
        <v>1058.9041095890414</v>
      </c>
      <c r="AW10" s="182">
        <f t="shared" si="8"/>
        <v>1</v>
      </c>
      <c r="AX10" s="487"/>
      <c r="AZ10" s="166" t="e">
        <f>RANK(AX10, $K$7:AX$36)</f>
        <v>#DIV/0!</v>
      </c>
      <c r="BB10" s="182" t="e">
        <f t="shared" si="0"/>
        <v>#N/A</v>
      </c>
    </row>
    <row r="11" spans="1:54">
      <c r="A11" s="79"/>
      <c r="B11" s="479"/>
      <c r="C11" s="182">
        <v>5</v>
      </c>
      <c r="D11" s="182" t="s">
        <v>227</v>
      </c>
      <c r="E11" s="166">
        <v>3</v>
      </c>
      <c r="F11" s="166">
        <v>3600</v>
      </c>
      <c r="G11" s="166">
        <v>1200</v>
      </c>
      <c r="H11" s="460"/>
      <c r="I11" s="166">
        <f t="shared" si="1"/>
        <v>4</v>
      </c>
      <c r="J11" s="166">
        <f t="shared" si="1"/>
        <v>3162.1499566575985</v>
      </c>
      <c r="K11" s="180">
        <f t="shared" si="1"/>
        <v>790.53748916439963</v>
      </c>
      <c r="L11" s="460"/>
      <c r="M11" s="166" t="e">
        <f>RANK(K11, K$182:$K$211)</f>
        <v>#DIV/0!</v>
      </c>
      <c r="N11" s="462"/>
      <c r="O11" s="462"/>
      <c r="P11" s="182">
        <v>4</v>
      </c>
      <c r="Q11" s="166">
        <v>3264.7058823529369</v>
      </c>
      <c r="R11" s="166">
        <v>816.17647058823422</v>
      </c>
      <c r="S11" s="182">
        <f t="shared" si="2"/>
        <v>12</v>
      </c>
      <c r="T11" s="491"/>
      <c r="U11" s="182">
        <v>4</v>
      </c>
      <c r="V11" s="166">
        <v>3307.4999999999955</v>
      </c>
      <c r="W11" s="180">
        <v>826.87499999999886</v>
      </c>
      <c r="X11" s="182">
        <f t="shared" si="3"/>
        <v>12</v>
      </c>
      <c r="Y11" s="491"/>
      <c r="Z11" s="182">
        <v>4</v>
      </c>
      <c r="AA11" s="166">
        <v>2653.7142857142831</v>
      </c>
      <c r="AB11" s="180">
        <v>663.42857142857076</v>
      </c>
      <c r="AC11" s="182">
        <f t="shared" si="4"/>
        <v>15</v>
      </c>
      <c r="AD11" s="491"/>
      <c r="AE11" s="182">
        <v>4</v>
      </c>
      <c r="AF11" s="166">
        <v>3276.9230769230735</v>
      </c>
      <c r="AG11" s="180">
        <v>819.23076923076837</v>
      </c>
      <c r="AH11" s="182">
        <f t="shared" si="5"/>
        <v>12</v>
      </c>
      <c r="AI11" s="491"/>
      <c r="AJ11" s="182">
        <v>4</v>
      </c>
      <c r="AK11" s="166">
        <v>3206.399999999996</v>
      </c>
      <c r="AL11" s="180">
        <v>801.599999999999</v>
      </c>
      <c r="AM11" s="182">
        <f t="shared" si="6"/>
        <v>12</v>
      </c>
      <c r="AN11" s="491"/>
      <c r="AO11" s="182">
        <v>4</v>
      </c>
      <c r="AP11" s="166">
        <v>3267.0967741935474</v>
      </c>
      <c r="AQ11" s="180">
        <v>816.77419354838685</v>
      </c>
      <c r="AR11" s="182">
        <f t="shared" si="7"/>
        <v>10</v>
      </c>
      <c r="AS11" s="491"/>
      <c r="AT11" s="182">
        <v>4</v>
      </c>
      <c r="AU11" s="166">
        <v>3158.7096774193574</v>
      </c>
      <c r="AV11" s="180">
        <v>789.67741935483934</v>
      </c>
      <c r="AW11" s="182">
        <f t="shared" si="8"/>
        <v>12</v>
      </c>
      <c r="AX11" s="487"/>
      <c r="AZ11" s="166" t="e">
        <f>RANK(AX11, $K$7:AX$36)</f>
        <v>#DIV/0!</v>
      </c>
      <c r="BB11" s="182" t="e">
        <f t="shared" si="0"/>
        <v>#N/A</v>
      </c>
    </row>
    <row r="12" spans="1:54">
      <c r="A12" s="79"/>
      <c r="B12" s="479"/>
      <c r="C12" s="182">
        <v>6</v>
      </c>
      <c r="D12" s="182" t="s">
        <v>228</v>
      </c>
      <c r="E12" s="166">
        <v>4</v>
      </c>
      <c r="F12" s="166">
        <v>3600</v>
      </c>
      <c r="G12" s="166">
        <v>900</v>
      </c>
      <c r="H12" s="460"/>
      <c r="I12" s="166">
        <f t="shared" si="1"/>
        <v>4</v>
      </c>
      <c r="J12" s="166">
        <f t="shared" si="1"/>
        <v>3270.1122994652419</v>
      </c>
      <c r="K12" s="180">
        <f t="shared" si="1"/>
        <v>817.52807486631048</v>
      </c>
      <c r="L12" s="460"/>
      <c r="M12" s="166" t="e">
        <f>RANK(K12, K$182:$K$211)</f>
        <v>#DIV/0!</v>
      </c>
      <c r="N12" s="462"/>
      <c r="O12" s="462"/>
      <c r="P12" s="182">
        <v>4</v>
      </c>
      <c r="Q12" s="166">
        <v>3367.0588235294076</v>
      </c>
      <c r="R12" s="166">
        <v>841.7647058823519</v>
      </c>
      <c r="S12" s="182">
        <f t="shared" si="2"/>
        <v>10</v>
      </c>
      <c r="T12" s="491"/>
      <c r="U12" s="182">
        <v>4</v>
      </c>
      <c r="V12" s="166">
        <v>3545.4545454545455</v>
      </c>
      <c r="W12" s="180">
        <v>886.36363636363637</v>
      </c>
      <c r="X12" s="182">
        <f t="shared" si="3"/>
        <v>10</v>
      </c>
      <c r="Y12" s="491"/>
      <c r="Z12" s="182">
        <v>4</v>
      </c>
      <c r="AA12" s="166">
        <v>2960.0000000000027</v>
      </c>
      <c r="AB12" s="180">
        <v>740.00000000000068</v>
      </c>
      <c r="AC12" s="182">
        <f t="shared" si="4"/>
        <v>10</v>
      </c>
      <c r="AD12" s="491"/>
      <c r="AE12" s="182">
        <v>4</v>
      </c>
      <c r="AF12" s="166">
        <v>3305.0000000000009</v>
      </c>
      <c r="AG12" s="180">
        <v>826.25000000000023</v>
      </c>
      <c r="AH12" s="182">
        <f t="shared" si="5"/>
        <v>11</v>
      </c>
      <c r="AI12" s="491"/>
      <c r="AJ12" s="182">
        <v>4</v>
      </c>
      <c r="AK12" s="166">
        <v>3387.272727272727</v>
      </c>
      <c r="AL12" s="180">
        <v>846.81818181818176</v>
      </c>
      <c r="AM12" s="182">
        <f t="shared" si="6"/>
        <v>10</v>
      </c>
      <c r="AN12" s="491"/>
      <c r="AO12" s="182">
        <v>4</v>
      </c>
      <c r="AP12" s="166">
        <v>3116.0000000000027</v>
      </c>
      <c r="AQ12" s="180">
        <v>779.00000000000068</v>
      </c>
      <c r="AR12" s="182">
        <f t="shared" si="7"/>
        <v>12</v>
      </c>
      <c r="AS12" s="491"/>
      <c r="AT12" s="182">
        <v>4</v>
      </c>
      <c r="AU12" s="166">
        <v>3210.0000000000027</v>
      </c>
      <c r="AV12" s="180">
        <v>802.50000000000068</v>
      </c>
      <c r="AW12" s="182">
        <f t="shared" si="8"/>
        <v>10</v>
      </c>
      <c r="AX12" s="487"/>
      <c r="AZ12" s="166" t="e">
        <f>RANK(AX12, $K$7:AX$36)</f>
        <v>#DIV/0!</v>
      </c>
      <c r="BB12" s="182" t="e">
        <f t="shared" si="0"/>
        <v>#N/A</v>
      </c>
    </row>
    <row r="13" spans="1:54">
      <c r="A13" s="79"/>
      <c r="B13" s="479"/>
      <c r="C13" s="182">
        <v>7</v>
      </c>
      <c r="D13" s="182" t="s">
        <v>229</v>
      </c>
      <c r="E13" s="166">
        <v>4</v>
      </c>
      <c r="F13" s="166">
        <v>3600</v>
      </c>
      <c r="G13" s="166">
        <v>900</v>
      </c>
      <c r="H13" s="460"/>
      <c r="I13" s="166">
        <f t="shared" si="1"/>
        <v>4</v>
      </c>
      <c r="J13" s="166">
        <f t="shared" si="1"/>
        <v>3292.0714285714325</v>
      </c>
      <c r="K13" s="180">
        <f t="shared" si="1"/>
        <v>823.01785714285813</v>
      </c>
      <c r="L13" s="460"/>
      <c r="M13" s="166" t="e">
        <f>RANK(K13, K$182:$K$211)</f>
        <v>#DIV/0!</v>
      </c>
      <c r="N13" s="462"/>
      <c r="O13" s="462"/>
      <c r="P13" s="182">
        <v>4</v>
      </c>
      <c r="Q13" s="166">
        <v>3502.5000000000123</v>
      </c>
      <c r="R13" s="166">
        <v>875.62500000000307</v>
      </c>
      <c r="S13" s="182">
        <f t="shared" si="2"/>
        <v>8</v>
      </c>
      <c r="T13" s="491"/>
      <c r="U13" s="182">
        <v>4</v>
      </c>
      <c r="V13" s="166">
        <v>3684.0000000000132</v>
      </c>
      <c r="W13" s="180">
        <v>921.0000000000033</v>
      </c>
      <c r="X13" s="182">
        <f t="shared" si="3"/>
        <v>9</v>
      </c>
      <c r="Y13" s="491"/>
      <c r="Z13" s="182">
        <v>4</v>
      </c>
      <c r="AA13" s="166">
        <v>2237.99999999999</v>
      </c>
      <c r="AB13" s="180">
        <v>559.4999999999975</v>
      </c>
      <c r="AC13" s="182">
        <f t="shared" si="4"/>
        <v>20</v>
      </c>
      <c r="AD13" s="491"/>
      <c r="AE13" s="182">
        <v>4</v>
      </c>
      <c r="AF13" s="166">
        <v>3780.0000000000136</v>
      </c>
      <c r="AG13" s="180">
        <v>945.00000000000341</v>
      </c>
      <c r="AH13" s="182">
        <f t="shared" si="5"/>
        <v>5</v>
      </c>
      <c r="AI13" s="491"/>
      <c r="AJ13" s="182">
        <v>4</v>
      </c>
      <c r="AK13" s="166">
        <v>3420.0000000000118</v>
      </c>
      <c r="AL13" s="180">
        <v>855.00000000000296</v>
      </c>
      <c r="AM13" s="182">
        <f t="shared" si="6"/>
        <v>9</v>
      </c>
      <c r="AN13" s="491"/>
      <c r="AO13" s="182">
        <v>4</v>
      </c>
      <c r="AP13" s="166">
        <v>3257.1428571428687</v>
      </c>
      <c r="AQ13" s="180">
        <v>814.28571428571718</v>
      </c>
      <c r="AR13" s="182">
        <f t="shared" si="7"/>
        <v>11</v>
      </c>
      <c r="AS13" s="491"/>
      <c r="AT13" s="182">
        <v>4</v>
      </c>
      <c r="AU13" s="166">
        <v>3162.8571428571177</v>
      </c>
      <c r="AV13" s="180">
        <v>790.71428571427941</v>
      </c>
      <c r="AW13" s="182">
        <f t="shared" si="8"/>
        <v>11</v>
      </c>
      <c r="AX13" s="487"/>
      <c r="AZ13" s="166" t="e">
        <f>RANK(AX13, $K$7:AX$36)</f>
        <v>#DIV/0!</v>
      </c>
      <c r="BB13" s="182" t="e">
        <f t="shared" si="0"/>
        <v>#N/A</v>
      </c>
    </row>
    <row r="14" spans="1:54">
      <c r="A14" s="79"/>
      <c r="B14" s="479"/>
      <c r="C14" s="182">
        <v>8</v>
      </c>
      <c r="D14" s="182" t="s">
        <v>230</v>
      </c>
      <c r="E14" s="166">
        <v>4</v>
      </c>
      <c r="F14" s="166">
        <v>3300</v>
      </c>
      <c r="G14" s="166">
        <v>825</v>
      </c>
      <c r="H14" s="460"/>
      <c r="I14" s="166">
        <f t="shared" si="1"/>
        <v>4</v>
      </c>
      <c r="J14" s="166">
        <f t="shared" si="1"/>
        <v>2791.318681318684</v>
      </c>
      <c r="K14" s="180">
        <f t="shared" si="1"/>
        <v>697.82967032967099</v>
      </c>
      <c r="L14" s="460"/>
      <c r="M14" s="166" t="e">
        <f>RANK(K14, K$182:$K$211)</f>
        <v>#DIV/0!</v>
      </c>
      <c r="N14" s="462"/>
      <c r="O14" s="462"/>
      <c r="P14" s="182">
        <v>4</v>
      </c>
      <c r="Q14" s="166">
        <v>2944.0000000000027</v>
      </c>
      <c r="R14" s="166">
        <v>736.00000000000068</v>
      </c>
      <c r="S14" s="182">
        <f t="shared" si="2"/>
        <v>14</v>
      </c>
      <c r="T14" s="491"/>
      <c r="U14" s="182">
        <v>4</v>
      </c>
      <c r="V14" s="166">
        <v>2963.9999999999991</v>
      </c>
      <c r="W14" s="180">
        <v>740.99999999999977</v>
      </c>
      <c r="X14" s="182">
        <f t="shared" si="3"/>
        <v>13</v>
      </c>
      <c r="Y14" s="491"/>
      <c r="Z14" s="182">
        <v>4</v>
      </c>
      <c r="AA14" s="166">
        <v>2420.0000000000023</v>
      </c>
      <c r="AB14" s="180">
        <v>605.00000000000057</v>
      </c>
      <c r="AC14" s="182">
        <f t="shared" si="4"/>
        <v>18</v>
      </c>
      <c r="AD14" s="491"/>
      <c r="AE14" s="182">
        <v>4</v>
      </c>
      <c r="AF14" s="166">
        <v>3054.0000000000109</v>
      </c>
      <c r="AG14" s="180">
        <v>763.50000000000273</v>
      </c>
      <c r="AH14" s="182">
        <f t="shared" si="5"/>
        <v>13</v>
      </c>
      <c r="AI14" s="491"/>
      <c r="AJ14" s="182">
        <v>4</v>
      </c>
      <c r="AK14" s="166">
        <v>2687.9999999999991</v>
      </c>
      <c r="AL14" s="180">
        <v>671.99999999999977</v>
      </c>
      <c r="AM14" s="182">
        <f t="shared" si="6"/>
        <v>17</v>
      </c>
      <c r="AN14" s="491"/>
      <c r="AO14" s="182">
        <v>4</v>
      </c>
      <c r="AP14" s="166">
        <v>2838.4615384615399</v>
      </c>
      <c r="AQ14" s="180">
        <v>709.61538461538498</v>
      </c>
      <c r="AR14" s="182">
        <f t="shared" si="7"/>
        <v>14</v>
      </c>
      <c r="AS14" s="491"/>
      <c r="AT14" s="182">
        <v>4</v>
      </c>
      <c r="AU14" s="166">
        <v>2630.7692307692323</v>
      </c>
      <c r="AV14" s="180">
        <v>657.69230769230808</v>
      </c>
      <c r="AW14" s="182">
        <f t="shared" si="8"/>
        <v>18</v>
      </c>
      <c r="AX14" s="487"/>
      <c r="AZ14" s="166" t="e">
        <f>RANK(AX14, $K$7:AX$36)</f>
        <v>#DIV/0!</v>
      </c>
      <c r="BB14" s="182" t="e">
        <f t="shared" si="0"/>
        <v>#N/A</v>
      </c>
    </row>
    <row r="15" spans="1:54">
      <c r="A15" s="79"/>
      <c r="B15" s="479"/>
      <c r="C15" s="182">
        <v>9</v>
      </c>
      <c r="D15" s="182" t="s">
        <v>231</v>
      </c>
      <c r="E15" s="166">
        <v>3</v>
      </c>
      <c r="F15" s="166">
        <v>3300</v>
      </c>
      <c r="G15" s="166">
        <v>1100</v>
      </c>
      <c r="H15" s="460"/>
      <c r="I15" s="166">
        <f t="shared" si="1"/>
        <v>3</v>
      </c>
      <c r="J15" s="166">
        <f t="shared" si="1"/>
        <v>2834.083211412245</v>
      </c>
      <c r="K15" s="180">
        <f t="shared" si="1"/>
        <v>944.69440380408139</v>
      </c>
      <c r="L15" s="460"/>
      <c r="M15" s="166" t="e">
        <f>RANK(K15, K$182:$K$211)</f>
        <v>#DIV/0!</v>
      </c>
      <c r="N15" s="462"/>
      <c r="O15" s="462"/>
      <c r="P15" s="182">
        <v>3</v>
      </c>
      <c r="Q15" s="166">
        <v>2878.1818181818212</v>
      </c>
      <c r="R15" s="166">
        <v>959.3939393939404</v>
      </c>
      <c r="S15" s="182">
        <f t="shared" si="2"/>
        <v>4</v>
      </c>
      <c r="T15" s="491"/>
      <c r="U15" s="182">
        <v>3</v>
      </c>
      <c r="V15" s="166">
        <v>2889.2307692307663</v>
      </c>
      <c r="W15" s="180">
        <v>963.07692307692207</v>
      </c>
      <c r="X15" s="182">
        <f t="shared" si="3"/>
        <v>5</v>
      </c>
      <c r="Y15" s="491"/>
      <c r="Z15" s="182">
        <v>3</v>
      </c>
      <c r="AA15" s="166">
        <v>2772.0000000000027</v>
      </c>
      <c r="AB15" s="180">
        <v>924.00000000000091</v>
      </c>
      <c r="AC15" s="182">
        <f t="shared" si="4"/>
        <v>4</v>
      </c>
      <c r="AD15" s="491"/>
      <c r="AE15" s="182">
        <v>3</v>
      </c>
      <c r="AF15" s="166">
        <v>2826.6666666666729</v>
      </c>
      <c r="AG15" s="180">
        <v>942.22222222222433</v>
      </c>
      <c r="AH15" s="182">
        <f t="shared" si="5"/>
        <v>6</v>
      </c>
      <c r="AI15" s="491"/>
      <c r="AJ15" s="182">
        <v>3</v>
      </c>
      <c r="AK15" s="166">
        <v>2853.5999999999963</v>
      </c>
      <c r="AL15" s="180">
        <v>951.19999999999879</v>
      </c>
      <c r="AM15" s="182">
        <f t="shared" si="6"/>
        <v>7</v>
      </c>
      <c r="AN15" s="491"/>
      <c r="AO15" s="182">
        <v>3</v>
      </c>
      <c r="AP15" s="166">
        <v>2885.9999999999986</v>
      </c>
      <c r="AQ15" s="180">
        <v>961.99999999999955</v>
      </c>
      <c r="AR15" s="182">
        <f t="shared" si="7"/>
        <v>4</v>
      </c>
      <c r="AS15" s="491"/>
      <c r="AT15" s="182">
        <v>3</v>
      </c>
      <c r="AU15" s="166">
        <v>2732.903225806454</v>
      </c>
      <c r="AV15" s="180">
        <v>910.9677419354847</v>
      </c>
      <c r="AW15" s="182">
        <f t="shared" si="8"/>
        <v>6</v>
      </c>
      <c r="AX15" s="487"/>
      <c r="AZ15" s="166" t="e">
        <f>RANK(AX15, $K$7:AX$36)</f>
        <v>#DIV/0!</v>
      </c>
      <c r="BB15" s="182" t="e">
        <f t="shared" si="0"/>
        <v>#N/A</v>
      </c>
    </row>
    <row r="16" spans="1:54">
      <c r="A16" s="79"/>
      <c r="B16" s="479"/>
      <c r="C16" s="182">
        <v>10</v>
      </c>
      <c r="D16" s="182" t="s">
        <v>232</v>
      </c>
      <c r="E16" s="166">
        <v>3</v>
      </c>
      <c r="F16" s="166">
        <v>3300</v>
      </c>
      <c r="G16" s="166">
        <v>1100</v>
      </c>
      <c r="H16" s="460"/>
      <c r="I16" s="166">
        <f t="shared" si="1"/>
        <v>3</v>
      </c>
      <c r="J16" s="166">
        <f t="shared" si="1"/>
        <v>2843.1149301825994</v>
      </c>
      <c r="K16" s="180">
        <f t="shared" si="1"/>
        <v>947.70497672753311</v>
      </c>
      <c r="L16" s="460"/>
      <c r="M16" s="166" t="e">
        <f>RANK(K16, K$182:$K$211)</f>
        <v>#DIV/0!</v>
      </c>
      <c r="N16" s="462"/>
      <c r="O16" s="462"/>
      <c r="P16" s="182">
        <v>3</v>
      </c>
      <c r="Q16" s="166">
        <v>2868.947368421057</v>
      </c>
      <c r="R16" s="166">
        <v>956.31578947368564</v>
      </c>
      <c r="S16" s="182">
        <f t="shared" si="2"/>
        <v>5</v>
      </c>
      <c r="T16" s="491"/>
      <c r="U16" s="182">
        <v>3</v>
      </c>
      <c r="V16" s="166">
        <v>2969.9999999999977</v>
      </c>
      <c r="W16" s="180">
        <v>989.9999999999992</v>
      </c>
      <c r="X16" s="182">
        <f t="shared" si="3"/>
        <v>3</v>
      </c>
      <c r="Y16" s="491"/>
      <c r="Z16" s="182">
        <v>3</v>
      </c>
      <c r="AA16" s="166">
        <v>2686.2857142857147</v>
      </c>
      <c r="AB16" s="180">
        <v>895.42857142857156</v>
      </c>
      <c r="AC16" s="182">
        <f t="shared" si="4"/>
        <v>7</v>
      </c>
      <c r="AD16" s="491"/>
      <c r="AE16" s="182">
        <v>3</v>
      </c>
      <c r="AF16" s="166">
        <v>2865.9999999999986</v>
      </c>
      <c r="AG16" s="180">
        <v>955.33333333333292</v>
      </c>
      <c r="AH16" s="182">
        <f t="shared" si="5"/>
        <v>4</v>
      </c>
      <c r="AI16" s="491"/>
      <c r="AJ16" s="182">
        <v>3</v>
      </c>
      <c r="AK16" s="166">
        <v>2918.5714285714262</v>
      </c>
      <c r="AL16" s="180">
        <v>972.85714285714209</v>
      </c>
      <c r="AM16" s="182">
        <f t="shared" si="6"/>
        <v>4</v>
      </c>
      <c r="AN16" s="491"/>
      <c r="AO16" s="182">
        <v>3</v>
      </c>
      <c r="AP16" s="166">
        <v>2820.0000000000005</v>
      </c>
      <c r="AQ16" s="180">
        <v>940.00000000000011</v>
      </c>
      <c r="AR16" s="182">
        <f t="shared" si="7"/>
        <v>7</v>
      </c>
      <c r="AS16" s="491"/>
      <c r="AT16" s="182">
        <v>3</v>
      </c>
      <c r="AU16" s="166">
        <v>2772.0000000000005</v>
      </c>
      <c r="AV16" s="180">
        <v>924.00000000000011</v>
      </c>
      <c r="AW16" s="182">
        <f t="shared" si="8"/>
        <v>5</v>
      </c>
      <c r="AX16" s="487"/>
      <c r="AZ16" s="166" t="e">
        <f>RANK(AX16, $K$7:AX$36)</f>
        <v>#DIV/0!</v>
      </c>
      <c r="BB16" s="182" t="e">
        <f t="shared" si="0"/>
        <v>#N/A</v>
      </c>
    </row>
    <row r="17" spans="2:54">
      <c r="B17" s="479"/>
      <c r="C17" s="182">
        <v>11</v>
      </c>
      <c r="D17" s="182" t="s">
        <v>233</v>
      </c>
      <c r="E17" s="166">
        <v>4</v>
      </c>
      <c r="F17" s="166">
        <v>3300</v>
      </c>
      <c r="G17" s="166">
        <v>825</v>
      </c>
      <c r="H17" s="460"/>
      <c r="I17" s="166">
        <f t="shared" si="1"/>
        <v>4</v>
      </c>
      <c r="J17" s="166">
        <f t="shared" si="1"/>
        <v>2830.2535066322534</v>
      </c>
      <c r="K17" s="180">
        <f t="shared" si="1"/>
        <v>707.56337665806336</v>
      </c>
      <c r="L17" s="460"/>
      <c r="M17" s="166" t="e">
        <f>RANK(K17, K$182:$K$211)</f>
        <v>#DIV/0!</v>
      </c>
      <c r="N17" s="462"/>
      <c r="O17" s="462"/>
      <c r="P17" s="182">
        <v>4</v>
      </c>
      <c r="Q17" s="166">
        <v>2820.0000000000023</v>
      </c>
      <c r="R17" s="166">
        <v>705.00000000000057</v>
      </c>
      <c r="S17" s="182">
        <f t="shared" si="2"/>
        <v>16</v>
      </c>
      <c r="T17" s="491"/>
      <c r="U17" s="182">
        <v>4</v>
      </c>
      <c r="V17" s="166">
        <v>2921.8604651162786</v>
      </c>
      <c r="W17" s="180">
        <v>730.46511627906966</v>
      </c>
      <c r="X17" s="182">
        <f t="shared" si="3"/>
        <v>14</v>
      </c>
      <c r="Y17" s="491"/>
      <c r="Z17" s="182">
        <v>4</v>
      </c>
      <c r="AA17" s="166">
        <v>2809.2000000000007</v>
      </c>
      <c r="AB17" s="180">
        <v>702.30000000000018</v>
      </c>
      <c r="AC17" s="182">
        <f t="shared" si="4"/>
        <v>12</v>
      </c>
      <c r="AD17" s="491"/>
      <c r="AE17" s="182">
        <v>4</v>
      </c>
      <c r="AF17" s="166">
        <v>2818.695652173913</v>
      </c>
      <c r="AG17" s="180">
        <v>704.67391304347825</v>
      </c>
      <c r="AH17" s="182">
        <f t="shared" si="5"/>
        <v>15</v>
      </c>
      <c r="AI17" s="491"/>
      <c r="AJ17" s="182">
        <v>4</v>
      </c>
      <c r="AK17" s="166">
        <v>2850.697674418604</v>
      </c>
      <c r="AL17" s="180">
        <v>712.67441860465101</v>
      </c>
      <c r="AM17" s="182">
        <f t="shared" si="6"/>
        <v>15</v>
      </c>
      <c r="AN17" s="491"/>
      <c r="AO17" s="182">
        <v>4</v>
      </c>
      <c r="AP17" s="166">
        <v>2832.4528301886767</v>
      </c>
      <c r="AQ17" s="180">
        <v>708.11320754716917</v>
      </c>
      <c r="AR17" s="182">
        <f t="shared" si="7"/>
        <v>15</v>
      </c>
      <c r="AS17" s="491"/>
      <c r="AT17" s="182">
        <v>4</v>
      </c>
      <c r="AU17" s="166">
        <v>2758.8679245282992</v>
      </c>
      <c r="AV17" s="180">
        <v>689.71698113207481</v>
      </c>
      <c r="AW17" s="182">
        <f t="shared" si="8"/>
        <v>16</v>
      </c>
      <c r="AX17" s="487"/>
      <c r="AZ17" s="166" t="e">
        <f>RANK(AX17, $K$7:AX$36)</f>
        <v>#DIV/0!</v>
      </c>
      <c r="BB17" s="182" t="e">
        <f t="shared" si="0"/>
        <v>#N/A</v>
      </c>
    </row>
    <row r="18" spans="2:54">
      <c r="B18" s="479"/>
      <c r="C18" s="182">
        <v>12</v>
      </c>
      <c r="D18" s="182" t="s">
        <v>234</v>
      </c>
      <c r="E18" s="166">
        <v>4</v>
      </c>
      <c r="F18" s="166">
        <v>3300</v>
      </c>
      <c r="G18" s="166">
        <v>825</v>
      </c>
      <c r="H18" s="460"/>
      <c r="I18" s="166">
        <f t="shared" si="1"/>
        <v>4</v>
      </c>
      <c r="J18" s="166">
        <f t="shared" si="1"/>
        <v>2777.8005862321011</v>
      </c>
      <c r="K18" s="180">
        <f t="shared" si="1"/>
        <v>694.45014655802527</v>
      </c>
      <c r="L18" s="460"/>
      <c r="M18" s="166" t="e">
        <f>RANK(K18, K$182:$K$211)</f>
        <v>#DIV/0!</v>
      </c>
      <c r="N18" s="462"/>
      <c r="O18" s="462"/>
      <c r="P18" s="182">
        <v>4</v>
      </c>
      <c r="Q18" s="166">
        <v>2819.090909090909</v>
      </c>
      <c r="R18" s="166">
        <v>704.77272727272725</v>
      </c>
      <c r="S18" s="182">
        <f t="shared" si="2"/>
        <v>17</v>
      </c>
      <c r="T18" s="491"/>
      <c r="U18" s="182">
        <v>4</v>
      </c>
      <c r="V18" s="166">
        <v>2841.5999999999967</v>
      </c>
      <c r="W18" s="180">
        <v>710.39999999999918</v>
      </c>
      <c r="X18" s="182">
        <f t="shared" si="3"/>
        <v>17</v>
      </c>
      <c r="Y18" s="491"/>
      <c r="Z18" s="182">
        <v>4</v>
      </c>
      <c r="AA18" s="166">
        <v>2656.9999999999986</v>
      </c>
      <c r="AB18" s="180">
        <v>664.24999999999966</v>
      </c>
      <c r="AC18" s="182">
        <f t="shared" si="4"/>
        <v>14</v>
      </c>
      <c r="AD18" s="491"/>
      <c r="AE18" s="182">
        <v>4</v>
      </c>
      <c r="AF18" s="166">
        <v>2793.4615384615399</v>
      </c>
      <c r="AG18" s="180">
        <v>698.36538461538498</v>
      </c>
      <c r="AH18" s="182">
        <f t="shared" si="5"/>
        <v>16</v>
      </c>
      <c r="AI18" s="491"/>
      <c r="AJ18" s="182">
        <v>4</v>
      </c>
      <c r="AK18" s="166">
        <v>2829.7959183673433</v>
      </c>
      <c r="AL18" s="180">
        <v>707.44897959183584</v>
      </c>
      <c r="AM18" s="182">
        <f t="shared" si="6"/>
        <v>16</v>
      </c>
      <c r="AN18" s="491"/>
      <c r="AO18" s="182">
        <v>4</v>
      </c>
      <c r="AP18" s="166">
        <v>2780.6557377049171</v>
      </c>
      <c r="AQ18" s="180">
        <v>695.16393442622928</v>
      </c>
      <c r="AR18" s="182">
        <f t="shared" si="7"/>
        <v>17</v>
      </c>
      <c r="AS18" s="491"/>
      <c r="AT18" s="182">
        <v>4</v>
      </c>
      <c r="AU18" s="166">
        <v>2723.0000000000027</v>
      </c>
      <c r="AV18" s="180">
        <v>680.75000000000068</v>
      </c>
      <c r="AW18" s="182">
        <f t="shared" si="8"/>
        <v>17</v>
      </c>
      <c r="AX18" s="487"/>
      <c r="AZ18" s="166" t="e">
        <f>RANK(AX18, $K$7:AX$36)</f>
        <v>#DIV/0!</v>
      </c>
      <c r="BB18" s="182" t="e">
        <f t="shared" si="0"/>
        <v>#N/A</v>
      </c>
    </row>
    <row r="19" spans="2:54">
      <c r="B19" s="479"/>
      <c r="C19" s="182">
        <v>13</v>
      </c>
      <c r="D19" s="182" t="s">
        <v>235</v>
      </c>
      <c r="E19" s="166">
        <v>4</v>
      </c>
      <c r="F19" s="166">
        <v>2800</v>
      </c>
      <c r="G19" s="166">
        <v>700</v>
      </c>
      <c r="H19" s="460"/>
      <c r="I19" s="166">
        <f t="shared" si="1"/>
        <v>4</v>
      </c>
      <c r="J19" s="166">
        <f t="shared" si="1"/>
        <v>2862.6810451453298</v>
      </c>
      <c r="K19" s="180">
        <f t="shared" si="1"/>
        <v>715.67026128633245</v>
      </c>
      <c r="L19" s="460"/>
      <c r="M19" s="166" t="e">
        <f>RANK(K19, K$182:$K$211)</f>
        <v>#DIV/0!</v>
      </c>
      <c r="N19" s="462"/>
      <c r="O19" s="462"/>
      <c r="P19" s="182">
        <v>4</v>
      </c>
      <c r="Q19" s="166">
        <v>2818.4999999999986</v>
      </c>
      <c r="R19" s="166">
        <v>704.62499999999966</v>
      </c>
      <c r="S19" s="182">
        <f t="shared" si="2"/>
        <v>18</v>
      </c>
      <c r="T19" s="491"/>
      <c r="U19" s="182">
        <v>4</v>
      </c>
      <c r="V19" s="166">
        <v>2876.2500000000032</v>
      </c>
      <c r="W19" s="180">
        <v>719.0625000000008</v>
      </c>
      <c r="X19" s="182">
        <f t="shared" si="3"/>
        <v>16</v>
      </c>
      <c r="Y19" s="491"/>
      <c r="Z19" s="182">
        <v>4</v>
      </c>
      <c r="AA19" s="166">
        <v>2919.4285714285747</v>
      </c>
      <c r="AB19" s="180">
        <v>729.85714285714369</v>
      </c>
      <c r="AC19" s="182">
        <f t="shared" si="4"/>
        <v>11</v>
      </c>
      <c r="AD19" s="491"/>
      <c r="AE19" s="182">
        <v>4</v>
      </c>
      <c r="AF19" s="166">
        <v>2723.6363636363599</v>
      </c>
      <c r="AG19" s="180">
        <v>680.90909090908997</v>
      </c>
      <c r="AH19" s="182">
        <f t="shared" si="5"/>
        <v>17</v>
      </c>
      <c r="AI19" s="491"/>
      <c r="AJ19" s="182">
        <v>4</v>
      </c>
      <c r="AK19" s="166">
        <v>3093.3333333333353</v>
      </c>
      <c r="AL19" s="180">
        <v>773.33333333333383</v>
      </c>
      <c r="AM19" s="182">
        <f t="shared" si="6"/>
        <v>13</v>
      </c>
      <c r="AN19" s="491"/>
      <c r="AO19" s="182">
        <v>4</v>
      </c>
      <c r="AP19" s="166">
        <v>2813.3333333333248</v>
      </c>
      <c r="AQ19" s="180">
        <v>703.33333333333121</v>
      </c>
      <c r="AR19" s="182">
        <f t="shared" si="7"/>
        <v>16</v>
      </c>
      <c r="AS19" s="491"/>
      <c r="AT19" s="182">
        <v>4</v>
      </c>
      <c r="AU19" s="166">
        <v>2794.2857142857115</v>
      </c>
      <c r="AV19" s="180">
        <v>698.57142857142787</v>
      </c>
      <c r="AW19" s="182">
        <f t="shared" si="8"/>
        <v>15</v>
      </c>
      <c r="AX19" s="487"/>
      <c r="AZ19" s="166" t="e">
        <f>RANK(AX19, $K$7:AX$36)</f>
        <v>#DIV/0!</v>
      </c>
      <c r="BB19" s="182" t="e">
        <f t="shared" si="0"/>
        <v>#N/A</v>
      </c>
    </row>
    <row r="20" spans="2:54">
      <c r="B20" s="479"/>
      <c r="C20" s="182">
        <v>14</v>
      </c>
      <c r="D20" s="182" t="s">
        <v>236</v>
      </c>
      <c r="E20" s="166">
        <v>4</v>
      </c>
      <c r="F20" s="166">
        <v>3600</v>
      </c>
      <c r="G20" s="166">
        <v>900</v>
      </c>
      <c r="H20" s="460"/>
      <c r="I20" s="166">
        <f t="shared" si="1"/>
        <v>4</v>
      </c>
      <c r="J20" s="166">
        <f t="shared" si="1"/>
        <v>2713.8571428571345</v>
      </c>
      <c r="K20" s="180">
        <f t="shared" si="1"/>
        <v>678.46428571428362</v>
      </c>
      <c r="L20" s="460"/>
      <c r="M20" s="166" t="e">
        <f>RANK(K20, K$182:$K$211)</f>
        <v>#DIV/0!</v>
      </c>
      <c r="N20" s="462"/>
      <c r="O20" s="462"/>
      <c r="P20" s="182">
        <v>4</v>
      </c>
      <c r="Q20" s="166">
        <v>2888.9999999999873</v>
      </c>
      <c r="R20" s="166">
        <v>722.24999999999682</v>
      </c>
      <c r="S20" s="182">
        <f t="shared" si="2"/>
        <v>15</v>
      </c>
      <c r="T20" s="491"/>
      <c r="U20" s="182">
        <v>4</v>
      </c>
      <c r="V20" s="166">
        <v>2594.9999999999886</v>
      </c>
      <c r="W20" s="180">
        <v>648.74999999999716</v>
      </c>
      <c r="X20" s="182">
        <f t="shared" si="3"/>
        <v>18</v>
      </c>
      <c r="Y20" s="491"/>
      <c r="Z20" s="182">
        <v>4</v>
      </c>
      <c r="AA20" s="166">
        <v>2636.9999999999882</v>
      </c>
      <c r="AB20" s="180">
        <v>659.24999999999704</v>
      </c>
      <c r="AC20" s="182">
        <f t="shared" si="4"/>
        <v>16</v>
      </c>
      <c r="AD20" s="491"/>
      <c r="AE20" s="182">
        <v>4</v>
      </c>
      <c r="AF20" s="166">
        <v>2540.9999999999886</v>
      </c>
      <c r="AG20" s="180">
        <v>635.24999999999716</v>
      </c>
      <c r="AH20" s="182">
        <f t="shared" si="5"/>
        <v>18</v>
      </c>
      <c r="AI20" s="491"/>
      <c r="AJ20" s="182">
        <v>4</v>
      </c>
      <c r="AK20" s="166">
        <v>2531.9999999999886</v>
      </c>
      <c r="AL20" s="180">
        <v>632.99999999999716</v>
      </c>
      <c r="AM20" s="182">
        <f t="shared" si="6"/>
        <v>18</v>
      </c>
      <c r="AN20" s="491"/>
      <c r="AO20" s="182">
        <v>4</v>
      </c>
      <c r="AP20" s="166">
        <v>2570.9999999999886</v>
      </c>
      <c r="AQ20" s="180">
        <v>642.74999999999716</v>
      </c>
      <c r="AR20" s="182">
        <f t="shared" si="7"/>
        <v>18</v>
      </c>
      <c r="AS20" s="491"/>
      <c r="AT20" s="182">
        <v>4</v>
      </c>
      <c r="AU20" s="166">
        <v>3232.0000000000114</v>
      </c>
      <c r="AV20" s="180">
        <v>808.00000000000284</v>
      </c>
      <c r="AW20" s="182">
        <f t="shared" si="8"/>
        <v>9</v>
      </c>
      <c r="AX20" s="487"/>
      <c r="AZ20" s="166" t="e">
        <f>RANK(AX20, $K$7:AX$36)</f>
        <v>#DIV/0!</v>
      </c>
      <c r="BB20" s="182" t="e">
        <f t="shared" si="0"/>
        <v>#N/A</v>
      </c>
    </row>
    <row r="21" spans="2:54">
      <c r="B21" s="479"/>
      <c r="C21" s="182">
        <v>15</v>
      </c>
      <c r="D21" s="182" t="s">
        <v>237</v>
      </c>
      <c r="E21" s="166">
        <v>4</v>
      </c>
      <c r="F21" s="166">
        <v>3600</v>
      </c>
      <c r="G21" s="166">
        <v>900</v>
      </c>
      <c r="H21" s="460"/>
      <c r="I21" s="166">
        <f t="shared" si="1"/>
        <v>3.8571428571428572</v>
      </c>
      <c r="J21" s="166">
        <f t="shared" si="1"/>
        <v>2398.0000000000032</v>
      </c>
      <c r="K21" s="180">
        <f t="shared" si="1"/>
        <v>624.26190476190561</v>
      </c>
      <c r="L21" s="460"/>
      <c r="M21" s="166" t="e">
        <f>RANK(K21, K$182:$K$211)</f>
        <v>#DIV/0!</v>
      </c>
      <c r="N21" s="462"/>
      <c r="O21" s="462"/>
      <c r="P21" s="182">
        <v>3</v>
      </c>
      <c r="Q21" s="166">
        <v>2080.0000000000077</v>
      </c>
      <c r="R21" s="166">
        <v>693.33333333333587</v>
      </c>
      <c r="S21" s="182">
        <f t="shared" si="2"/>
        <v>19</v>
      </c>
      <c r="T21" s="491"/>
      <c r="U21" s="182">
        <v>4</v>
      </c>
      <c r="V21" s="166">
        <v>2526.0000000000091</v>
      </c>
      <c r="W21" s="180">
        <v>631.50000000000227</v>
      </c>
      <c r="X21" s="182">
        <f t="shared" si="3"/>
        <v>19</v>
      </c>
      <c r="Y21" s="491"/>
      <c r="Z21" s="182">
        <v>4</v>
      </c>
      <c r="AA21" s="166">
        <v>2634.0000000000091</v>
      </c>
      <c r="AB21" s="180">
        <v>658.50000000000227</v>
      </c>
      <c r="AC21" s="182">
        <f t="shared" si="4"/>
        <v>17</v>
      </c>
      <c r="AD21" s="491"/>
      <c r="AE21" s="182">
        <v>4</v>
      </c>
      <c r="AF21" s="166">
        <v>2388.0000000000082</v>
      </c>
      <c r="AG21" s="180">
        <v>597.00000000000205</v>
      </c>
      <c r="AH21" s="182">
        <f t="shared" si="5"/>
        <v>19</v>
      </c>
      <c r="AI21" s="491"/>
      <c r="AJ21" s="182">
        <v>4</v>
      </c>
      <c r="AK21" s="166">
        <v>2412.0000000000086</v>
      </c>
      <c r="AL21" s="180">
        <v>603.00000000000216</v>
      </c>
      <c r="AM21" s="182">
        <f t="shared" si="6"/>
        <v>19</v>
      </c>
      <c r="AN21" s="491"/>
      <c r="AO21" s="182">
        <v>4</v>
      </c>
      <c r="AP21" s="166">
        <v>2406.0000000000086</v>
      </c>
      <c r="AQ21" s="180">
        <v>601.50000000000216</v>
      </c>
      <c r="AR21" s="182">
        <f t="shared" si="7"/>
        <v>19</v>
      </c>
      <c r="AS21" s="491"/>
      <c r="AT21" s="182">
        <v>4</v>
      </c>
      <c r="AU21" s="166">
        <v>2339.9999999999709</v>
      </c>
      <c r="AV21" s="180">
        <v>584.99999999999272</v>
      </c>
      <c r="AW21" s="182">
        <f t="shared" si="8"/>
        <v>19</v>
      </c>
      <c r="AX21" s="487"/>
      <c r="AZ21" s="166" t="e">
        <f>RANK(AX21, $K$7:AX$36)</f>
        <v>#DIV/0!</v>
      </c>
      <c r="BB21" s="182" t="e">
        <f t="shared" si="0"/>
        <v>#N/A</v>
      </c>
    </row>
    <row r="22" spans="2:54">
      <c r="B22" s="479"/>
      <c r="C22" s="182">
        <v>16</v>
      </c>
      <c r="D22" s="182" t="s">
        <v>238</v>
      </c>
      <c r="E22" s="166">
        <v>4</v>
      </c>
      <c r="F22" s="166">
        <v>3300</v>
      </c>
      <c r="G22" s="166">
        <v>825</v>
      </c>
      <c r="H22" s="460"/>
      <c r="I22" s="166">
        <f t="shared" si="1"/>
        <v>3</v>
      </c>
      <c r="J22" s="166">
        <f t="shared" si="1"/>
        <v>2809.1305504019792</v>
      </c>
      <c r="K22" s="180">
        <f t="shared" si="1"/>
        <v>936.37685013399289</v>
      </c>
      <c r="L22" s="460"/>
      <c r="M22" s="166" t="e">
        <f>RANK(K22, K$182:$K$211)</f>
        <v>#DIV/0!</v>
      </c>
      <c r="N22" s="462"/>
      <c r="O22" s="462"/>
      <c r="P22" s="182">
        <v>3</v>
      </c>
      <c r="Q22" s="166">
        <v>2833.3333333333348</v>
      </c>
      <c r="R22" s="166">
        <v>944.44444444444491</v>
      </c>
      <c r="S22" s="182">
        <f t="shared" si="2"/>
        <v>6</v>
      </c>
      <c r="T22" s="491"/>
      <c r="U22" s="182">
        <v>3</v>
      </c>
      <c r="V22" s="166">
        <v>2908.5714285714171</v>
      </c>
      <c r="W22" s="180">
        <v>969.52380952380565</v>
      </c>
      <c r="X22" s="182">
        <f t="shared" si="3"/>
        <v>4</v>
      </c>
      <c r="Y22" s="491"/>
      <c r="Z22" s="182">
        <v>3</v>
      </c>
      <c r="AA22" s="166">
        <v>2733.6000000000008</v>
      </c>
      <c r="AB22" s="180">
        <v>911.20000000000027</v>
      </c>
      <c r="AC22" s="182">
        <f t="shared" si="4"/>
        <v>6</v>
      </c>
      <c r="AD22" s="491"/>
      <c r="AE22" s="182">
        <v>3</v>
      </c>
      <c r="AF22" s="166">
        <v>2710.909090909091</v>
      </c>
      <c r="AG22" s="180">
        <v>903.63636363636363</v>
      </c>
      <c r="AH22" s="182">
        <f t="shared" si="5"/>
        <v>8</v>
      </c>
      <c r="AI22" s="491"/>
      <c r="AJ22" s="182">
        <v>3</v>
      </c>
      <c r="AK22" s="166">
        <v>2919.9999999999977</v>
      </c>
      <c r="AL22" s="180">
        <v>973.33333333333258</v>
      </c>
      <c r="AM22" s="182">
        <f t="shared" si="6"/>
        <v>3</v>
      </c>
      <c r="AN22" s="491"/>
      <c r="AO22" s="182">
        <v>3</v>
      </c>
      <c r="AP22" s="166">
        <v>2867.5000000000009</v>
      </c>
      <c r="AQ22" s="180">
        <v>955.8333333333336</v>
      </c>
      <c r="AR22" s="182">
        <f t="shared" si="7"/>
        <v>5</v>
      </c>
      <c r="AS22" s="491"/>
      <c r="AT22" s="182">
        <v>3</v>
      </c>
      <c r="AU22" s="166">
        <v>2690.0000000000095</v>
      </c>
      <c r="AV22" s="180">
        <v>896.66666666666981</v>
      </c>
      <c r="AW22" s="182">
        <f t="shared" si="8"/>
        <v>8</v>
      </c>
      <c r="AX22" s="487"/>
      <c r="AZ22" s="166" t="e">
        <f>RANK(AX22, $K$7:AX$36)</f>
        <v>#DIV/0!</v>
      </c>
      <c r="BB22" s="182" t="e">
        <f t="shared" si="0"/>
        <v>#N/A</v>
      </c>
    </row>
    <row r="23" spans="2:54">
      <c r="B23" s="479"/>
      <c r="C23" s="182">
        <v>17</v>
      </c>
      <c r="D23" s="182" t="s">
        <v>239</v>
      </c>
      <c r="E23" s="166">
        <v>3</v>
      </c>
      <c r="F23" s="166">
        <v>2800</v>
      </c>
      <c r="G23" s="166">
        <v>933.33333333333337</v>
      </c>
      <c r="H23" s="460"/>
      <c r="I23" s="166">
        <f t="shared" si="1"/>
        <v>3</v>
      </c>
      <c r="J23" s="166">
        <f t="shared" si="1"/>
        <v>2728.2448979591791</v>
      </c>
      <c r="K23" s="180">
        <f t="shared" si="1"/>
        <v>909.4149659863931</v>
      </c>
      <c r="L23" s="460"/>
      <c r="M23" s="166" t="e">
        <f>RANK(K23, K$182:$K$211)</f>
        <v>#DIV/0!</v>
      </c>
      <c r="N23" s="462"/>
      <c r="O23" s="462"/>
      <c r="P23" s="182">
        <v>3</v>
      </c>
      <c r="Q23" s="166">
        <v>2581.7142857142831</v>
      </c>
      <c r="R23" s="166">
        <v>860.57142857142765</v>
      </c>
      <c r="S23" s="182">
        <f t="shared" si="2"/>
        <v>9</v>
      </c>
      <c r="T23" s="491"/>
      <c r="U23" s="182">
        <v>3</v>
      </c>
      <c r="V23" s="166">
        <v>2775.9999999999955</v>
      </c>
      <c r="W23" s="180">
        <v>925.33333333333178</v>
      </c>
      <c r="X23" s="182">
        <f t="shared" si="3"/>
        <v>8</v>
      </c>
      <c r="Y23" s="491"/>
      <c r="Z23" s="182">
        <v>3</v>
      </c>
      <c r="AA23" s="166">
        <v>2759.999999999995</v>
      </c>
      <c r="AB23" s="180">
        <v>919.99999999999829</v>
      </c>
      <c r="AC23" s="182">
        <f t="shared" si="4"/>
        <v>5</v>
      </c>
      <c r="AD23" s="491"/>
      <c r="AE23" s="182">
        <v>3</v>
      </c>
      <c r="AF23" s="166">
        <v>2651.9999999999955</v>
      </c>
      <c r="AG23" s="180">
        <v>883.99999999999852</v>
      </c>
      <c r="AH23" s="182">
        <f t="shared" si="5"/>
        <v>9</v>
      </c>
      <c r="AI23" s="491"/>
      <c r="AJ23" s="182">
        <v>3</v>
      </c>
      <c r="AK23" s="166">
        <v>2731.999999999995</v>
      </c>
      <c r="AL23" s="180">
        <v>910.66666666666504</v>
      </c>
      <c r="AM23" s="182">
        <f t="shared" si="6"/>
        <v>8</v>
      </c>
      <c r="AN23" s="491"/>
      <c r="AO23" s="182">
        <v>3</v>
      </c>
      <c r="AP23" s="166">
        <v>2815.999999999995</v>
      </c>
      <c r="AQ23" s="180">
        <v>938.66666666666504</v>
      </c>
      <c r="AR23" s="182">
        <f t="shared" si="7"/>
        <v>8</v>
      </c>
      <c r="AS23" s="491"/>
      <c r="AT23" s="182">
        <v>3</v>
      </c>
      <c r="AU23" s="166">
        <v>2779.999999999995</v>
      </c>
      <c r="AV23" s="180">
        <v>926.66666666666504</v>
      </c>
      <c r="AW23" s="182">
        <f t="shared" si="8"/>
        <v>3</v>
      </c>
      <c r="AX23" s="487"/>
      <c r="AZ23" s="166" t="e">
        <f>RANK(AX23, $K$7:AX$36)</f>
        <v>#DIV/0!</v>
      </c>
      <c r="BB23" s="182" t="e">
        <f t="shared" si="0"/>
        <v>#N/A</v>
      </c>
    </row>
    <row r="24" spans="2:54">
      <c r="B24" s="479"/>
      <c r="C24" s="182">
        <v>18</v>
      </c>
      <c r="D24" s="182" t="s">
        <v>240</v>
      </c>
      <c r="E24" s="166">
        <v>4</v>
      </c>
      <c r="F24" s="166">
        <v>3000</v>
      </c>
      <c r="G24" s="166">
        <v>750</v>
      </c>
      <c r="H24" s="460"/>
      <c r="I24" s="166">
        <f t="shared" ref="I24:K27" si="9">AVERAGE(P24,U24,Z24,AE24,AJ24,AO24,AT24)</f>
        <v>3</v>
      </c>
      <c r="J24" s="166">
        <f t="shared" si="9"/>
        <v>2253.6623376623393</v>
      </c>
      <c r="K24" s="180">
        <f t="shared" si="9"/>
        <v>751.22077922077972</v>
      </c>
      <c r="L24" s="460"/>
      <c r="M24" s="166" t="e">
        <f>RANK(K24, K$182:$K$211)</f>
        <v>#DIV/0!</v>
      </c>
      <c r="N24" s="462"/>
      <c r="O24" s="462"/>
      <c r="P24" s="182">
        <v>3</v>
      </c>
      <c r="Q24" s="166">
        <v>2402.1818181818198</v>
      </c>
      <c r="R24" s="166">
        <v>800.72727272727332</v>
      </c>
      <c r="S24" s="182">
        <f t="shared" si="2"/>
        <v>13</v>
      </c>
      <c r="T24" s="491"/>
      <c r="U24" s="182">
        <v>3</v>
      </c>
      <c r="V24" s="166">
        <v>2189.4545454545469</v>
      </c>
      <c r="W24" s="180">
        <v>729.81818181818232</v>
      </c>
      <c r="X24" s="182">
        <f t="shared" si="3"/>
        <v>15</v>
      </c>
      <c r="Y24" s="491"/>
      <c r="Z24" s="182">
        <v>3</v>
      </c>
      <c r="AA24" s="166">
        <v>2288.7272727272743</v>
      </c>
      <c r="AB24" s="180">
        <v>762.90909090909145</v>
      </c>
      <c r="AC24" s="182">
        <f t="shared" si="4"/>
        <v>9</v>
      </c>
      <c r="AD24" s="491"/>
      <c r="AE24" s="182">
        <v>3</v>
      </c>
      <c r="AF24" s="166">
        <v>2229.8181818181829</v>
      </c>
      <c r="AG24" s="180">
        <v>743.27272727272759</v>
      </c>
      <c r="AH24" s="182">
        <f t="shared" si="5"/>
        <v>14</v>
      </c>
      <c r="AI24" s="491"/>
      <c r="AJ24" s="182">
        <v>3</v>
      </c>
      <c r="AK24" s="166">
        <v>2160.0000000000023</v>
      </c>
      <c r="AL24" s="180">
        <v>720.0000000000008</v>
      </c>
      <c r="AM24" s="182">
        <f t="shared" si="6"/>
        <v>14</v>
      </c>
      <c r="AN24" s="491"/>
      <c r="AO24" s="182">
        <v>3</v>
      </c>
      <c r="AP24" s="166">
        <v>2208.0000000000018</v>
      </c>
      <c r="AQ24" s="180">
        <v>736.00000000000057</v>
      </c>
      <c r="AR24" s="182">
        <f t="shared" si="7"/>
        <v>13</v>
      </c>
      <c r="AS24" s="491"/>
      <c r="AT24" s="182">
        <v>3</v>
      </c>
      <c r="AU24" s="166">
        <v>2297.4545454545469</v>
      </c>
      <c r="AV24" s="180">
        <v>765.81818181818232</v>
      </c>
      <c r="AW24" s="182">
        <f t="shared" si="8"/>
        <v>14</v>
      </c>
      <c r="AX24" s="487"/>
      <c r="AZ24" s="166" t="e">
        <f>RANK(AX24, $K$7:AX$36)</f>
        <v>#DIV/0!</v>
      </c>
      <c r="BB24" s="182" t="e">
        <f t="shared" si="0"/>
        <v>#N/A</v>
      </c>
    </row>
    <row r="25" spans="2:54">
      <c r="B25" s="479"/>
      <c r="C25" s="182">
        <v>19</v>
      </c>
      <c r="D25" s="182" t="s">
        <v>241</v>
      </c>
      <c r="E25" s="166">
        <v>12</v>
      </c>
      <c r="F25" s="166">
        <v>1500</v>
      </c>
      <c r="G25" s="166">
        <v>125</v>
      </c>
      <c r="H25" s="460"/>
      <c r="I25" s="166">
        <f t="shared" si="9"/>
        <v>8</v>
      </c>
      <c r="J25" s="166">
        <f t="shared" si="9"/>
        <v>1517.872389505736</v>
      </c>
      <c r="K25" s="180">
        <f t="shared" si="9"/>
        <v>189.734048688217</v>
      </c>
      <c r="L25" s="460"/>
      <c r="M25" s="166" t="e">
        <f>RANK(K25, K$182:$K$211)</f>
        <v>#DIV/0!</v>
      </c>
      <c r="N25" s="462"/>
      <c r="O25" s="462"/>
      <c r="P25" s="182">
        <v>8</v>
      </c>
      <c r="Q25" s="166">
        <v>1513.9024390243906</v>
      </c>
      <c r="R25" s="166">
        <v>189.23780487804882</v>
      </c>
      <c r="S25" s="182">
        <f t="shared" si="2"/>
        <v>21</v>
      </c>
      <c r="T25" s="491"/>
      <c r="U25" s="182">
        <v>8</v>
      </c>
      <c r="V25" s="166">
        <v>1547.9999999999991</v>
      </c>
      <c r="W25" s="180">
        <v>193.49999999999989</v>
      </c>
      <c r="X25" s="182">
        <f t="shared" si="3"/>
        <v>21</v>
      </c>
      <c r="Y25" s="491"/>
      <c r="Z25" s="182">
        <v>8</v>
      </c>
      <c r="AA25" s="166">
        <v>1500.0000000000002</v>
      </c>
      <c r="AB25" s="180">
        <v>187.50000000000003</v>
      </c>
      <c r="AC25" s="182">
        <f t="shared" si="4"/>
        <v>21</v>
      </c>
      <c r="AD25" s="491"/>
      <c r="AE25" s="182">
        <v>8</v>
      </c>
      <c r="AF25" s="166">
        <v>1495.3846153846162</v>
      </c>
      <c r="AG25" s="180">
        <v>186.92307692307702</v>
      </c>
      <c r="AH25" s="182">
        <f t="shared" si="5"/>
        <v>21</v>
      </c>
      <c r="AI25" s="491"/>
      <c r="AJ25" s="182">
        <v>8</v>
      </c>
      <c r="AK25" s="166">
        <v>1510.8196721311479</v>
      </c>
      <c r="AL25" s="180">
        <v>188.85245901639348</v>
      </c>
      <c r="AM25" s="182">
        <f t="shared" si="6"/>
        <v>21</v>
      </c>
      <c r="AN25" s="491"/>
      <c r="AO25" s="182">
        <v>8</v>
      </c>
      <c r="AP25" s="166">
        <v>1571.9999999999993</v>
      </c>
      <c r="AQ25" s="180">
        <v>196.49999999999991</v>
      </c>
      <c r="AR25" s="182">
        <f t="shared" si="7"/>
        <v>21</v>
      </c>
      <c r="AS25" s="491"/>
      <c r="AT25" s="182">
        <v>8</v>
      </c>
      <c r="AU25" s="166">
        <v>1484.9999999999993</v>
      </c>
      <c r="AV25" s="180">
        <v>185.62499999999991</v>
      </c>
      <c r="AW25" s="182">
        <f t="shared" si="8"/>
        <v>21</v>
      </c>
      <c r="AX25" s="487"/>
      <c r="AZ25" s="166" t="e">
        <f>RANK(AX25, $K$7:AX$36)</f>
        <v>#DIV/0!</v>
      </c>
      <c r="BB25" s="182" t="e">
        <f t="shared" si="0"/>
        <v>#N/A</v>
      </c>
    </row>
    <row r="26" spans="2:54">
      <c r="B26" s="479"/>
      <c r="C26" s="182">
        <v>20</v>
      </c>
      <c r="D26" s="182" t="s">
        <v>242</v>
      </c>
      <c r="E26" s="166">
        <v>4</v>
      </c>
      <c r="F26" s="166">
        <v>3000</v>
      </c>
      <c r="G26" s="166">
        <v>750</v>
      </c>
      <c r="H26" s="460"/>
      <c r="I26" s="166">
        <f t="shared" si="9"/>
        <v>4</v>
      </c>
      <c r="J26" s="166">
        <f t="shared" si="9"/>
        <v>2229.0311688311654</v>
      </c>
      <c r="K26" s="180">
        <f t="shared" si="9"/>
        <v>557.25779220779134</v>
      </c>
      <c r="L26" s="460"/>
      <c r="M26" s="166" t="e">
        <f>RANK(K26, K$182:$K$211)</f>
        <v>#DIV/0!</v>
      </c>
      <c r="N26" s="462"/>
      <c r="O26" s="462"/>
      <c r="P26" s="182">
        <v>4</v>
      </c>
      <c r="Q26" s="166">
        <v>2429.45454545454</v>
      </c>
      <c r="R26" s="166">
        <v>607.36363636363501</v>
      </c>
      <c r="S26" s="182">
        <f t="shared" si="2"/>
        <v>20</v>
      </c>
      <c r="T26" s="491"/>
      <c r="U26" s="182">
        <v>4</v>
      </c>
      <c r="V26" s="166">
        <v>2060.9999999999964</v>
      </c>
      <c r="W26" s="180">
        <v>515.24999999999909</v>
      </c>
      <c r="X26" s="182">
        <f t="shared" si="3"/>
        <v>20</v>
      </c>
      <c r="Y26" s="491"/>
      <c r="Z26" s="182">
        <v>4</v>
      </c>
      <c r="AA26" s="166">
        <v>2285.45454545454</v>
      </c>
      <c r="AB26" s="180">
        <v>571.36363636363501</v>
      </c>
      <c r="AC26" s="182">
        <f t="shared" si="4"/>
        <v>19</v>
      </c>
      <c r="AD26" s="491"/>
      <c r="AE26" s="182">
        <v>4</v>
      </c>
      <c r="AF26" s="166">
        <v>2275.1999999999939</v>
      </c>
      <c r="AG26" s="180">
        <v>568.79999999999848</v>
      </c>
      <c r="AH26" s="182">
        <f t="shared" si="5"/>
        <v>20</v>
      </c>
      <c r="AI26" s="491"/>
      <c r="AJ26" s="182">
        <v>4</v>
      </c>
      <c r="AK26" s="166">
        <v>2175.2727272727288</v>
      </c>
      <c r="AL26" s="180">
        <v>543.81818181818221</v>
      </c>
      <c r="AM26" s="182">
        <f t="shared" si="6"/>
        <v>20</v>
      </c>
      <c r="AN26" s="491"/>
      <c r="AO26" s="182">
        <v>4</v>
      </c>
      <c r="AP26" s="166">
        <v>2167.6363636363653</v>
      </c>
      <c r="AQ26" s="180">
        <v>541.90909090909133</v>
      </c>
      <c r="AR26" s="182">
        <f t="shared" si="7"/>
        <v>20</v>
      </c>
      <c r="AS26" s="491"/>
      <c r="AT26" s="182">
        <v>4</v>
      </c>
      <c r="AU26" s="166">
        <v>2209.1999999999935</v>
      </c>
      <c r="AV26" s="180">
        <v>552.29999999999836</v>
      </c>
      <c r="AW26" s="182">
        <f t="shared" si="8"/>
        <v>20</v>
      </c>
      <c r="AX26" s="487"/>
      <c r="AZ26" s="166" t="e">
        <f>RANK(AX26, $K$7:AX$36)</f>
        <v>#DIV/0!</v>
      </c>
      <c r="BB26" s="182" t="e">
        <f t="shared" si="0"/>
        <v>#N/A</v>
      </c>
    </row>
    <row r="27" spans="2:54">
      <c r="B27" s="479"/>
      <c r="C27" s="182">
        <v>21</v>
      </c>
      <c r="D27" s="392" t="s">
        <v>243</v>
      </c>
      <c r="E27" s="166">
        <v>3</v>
      </c>
      <c r="F27" s="166">
        <v>2800</v>
      </c>
      <c r="G27" s="166">
        <v>933.33333333333337</v>
      </c>
      <c r="H27" s="460"/>
      <c r="I27" s="166">
        <f t="shared" si="9"/>
        <v>3</v>
      </c>
      <c r="J27" s="166">
        <f t="shared" si="9"/>
        <v>2803.3662687297124</v>
      </c>
      <c r="K27" s="180">
        <f t="shared" si="9"/>
        <v>934.45542290990431</v>
      </c>
      <c r="L27" s="460"/>
      <c r="M27" s="166" t="e">
        <f>RANK(K27, K$182:$K$211)</f>
        <v>#DIV/0!</v>
      </c>
      <c r="N27" s="462"/>
      <c r="O27" s="462"/>
      <c r="P27" s="182">
        <v>3</v>
      </c>
      <c r="Q27" s="166">
        <v>2747.1428571428564</v>
      </c>
      <c r="R27" s="166">
        <v>915.71428571428544</v>
      </c>
      <c r="S27" s="182">
        <f t="shared" si="2"/>
        <v>7</v>
      </c>
      <c r="T27" s="491"/>
      <c r="U27" s="182">
        <v>3</v>
      </c>
      <c r="V27" s="166">
        <v>2828.7499999999959</v>
      </c>
      <c r="W27" s="180">
        <v>942.91666666666526</v>
      </c>
      <c r="X27" s="182">
        <f t="shared" si="3"/>
        <v>7</v>
      </c>
      <c r="Y27" s="491"/>
      <c r="Z27" s="182">
        <v>3</v>
      </c>
      <c r="AA27" s="166">
        <v>2791.2000000000007</v>
      </c>
      <c r="AB27" s="180">
        <v>930.4000000000002</v>
      </c>
      <c r="AC27" s="182">
        <f t="shared" si="4"/>
        <v>3</v>
      </c>
      <c r="AD27" s="491"/>
      <c r="AE27" s="182">
        <v>3</v>
      </c>
      <c r="AF27" s="166">
        <v>2784.7999999999979</v>
      </c>
      <c r="AG27" s="180">
        <v>928.26666666666597</v>
      </c>
      <c r="AH27" s="182">
        <f t="shared" si="5"/>
        <v>7</v>
      </c>
      <c r="AI27" s="491"/>
      <c r="AJ27" s="182">
        <v>3</v>
      </c>
      <c r="AK27" s="166">
        <v>2859.7058823529374</v>
      </c>
      <c r="AL27" s="180">
        <v>953.23529411764582</v>
      </c>
      <c r="AM27" s="182">
        <f t="shared" si="6"/>
        <v>6</v>
      </c>
      <c r="AN27" s="491"/>
      <c r="AO27" s="182">
        <v>3</v>
      </c>
      <c r="AP27" s="166">
        <v>2832.7058823529433</v>
      </c>
      <c r="AQ27" s="180">
        <v>944.23529411764775</v>
      </c>
      <c r="AR27" s="182">
        <f t="shared" si="7"/>
        <v>6</v>
      </c>
      <c r="AS27" s="491"/>
      <c r="AT27" s="182">
        <v>3</v>
      </c>
      <c r="AU27" s="166">
        <v>2779.2592592592605</v>
      </c>
      <c r="AV27" s="180">
        <v>926.4197530864202</v>
      </c>
      <c r="AW27" s="182">
        <f t="shared" si="8"/>
        <v>4</v>
      </c>
      <c r="AX27" s="487"/>
      <c r="AZ27" s="166" t="e">
        <f>RANK(AX27, $K$7:AX$36)</f>
        <v>#DIV/0!</v>
      </c>
      <c r="BB27" s="182" t="e">
        <f t="shared" si="0"/>
        <v>#N/A</v>
      </c>
    </row>
    <row r="28" spans="2:54">
      <c r="B28" s="479"/>
      <c r="C28" s="182">
        <v>22</v>
      </c>
      <c r="D28" s="182"/>
      <c r="E28" s="166" t="s">
        <v>244</v>
      </c>
      <c r="F28" s="166" t="s">
        <v>244</v>
      </c>
      <c r="G28" s="166" t="s">
        <v>244</v>
      </c>
      <c r="H28" s="460"/>
      <c r="I28" s="166"/>
      <c r="J28" s="166"/>
      <c r="K28" s="180"/>
      <c r="L28" s="460"/>
      <c r="M28" s="166" t="e">
        <f>RANK(K28, K$182:$K$211)</f>
        <v>#DIV/0!</v>
      </c>
      <c r="N28" s="462"/>
      <c r="O28" s="462"/>
      <c r="P28" s="182"/>
      <c r="Q28" s="166"/>
      <c r="R28" s="180"/>
      <c r="S28" s="182" t="e">
        <f t="shared" si="2"/>
        <v>#N/A</v>
      </c>
      <c r="T28" s="491"/>
      <c r="U28" s="182"/>
      <c r="V28" s="166"/>
      <c r="W28" s="180"/>
      <c r="X28" s="182" t="e">
        <f t="shared" si="3"/>
        <v>#N/A</v>
      </c>
      <c r="Y28" s="491"/>
      <c r="Z28" s="182"/>
      <c r="AA28" s="166"/>
      <c r="AB28" s="180"/>
      <c r="AC28" s="182" t="e">
        <f t="shared" si="4"/>
        <v>#N/A</v>
      </c>
      <c r="AD28" s="491"/>
      <c r="AE28" s="182"/>
      <c r="AF28" s="166"/>
      <c r="AG28" s="180"/>
      <c r="AH28" s="182" t="e">
        <f t="shared" si="5"/>
        <v>#N/A</v>
      </c>
      <c r="AI28" s="491"/>
      <c r="AJ28" s="182"/>
      <c r="AK28" s="166"/>
      <c r="AL28" s="180"/>
      <c r="AM28" s="182" t="e">
        <f t="shared" si="6"/>
        <v>#N/A</v>
      </c>
      <c r="AN28" s="491"/>
      <c r="AO28" s="182"/>
      <c r="AP28" s="166"/>
      <c r="AQ28" s="180"/>
      <c r="AR28" s="182" t="e">
        <f t="shared" si="7"/>
        <v>#N/A</v>
      </c>
      <c r="AS28" s="491"/>
      <c r="AT28" s="182"/>
      <c r="AU28" s="166"/>
      <c r="AV28" s="180"/>
      <c r="AW28" s="182" t="e">
        <f t="shared" si="8"/>
        <v>#N/A</v>
      </c>
      <c r="AX28" s="487"/>
      <c r="AZ28" s="166" t="e">
        <f>RANK(AX28, $K$7:AX$36)</f>
        <v>#DIV/0!</v>
      </c>
      <c r="BB28" s="182" t="e">
        <f t="shared" si="0"/>
        <v>#N/A</v>
      </c>
    </row>
    <row r="29" spans="2:54">
      <c r="B29" s="479"/>
      <c r="C29" s="182">
        <v>23</v>
      </c>
      <c r="D29" s="182"/>
      <c r="E29" s="166" t="s">
        <v>244</v>
      </c>
      <c r="F29" s="166" t="s">
        <v>244</v>
      </c>
      <c r="G29" s="166" t="s">
        <v>244</v>
      </c>
      <c r="H29" s="460"/>
      <c r="I29" s="166"/>
      <c r="J29" s="166"/>
      <c r="K29" s="180"/>
      <c r="L29" s="460"/>
      <c r="M29" s="166" t="e">
        <f>RANK(K29, K$182:$K$211)</f>
        <v>#DIV/0!</v>
      </c>
      <c r="N29" s="462"/>
      <c r="O29" s="462"/>
      <c r="P29" s="182"/>
      <c r="Q29" s="166"/>
      <c r="R29" s="180"/>
      <c r="S29" s="182" t="e">
        <f t="shared" si="2"/>
        <v>#N/A</v>
      </c>
      <c r="T29" s="491"/>
      <c r="U29" s="182"/>
      <c r="V29" s="166"/>
      <c r="W29" s="180"/>
      <c r="X29" s="182" t="e">
        <f t="shared" si="3"/>
        <v>#N/A</v>
      </c>
      <c r="Y29" s="491"/>
      <c r="Z29" s="182"/>
      <c r="AA29" s="166"/>
      <c r="AB29" s="180"/>
      <c r="AC29" s="182" t="e">
        <f t="shared" si="4"/>
        <v>#N/A</v>
      </c>
      <c r="AD29" s="491"/>
      <c r="AE29" s="182"/>
      <c r="AF29" s="166"/>
      <c r="AG29" s="180"/>
      <c r="AH29" s="182" t="e">
        <f t="shared" si="5"/>
        <v>#N/A</v>
      </c>
      <c r="AI29" s="491"/>
      <c r="AJ29" s="182"/>
      <c r="AK29" s="166"/>
      <c r="AL29" s="180"/>
      <c r="AM29" s="182" t="e">
        <f t="shared" si="6"/>
        <v>#N/A</v>
      </c>
      <c r="AN29" s="491"/>
      <c r="AO29" s="182"/>
      <c r="AP29" s="166"/>
      <c r="AQ29" s="180"/>
      <c r="AR29" s="182" t="e">
        <f t="shared" si="7"/>
        <v>#N/A</v>
      </c>
      <c r="AS29" s="491"/>
      <c r="AT29" s="182"/>
      <c r="AU29" s="166"/>
      <c r="AV29" s="180"/>
      <c r="AW29" s="182" t="e">
        <f t="shared" si="8"/>
        <v>#N/A</v>
      </c>
      <c r="AX29" s="487"/>
      <c r="AZ29" s="166" t="e">
        <f>RANK(AX29, $K$7:AX$36)</f>
        <v>#DIV/0!</v>
      </c>
      <c r="BB29" s="182" t="e">
        <f t="shared" si="0"/>
        <v>#N/A</v>
      </c>
    </row>
    <row r="30" spans="2:54">
      <c r="B30" s="479"/>
      <c r="C30" s="182">
        <v>24</v>
      </c>
      <c r="D30" s="271"/>
      <c r="E30" s="166" t="s">
        <v>244</v>
      </c>
      <c r="F30" s="166" t="s">
        <v>244</v>
      </c>
      <c r="G30" s="166" t="s">
        <v>244</v>
      </c>
      <c r="H30" s="460"/>
      <c r="I30" s="166"/>
      <c r="J30" s="166"/>
      <c r="K30" s="180"/>
      <c r="L30" s="460"/>
      <c r="M30" s="166" t="e">
        <f>RANK(K30, K$182:$K$211)</f>
        <v>#DIV/0!</v>
      </c>
      <c r="N30" s="462"/>
      <c r="O30" s="462"/>
      <c r="P30" s="182"/>
      <c r="Q30" s="166"/>
      <c r="R30" s="166"/>
      <c r="S30" s="182" t="e">
        <f t="shared" si="2"/>
        <v>#N/A</v>
      </c>
      <c r="T30" s="491"/>
      <c r="U30" s="182"/>
      <c r="V30" s="166"/>
      <c r="W30" s="166"/>
      <c r="X30" s="182" t="e">
        <f t="shared" si="3"/>
        <v>#N/A</v>
      </c>
      <c r="Y30" s="491"/>
      <c r="Z30" s="182"/>
      <c r="AA30" s="166"/>
      <c r="AB30" s="166"/>
      <c r="AC30" s="182" t="e">
        <f t="shared" si="4"/>
        <v>#N/A</v>
      </c>
      <c r="AD30" s="491"/>
      <c r="AE30" s="182"/>
      <c r="AF30" s="166"/>
      <c r="AG30" s="166"/>
      <c r="AH30" s="182" t="e">
        <f t="shared" si="5"/>
        <v>#N/A</v>
      </c>
      <c r="AI30" s="491"/>
      <c r="AJ30" s="182"/>
      <c r="AK30" s="166"/>
      <c r="AL30" s="166"/>
      <c r="AM30" s="182" t="e">
        <f t="shared" si="6"/>
        <v>#N/A</v>
      </c>
      <c r="AN30" s="491"/>
      <c r="AO30" s="182"/>
      <c r="AP30" s="166"/>
      <c r="AQ30" s="166"/>
      <c r="AR30" s="182" t="e">
        <f t="shared" si="7"/>
        <v>#N/A</v>
      </c>
      <c r="AS30" s="491"/>
      <c r="AT30" s="182"/>
      <c r="AU30" s="166"/>
      <c r="AV30" s="166"/>
      <c r="AW30" s="182" t="e">
        <f t="shared" si="8"/>
        <v>#N/A</v>
      </c>
      <c r="AX30" s="487"/>
      <c r="AZ30" s="166" t="e">
        <f>RANK(AX30, $K$7:AX$36)</f>
        <v>#DIV/0!</v>
      </c>
      <c r="BB30" s="182" t="e">
        <f t="shared" si="0"/>
        <v>#N/A</v>
      </c>
    </row>
    <row r="31" spans="2:54">
      <c r="B31" s="479"/>
      <c r="C31" s="182">
        <v>25</v>
      </c>
      <c r="D31" s="182"/>
      <c r="E31" s="166" t="s">
        <v>244</v>
      </c>
      <c r="F31" s="166" t="s">
        <v>244</v>
      </c>
      <c r="G31" s="166" t="s">
        <v>244</v>
      </c>
      <c r="H31" s="460"/>
      <c r="I31" s="166"/>
      <c r="J31" s="166"/>
      <c r="K31" s="180"/>
      <c r="L31" s="460"/>
      <c r="M31" s="166" t="e">
        <f>RANK(K31, K$182:$K$211)</f>
        <v>#DIV/0!</v>
      </c>
      <c r="N31" s="462"/>
      <c r="O31" s="462"/>
      <c r="P31" s="182"/>
      <c r="Q31" s="182"/>
      <c r="R31" s="182"/>
      <c r="S31" s="182" t="e">
        <f t="shared" si="2"/>
        <v>#N/A</v>
      </c>
      <c r="T31" s="491"/>
      <c r="U31" s="182"/>
      <c r="V31" s="182"/>
      <c r="W31" s="182"/>
      <c r="X31" s="182" t="e">
        <f t="shared" si="3"/>
        <v>#N/A</v>
      </c>
      <c r="Y31" s="491"/>
      <c r="Z31" s="182"/>
      <c r="AA31" s="182"/>
      <c r="AB31" s="182"/>
      <c r="AC31" s="182" t="e">
        <f t="shared" si="4"/>
        <v>#N/A</v>
      </c>
      <c r="AD31" s="491"/>
      <c r="AE31" s="182"/>
      <c r="AF31" s="182"/>
      <c r="AG31" s="182"/>
      <c r="AH31" s="182" t="e">
        <f t="shared" si="5"/>
        <v>#N/A</v>
      </c>
      <c r="AI31" s="491"/>
      <c r="AJ31" s="182"/>
      <c r="AK31" s="182"/>
      <c r="AL31" s="182"/>
      <c r="AM31" s="182" t="e">
        <f t="shared" si="6"/>
        <v>#N/A</v>
      </c>
      <c r="AN31" s="491"/>
      <c r="AO31" s="182"/>
      <c r="AP31" s="182"/>
      <c r="AQ31" s="182"/>
      <c r="AR31" s="182" t="e">
        <f t="shared" si="7"/>
        <v>#N/A</v>
      </c>
      <c r="AS31" s="491"/>
      <c r="AT31" s="182"/>
      <c r="AU31" s="182"/>
      <c r="AV31" s="182"/>
      <c r="AW31" s="182" t="e">
        <f t="shared" si="8"/>
        <v>#N/A</v>
      </c>
      <c r="AX31" s="487"/>
      <c r="AZ31" s="166" t="e">
        <f>RANK(AX31, $K$7:AX$36)</f>
        <v>#DIV/0!</v>
      </c>
      <c r="BB31" s="182" t="e">
        <f t="shared" si="0"/>
        <v>#N/A</v>
      </c>
    </row>
    <row r="32" spans="2:54">
      <c r="B32" s="479"/>
      <c r="C32" s="182">
        <v>26</v>
      </c>
      <c r="D32" s="182"/>
      <c r="E32" s="166" t="s">
        <v>244</v>
      </c>
      <c r="F32" s="166" t="s">
        <v>244</v>
      </c>
      <c r="G32" s="166" t="s">
        <v>244</v>
      </c>
      <c r="H32" s="460"/>
      <c r="I32" s="166"/>
      <c r="J32" s="166"/>
      <c r="K32" s="180"/>
      <c r="L32" s="460"/>
      <c r="M32" s="166" t="e">
        <f>RANK(K32, K$182:$K$211)</f>
        <v>#DIV/0!</v>
      </c>
      <c r="N32" s="462"/>
      <c r="O32" s="462"/>
      <c r="P32" s="182"/>
      <c r="Q32" s="182"/>
      <c r="R32" s="182"/>
      <c r="S32" s="182" t="e">
        <f t="shared" si="2"/>
        <v>#N/A</v>
      </c>
      <c r="T32" s="491"/>
      <c r="U32" s="182"/>
      <c r="V32" s="182"/>
      <c r="W32" s="182"/>
      <c r="X32" s="182" t="e">
        <f t="shared" si="3"/>
        <v>#N/A</v>
      </c>
      <c r="Y32" s="491"/>
      <c r="Z32" s="182"/>
      <c r="AA32" s="182"/>
      <c r="AB32" s="182"/>
      <c r="AC32" s="182" t="e">
        <f t="shared" si="4"/>
        <v>#N/A</v>
      </c>
      <c r="AD32" s="491"/>
      <c r="AE32" s="182"/>
      <c r="AF32" s="182"/>
      <c r="AG32" s="182"/>
      <c r="AH32" s="182" t="e">
        <f t="shared" si="5"/>
        <v>#N/A</v>
      </c>
      <c r="AI32" s="491"/>
      <c r="AJ32" s="182"/>
      <c r="AK32" s="182"/>
      <c r="AL32" s="182"/>
      <c r="AM32" s="182" t="e">
        <f t="shared" si="6"/>
        <v>#N/A</v>
      </c>
      <c r="AN32" s="491"/>
      <c r="AO32" s="182"/>
      <c r="AP32" s="182"/>
      <c r="AQ32" s="182"/>
      <c r="AR32" s="182" t="e">
        <f t="shared" si="7"/>
        <v>#N/A</v>
      </c>
      <c r="AS32" s="491"/>
      <c r="AT32" s="182"/>
      <c r="AU32" s="182"/>
      <c r="AV32" s="182"/>
      <c r="AW32" s="182" t="e">
        <f t="shared" si="8"/>
        <v>#N/A</v>
      </c>
      <c r="AX32" s="487"/>
      <c r="AZ32" s="166" t="e">
        <f>RANK(AX32, $K$7:AX$36)</f>
        <v>#DIV/0!</v>
      </c>
      <c r="BB32" s="182" t="e">
        <f t="shared" si="0"/>
        <v>#N/A</v>
      </c>
    </row>
    <row r="33" spans="2:54">
      <c r="B33" s="479"/>
      <c r="C33" s="182">
        <v>27</v>
      </c>
      <c r="D33" s="182"/>
      <c r="E33" s="166" t="s">
        <v>244</v>
      </c>
      <c r="F33" s="166" t="s">
        <v>244</v>
      </c>
      <c r="G33" s="166" t="s">
        <v>244</v>
      </c>
      <c r="H33" s="460"/>
      <c r="I33" s="166"/>
      <c r="J33" s="166"/>
      <c r="K33" s="180"/>
      <c r="L33" s="460"/>
      <c r="M33" s="166" t="e">
        <f>RANK(K33, K$182:$K$211)</f>
        <v>#DIV/0!</v>
      </c>
      <c r="N33" s="462"/>
      <c r="O33" s="462"/>
      <c r="P33" s="182"/>
      <c r="Q33" s="182"/>
      <c r="R33" s="182"/>
      <c r="S33" s="182" t="e">
        <f t="shared" si="2"/>
        <v>#N/A</v>
      </c>
      <c r="T33" s="491"/>
      <c r="U33" s="182"/>
      <c r="V33" s="182"/>
      <c r="W33" s="182"/>
      <c r="X33" s="182" t="e">
        <f t="shared" si="3"/>
        <v>#N/A</v>
      </c>
      <c r="Y33" s="491"/>
      <c r="Z33" s="182"/>
      <c r="AA33" s="182"/>
      <c r="AB33" s="182"/>
      <c r="AC33" s="182" t="e">
        <f t="shared" si="4"/>
        <v>#N/A</v>
      </c>
      <c r="AD33" s="491"/>
      <c r="AE33" s="182"/>
      <c r="AF33" s="182"/>
      <c r="AG33" s="182"/>
      <c r="AH33" s="182" t="e">
        <f t="shared" si="5"/>
        <v>#N/A</v>
      </c>
      <c r="AI33" s="491"/>
      <c r="AJ33" s="182"/>
      <c r="AK33" s="182"/>
      <c r="AL33" s="182"/>
      <c r="AM33" s="182" t="e">
        <f t="shared" si="6"/>
        <v>#N/A</v>
      </c>
      <c r="AN33" s="491"/>
      <c r="AO33" s="182"/>
      <c r="AP33" s="182"/>
      <c r="AQ33" s="182"/>
      <c r="AR33" s="182" t="e">
        <f t="shared" si="7"/>
        <v>#N/A</v>
      </c>
      <c r="AS33" s="491"/>
      <c r="AT33" s="182"/>
      <c r="AU33" s="182"/>
      <c r="AV33" s="182"/>
      <c r="AW33" s="182" t="e">
        <f t="shared" si="8"/>
        <v>#N/A</v>
      </c>
      <c r="AX33" s="487"/>
      <c r="AZ33" s="166" t="e">
        <f>RANK(AX33, $K$7:AX$36)</f>
        <v>#DIV/0!</v>
      </c>
      <c r="BB33" s="182" t="e">
        <f t="shared" si="0"/>
        <v>#N/A</v>
      </c>
    </row>
    <row r="34" spans="2:54">
      <c r="B34" s="479"/>
      <c r="C34" s="182">
        <v>28</v>
      </c>
      <c r="D34" s="182"/>
      <c r="E34" s="166" t="s">
        <v>244</v>
      </c>
      <c r="F34" s="166" t="s">
        <v>244</v>
      </c>
      <c r="G34" s="166" t="s">
        <v>244</v>
      </c>
      <c r="H34" s="460"/>
      <c r="I34" s="166"/>
      <c r="J34" s="166"/>
      <c r="K34" s="180"/>
      <c r="L34" s="460"/>
      <c r="M34" s="166" t="e">
        <f>RANK(K34, K$182:$K$211)</f>
        <v>#DIV/0!</v>
      </c>
      <c r="N34" s="462"/>
      <c r="O34" s="462"/>
      <c r="P34" s="182"/>
      <c r="Q34" s="182"/>
      <c r="R34" s="182"/>
      <c r="S34" s="182" t="e">
        <f t="shared" si="2"/>
        <v>#N/A</v>
      </c>
      <c r="T34" s="491"/>
      <c r="U34" s="182"/>
      <c r="V34" s="182"/>
      <c r="W34" s="182"/>
      <c r="X34" s="182" t="e">
        <f t="shared" si="3"/>
        <v>#N/A</v>
      </c>
      <c r="Y34" s="491"/>
      <c r="Z34" s="182"/>
      <c r="AA34" s="182"/>
      <c r="AB34" s="182"/>
      <c r="AC34" s="182" t="e">
        <f t="shared" si="4"/>
        <v>#N/A</v>
      </c>
      <c r="AD34" s="491"/>
      <c r="AE34" s="182"/>
      <c r="AF34" s="182"/>
      <c r="AG34" s="182"/>
      <c r="AH34" s="182" t="e">
        <f t="shared" si="5"/>
        <v>#N/A</v>
      </c>
      <c r="AI34" s="491"/>
      <c r="AJ34" s="182"/>
      <c r="AK34" s="182"/>
      <c r="AL34" s="182"/>
      <c r="AM34" s="182" t="e">
        <f t="shared" si="6"/>
        <v>#N/A</v>
      </c>
      <c r="AN34" s="491"/>
      <c r="AO34" s="182"/>
      <c r="AP34" s="182"/>
      <c r="AQ34" s="182"/>
      <c r="AR34" s="182" t="e">
        <f t="shared" si="7"/>
        <v>#N/A</v>
      </c>
      <c r="AS34" s="491"/>
      <c r="AT34" s="182"/>
      <c r="AU34" s="182"/>
      <c r="AV34" s="182"/>
      <c r="AW34" s="182" t="e">
        <f t="shared" si="8"/>
        <v>#N/A</v>
      </c>
      <c r="AX34" s="487"/>
      <c r="AZ34" s="166" t="e">
        <f>RANK(AX34, $K$7:AX$36)</f>
        <v>#DIV/0!</v>
      </c>
      <c r="BB34" s="182" t="e">
        <f t="shared" si="0"/>
        <v>#N/A</v>
      </c>
    </row>
    <row r="35" spans="2:54">
      <c r="B35" s="479"/>
      <c r="C35" s="182">
        <v>29</v>
      </c>
      <c r="D35" s="182"/>
      <c r="E35" s="166" t="s">
        <v>244</v>
      </c>
      <c r="F35" s="166" t="s">
        <v>244</v>
      </c>
      <c r="G35" s="166" t="s">
        <v>244</v>
      </c>
      <c r="H35" s="460"/>
      <c r="I35" s="166"/>
      <c r="J35" s="166"/>
      <c r="K35" s="180"/>
      <c r="L35" s="460"/>
      <c r="M35" s="166" t="e">
        <f>RANK(K35, K$182:$K$211)</f>
        <v>#DIV/0!</v>
      </c>
      <c r="N35" s="462"/>
      <c r="O35" s="462"/>
      <c r="P35" s="182"/>
      <c r="Q35" s="182"/>
      <c r="R35" s="182"/>
      <c r="S35" s="182" t="e">
        <f t="shared" si="2"/>
        <v>#N/A</v>
      </c>
      <c r="T35" s="491"/>
      <c r="U35" s="182"/>
      <c r="V35" s="182"/>
      <c r="W35" s="182"/>
      <c r="X35" s="182" t="e">
        <f t="shared" si="3"/>
        <v>#N/A</v>
      </c>
      <c r="Y35" s="491"/>
      <c r="Z35" s="182"/>
      <c r="AA35" s="182"/>
      <c r="AB35" s="182"/>
      <c r="AC35" s="182" t="e">
        <f t="shared" si="4"/>
        <v>#N/A</v>
      </c>
      <c r="AD35" s="491"/>
      <c r="AE35" s="182"/>
      <c r="AF35" s="182"/>
      <c r="AG35" s="182"/>
      <c r="AH35" s="182" t="e">
        <f t="shared" si="5"/>
        <v>#N/A</v>
      </c>
      <c r="AI35" s="491"/>
      <c r="AJ35" s="182"/>
      <c r="AK35" s="182"/>
      <c r="AL35" s="182"/>
      <c r="AM35" s="182" t="e">
        <f t="shared" si="6"/>
        <v>#N/A</v>
      </c>
      <c r="AN35" s="491"/>
      <c r="AO35" s="182"/>
      <c r="AP35" s="182"/>
      <c r="AQ35" s="182"/>
      <c r="AR35" s="182" t="e">
        <f t="shared" si="7"/>
        <v>#N/A</v>
      </c>
      <c r="AS35" s="491"/>
      <c r="AT35" s="182"/>
      <c r="AU35" s="182"/>
      <c r="AV35" s="182"/>
      <c r="AW35" s="182" t="e">
        <f t="shared" si="8"/>
        <v>#N/A</v>
      </c>
      <c r="AX35" s="487"/>
      <c r="AZ35" s="166" t="e">
        <f>RANK(AX35, $K$7:AX$36)</f>
        <v>#DIV/0!</v>
      </c>
      <c r="BB35" s="182" t="e">
        <f t="shared" si="0"/>
        <v>#N/A</v>
      </c>
    </row>
    <row r="36" spans="2:54">
      <c r="B36" s="479"/>
      <c r="C36" s="182">
        <v>30</v>
      </c>
      <c r="D36" s="182"/>
      <c r="E36" s="166" t="s">
        <v>244</v>
      </c>
      <c r="F36" s="166" t="s">
        <v>244</v>
      </c>
      <c r="G36" s="166" t="s">
        <v>244</v>
      </c>
      <c r="H36" s="460"/>
      <c r="I36" s="166"/>
      <c r="J36" s="166"/>
      <c r="K36" s="180"/>
      <c r="L36" s="460"/>
      <c r="M36" s="166" t="e">
        <f>RANK(K36, K$182:$K$211)</f>
        <v>#DIV/0!</v>
      </c>
      <c r="N36" s="462"/>
      <c r="O36" s="462"/>
      <c r="P36" s="182"/>
      <c r="Q36" s="182"/>
      <c r="R36" s="182"/>
      <c r="S36" s="182" t="e">
        <f t="shared" si="2"/>
        <v>#N/A</v>
      </c>
      <c r="T36" s="491"/>
      <c r="U36" s="182"/>
      <c r="V36" s="182"/>
      <c r="W36" s="182"/>
      <c r="X36" s="182" t="e">
        <f t="shared" si="3"/>
        <v>#N/A</v>
      </c>
      <c r="Y36" s="491"/>
      <c r="Z36" s="182"/>
      <c r="AA36" s="182"/>
      <c r="AB36" s="182"/>
      <c r="AC36" s="182" t="e">
        <f t="shared" si="4"/>
        <v>#N/A</v>
      </c>
      <c r="AD36" s="491"/>
      <c r="AE36" s="182"/>
      <c r="AF36" s="182"/>
      <c r="AG36" s="182"/>
      <c r="AH36" s="182" t="e">
        <f t="shared" si="5"/>
        <v>#N/A</v>
      </c>
      <c r="AI36" s="491"/>
      <c r="AJ36" s="182"/>
      <c r="AK36" s="182"/>
      <c r="AL36" s="182"/>
      <c r="AM36" s="182" t="e">
        <f t="shared" si="6"/>
        <v>#N/A</v>
      </c>
      <c r="AN36" s="491"/>
      <c r="AO36" s="182"/>
      <c r="AP36" s="182"/>
      <c r="AQ36" s="182"/>
      <c r="AR36" s="182" t="e">
        <f t="shared" si="7"/>
        <v>#N/A</v>
      </c>
      <c r="AS36" s="491"/>
      <c r="AT36" s="182"/>
      <c r="AU36" s="182"/>
      <c r="AV36" s="182"/>
      <c r="AW36" s="182" t="e">
        <f t="shared" si="8"/>
        <v>#N/A</v>
      </c>
      <c r="AX36" s="487"/>
      <c r="AZ36" s="166" t="e">
        <f>RANK(AX36, $K$7:AX$36)</f>
        <v>#DIV/0!</v>
      </c>
      <c r="BB36" s="182" t="e">
        <f t="shared" si="0"/>
        <v>#N/A</v>
      </c>
    </row>
    <row r="37" spans="2:54" ht="15.75">
      <c r="B37" s="495" t="s">
        <v>201</v>
      </c>
      <c r="C37" s="496"/>
      <c r="D37" s="496"/>
      <c r="E37" s="496"/>
      <c r="F37" s="496"/>
      <c r="G37" s="496"/>
      <c r="H37" s="496"/>
      <c r="I37" s="183"/>
      <c r="J37" s="183"/>
      <c r="K37" s="183"/>
      <c r="L37" s="183"/>
      <c r="M37" s="178"/>
      <c r="N37" s="469" t="s">
        <v>202</v>
      </c>
      <c r="O37" s="469" t="s">
        <v>150</v>
      </c>
      <c r="P37" s="478">
        <f>P2+7</f>
        <v>46393</v>
      </c>
      <c r="Q37" s="479"/>
      <c r="R37" s="479"/>
      <c r="S37" s="479"/>
      <c r="T37" s="479"/>
      <c r="U37" s="478">
        <f>P37+1</f>
        <v>46394</v>
      </c>
      <c r="V37" s="479"/>
      <c r="W37" s="479"/>
      <c r="X37" s="479"/>
      <c r="Y37" s="479"/>
      <c r="Z37" s="478">
        <f>U37+1</f>
        <v>46395</v>
      </c>
      <c r="AA37" s="479"/>
      <c r="AB37" s="479"/>
      <c r="AC37" s="479"/>
      <c r="AD37" s="479"/>
      <c r="AE37" s="478">
        <f>Z37+1</f>
        <v>46396</v>
      </c>
      <c r="AF37" s="479"/>
      <c r="AG37" s="479"/>
      <c r="AH37" s="479"/>
      <c r="AI37" s="479"/>
      <c r="AJ37" s="478">
        <f>AE37+1</f>
        <v>46397</v>
      </c>
      <c r="AK37" s="479"/>
      <c r="AL37" s="479"/>
      <c r="AM37" s="479"/>
      <c r="AN37" s="479"/>
      <c r="AO37" s="478">
        <f>AJ37+1</f>
        <v>46398</v>
      </c>
      <c r="AP37" s="479"/>
      <c r="AQ37" s="479"/>
      <c r="AR37" s="479"/>
      <c r="AS37" s="479"/>
      <c r="AT37" s="478">
        <f>AO37+1</f>
        <v>46399</v>
      </c>
      <c r="AU37" s="479"/>
      <c r="AV37" s="479"/>
      <c r="AW37" s="479"/>
      <c r="AX37" s="479"/>
    </row>
    <row r="38" spans="2:54" ht="15.75">
      <c r="B38" s="482"/>
      <c r="C38" s="482"/>
      <c r="D38" s="482"/>
      <c r="E38" s="482"/>
      <c r="F38" s="482"/>
      <c r="G38" s="482"/>
      <c r="H38" s="482"/>
      <c r="I38" s="184"/>
      <c r="J38" s="184"/>
      <c r="K38" s="184"/>
      <c r="L38" s="184"/>
      <c r="M38" s="179"/>
      <c r="N38" s="471"/>
      <c r="O38" s="471"/>
      <c r="P38" s="478" t="s">
        <v>203</v>
      </c>
      <c r="Q38" s="479"/>
      <c r="R38" s="479"/>
      <c r="S38" s="479"/>
      <c r="T38" s="479"/>
      <c r="U38" s="478" t="s">
        <v>204</v>
      </c>
      <c r="V38" s="479"/>
      <c r="W38" s="479"/>
      <c r="X38" s="479"/>
      <c r="Y38" s="479"/>
      <c r="Z38" s="478" t="s">
        <v>205</v>
      </c>
      <c r="AA38" s="479"/>
      <c r="AB38" s="479"/>
      <c r="AC38" s="479"/>
      <c r="AD38" s="479"/>
      <c r="AE38" s="478" t="s">
        <v>206</v>
      </c>
      <c r="AF38" s="479"/>
      <c r="AG38" s="479"/>
      <c r="AH38" s="479"/>
      <c r="AI38" s="479"/>
      <c r="AJ38" s="478" t="s">
        <v>207</v>
      </c>
      <c r="AK38" s="479"/>
      <c r="AL38" s="479"/>
      <c r="AM38" s="479"/>
      <c r="AN38" s="479"/>
      <c r="AO38" s="478" t="s">
        <v>157</v>
      </c>
      <c r="AP38" s="479"/>
      <c r="AQ38" s="479"/>
      <c r="AR38" s="479"/>
      <c r="AS38" s="479"/>
      <c r="AT38" s="478" t="s">
        <v>208</v>
      </c>
      <c r="AU38" s="479"/>
      <c r="AV38" s="479"/>
      <c r="AW38" s="479"/>
      <c r="AX38" s="479"/>
    </row>
    <row r="39" spans="2:54">
      <c r="B39" s="469" t="s">
        <v>209</v>
      </c>
      <c r="C39" s="463" t="s">
        <v>210</v>
      </c>
      <c r="D39" s="483"/>
      <c r="E39" s="466" t="s">
        <v>211</v>
      </c>
      <c r="F39" s="467"/>
      <c r="G39" s="468"/>
      <c r="H39" s="469" t="s">
        <v>212</v>
      </c>
      <c r="I39" s="466" t="s">
        <v>213</v>
      </c>
      <c r="J39" s="467"/>
      <c r="K39" s="468"/>
      <c r="L39" s="469" t="s">
        <v>212</v>
      </c>
      <c r="M39" s="469" t="s">
        <v>214</v>
      </c>
      <c r="N39" s="469"/>
      <c r="O39" s="469" t="s">
        <v>215</v>
      </c>
      <c r="P39" s="466" t="s">
        <v>216</v>
      </c>
      <c r="Q39" s="467"/>
      <c r="R39" s="467"/>
      <c r="S39" s="468"/>
      <c r="T39" s="469" t="s">
        <v>212</v>
      </c>
      <c r="U39" s="466" t="s">
        <v>216</v>
      </c>
      <c r="V39" s="467"/>
      <c r="W39" s="467"/>
      <c r="X39" s="468"/>
      <c r="Y39" s="469" t="s">
        <v>212</v>
      </c>
      <c r="Z39" s="466" t="s">
        <v>216</v>
      </c>
      <c r="AA39" s="467"/>
      <c r="AB39" s="467"/>
      <c r="AC39" s="468"/>
      <c r="AD39" s="469" t="s">
        <v>212</v>
      </c>
      <c r="AE39" s="466" t="s">
        <v>216</v>
      </c>
      <c r="AF39" s="467"/>
      <c r="AG39" s="467"/>
      <c r="AH39" s="468"/>
      <c r="AI39" s="469" t="s">
        <v>212</v>
      </c>
      <c r="AJ39" s="466" t="s">
        <v>216</v>
      </c>
      <c r="AK39" s="467"/>
      <c r="AL39" s="467"/>
      <c r="AM39" s="468"/>
      <c r="AN39" s="469" t="s">
        <v>212</v>
      </c>
      <c r="AO39" s="466" t="s">
        <v>216</v>
      </c>
      <c r="AP39" s="467"/>
      <c r="AQ39" s="467"/>
      <c r="AR39" s="468"/>
      <c r="AS39" s="469" t="s">
        <v>212</v>
      </c>
      <c r="AT39" s="466" t="s">
        <v>216</v>
      </c>
      <c r="AU39" s="467"/>
      <c r="AV39" s="467"/>
      <c r="AW39" s="468"/>
      <c r="AX39" s="469" t="s">
        <v>212</v>
      </c>
    </row>
    <row r="40" spans="2:54">
      <c r="B40" s="470"/>
      <c r="C40" s="464"/>
      <c r="D40" s="484"/>
      <c r="E40" s="466" t="s">
        <v>217</v>
      </c>
      <c r="F40" s="467"/>
      <c r="G40" s="468"/>
      <c r="H40" s="470"/>
      <c r="I40" s="466" t="s">
        <v>217</v>
      </c>
      <c r="J40" s="467"/>
      <c r="K40" s="468"/>
      <c r="L40" s="470"/>
      <c r="M40" s="470"/>
      <c r="N40" s="470"/>
      <c r="O40" s="470"/>
      <c r="P40" s="466" t="s">
        <v>218</v>
      </c>
      <c r="Q40" s="467"/>
      <c r="R40" s="467"/>
      <c r="S40" s="468"/>
      <c r="T40" s="470"/>
      <c r="U40" s="466" t="s">
        <v>218</v>
      </c>
      <c r="V40" s="467"/>
      <c r="W40" s="467"/>
      <c r="X40" s="468"/>
      <c r="Y40" s="470"/>
      <c r="Z40" s="466" t="s">
        <v>218</v>
      </c>
      <c r="AA40" s="467"/>
      <c r="AB40" s="467"/>
      <c r="AC40" s="468"/>
      <c r="AD40" s="470"/>
      <c r="AE40" s="466" t="s">
        <v>218</v>
      </c>
      <c r="AF40" s="467"/>
      <c r="AG40" s="467"/>
      <c r="AH40" s="468"/>
      <c r="AI40" s="470"/>
      <c r="AJ40" s="466" t="s">
        <v>218</v>
      </c>
      <c r="AK40" s="467"/>
      <c r="AL40" s="467"/>
      <c r="AM40" s="468"/>
      <c r="AN40" s="470"/>
      <c r="AO40" s="466" t="s">
        <v>218</v>
      </c>
      <c r="AP40" s="467"/>
      <c r="AQ40" s="467"/>
      <c r="AR40" s="468"/>
      <c r="AS40" s="470"/>
      <c r="AT40" s="466" t="s">
        <v>218</v>
      </c>
      <c r="AU40" s="467"/>
      <c r="AV40" s="467"/>
      <c r="AW40" s="468"/>
      <c r="AX40" s="470"/>
    </row>
    <row r="41" spans="2:54">
      <c r="B41" s="471"/>
      <c r="C41" s="465"/>
      <c r="D41" s="485"/>
      <c r="E41" s="271" t="s">
        <v>219</v>
      </c>
      <c r="F41" s="271" t="s">
        <v>220</v>
      </c>
      <c r="G41" s="271" t="s">
        <v>221</v>
      </c>
      <c r="H41" s="471"/>
      <c r="I41" s="271" t="s">
        <v>219</v>
      </c>
      <c r="J41" s="271" t="s">
        <v>220</v>
      </c>
      <c r="K41" s="271" t="s">
        <v>221</v>
      </c>
      <c r="L41" s="471"/>
      <c r="M41" s="471"/>
      <c r="N41" s="470"/>
      <c r="O41" s="470"/>
      <c r="P41" s="271" t="s">
        <v>219</v>
      </c>
      <c r="Q41" s="271" t="s">
        <v>220</v>
      </c>
      <c r="R41" s="271" t="s">
        <v>221</v>
      </c>
      <c r="S41" s="271" t="s">
        <v>214</v>
      </c>
      <c r="T41" s="471"/>
      <c r="U41" s="271" t="s">
        <v>219</v>
      </c>
      <c r="V41" s="271" t="s">
        <v>220</v>
      </c>
      <c r="W41" s="271" t="s">
        <v>221</v>
      </c>
      <c r="X41" s="271" t="s">
        <v>214</v>
      </c>
      <c r="Y41" s="471"/>
      <c r="Z41" s="271" t="s">
        <v>219</v>
      </c>
      <c r="AA41" s="271" t="s">
        <v>220</v>
      </c>
      <c r="AB41" s="271" t="s">
        <v>221</v>
      </c>
      <c r="AC41" s="271" t="s">
        <v>214</v>
      </c>
      <c r="AD41" s="471"/>
      <c r="AE41" s="271" t="s">
        <v>219</v>
      </c>
      <c r="AF41" s="271" t="s">
        <v>220</v>
      </c>
      <c r="AG41" s="271" t="s">
        <v>221</v>
      </c>
      <c r="AH41" s="271" t="s">
        <v>214</v>
      </c>
      <c r="AI41" s="471"/>
      <c r="AJ41" s="271" t="s">
        <v>219</v>
      </c>
      <c r="AK41" s="271" t="s">
        <v>220</v>
      </c>
      <c r="AL41" s="271" t="s">
        <v>221</v>
      </c>
      <c r="AM41" s="271" t="s">
        <v>214</v>
      </c>
      <c r="AN41" s="471"/>
      <c r="AO41" s="271" t="s">
        <v>219</v>
      </c>
      <c r="AP41" s="271" t="s">
        <v>220</v>
      </c>
      <c r="AQ41" s="271" t="s">
        <v>221</v>
      </c>
      <c r="AR41" s="271" t="s">
        <v>214</v>
      </c>
      <c r="AS41" s="471"/>
      <c r="AT41" s="271" t="s">
        <v>219</v>
      </c>
      <c r="AU41" s="271" t="s">
        <v>220</v>
      </c>
      <c r="AV41" s="271" t="s">
        <v>221</v>
      </c>
      <c r="AW41" s="271" t="s">
        <v>214</v>
      </c>
      <c r="AX41" s="471"/>
    </row>
    <row r="42" spans="2:54">
      <c r="B42" s="492" t="s">
        <v>245</v>
      </c>
      <c r="C42" s="182">
        <v>1</v>
      </c>
      <c r="D42" s="182" t="s">
        <v>223</v>
      </c>
      <c r="E42" s="182">
        <v>4</v>
      </c>
      <c r="F42" s="166">
        <v>2200</v>
      </c>
      <c r="G42" s="166">
        <v>550</v>
      </c>
      <c r="H42" s="472">
        <f>AVERAGE(G42:G71)</f>
        <v>851.89393939393949</v>
      </c>
      <c r="I42" s="166">
        <f>AVERAGE(P42,U42,Z42,AE42,AJ42,AO42,AT42)</f>
        <v>3</v>
      </c>
      <c r="J42" s="166">
        <f>AVERAGE(Q42,V42,AA42,AF42,AK42,AP42,AU42)</f>
        <v>3230.298971611182</v>
      </c>
      <c r="K42" s="180">
        <f>AVERAGE(R42,W42,AB42,AG42,AL42,AQ42,AV42)</f>
        <v>1076.7663238703942</v>
      </c>
      <c r="L42" s="472">
        <f>IFERROR(AVERAGE(K42:K71),"-")</f>
        <v>803.74372119148438</v>
      </c>
      <c r="M42" s="166">
        <f>RANK(K42, K$42:$K$71)</f>
        <v>1</v>
      </c>
      <c r="N42" s="470"/>
      <c r="O42" s="470"/>
      <c r="P42" s="349">
        <v>3</v>
      </c>
      <c r="Q42" s="166">
        <v>3215.744680851064</v>
      </c>
      <c r="R42" s="166">
        <v>1071.9148936170213</v>
      </c>
      <c r="S42" s="182">
        <f t="shared" ref="S42:S71" si="10">RANK(R42, R$42:R$71)</f>
        <v>1</v>
      </c>
      <c r="T42" s="472">
        <f>AVERAGE(R42:R71)</f>
        <v>777.90293471819859</v>
      </c>
      <c r="U42" s="349">
        <v>3</v>
      </c>
      <c r="V42" s="166">
        <v>3262.978723404256</v>
      </c>
      <c r="W42" s="166">
        <v>1087.6595744680853</v>
      </c>
      <c r="X42" s="182">
        <f t="shared" ref="X42:X71" si="11">RANK(W42, W$42:W$71)</f>
        <v>1</v>
      </c>
      <c r="Y42" s="472">
        <f t="shared" ref="Y42" si="12">AVERAGE(W42:W71)</f>
        <v>808.5789423848579</v>
      </c>
      <c r="Z42" s="349">
        <v>3</v>
      </c>
      <c r="AA42" s="166">
        <v>3177.2727272727329</v>
      </c>
      <c r="AB42" s="166">
        <v>1059.0909090909111</v>
      </c>
      <c r="AC42" s="182">
        <f t="shared" ref="AC42:AC71" si="13">RANK(AB42, AB$42:AB$71)</f>
        <v>1</v>
      </c>
      <c r="AD42" s="472">
        <f t="shared" ref="AD42" si="14">AVERAGE(AB42:AB71)</f>
        <v>764.15546119002204</v>
      </c>
      <c r="AE42" s="349">
        <v>3</v>
      </c>
      <c r="AF42" s="166">
        <v>3245.9999999999986</v>
      </c>
      <c r="AG42" s="166">
        <v>1081.9999999999995</v>
      </c>
      <c r="AH42" s="182">
        <f t="shared" ref="AH42:AH71" si="15">RANK(AG42, AG$42:AG$71)</f>
        <v>2</v>
      </c>
      <c r="AI42" s="472">
        <f t="shared" ref="AI42" si="16">AVERAGE(AG42:AG71)</f>
        <v>805.3820411128828</v>
      </c>
      <c r="AJ42" s="349">
        <v>3</v>
      </c>
      <c r="AK42" s="166">
        <v>3214.4999999999991</v>
      </c>
      <c r="AL42" s="166">
        <v>1071.4999999999998</v>
      </c>
      <c r="AM42" s="182">
        <f t="shared" ref="AM42:AM71" si="17">RANK(AL42, AL$42:AL$71)</f>
        <v>1</v>
      </c>
      <c r="AN42" s="472">
        <f t="shared" ref="AN42" si="18">AVERAGE(AL42:AL71)</f>
        <v>798.84022781752685</v>
      </c>
      <c r="AO42" s="349">
        <v>3</v>
      </c>
      <c r="AP42" s="166">
        <v>3253.043478260864</v>
      </c>
      <c r="AQ42" s="166">
        <v>1084.3478260869547</v>
      </c>
      <c r="AR42" s="182">
        <f t="shared" ref="AR42:AR71" si="19">RANK(AQ42, AQ$42:AQ$71)</f>
        <v>2</v>
      </c>
      <c r="AS42" s="472">
        <f t="shared" ref="AS42" si="20">AVERAGE(AQ42:AQ71)</f>
        <v>812.17432061097782</v>
      </c>
      <c r="AT42" s="349">
        <v>3</v>
      </c>
      <c r="AU42" s="166">
        <v>3242.5531914893622</v>
      </c>
      <c r="AV42" s="166">
        <v>1080.8510638297873</v>
      </c>
      <c r="AW42" s="182">
        <f t="shared" ref="AW42:AW71" si="21">RANK(AV42, AV$42:AV$71)</f>
        <v>1</v>
      </c>
      <c r="AX42" s="472">
        <f t="shared" ref="AX42" si="22">AVERAGE(AV42:AV71)</f>
        <v>798.1907082581572</v>
      </c>
    </row>
    <row r="43" spans="2:54">
      <c r="B43" s="493"/>
      <c r="C43" s="182">
        <v>2</v>
      </c>
      <c r="D43" s="182" t="s">
        <v>224</v>
      </c>
      <c r="E43" s="182">
        <v>3</v>
      </c>
      <c r="F43" s="166">
        <v>2700</v>
      </c>
      <c r="G43" s="166">
        <v>900</v>
      </c>
      <c r="H43" s="473"/>
      <c r="I43" s="166">
        <f t="shared" ref="I43:I60" si="23">AVERAGE(P43,U43,Z43,AE43,AJ43,AO43,AT43)</f>
        <v>3</v>
      </c>
      <c r="J43" s="166">
        <f t="shared" ref="J43:J60" si="24">AVERAGE(Q43,V43,AA43,AF43,AK43,AP43,AU43)</f>
        <v>2835.5999614420684</v>
      </c>
      <c r="K43" s="180">
        <f t="shared" ref="K43:K60" si="25">AVERAGE(R43,W43,AB43,AG43,AL43,AQ43,AV43)</f>
        <v>945.1999871473563</v>
      </c>
      <c r="L43" s="473"/>
      <c r="M43" s="166">
        <f>RANK(K43, K$42:$K$71)</f>
        <v>6</v>
      </c>
      <c r="N43" s="470"/>
      <c r="O43" s="470"/>
      <c r="P43" s="166">
        <v>3</v>
      </c>
      <c r="Q43" s="166">
        <v>2848.4210526315769</v>
      </c>
      <c r="R43" s="166">
        <v>949.47368421052568</v>
      </c>
      <c r="S43" s="182">
        <f t="shared" si="10"/>
        <v>3</v>
      </c>
      <c r="T43" s="473"/>
      <c r="U43" s="166">
        <v>3</v>
      </c>
      <c r="V43" s="166">
        <v>2902.1052631578991</v>
      </c>
      <c r="W43" s="166">
        <v>967.36842105263304</v>
      </c>
      <c r="X43" s="182">
        <f t="shared" si="11"/>
        <v>3</v>
      </c>
      <c r="Y43" s="473"/>
      <c r="Z43" s="166">
        <v>3</v>
      </c>
      <c r="AA43" s="166">
        <v>2666.9999999999991</v>
      </c>
      <c r="AB43" s="166">
        <v>888.99999999999966</v>
      </c>
      <c r="AC43" s="182">
        <f t="shared" si="13"/>
        <v>7</v>
      </c>
      <c r="AD43" s="473"/>
      <c r="AE43" s="166">
        <v>3</v>
      </c>
      <c r="AF43" s="166">
        <v>2880.0000000000027</v>
      </c>
      <c r="AG43" s="166">
        <v>960.00000000000091</v>
      </c>
      <c r="AH43" s="182">
        <f t="shared" si="15"/>
        <v>6</v>
      </c>
      <c r="AI43" s="473"/>
      <c r="AJ43" s="166">
        <v>3</v>
      </c>
      <c r="AK43" s="166">
        <v>2963.0769230769247</v>
      </c>
      <c r="AL43" s="166">
        <v>987.69230769230819</v>
      </c>
      <c r="AM43" s="182">
        <f t="shared" si="17"/>
        <v>5</v>
      </c>
      <c r="AN43" s="473"/>
      <c r="AO43" s="166">
        <v>3</v>
      </c>
      <c r="AP43" s="166">
        <v>2923.3333333333376</v>
      </c>
      <c r="AQ43" s="166">
        <v>974.44444444444582</v>
      </c>
      <c r="AR43" s="182">
        <f t="shared" si="19"/>
        <v>5</v>
      </c>
      <c r="AS43" s="473"/>
      <c r="AT43" s="166">
        <v>3</v>
      </c>
      <c r="AU43" s="166">
        <v>2665.2631578947412</v>
      </c>
      <c r="AV43" s="166">
        <v>888.42105263158044</v>
      </c>
      <c r="AW43" s="182">
        <f t="shared" si="21"/>
        <v>8</v>
      </c>
      <c r="AX43" s="473"/>
    </row>
    <row r="44" spans="2:54">
      <c r="B44" s="493"/>
      <c r="C44" s="182">
        <v>3</v>
      </c>
      <c r="D44" s="182" t="s">
        <v>225</v>
      </c>
      <c r="E44" s="182">
        <v>4</v>
      </c>
      <c r="F44" s="166">
        <v>3600</v>
      </c>
      <c r="G44" s="166">
        <v>900</v>
      </c>
      <c r="H44" s="473"/>
      <c r="I44" s="166">
        <f t="shared" si="23"/>
        <v>4</v>
      </c>
      <c r="J44" s="166">
        <f t="shared" si="24"/>
        <v>3261.0217560708488</v>
      </c>
      <c r="K44" s="180">
        <f t="shared" si="25"/>
        <v>815.25543901771221</v>
      </c>
      <c r="L44" s="473"/>
      <c r="M44" s="166">
        <f>RANK(K44, K$42:$K$71)</f>
        <v>10</v>
      </c>
      <c r="N44" s="470"/>
      <c r="O44" s="470"/>
      <c r="P44" s="166">
        <v>4</v>
      </c>
      <c r="Q44" s="166">
        <v>3074.2857142857197</v>
      </c>
      <c r="R44" s="166">
        <v>768.57142857142992</v>
      </c>
      <c r="S44" s="182">
        <f t="shared" si="10"/>
        <v>12</v>
      </c>
      <c r="T44" s="473"/>
      <c r="U44" s="166">
        <v>4</v>
      </c>
      <c r="V44" s="166">
        <v>3210.000000000005</v>
      </c>
      <c r="W44" s="166">
        <v>802.50000000000125</v>
      </c>
      <c r="X44" s="182">
        <f t="shared" si="11"/>
        <v>13</v>
      </c>
      <c r="Y44" s="473"/>
      <c r="Z44" s="166">
        <v>4</v>
      </c>
      <c r="AA44" s="166">
        <v>3183.1578947368471</v>
      </c>
      <c r="AB44" s="166">
        <v>795.78947368421177</v>
      </c>
      <c r="AC44" s="182">
        <f t="shared" si="13"/>
        <v>10</v>
      </c>
      <c r="AD44" s="473"/>
      <c r="AE44" s="166">
        <v>4</v>
      </c>
      <c r="AF44" s="166">
        <v>3327.9999999999941</v>
      </c>
      <c r="AG44" s="166">
        <v>831.99999999999852</v>
      </c>
      <c r="AH44" s="182">
        <f t="shared" si="15"/>
        <v>11</v>
      </c>
      <c r="AI44" s="473"/>
      <c r="AJ44" s="166">
        <v>4</v>
      </c>
      <c r="AK44" s="166">
        <v>3368.5714285714216</v>
      </c>
      <c r="AL44" s="166">
        <v>842.14285714285541</v>
      </c>
      <c r="AM44" s="182">
        <f t="shared" si="17"/>
        <v>10</v>
      </c>
      <c r="AN44" s="473"/>
      <c r="AO44" s="166">
        <v>4</v>
      </c>
      <c r="AP44" s="166">
        <v>3306.6666666666711</v>
      </c>
      <c r="AQ44" s="166">
        <v>826.66666666666777</v>
      </c>
      <c r="AR44" s="182">
        <f t="shared" si="19"/>
        <v>13</v>
      </c>
      <c r="AS44" s="473"/>
      <c r="AT44" s="166">
        <v>4</v>
      </c>
      <c r="AU44" s="166">
        <v>3356.4705882352819</v>
      </c>
      <c r="AV44" s="166">
        <v>839.11764705882047</v>
      </c>
      <c r="AW44" s="182">
        <f t="shared" si="21"/>
        <v>11</v>
      </c>
      <c r="AX44" s="473"/>
    </row>
    <row r="45" spans="2:54">
      <c r="B45" s="493"/>
      <c r="C45" s="182">
        <v>4</v>
      </c>
      <c r="D45" s="182" t="s">
        <v>226</v>
      </c>
      <c r="E45" s="182">
        <v>3</v>
      </c>
      <c r="F45" s="166">
        <v>3600</v>
      </c>
      <c r="G45" s="166">
        <v>1200</v>
      </c>
      <c r="H45" s="473"/>
      <c r="I45" s="166">
        <f t="shared" si="23"/>
        <v>3</v>
      </c>
      <c r="J45" s="166">
        <f t="shared" si="24"/>
        <v>3222.5962732919261</v>
      </c>
      <c r="K45" s="180">
        <f t="shared" si="25"/>
        <v>1074.1987577639752</v>
      </c>
      <c r="L45" s="473"/>
      <c r="M45" s="166">
        <f>RANK(K45, K$42:$K$71)</f>
        <v>2</v>
      </c>
      <c r="N45" s="470"/>
      <c r="O45" s="470"/>
      <c r="P45" s="166">
        <v>3</v>
      </c>
      <c r="Q45" s="166">
        <v>3172.1739130434785</v>
      </c>
      <c r="R45" s="166">
        <v>1057.3913043478262</v>
      </c>
      <c r="S45" s="182">
        <f t="shared" si="10"/>
        <v>2</v>
      </c>
      <c r="T45" s="473"/>
      <c r="U45" s="166">
        <v>3</v>
      </c>
      <c r="V45" s="166">
        <v>3212.727272727273</v>
      </c>
      <c r="W45" s="166">
        <v>1070.909090909091</v>
      </c>
      <c r="X45" s="182">
        <f t="shared" si="11"/>
        <v>2</v>
      </c>
      <c r="Y45" s="473"/>
      <c r="Z45" s="166">
        <v>3</v>
      </c>
      <c r="AA45" s="166">
        <v>3165.714285714289</v>
      </c>
      <c r="AB45" s="166">
        <v>1055.2380952380963</v>
      </c>
      <c r="AC45" s="182">
        <f t="shared" si="13"/>
        <v>2</v>
      </c>
      <c r="AD45" s="473"/>
      <c r="AE45" s="166">
        <v>3</v>
      </c>
      <c r="AF45" s="166">
        <v>3281.4545454545473</v>
      </c>
      <c r="AG45" s="166">
        <v>1093.8181818181824</v>
      </c>
      <c r="AH45" s="182">
        <f t="shared" si="15"/>
        <v>1</v>
      </c>
      <c r="AI45" s="473"/>
      <c r="AJ45" s="166">
        <v>3</v>
      </c>
      <c r="AK45" s="166">
        <v>3214.2857142857119</v>
      </c>
      <c r="AL45" s="166">
        <v>1071.4285714285706</v>
      </c>
      <c r="AM45" s="182">
        <f t="shared" si="17"/>
        <v>2</v>
      </c>
      <c r="AN45" s="473"/>
      <c r="AO45" s="166">
        <v>3</v>
      </c>
      <c r="AP45" s="166">
        <v>3271.818181818182</v>
      </c>
      <c r="AQ45" s="166">
        <v>1090.6060606060607</v>
      </c>
      <c r="AR45" s="182">
        <f t="shared" si="19"/>
        <v>1</v>
      </c>
      <c r="AS45" s="473"/>
      <c r="AT45" s="166">
        <v>3</v>
      </c>
      <c r="AU45" s="166">
        <v>3239.9999999999991</v>
      </c>
      <c r="AV45" s="166">
        <v>1079.9999999999998</v>
      </c>
      <c r="AW45" s="182">
        <f t="shared" si="21"/>
        <v>2</v>
      </c>
      <c r="AX45" s="473"/>
    </row>
    <row r="46" spans="2:54">
      <c r="B46" s="493"/>
      <c r="C46" s="182">
        <v>5</v>
      </c>
      <c r="D46" s="182" t="s">
        <v>227</v>
      </c>
      <c r="E46" s="182">
        <v>3</v>
      </c>
      <c r="F46" s="166">
        <v>3600</v>
      </c>
      <c r="G46" s="166">
        <v>1200</v>
      </c>
      <c r="H46" s="473"/>
      <c r="I46" s="166">
        <f t="shared" si="23"/>
        <v>4</v>
      </c>
      <c r="J46" s="166">
        <f t="shared" si="24"/>
        <v>3251.2974941100888</v>
      </c>
      <c r="K46" s="180">
        <f t="shared" si="25"/>
        <v>812.8243735275222</v>
      </c>
      <c r="L46" s="473"/>
      <c r="M46" s="166">
        <f>RANK(K46, K$42:$K$71)</f>
        <v>11</v>
      </c>
      <c r="N46" s="470"/>
      <c r="O46" s="470"/>
      <c r="P46" s="166">
        <v>4</v>
      </c>
      <c r="Q46" s="166">
        <v>3142.5000000000036</v>
      </c>
      <c r="R46" s="166">
        <v>785.62500000000091</v>
      </c>
      <c r="S46" s="182">
        <f t="shared" si="10"/>
        <v>10</v>
      </c>
      <c r="T46" s="473"/>
      <c r="U46" s="166">
        <v>4</v>
      </c>
      <c r="V46" s="166">
        <v>3308.0000000000027</v>
      </c>
      <c r="W46" s="166">
        <v>827.00000000000068</v>
      </c>
      <c r="X46" s="182">
        <f t="shared" si="11"/>
        <v>12</v>
      </c>
      <c r="Y46" s="473"/>
      <c r="Z46" s="166">
        <v>4</v>
      </c>
      <c r="AA46" s="166">
        <v>3105.9999999999945</v>
      </c>
      <c r="AB46" s="166">
        <v>776.49999999999864</v>
      </c>
      <c r="AC46" s="182">
        <f t="shared" si="13"/>
        <v>11</v>
      </c>
      <c r="AD46" s="473"/>
      <c r="AE46" s="166">
        <v>4</v>
      </c>
      <c r="AF46" s="166">
        <v>3327.5000000000064</v>
      </c>
      <c r="AG46" s="166">
        <v>831.87500000000159</v>
      </c>
      <c r="AH46" s="182">
        <f t="shared" si="15"/>
        <v>12</v>
      </c>
      <c r="AI46" s="473"/>
      <c r="AJ46" s="166">
        <v>4</v>
      </c>
      <c r="AK46" s="166">
        <v>3289.5652173912986</v>
      </c>
      <c r="AL46" s="166">
        <v>822.39130434782464</v>
      </c>
      <c r="AM46" s="182">
        <f t="shared" si="17"/>
        <v>11</v>
      </c>
      <c r="AN46" s="473"/>
      <c r="AO46" s="166">
        <v>4</v>
      </c>
      <c r="AP46" s="166">
        <v>3351.7241379310367</v>
      </c>
      <c r="AQ46" s="166">
        <v>837.93103448275917</v>
      </c>
      <c r="AR46" s="182">
        <f t="shared" si="19"/>
        <v>10</v>
      </c>
      <c r="AS46" s="473"/>
      <c r="AT46" s="166">
        <v>4</v>
      </c>
      <c r="AU46" s="166">
        <v>3233.7931034482781</v>
      </c>
      <c r="AV46" s="166">
        <v>808.44827586206952</v>
      </c>
      <c r="AW46" s="182">
        <f t="shared" si="21"/>
        <v>12</v>
      </c>
      <c r="AX46" s="473"/>
    </row>
    <row r="47" spans="2:54">
      <c r="B47" s="493"/>
      <c r="C47" s="182">
        <v>6</v>
      </c>
      <c r="D47" s="182" t="s">
        <v>228</v>
      </c>
      <c r="E47" s="182">
        <v>4</v>
      </c>
      <c r="F47" s="166">
        <v>3600</v>
      </c>
      <c r="G47" s="166">
        <v>900</v>
      </c>
      <c r="H47" s="473"/>
      <c r="I47" s="166">
        <f t="shared" si="23"/>
        <v>4</v>
      </c>
      <c r="J47" s="166">
        <f t="shared" si="24"/>
        <v>3324.4642857142899</v>
      </c>
      <c r="K47" s="180">
        <f t="shared" si="25"/>
        <v>831.11607142857247</v>
      </c>
      <c r="L47" s="473"/>
      <c r="M47" s="166">
        <f>RANK(K47, K$42:$K$71)</f>
        <v>9</v>
      </c>
      <c r="N47" s="470"/>
      <c r="O47" s="470"/>
      <c r="P47" s="166">
        <v>4</v>
      </c>
      <c r="Q47" s="166">
        <v>3221.2500000000036</v>
      </c>
      <c r="R47" s="166">
        <v>805.31250000000091</v>
      </c>
      <c r="S47" s="182">
        <f t="shared" si="10"/>
        <v>9</v>
      </c>
      <c r="T47" s="473"/>
      <c r="U47" s="166">
        <v>4</v>
      </c>
      <c r="V47" s="166">
        <v>3380.0000000000032</v>
      </c>
      <c r="W47" s="166">
        <v>845.0000000000008</v>
      </c>
      <c r="X47" s="182">
        <f t="shared" si="11"/>
        <v>11</v>
      </c>
      <c r="Y47" s="473"/>
      <c r="Z47" s="166">
        <v>4</v>
      </c>
      <c r="AA47" s="166">
        <v>3200.0000000000032</v>
      </c>
      <c r="AB47" s="166">
        <v>800.0000000000008</v>
      </c>
      <c r="AC47" s="182">
        <f t="shared" si="13"/>
        <v>9</v>
      </c>
      <c r="AD47" s="473"/>
      <c r="AE47" s="166">
        <v>4</v>
      </c>
      <c r="AF47" s="166">
        <v>3436.3636363636488</v>
      </c>
      <c r="AG47" s="166">
        <v>859.09090909091219</v>
      </c>
      <c r="AH47" s="182">
        <f t="shared" si="15"/>
        <v>10</v>
      </c>
      <c r="AI47" s="473"/>
      <c r="AJ47" s="166">
        <v>4</v>
      </c>
      <c r="AK47" s="166">
        <v>3283.6363636363635</v>
      </c>
      <c r="AL47" s="166">
        <v>820.90909090909088</v>
      </c>
      <c r="AM47" s="182">
        <f t="shared" si="17"/>
        <v>12</v>
      </c>
      <c r="AN47" s="473"/>
      <c r="AO47" s="166">
        <v>4</v>
      </c>
      <c r="AP47" s="166">
        <v>3330.0000000000027</v>
      </c>
      <c r="AQ47" s="166">
        <v>832.50000000000068</v>
      </c>
      <c r="AR47" s="182">
        <f t="shared" si="19"/>
        <v>11</v>
      </c>
      <c r="AS47" s="473"/>
      <c r="AT47" s="166">
        <v>4</v>
      </c>
      <c r="AU47" s="166">
        <v>3420.0000000000018</v>
      </c>
      <c r="AV47" s="166">
        <v>855.00000000000045</v>
      </c>
      <c r="AW47" s="182">
        <f t="shared" si="21"/>
        <v>10</v>
      </c>
      <c r="AX47" s="473"/>
    </row>
    <row r="48" spans="2:54">
      <c r="B48" s="493"/>
      <c r="C48" s="182">
        <v>7</v>
      </c>
      <c r="D48" s="182" t="s">
        <v>229</v>
      </c>
      <c r="E48" s="182">
        <v>4</v>
      </c>
      <c r="F48" s="166">
        <v>3600</v>
      </c>
      <c r="G48" s="166">
        <v>900</v>
      </c>
      <c r="H48" s="473"/>
      <c r="I48" s="166">
        <f t="shared" si="23"/>
        <v>4</v>
      </c>
      <c r="J48" s="166">
        <f t="shared" si="24"/>
        <v>3427.7414965986309</v>
      </c>
      <c r="K48" s="180">
        <f t="shared" si="25"/>
        <v>856.93537414965772</v>
      </c>
      <c r="L48" s="473"/>
      <c r="M48" s="166">
        <f>RANK(K48, K$42:$K$71)</f>
        <v>8</v>
      </c>
      <c r="N48" s="470"/>
      <c r="O48" s="470"/>
      <c r="P48" s="166">
        <v>4</v>
      </c>
      <c r="Q48" s="166">
        <v>3120.0000000000109</v>
      </c>
      <c r="R48" s="166">
        <v>780.00000000000273</v>
      </c>
      <c r="S48" s="182">
        <f t="shared" si="10"/>
        <v>11</v>
      </c>
      <c r="T48" s="473"/>
      <c r="U48" s="166">
        <v>4</v>
      </c>
      <c r="V48" s="166">
        <v>3689.9999999999764</v>
      </c>
      <c r="W48" s="166">
        <v>922.49999999999409</v>
      </c>
      <c r="X48" s="182">
        <f t="shared" si="11"/>
        <v>9</v>
      </c>
      <c r="Y48" s="473"/>
      <c r="Z48" s="166">
        <v>4</v>
      </c>
      <c r="AA48" s="166">
        <v>2873.333333333318</v>
      </c>
      <c r="AB48" s="166">
        <v>718.33333333332951</v>
      </c>
      <c r="AC48" s="182">
        <f t="shared" si="13"/>
        <v>13</v>
      </c>
      <c r="AD48" s="473"/>
      <c r="AE48" s="166">
        <v>4</v>
      </c>
      <c r="AF48" s="166">
        <v>3708.0000000000132</v>
      </c>
      <c r="AG48" s="166">
        <v>927.0000000000033</v>
      </c>
      <c r="AH48" s="182">
        <f t="shared" si="15"/>
        <v>9</v>
      </c>
      <c r="AI48" s="473"/>
      <c r="AJ48" s="166">
        <v>4</v>
      </c>
      <c r="AK48" s="166">
        <v>3540.0000000000127</v>
      </c>
      <c r="AL48" s="166">
        <v>885.00000000000318</v>
      </c>
      <c r="AM48" s="182">
        <f t="shared" si="17"/>
        <v>9</v>
      </c>
      <c r="AN48" s="473"/>
      <c r="AO48" s="166">
        <v>4</v>
      </c>
      <c r="AP48" s="166">
        <v>3634.2857142856856</v>
      </c>
      <c r="AQ48" s="166">
        <v>908.57142857142139</v>
      </c>
      <c r="AR48" s="182">
        <f t="shared" si="19"/>
        <v>9</v>
      </c>
      <c r="AS48" s="473"/>
      <c r="AT48" s="166">
        <v>4</v>
      </c>
      <c r="AU48" s="166">
        <v>3428.5714285714016</v>
      </c>
      <c r="AV48" s="166">
        <v>857.1428571428504</v>
      </c>
      <c r="AW48" s="182">
        <f t="shared" si="21"/>
        <v>9</v>
      </c>
      <c r="AX48" s="473"/>
    </row>
    <row r="49" spans="2:50">
      <c r="B49" s="493"/>
      <c r="C49" s="182">
        <v>8</v>
      </c>
      <c r="D49" s="182" t="s">
        <v>230</v>
      </c>
      <c r="E49" s="182">
        <v>4</v>
      </c>
      <c r="F49" s="166">
        <v>3300</v>
      </c>
      <c r="G49" s="166">
        <v>825</v>
      </c>
      <c r="H49" s="473"/>
      <c r="I49" s="166">
        <f t="shared" si="23"/>
        <v>4</v>
      </c>
      <c r="J49" s="166">
        <f t="shared" si="24"/>
        <v>2927.2166405023577</v>
      </c>
      <c r="K49" s="180">
        <f t="shared" si="25"/>
        <v>731.80416012558942</v>
      </c>
      <c r="L49" s="473"/>
      <c r="M49" s="166">
        <f>RANK(K49, K$42:$K$71)</f>
        <v>12</v>
      </c>
      <c r="N49" s="470"/>
      <c r="O49" s="470"/>
      <c r="P49" s="166">
        <v>4</v>
      </c>
      <c r="Q49" s="166">
        <v>3009.2307692307709</v>
      </c>
      <c r="R49" s="166">
        <v>752.30769230769272</v>
      </c>
      <c r="S49" s="182">
        <f t="shared" si="10"/>
        <v>13</v>
      </c>
      <c r="T49" s="473"/>
      <c r="U49" s="166">
        <v>4</v>
      </c>
      <c r="V49" s="166">
        <v>2875.7142857142881</v>
      </c>
      <c r="W49" s="166">
        <v>718.92857142857201</v>
      </c>
      <c r="X49" s="182">
        <f t="shared" si="11"/>
        <v>15</v>
      </c>
      <c r="Y49" s="473"/>
      <c r="Z49" s="166">
        <v>4</v>
      </c>
      <c r="AA49" s="166">
        <v>2708.5714285714303</v>
      </c>
      <c r="AB49" s="166">
        <v>677.14285714285757</v>
      </c>
      <c r="AC49" s="182">
        <f t="shared" si="13"/>
        <v>18</v>
      </c>
      <c r="AD49" s="473"/>
      <c r="AE49" s="166">
        <v>4</v>
      </c>
      <c r="AF49" s="166">
        <v>3084.0000000000109</v>
      </c>
      <c r="AG49" s="166">
        <v>771.00000000000273</v>
      </c>
      <c r="AH49" s="182">
        <f t="shared" si="15"/>
        <v>13</v>
      </c>
      <c r="AI49" s="473"/>
      <c r="AJ49" s="166">
        <v>4</v>
      </c>
      <c r="AK49" s="166">
        <v>2807.9999999999991</v>
      </c>
      <c r="AL49" s="166">
        <v>701.99999999999977</v>
      </c>
      <c r="AM49" s="182">
        <f t="shared" si="17"/>
        <v>17</v>
      </c>
      <c r="AN49" s="473"/>
      <c r="AO49" s="166">
        <v>4</v>
      </c>
      <c r="AP49" s="166">
        <v>3000.0000000000018</v>
      </c>
      <c r="AQ49" s="166">
        <v>750.00000000000045</v>
      </c>
      <c r="AR49" s="182">
        <f t="shared" si="19"/>
        <v>14</v>
      </c>
      <c r="AS49" s="473"/>
      <c r="AT49" s="166">
        <v>4</v>
      </c>
      <c r="AU49" s="166">
        <v>3005.0000000000009</v>
      </c>
      <c r="AV49" s="166">
        <v>751.25000000000023</v>
      </c>
      <c r="AW49" s="182">
        <f t="shared" si="21"/>
        <v>14</v>
      </c>
      <c r="AX49" s="473"/>
    </row>
    <row r="50" spans="2:50">
      <c r="B50" s="493"/>
      <c r="C50" s="182">
        <v>9</v>
      </c>
      <c r="D50" s="182" t="s">
        <v>231</v>
      </c>
      <c r="E50" s="182">
        <v>3</v>
      </c>
      <c r="F50" s="166">
        <v>3300</v>
      </c>
      <c r="G50" s="166">
        <v>1100</v>
      </c>
      <c r="H50" s="473"/>
      <c r="I50" s="166">
        <f t="shared" si="23"/>
        <v>3</v>
      </c>
      <c r="J50" s="166">
        <f t="shared" si="24"/>
        <v>2864.4767035836926</v>
      </c>
      <c r="K50" s="180">
        <f t="shared" si="25"/>
        <v>954.82556786123098</v>
      </c>
      <c r="L50" s="473"/>
      <c r="M50" s="166">
        <f>RANK(K50, K$42:$K$71)</f>
        <v>4</v>
      </c>
      <c r="N50" s="470"/>
      <c r="O50" s="470"/>
      <c r="P50" s="166">
        <v>3</v>
      </c>
      <c r="Q50" s="166">
        <v>2821.9354838709701</v>
      </c>
      <c r="R50" s="166">
        <v>940.64516129032336</v>
      </c>
      <c r="S50" s="182">
        <f t="shared" si="10"/>
        <v>5</v>
      </c>
      <c r="T50" s="473"/>
      <c r="U50" s="166">
        <v>3</v>
      </c>
      <c r="V50" s="166">
        <v>2810.3225806451601</v>
      </c>
      <c r="W50" s="166">
        <v>936.77419354838673</v>
      </c>
      <c r="X50" s="182">
        <f t="shared" si="11"/>
        <v>7</v>
      </c>
      <c r="Y50" s="473"/>
      <c r="Z50" s="166">
        <v>3</v>
      </c>
      <c r="AA50" s="166">
        <v>2780.0000000000027</v>
      </c>
      <c r="AB50" s="166">
        <v>926.66666666666754</v>
      </c>
      <c r="AC50" s="182">
        <f t="shared" si="13"/>
        <v>4</v>
      </c>
      <c r="AD50" s="473"/>
      <c r="AE50" s="166">
        <v>3</v>
      </c>
      <c r="AF50" s="166">
        <v>2896.8000000000056</v>
      </c>
      <c r="AG50" s="166">
        <v>965.60000000000184</v>
      </c>
      <c r="AH50" s="182">
        <f t="shared" si="15"/>
        <v>4</v>
      </c>
      <c r="AI50" s="473"/>
      <c r="AJ50" s="166">
        <v>3</v>
      </c>
      <c r="AK50" s="166">
        <v>3044.3478260869565</v>
      </c>
      <c r="AL50" s="166">
        <v>1014.7826086956521</v>
      </c>
      <c r="AM50" s="182">
        <f t="shared" si="17"/>
        <v>4</v>
      </c>
      <c r="AN50" s="473"/>
      <c r="AO50" s="166">
        <v>3</v>
      </c>
      <c r="AP50" s="166">
        <v>2869.6551724137912</v>
      </c>
      <c r="AQ50" s="166">
        <v>956.55172413793036</v>
      </c>
      <c r="AR50" s="182">
        <f t="shared" si="19"/>
        <v>6</v>
      </c>
      <c r="AS50" s="473"/>
      <c r="AT50" s="166">
        <v>3</v>
      </c>
      <c r="AU50" s="166">
        <v>2828.2758620689638</v>
      </c>
      <c r="AV50" s="166">
        <v>942.75862068965455</v>
      </c>
      <c r="AW50" s="182">
        <f t="shared" si="21"/>
        <v>6</v>
      </c>
      <c r="AX50" s="473"/>
    </row>
    <row r="51" spans="2:50">
      <c r="B51" s="493"/>
      <c r="C51" s="182">
        <v>10</v>
      </c>
      <c r="D51" s="182" t="s">
        <v>232</v>
      </c>
      <c r="E51" s="182">
        <v>3</v>
      </c>
      <c r="F51" s="166">
        <v>3300</v>
      </c>
      <c r="G51" s="166">
        <v>1100</v>
      </c>
      <c r="H51" s="473"/>
      <c r="I51" s="166">
        <f t="shared" si="23"/>
        <v>3</v>
      </c>
      <c r="J51" s="166">
        <f t="shared" si="24"/>
        <v>2854.7592127760181</v>
      </c>
      <c r="K51" s="180">
        <f t="shared" si="25"/>
        <v>951.58640425867281</v>
      </c>
      <c r="L51" s="473"/>
      <c r="M51" s="166">
        <f>RANK(K51, K$42:$K$71)</f>
        <v>5</v>
      </c>
      <c r="N51" s="470"/>
      <c r="O51" s="470"/>
      <c r="P51" s="166">
        <v>3</v>
      </c>
      <c r="Q51" s="166">
        <v>2808.0000000000009</v>
      </c>
      <c r="R51" s="166">
        <v>936.00000000000034</v>
      </c>
      <c r="S51" s="182">
        <f t="shared" si="10"/>
        <v>7</v>
      </c>
      <c r="T51" s="473"/>
      <c r="U51" s="166">
        <v>3</v>
      </c>
      <c r="V51" s="166">
        <v>2887.0588235294117</v>
      </c>
      <c r="W51" s="166">
        <v>962.35294117647061</v>
      </c>
      <c r="X51" s="182">
        <f t="shared" si="11"/>
        <v>4</v>
      </c>
      <c r="Y51" s="473"/>
      <c r="Z51" s="166">
        <v>3</v>
      </c>
      <c r="AA51" s="166">
        <v>2749.411764705882</v>
      </c>
      <c r="AB51" s="166">
        <v>916.47058823529403</v>
      </c>
      <c r="AC51" s="182">
        <f t="shared" si="13"/>
        <v>6</v>
      </c>
      <c r="AD51" s="473"/>
      <c r="AE51" s="166">
        <v>3</v>
      </c>
      <c r="AF51" s="166">
        <v>2961.4285714285693</v>
      </c>
      <c r="AG51" s="166">
        <v>987.14285714285643</v>
      </c>
      <c r="AH51" s="182">
        <f t="shared" si="15"/>
        <v>3</v>
      </c>
      <c r="AI51" s="473"/>
      <c r="AJ51" s="166">
        <v>3</v>
      </c>
      <c r="AK51" s="166">
        <v>2926.6666666666683</v>
      </c>
      <c r="AL51" s="166">
        <v>975.55555555555611</v>
      </c>
      <c r="AM51" s="182">
        <f t="shared" si="17"/>
        <v>6</v>
      </c>
      <c r="AN51" s="473"/>
      <c r="AO51" s="166">
        <v>3</v>
      </c>
      <c r="AP51" s="166">
        <v>2825.2941176470586</v>
      </c>
      <c r="AQ51" s="166">
        <v>941.76470588235281</v>
      </c>
      <c r="AR51" s="182">
        <f t="shared" si="19"/>
        <v>8</v>
      </c>
      <c r="AS51" s="473"/>
      <c r="AT51" s="166">
        <v>3</v>
      </c>
      <c r="AU51" s="166">
        <v>2825.4545454545382</v>
      </c>
      <c r="AV51" s="166">
        <v>941.81818181817937</v>
      </c>
      <c r="AW51" s="182">
        <f t="shared" si="21"/>
        <v>7</v>
      </c>
      <c r="AX51" s="473"/>
    </row>
    <row r="52" spans="2:50">
      <c r="B52" s="493"/>
      <c r="C52" s="182">
        <v>11</v>
      </c>
      <c r="D52" s="182" t="s">
        <v>233</v>
      </c>
      <c r="E52" s="182">
        <v>4</v>
      </c>
      <c r="F52" s="166">
        <v>3300</v>
      </c>
      <c r="G52" s="166">
        <v>825</v>
      </c>
      <c r="H52" s="473"/>
      <c r="I52" s="166">
        <f t="shared" si="23"/>
        <v>4</v>
      </c>
      <c r="J52" s="166">
        <f t="shared" si="24"/>
        <v>2832.047316069285</v>
      </c>
      <c r="K52" s="180">
        <f t="shared" si="25"/>
        <v>708.01182901732125</v>
      </c>
      <c r="L52" s="473"/>
      <c r="M52" s="166">
        <f>RANK(K52, K$42:$K$71)</f>
        <v>17</v>
      </c>
      <c r="N52" s="470"/>
      <c r="O52" s="470"/>
      <c r="P52" s="166">
        <v>4</v>
      </c>
      <c r="Q52" s="166">
        <v>2842.3529411764716</v>
      </c>
      <c r="R52" s="166">
        <v>710.58823529411791</v>
      </c>
      <c r="S52" s="182">
        <f t="shared" si="10"/>
        <v>14</v>
      </c>
      <c r="T52" s="473"/>
      <c r="U52" s="166">
        <v>4</v>
      </c>
      <c r="V52" s="166">
        <v>2805.8823529411779</v>
      </c>
      <c r="W52" s="166">
        <v>701.47058823529449</v>
      </c>
      <c r="X52" s="182">
        <f t="shared" si="11"/>
        <v>18</v>
      </c>
      <c r="Y52" s="473"/>
      <c r="Z52" s="166">
        <v>4</v>
      </c>
      <c r="AA52" s="166">
        <v>2778.3673469387763</v>
      </c>
      <c r="AB52" s="166">
        <v>694.59183673469408</v>
      </c>
      <c r="AC52" s="182">
        <f t="shared" si="13"/>
        <v>15</v>
      </c>
      <c r="AD52" s="473"/>
      <c r="AE52" s="166">
        <v>4</v>
      </c>
      <c r="AF52" s="166">
        <v>2862.8571428571445</v>
      </c>
      <c r="AG52" s="166">
        <v>715.71428571428612</v>
      </c>
      <c r="AH52" s="182">
        <f t="shared" si="15"/>
        <v>19</v>
      </c>
      <c r="AI52" s="473"/>
      <c r="AJ52" s="166">
        <v>4</v>
      </c>
      <c r="AK52" s="166">
        <v>2828.5714285714275</v>
      </c>
      <c r="AL52" s="166">
        <v>707.14285714285688</v>
      </c>
      <c r="AM52" s="182">
        <f t="shared" si="17"/>
        <v>16</v>
      </c>
      <c r="AN52" s="473"/>
      <c r="AO52" s="166">
        <v>4</v>
      </c>
      <c r="AP52" s="166">
        <v>2848.7999999999965</v>
      </c>
      <c r="AQ52" s="166">
        <v>712.19999999999914</v>
      </c>
      <c r="AR52" s="182">
        <f t="shared" si="19"/>
        <v>16</v>
      </c>
      <c r="AS52" s="473"/>
      <c r="AT52" s="166">
        <v>4</v>
      </c>
      <c r="AU52" s="166">
        <v>2857.5000000000009</v>
      </c>
      <c r="AV52" s="166">
        <v>714.37500000000023</v>
      </c>
      <c r="AW52" s="182">
        <f t="shared" si="21"/>
        <v>16</v>
      </c>
      <c r="AX52" s="473"/>
    </row>
    <row r="53" spans="2:50">
      <c r="B53" s="493"/>
      <c r="C53" s="182">
        <v>12</v>
      </c>
      <c r="D53" s="182" t="s">
        <v>234</v>
      </c>
      <c r="E53" s="182">
        <v>4</v>
      </c>
      <c r="F53" s="166">
        <v>3300</v>
      </c>
      <c r="G53" s="166">
        <v>825</v>
      </c>
      <c r="H53" s="473"/>
      <c r="I53" s="166">
        <f t="shared" si="23"/>
        <v>4</v>
      </c>
      <c r="J53" s="166">
        <f t="shared" si="24"/>
        <v>2832.6582404530591</v>
      </c>
      <c r="K53" s="180">
        <f t="shared" si="25"/>
        <v>708.16456011326477</v>
      </c>
      <c r="L53" s="473"/>
      <c r="M53" s="166">
        <f>RANK(K53, K$42:$K$71)</f>
        <v>16</v>
      </c>
      <c r="N53" s="470"/>
      <c r="O53" s="470"/>
      <c r="P53" s="166">
        <v>4</v>
      </c>
      <c r="Q53" s="166">
        <v>2793.1034482758641</v>
      </c>
      <c r="R53" s="166">
        <v>698.27586206896603</v>
      </c>
      <c r="S53" s="182">
        <f t="shared" si="10"/>
        <v>15</v>
      </c>
      <c r="T53" s="473"/>
      <c r="U53" s="166">
        <v>4</v>
      </c>
      <c r="V53" s="166">
        <v>2831.7857142857119</v>
      </c>
      <c r="W53" s="166">
        <v>707.94642857142799</v>
      </c>
      <c r="X53" s="182">
        <f t="shared" si="11"/>
        <v>17</v>
      </c>
      <c r="Y53" s="473"/>
      <c r="Z53" s="166">
        <v>4</v>
      </c>
      <c r="AA53" s="166">
        <v>2760.0000000000014</v>
      </c>
      <c r="AB53" s="166">
        <v>690.00000000000034</v>
      </c>
      <c r="AC53" s="182">
        <f t="shared" si="13"/>
        <v>17</v>
      </c>
      <c r="AD53" s="473"/>
      <c r="AE53" s="166">
        <v>4</v>
      </c>
      <c r="AF53" s="166">
        <v>2916.521739130435</v>
      </c>
      <c r="AG53" s="166">
        <v>729.13043478260875</v>
      </c>
      <c r="AH53" s="182">
        <f t="shared" si="15"/>
        <v>16</v>
      </c>
      <c r="AI53" s="473"/>
      <c r="AJ53" s="166">
        <v>4</v>
      </c>
      <c r="AK53" s="166">
        <v>2866.956521739136</v>
      </c>
      <c r="AL53" s="166">
        <v>716.73913043478399</v>
      </c>
      <c r="AM53" s="182">
        <f t="shared" si="17"/>
        <v>15</v>
      </c>
      <c r="AN53" s="473"/>
      <c r="AO53" s="166">
        <v>4</v>
      </c>
      <c r="AP53" s="166">
        <v>2846.7857142857165</v>
      </c>
      <c r="AQ53" s="166">
        <v>711.69642857142912</v>
      </c>
      <c r="AR53" s="182">
        <f t="shared" si="19"/>
        <v>17</v>
      </c>
      <c r="AS53" s="473"/>
      <c r="AT53" s="166">
        <v>4</v>
      </c>
      <c r="AU53" s="166">
        <v>2813.4545454545473</v>
      </c>
      <c r="AV53" s="166">
        <v>703.36363636363683</v>
      </c>
      <c r="AW53" s="182">
        <f t="shared" si="21"/>
        <v>17</v>
      </c>
      <c r="AX53" s="473"/>
    </row>
    <row r="54" spans="2:50">
      <c r="B54" s="493"/>
      <c r="C54" s="182">
        <v>13</v>
      </c>
      <c r="D54" s="182" t="s">
        <v>235</v>
      </c>
      <c r="E54" s="182">
        <v>4</v>
      </c>
      <c r="F54" s="166">
        <v>2800</v>
      </c>
      <c r="G54" s="166">
        <v>700</v>
      </c>
      <c r="H54" s="473"/>
      <c r="I54" s="166">
        <f t="shared" si="23"/>
        <v>4</v>
      </c>
      <c r="J54" s="166">
        <f t="shared" si="24"/>
        <v>2846.4486491077337</v>
      </c>
      <c r="K54" s="180">
        <f t="shared" si="25"/>
        <v>711.61216227693342</v>
      </c>
      <c r="L54" s="473"/>
      <c r="M54" s="166">
        <f>RANK(K54, K$42:$K$71)</f>
        <v>15</v>
      </c>
      <c r="N54" s="470"/>
      <c r="O54" s="470"/>
      <c r="P54" s="166">
        <v>4</v>
      </c>
      <c r="Q54" s="166">
        <v>2759.99999999999</v>
      </c>
      <c r="R54" s="166">
        <v>689.9999999999975</v>
      </c>
      <c r="S54" s="182">
        <f t="shared" si="10"/>
        <v>17</v>
      </c>
      <c r="T54" s="473"/>
      <c r="U54" s="166">
        <v>4</v>
      </c>
      <c r="V54" s="166">
        <v>2851.7647058823563</v>
      </c>
      <c r="W54" s="166">
        <v>712.94117647058908</v>
      </c>
      <c r="X54" s="182">
        <f t="shared" si="11"/>
        <v>16</v>
      </c>
      <c r="Y54" s="473"/>
      <c r="Z54" s="166">
        <v>4</v>
      </c>
      <c r="AA54" s="166">
        <v>2799.3750000000032</v>
      </c>
      <c r="AB54" s="166">
        <v>699.8437500000008</v>
      </c>
      <c r="AC54" s="182">
        <f t="shared" si="13"/>
        <v>14</v>
      </c>
      <c r="AD54" s="473"/>
      <c r="AE54" s="166">
        <v>4</v>
      </c>
      <c r="AF54" s="166">
        <v>2892.8571428571368</v>
      </c>
      <c r="AG54" s="166">
        <v>723.21428571428419</v>
      </c>
      <c r="AH54" s="182">
        <f t="shared" si="15"/>
        <v>17</v>
      </c>
      <c r="AI54" s="473"/>
      <c r="AJ54" s="166">
        <v>4</v>
      </c>
      <c r="AK54" s="166">
        <v>2909.9999999999923</v>
      </c>
      <c r="AL54" s="166">
        <v>727.49999999999807</v>
      </c>
      <c r="AM54" s="182">
        <f t="shared" si="17"/>
        <v>14</v>
      </c>
      <c r="AN54" s="473"/>
      <c r="AO54" s="166">
        <v>4</v>
      </c>
      <c r="AP54" s="166">
        <v>2827.2727272727238</v>
      </c>
      <c r="AQ54" s="166">
        <v>706.81818181818096</v>
      </c>
      <c r="AR54" s="182">
        <f t="shared" si="19"/>
        <v>18</v>
      </c>
      <c r="AS54" s="473"/>
      <c r="AT54" s="166">
        <v>4</v>
      </c>
      <c r="AU54" s="166">
        <v>2883.8709677419306</v>
      </c>
      <c r="AV54" s="166">
        <v>720.96774193548265</v>
      </c>
      <c r="AW54" s="182">
        <f t="shared" si="21"/>
        <v>15</v>
      </c>
      <c r="AX54" s="473"/>
    </row>
    <row r="55" spans="2:50">
      <c r="B55" s="493"/>
      <c r="C55" s="182">
        <v>14</v>
      </c>
      <c r="D55" s="182" t="s">
        <v>236</v>
      </c>
      <c r="E55" s="182">
        <v>4</v>
      </c>
      <c r="F55" s="166">
        <v>3600</v>
      </c>
      <c r="G55" s="166">
        <v>900</v>
      </c>
      <c r="H55" s="473"/>
      <c r="I55" s="166">
        <f t="shared" si="23"/>
        <v>4</v>
      </c>
      <c r="J55" s="166">
        <f t="shared" si="24"/>
        <v>2874.155844155845</v>
      </c>
      <c r="K55" s="180">
        <f t="shared" si="25"/>
        <v>718.53896103896125</v>
      </c>
      <c r="L55" s="473"/>
      <c r="M55" s="166">
        <f>RANK(K55, K$42:$K$71)</f>
        <v>14</v>
      </c>
      <c r="N55" s="470"/>
      <c r="O55" s="470"/>
      <c r="P55" s="166">
        <v>4</v>
      </c>
      <c r="Q55" s="166">
        <v>2749.090909090919</v>
      </c>
      <c r="R55" s="166">
        <v>687.27272727272975</v>
      </c>
      <c r="S55" s="182">
        <f t="shared" si="10"/>
        <v>18</v>
      </c>
      <c r="T55" s="473"/>
      <c r="U55" s="166">
        <v>4</v>
      </c>
      <c r="V55" s="166">
        <v>2768.9999999999877</v>
      </c>
      <c r="W55" s="166">
        <v>692.24999999999693</v>
      </c>
      <c r="X55" s="182">
        <f t="shared" si="11"/>
        <v>19</v>
      </c>
      <c r="Y55" s="473"/>
      <c r="Z55" s="166">
        <v>4</v>
      </c>
      <c r="AA55" s="166">
        <v>2699.9999999999882</v>
      </c>
      <c r="AB55" s="166">
        <v>674.99999999999704</v>
      </c>
      <c r="AC55" s="182">
        <f t="shared" si="13"/>
        <v>19</v>
      </c>
      <c r="AD55" s="473"/>
      <c r="AE55" s="166">
        <v>4</v>
      </c>
      <c r="AF55" s="166">
        <v>3060.0000000000109</v>
      </c>
      <c r="AG55" s="166">
        <v>765.00000000000273</v>
      </c>
      <c r="AH55" s="182">
        <f t="shared" si="15"/>
        <v>14</v>
      </c>
      <c r="AI55" s="473"/>
      <c r="AJ55" s="166">
        <v>4</v>
      </c>
      <c r="AK55" s="166">
        <v>2360.9999999999895</v>
      </c>
      <c r="AL55" s="166">
        <v>590.24999999999739</v>
      </c>
      <c r="AM55" s="182">
        <f t="shared" si="17"/>
        <v>19</v>
      </c>
      <c r="AN55" s="473"/>
      <c r="AO55" s="166">
        <v>4</v>
      </c>
      <c r="AP55" s="166">
        <v>3308.0000000000118</v>
      </c>
      <c r="AQ55" s="166">
        <v>827.00000000000296</v>
      </c>
      <c r="AR55" s="182">
        <f t="shared" si="19"/>
        <v>12</v>
      </c>
      <c r="AS55" s="473"/>
      <c r="AT55" s="166">
        <v>4</v>
      </c>
      <c r="AU55" s="166">
        <v>3172.0000000000109</v>
      </c>
      <c r="AV55" s="166">
        <v>793.00000000000273</v>
      </c>
      <c r="AW55" s="182">
        <f t="shared" si="21"/>
        <v>13</v>
      </c>
      <c r="AX55" s="473"/>
    </row>
    <row r="56" spans="2:50">
      <c r="B56" s="493"/>
      <c r="C56" s="182">
        <v>15</v>
      </c>
      <c r="D56" s="182" t="s">
        <v>237</v>
      </c>
      <c r="E56" s="182">
        <v>4</v>
      </c>
      <c r="F56" s="166">
        <v>3600</v>
      </c>
      <c r="G56" s="166">
        <v>900</v>
      </c>
      <c r="H56" s="473"/>
      <c r="I56" s="166">
        <f t="shared" si="23"/>
        <v>4</v>
      </c>
      <c r="J56" s="166">
        <f t="shared" si="24"/>
        <v>2368.2857142857079</v>
      </c>
      <c r="K56" s="180">
        <f t="shared" si="25"/>
        <v>592.07142857142696</v>
      </c>
      <c r="L56" s="473"/>
      <c r="M56" s="166">
        <f>RANK(K56, K$42:$K$71)</f>
        <v>18</v>
      </c>
      <c r="N56" s="470"/>
      <c r="O56" s="470"/>
      <c r="P56" s="166">
        <v>4</v>
      </c>
      <c r="Q56" s="166">
        <v>2634.0000000000091</v>
      </c>
      <c r="R56" s="166">
        <v>658.50000000000227</v>
      </c>
      <c r="S56" s="182">
        <f t="shared" si="10"/>
        <v>20</v>
      </c>
      <c r="T56" s="473"/>
      <c r="U56" s="166">
        <v>4</v>
      </c>
      <c r="V56" s="166">
        <v>2730.00000000001</v>
      </c>
      <c r="W56" s="166">
        <v>682.5000000000025</v>
      </c>
      <c r="X56" s="182">
        <f t="shared" si="11"/>
        <v>20</v>
      </c>
      <c r="Y56" s="473"/>
      <c r="Z56" s="166">
        <v>4</v>
      </c>
      <c r="AA56" s="166">
        <v>2472.0000000000086</v>
      </c>
      <c r="AB56" s="166">
        <v>618.00000000000216</v>
      </c>
      <c r="AC56" s="182">
        <f t="shared" si="13"/>
        <v>20</v>
      </c>
      <c r="AD56" s="473"/>
      <c r="AE56" s="166">
        <v>4</v>
      </c>
      <c r="AF56" s="166">
        <v>1889.9999999999766</v>
      </c>
      <c r="AG56" s="166">
        <v>472.49999999999415</v>
      </c>
      <c r="AH56" s="182">
        <f t="shared" si="15"/>
        <v>21</v>
      </c>
      <c r="AI56" s="473"/>
      <c r="AJ56" s="166">
        <v>4</v>
      </c>
      <c r="AK56" s="166">
        <v>2147.9999999999736</v>
      </c>
      <c r="AL56" s="166">
        <v>536.99999999999341</v>
      </c>
      <c r="AM56" s="182">
        <f t="shared" si="17"/>
        <v>21</v>
      </c>
      <c r="AN56" s="473"/>
      <c r="AO56" s="166">
        <v>4</v>
      </c>
      <c r="AP56" s="166">
        <v>2399.99999999997</v>
      </c>
      <c r="AQ56" s="166">
        <v>599.9999999999925</v>
      </c>
      <c r="AR56" s="182">
        <f t="shared" si="19"/>
        <v>20</v>
      </c>
      <c r="AS56" s="473"/>
      <c r="AT56" s="166">
        <v>4</v>
      </c>
      <c r="AU56" s="166">
        <v>2304.0000000000082</v>
      </c>
      <c r="AV56" s="166">
        <v>576.00000000000205</v>
      </c>
      <c r="AW56" s="182">
        <f t="shared" si="21"/>
        <v>20</v>
      </c>
      <c r="AX56" s="473"/>
    </row>
    <row r="57" spans="2:50">
      <c r="B57" s="493"/>
      <c r="C57" s="182">
        <v>16</v>
      </c>
      <c r="D57" s="182" t="s">
        <v>238</v>
      </c>
      <c r="E57" s="182">
        <v>4</v>
      </c>
      <c r="F57" s="166">
        <v>3300</v>
      </c>
      <c r="G57" s="166">
        <v>825</v>
      </c>
      <c r="H57" s="473"/>
      <c r="I57" s="166">
        <f t="shared" si="23"/>
        <v>3</v>
      </c>
      <c r="J57" s="166">
        <f t="shared" si="24"/>
        <v>2885.6003521649982</v>
      </c>
      <c r="K57" s="180">
        <f t="shared" si="25"/>
        <v>961.86678405499936</v>
      </c>
      <c r="L57" s="473"/>
      <c r="M57" s="166">
        <f>RANK(K57, K$42:$K$71)</f>
        <v>3</v>
      </c>
      <c r="N57" s="470"/>
      <c r="O57" s="470"/>
      <c r="P57" s="166">
        <v>3</v>
      </c>
      <c r="Q57" s="166">
        <v>2814.7826086956625</v>
      </c>
      <c r="R57" s="166">
        <v>938.26086956522079</v>
      </c>
      <c r="S57" s="182">
        <f t="shared" si="10"/>
        <v>6</v>
      </c>
      <c r="T57" s="473"/>
      <c r="U57" s="166">
        <v>3</v>
      </c>
      <c r="V57" s="166">
        <v>2870.0000000000009</v>
      </c>
      <c r="W57" s="166">
        <v>956.66666666666697</v>
      </c>
      <c r="X57" s="182">
        <f t="shared" si="11"/>
        <v>5</v>
      </c>
      <c r="Y57" s="473"/>
      <c r="Z57" s="166">
        <v>3</v>
      </c>
      <c r="AA57" s="166">
        <v>2790</v>
      </c>
      <c r="AB57" s="166">
        <v>930</v>
      </c>
      <c r="AC57" s="182">
        <f t="shared" si="13"/>
        <v>3</v>
      </c>
      <c r="AD57" s="473"/>
      <c r="AE57" s="166">
        <v>3</v>
      </c>
      <c r="AF57" s="166">
        <v>2851.578947368419</v>
      </c>
      <c r="AG57" s="166">
        <v>950.52631578947296</v>
      </c>
      <c r="AH57" s="182">
        <f t="shared" si="15"/>
        <v>8</v>
      </c>
      <c r="AI57" s="473"/>
      <c r="AJ57" s="166">
        <v>3</v>
      </c>
      <c r="AK57" s="166">
        <v>3063.7499999999959</v>
      </c>
      <c r="AL57" s="166">
        <v>1021.2499999999986</v>
      </c>
      <c r="AM57" s="182">
        <f t="shared" si="17"/>
        <v>3</v>
      </c>
      <c r="AN57" s="473"/>
      <c r="AO57" s="166">
        <v>3</v>
      </c>
      <c r="AP57" s="166">
        <v>2929.090909090909</v>
      </c>
      <c r="AQ57" s="166">
        <v>976.36363636363637</v>
      </c>
      <c r="AR57" s="182">
        <f t="shared" si="19"/>
        <v>4</v>
      </c>
      <c r="AS57" s="473"/>
      <c r="AT57" s="166">
        <v>3</v>
      </c>
      <c r="AU57" s="166">
        <v>2879.9999999999991</v>
      </c>
      <c r="AV57" s="166">
        <v>959.99999999999966</v>
      </c>
      <c r="AW57" s="182">
        <f t="shared" si="21"/>
        <v>4</v>
      </c>
      <c r="AX57" s="473"/>
    </row>
    <row r="58" spans="2:50">
      <c r="B58" s="493"/>
      <c r="C58" s="182">
        <v>17</v>
      </c>
      <c r="D58" s="182" t="s">
        <v>239</v>
      </c>
      <c r="E58" s="182">
        <v>3</v>
      </c>
      <c r="F58" s="166">
        <v>2800</v>
      </c>
      <c r="G58" s="166">
        <v>933.33333333333337</v>
      </c>
      <c r="H58" s="473"/>
      <c r="I58" s="166">
        <f t="shared" si="23"/>
        <v>3</v>
      </c>
      <c r="J58" s="166">
        <f t="shared" si="24"/>
        <v>2817.2571428571432</v>
      </c>
      <c r="K58" s="180">
        <f t="shared" si="25"/>
        <v>939.08571428571452</v>
      </c>
      <c r="L58" s="473"/>
      <c r="M58" s="166">
        <f>RANK(K58, K$42:$K$71)</f>
        <v>7</v>
      </c>
      <c r="N58" s="470"/>
      <c r="O58" s="470"/>
      <c r="P58" s="166">
        <v>3</v>
      </c>
      <c r="Q58" s="166">
        <v>2731.999999999995</v>
      </c>
      <c r="R58" s="166">
        <v>910.66666666666504</v>
      </c>
      <c r="S58" s="182">
        <f t="shared" si="10"/>
        <v>8</v>
      </c>
      <c r="T58" s="473"/>
      <c r="U58" s="166">
        <v>3</v>
      </c>
      <c r="V58" s="166">
        <v>2695.999999999995</v>
      </c>
      <c r="W58" s="166">
        <v>898.66666666666504</v>
      </c>
      <c r="X58" s="182">
        <f t="shared" si="11"/>
        <v>10</v>
      </c>
      <c r="Y58" s="473"/>
      <c r="Z58" s="166">
        <v>3</v>
      </c>
      <c r="AA58" s="166">
        <v>2468.0000000000091</v>
      </c>
      <c r="AB58" s="166">
        <v>822.6666666666697</v>
      </c>
      <c r="AC58" s="182">
        <f t="shared" si="13"/>
        <v>8</v>
      </c>
      <c r="AD58" s="473"/>
      <c r="AE58" s="166">
        <v>3</v>
      </c>
      <c r="AF58" s="166">
        <v>2884.799999999992</v>
      </c>
      <c r="AG58" s="166">
        <v>961.59999999999729</v>
      </c>
      <c r="AH58" s="182">
        <f t="shared" si="15"/>
        <v>5</v>
      </c>
      <c r="AI58" s="473"/>
      <c r="AJ58" s="166">
        <v>3</v>
      </c>
      <c r="AK58" s="166">
        <v>2901.5999999999917</v>
      </c>
      <c r="AL58" s="166">
        <v>967.1999999999972</v>
      </c>
      <c r="AM58" s="182">
        <f t="shared" si="17"/>
        <v>7</v>
      </c>
      <c r="AN58" s="473"/>
      <c r="AO58" s="166">
        <v>3</v>
      </c>
      <c r="AP58" s="166">
        <v>3100.7999999999911</v>
      </c>
      <c r="AQ58" s="166">
        <v>1033.599999999997</v>
      </c>
      <c r="AR58" s="182">
        <f t="shared" si="19"/>
        <v>3</v>
      </c>
      <c r="AS58" s="473"/>
      <c r="AT58" s="166">
        <v>3</v>
      </c>
      <c r="AU58" s="166">
        <v>2937.600000000029</v>
      </c>
      <c r="AV58" s="166">
        <v>979.20000000000971</v>
      </c>
      <c r="AW58" s="182">
        <f t="shared" si="21"/>
        <v>3</v>
      </c>
      <c r="AX58" s="473"/>
    </row>
    <row r="59" spans="2:50">
      <c r="B59" s="493"/>
      <c r="C59" s="182">
        <v>18</v>
      </c>
      <c r="D59" s="182" t="s">
        <v>240</v>
      </c>
      <c r="E59" s="182">
        <v>4</v>
      </c>
      <c r="F59" s="166">
        <v>3000</v>
      </c>
      <c r="G59" s="166">
        <v>750</v>
      </c>
      <c r="H59" s="473"/>
      <c r="I59" s="166">
        <f t="shared" si="23"/>
        <v>3</v>
      </c>
      <c r="J59" s="166">
        <f t="shared" si="24"/>
        <v>2188.7662337662318</v>
      </c>
      <c r="K59" s="180">
        <f t="shared" si="25"/>
        <v>729.58874458874402</v>
      </c>
      <c r="L59" s="473"/>
      <c r="M59" s="166">
        <f>RANK(K59, K$42:$K$71)</f>
        <v>13</v>
      </c>
      <c r="N59" s="470"/>
      <c r="O59" s="470"/>
      <c r="P59" s="166">
        <v>3</v>
      </c>
      <c r="Q59" s="166">
        <v>2081.0000000000018</v>
      </c>
      <c r="R59" s="166">
        <v>693.66666666666731</v>
      </c>
      <c r="S59" s="182">
        <f t="shared" si="10"/>
        <v>16</v>
      </c>
      <c r="T59" s="473"/>
      <c r="U59" s="166">
        <v>3</v>
      </c>
      <c r="V59" s="166">
        <v>2238.5454545454559</v>
      </c>
      <c r="W59" s="166">
        <v>746.18181818181858</v>
      </c>
      <c r="X59" s="182">
        <f t="shared" si="11"/>
        <v>14</v>
      </c>
      <c r="Y59" s="473"/>
      <c r="Z59" s="166">
        <v>3</v>
      </c>
      <c r="AA59" s="166">
        <v>2223.5999999999935</v>
      </c>
      <c r="AB59" s="166">
        <v>741.19999999999789</v>
      </c>
      <c r="AC59" s="182">
        <f t="shared" si="13"/>
        <v>12</v>
      </c>
      <c r="AD59" s="473"/>
      <c r="AE59" s="166">
        <v>3</v>
      </c>
      <c r="AF59" s="166">
        <v>2207.9999999999936</v>
      </c>
      <c r="AG59" s="166">
        <v>735.99999999999784</v>
      </c>
      <c r="AH59" s="182">
        <f t="shared" si="15"/>
        <v>15</v>
      </c>
      <c r="AI59" s="473"/>
      <c r="AJ59" s="166">
        <v>3</v>
      </c>
      <c r="AK59" s="166">
        <v>2300.3999999999933</v>
      </c>
      <c r="AL59" s="166">
        <v>766.79999999999779</v>
      </c>
      <c r="AM59" s="182">
        <f t="shared" si="17"/>
        <v>13</v>
      </c>
      <c r="AN59" s="473"/>
      <c r="AO59" s="166">
        <v>3</v>
      </c>
      <c r="AP59" s="166">
        <v>2181.8181818181833</v>
      </c>
      <c r="AQ59" s="166">
        <v>727.27272727272782</v>
      </c>
      <c r="AR59" s="182">
        <f t="shared" si="19"/>
        <v>15</v>
      </c>
      <c r="AS59" s="473"/>
      <c r="AT59" s="166">
        <v>3</v>
      </c>
      <c r="AU59" s="166">
        <v>2088.0000000000014</v>
      </c>
      <c r="AV59" s="166">
        <v>696.00000000000045</v>
      </c>
      <c r="AW59" s="182">
        <f t="shared" si="21"/>
        <v>19</v>
      </c>
      <c r="AX59" s="473"/>
    </row>
    <row r="60" spans="2:50">
      <c r="B60" s="493"/>
      <c r="C60" s="182">
        <v>19</v>
      </c>
      <c r="D60" s="182" t="s">
        <v>241</v>
      </c>
      <c r="E60" s="182">
        <v>12</v>
      </c>
      <c r="F60" s="166">
        <v>1500</v>
      </c>
      <c r="G60" s="166">
        <v>125</v>
      </c>
      <c r="H60" s="473"/>
      <c r="I60" s="166">
        <f t="shared" si="23"/>
        <v>10</v>
      </c>
      <c r="J60" s="166">
        <f t="shared" si="24"/>
        <v>1516.780595401546</v>
      </c>
      <c r="K60" s="180">
        <f t="shared" si="25"/>
        <v>151.67805954015458</v>
      </c>
      <c r="L60" s="473"/>
      <c r="M60" s="166">
        <f>RANK(K60, K$42:$K$71)</f>
        <v>19</v>
      </c>
      <c r="N60" s="470"/>
      <c r="O60" s="470"/>
      <c r="P60" s="166">
        <v>10</v>
      </c>
      <c r="Q60" s="166">
        <v>1493.1428571428564</v>
      </c>
      <c r="R60" s="166">
        <v>149.31428571428563</v>
      </c>
      <c r="S60" s="182">
        <f t="shared" si="10"/>
        <v>22</v>
      </c>
      <c r="T60" s="473"/>
      <c r="U60" s="166">
        <v>10</v>
      </c>
      <c r="V60" s="166">
        <v>1541.4705882352951</v>
      </c>
      <c r="W60" s="166">
        <v>154.14705882352951</v>
      </c>
      <c r="X60" s="182">
        <f t="shared" si="11"/>
        <v>22</v>
      </c>
      <c r="Y60" s="473"/>
      <c r="Z60" s="166">
        <v>10</v>
      </c>
      <c r="AA60" s="166">
        <v>1498.1250000000007</v>
      </c>
      <c r="AB60" s="166">
        <v>149.81250000000006</v>
      </c>
      <c r="AC60" s="182">
        <f t="shared" si="13"/>
        <v>22</v>
      </c>
      <c r="AD60" s="473"/>
      <c r="AE60" s="166">
        <v>10</v>
      </c>
      <c r="AF60" s="166">
        <v>1498.0327868852464</v>
      </c>
      <c r="AG60" s="166">
        <v>149.80327868852464</v>
      </c>
      <c r="AH60" s="182">
        <f t="shared" si="15"/>
        <v>22</v>
      </c>
      <c r="AI60" s="473"/>
      <c r="AJ60" s="166">
        <v>10</v>
      </c>
      <c r="AK60" s="166">
        <v>1549.4736842105253</v>
      </c>
      <c r="AL60" s="166">
        <v>154.94736842105254</v>
      </c>
      <c r="AM60" s="182">
        <f t="shared" si="17"/>
        <v>22</v>
      </c>
      <c r="AN60" s="473"/>
      <c r="AO60" s="166">
        <v>10</v>
      </c>
      <c r="AP60" s="166">
        <v>1531.764705882352</v>
      </c>
      <c r="AQ60" s="166">
        <v>153.17647058823519</v>
      </c>
      <c r="AR60" s="182">
        <f t="shared" si="19"/>
        <v>22</v>
      </c>
      <c r="AS60" s="473"/>
      <c r="AT60" s="166">
        <v>10</v>
      </c>
      <c r="AU60" s="166">
        <v>1505.454545454546</v>
      </c>
      <c r="AV60" s="166">
        <v>150.54545454545459</v>
      </c>
      <c r="AW60" s="182">
        <f t="shared" si="21"/>
        <v>22</v>
      </c>
      <c r="AX60" s="473"/>
    </row>
    <row r="61" spans="2:50">
      <c r="B61" s="493"/>
      <c r="C61" s="182">
        <v>20</v>
      </c>
      <c r="D61" s="182" t="s">
        <v>242</v>
      </c>
      <c r="E61" s="182">
        <v>4</v>
      </c>
      <c r="F61" s="166">
        <v>3000</v>
      </c>
      <c r="G61" s="166">
        <v>750</v>
      </c>
      <c r="H61" s="473"/>
      <c r="I61" s="166"/>
      <c r="J61" s="166"/>
      <c r="K61" s="180"/>
      <c r="L61" s="473"/>
      <c r="M61" s="166" t="e">
        <f>RANK(K61, K$42:$K$71)</f>
        <v>#N/A</v>
      </c>
      <c r="N61" s="470"/>
      <c r="O61" s="470"/>
      <c r="P61" s="166">
        <v>4</v>
      </c>
      <c r="Q61" s="166">
        <v>2112.0000000000014</v>
      </c>
      <c r="R61" s="166">
        <v>528.00000000000034</v>
      </c>
      <c r="S61" s="182">
        <f t="shared" si="10"/>
        <v>21</v>
      </c>
      <c r="T61" s="473"/>
      <c r="U61" s="166">
        <v>4</v>
      </c>
      <c r="V61" s="166">
        <v>2103.2727272727225</v>
      </c>
      <c r="W61" s="166">
        <v>525.81818181818062</v>
      </c>
      <c r="X61" s="182">
        <f t="shared" si="11"/>
        <v>21</v>
      </c>
      <c r="Y61" s="473"/>
      <c r="Z61" s="166">
        <v>4</v>
      </c>
      <c r="AA61" s="166">
        <v>2240</v>
      </c>
      <c r="AB61" s="166">
        <v>560</v>
      </c>
      <c r="AC61" s="182">
        <f t="shared" si="13"/>
        <v>21</v>
      </c>
      <c r="AD61" s="473"/>
      <c r="AE61" s="166">
        <v>4</v>
      </c>
      <c r="AF61" s="166">
        <v>2114.666666666667</v>
      </c>
      <c r="AG61" s="166">
        <v>528.66666666666674</v>
      </c>
      <c r="AH61" s="182">
        <f t="shared" si="15"/>
        <v>20</v>
      </c>
      <c r="AI61" s="473"/>
      <c r="AJ61" s="166">
        <v>4</v>
      </c>
      <c r="AK61" s="166">
        <v>2210.6666666666665</v>
      </c>
      <c r="AL61" s="166">
        <v>552.66666666666663</v>
      </c>
      <c r="AM61" s="182">
        <f t="shared" si="17"/>
        <v>20</v>
      </c>
      <c r="AN61" s="473"/>
      <c r="AO61" s="166">
        <v>4</v>
      </c>
      <c r="AP61" s="166">
        <v>2262.6666666666665</v>
      </c>
      <c r="AQ61" s="166">
        <v>565.66666666666663</v>
      </c>
      <c r="AR61" s="182">
        <f t="shared" si="19"/>
        <v>21</v>
      </c>
      <c r="AS61" s="473"/>
      <c r="AT61" s="166">
        <v>4</v>
      </c>
      <c r="AU61" s="166">
        <v>2265.333333333333</v>
      </c>
      <c r="AV61" s="166">
        <v>566.33333333333326</v>
      </c>
      <c r="AW61" s="182">
        <f t="shared" si="21"/>
        <v>21</v>
      </c>
      <c r="AX61" s="473"/>
    </row>
    <row r="62" spans="2:50">
      <c r="B62" s="493"/>
      <c r="C62" s="182">
        <v>21</v>
      </c>
      <c r="D62" s="182" t="s">
        <v>243</v>
      </c>
      <c r="E62" s="182">
        <v>3</v>
      </c>
      <c r="F62" s="166">
        <v>2800</v>
      </c>
      <c r="G62" s="166">
        <v>933.33333333333337</v>
      </c>
      <c r="H62" s="473"/>
      <c r="I62" s="166"/>
      <c r="J62" s="166"/>
      <c r="K62" s="180"/>
      <c r="L62" s="473"/>
      <c r="M62" s="166" t="e">
        <f>RANK(K62, K$42:$K$71)</f>
        <v>#N/A</v>
      </c>
      <c r="N62" s="470"/>
      <c r="O62" s="470"/>
      <c r="P62" s="182">
        <v>3</v>
      </c>
      <c r="Q62" s="166">
        <v>2826.7499999999991</v>
      </c>
      <c r="R62" s="180">
        <v>942.24999999999966</v>
      </c>
      <c r="S62" s="182">
        <f t="shared" si="10"/>
        <v>4</v>
      </c>
      <c r="T62" s="473"/>
      <c r="U62" s="182">
        <v>3</v>
      </c>
      <c r="V62" s="166">
        <v>2819.2307692307731</v>
      </c>
      <c r="W62" s="180">
        <v>939.74358974359109</v>
      </c>
      <c r="X62" s="182">
        <f t="shared" si="11"/>
        <v>6</v>
      </c>
      <c r="Y62" s="473"/>
      <c r="Z62" s="182">
        <v>3</v>
      </c>
      <c r="AA62" s="166">
        <v>2767.1999999999975</v>
      </c>
      <c r="AB62" s="180">
        <v>922.39999999999918</v>
      </c>
      <c r="AC62" s="182">
        <f t="shared" si="13"/>
        <v>5</v>
      </c>
      <c r="AD62" s="473"/>
      <c r="AE62" s="182">
        <v>3</v>
      </c>
      <c r="AF62" s="166">
        <v>2865.8823529411766</v>
      </c>
      <c r="AG62" s="180">
        <v>955.2941176470589</v>
      </c>
      <c r="AH62" s="182">
        <f t="shared" si="15"/>
        <v>7</v>
      </c>
      <c r="AI62" s="473"/>
      <c r="AJ62" s="182">
        <v>3</v>
      </c>
      <c r="AK62" s="166">
        <v>2828.4375000000032</v>
      </c>
      <c r="AL62" s="180">
        <v>942.81250000000102</v>
      </c>
      <c r="AM62" s="182">
        <f t="shared" si="17"/>
        <v>8</v>
      </c>
      <c r="AN62" s="473"/>
      <c r="AO62" s="182">
        <v>3</v>
      </c>
      <c r="AP62" s="166">
        <v>2843.846153846152</v>
      </c>
      <c r="AQ62" s="180">
        <v>947.94871794871733</v>
      </c>
      <c r="AR62" s="182">
        <f t="shared" si="19"/>
        <v>7</v>
      </c>
      <c r="AS62" s="473"/>
      <c r="AT62" s="182">
        <v>3</v>
      </c>
      <c r="AU62" s="166">
        <v>2863.4210526315769</v>
      </c>
      <c r="AV62" s="180">
        <v>954.47368421052568</v>
      </c>
      <c r="AW62" s="182">
        <f t="shared" si="21"/>
        <v>5</v>
      </c>
      <c r="AX62" s="473"/>
    </row>
    <row r="63" spans="2:50">
      <c r="B63" s="493"/>
      <c r="C63" s="182">
        <v>22</v>
      </c>
      <c r="D63" s="182" t="s">
        <v>246</v>
      </c>
      <c r="E63" s="182">
        <v>4</v>
      </c>
      <c r="F63" s="166">
        <v>2800</v>
      </c>
      <c r="G63" s="166">
        <v>700</v>
      </c>
      <c r="H63" s="473"/>
      <c r="I63" s="166"/>
      <c r="J63" s="166"/>
      <c r="K63" s="180"/>
      <c r="L63" s="473"/>
      <c r="M63" s="166" t="e">
        <f>RANK(K63, K$42:$K$71)</f>
        <v>#N/A</v>
      </c>
      <c r="N63" s="470"/>
      <c r="O63" s="470"/>
      <c r="P63" s="182">
        <v>4</v>
      </c>
      <c r="Q63" s="166">
        <v>2639.3103448275861</v>
      </c>
      <c r="R63" s="180">
        <v>659.82758620689651</v>
      </c>
      <c r="S63" s="182">
        <f t="shared" si="10"/>
        <v>19</v>
      </c>
      <c r="T63" s="473"/>
      <c r="U63" s="182">
        <v>3</v>
      </c>
      <c r="V63" s="166">
        <v>2788.2352941176482</v>
      </c>
      <c r="W63" s="180">
        <v>929.41176470588277</v>
      </c>
      <c r="X63" s="182">
        <f t="shared" si="11"/>
        <v>8</v>
      </c>
      <c r="Y63" s="473"/>
      <c r="Z63" s="182">
        <v>4</v>
      </c>
      <c r="AA63" s="166">
        <v>2774.6938775510212</v>
      </c>
      <c r="AB63" s="180">
        <v>693.67346938775529</v>
      </c>
      <c r="AC63" s="182">
        <f t="shared" si="13"/>
        <v>16</v>
      </c>
      <c r="AD63" s="473"/>
      <c r="AE63" s="182">
        <v>4</v>
      </c>
      <c r="AF63" s="166">
        <v>2885.7142857142808</v>
      </c>
      <c r="AG63" s="180">
        <v>721.42857142857019</v>
      </c>
      <c r="AH63" s="182">
        <f t="shared" si="15"/>
        <v>18</v>
      </c>
      <c r="AI63" s="473"/>
      <c r="AJ63" s="182">
        <v>4</v>
      </c>
      <c r="AK63" s="166">
        <v>2787.096774193551</v>
      </c>
      <c r="AL63" s="180">
        <v>696.77419354838776</v>
      </c>
      <c r="AM63" s="182">
        <f t="shared" si="17"/>
        <v>18</v>
      </c>
      <c r="AN63" s="473"/>
      <c r="AO63" s="182">
        <v>4</v>
      </c>
      <c r="AP63" s="166">
        <v>2810.8333333333312</v>
      </c>
      <c r="AQ63" s="180">
        <v>702.7083333333328</v>
      </c>
      <c r="AR63" s="182">
        <f t="shared" si="19"/>
        <v>19</v>
      </c>
      <c r="AS63" s="473"/>
      <c r="AT63" s="182">
        <v>4</v>
      </c>
      <c r="AU63" s="166">
        <v>2804.5161290322608</v>
      </c>
      <c r="AV63" s="180">
        <v>701.12903225806519</v>
      </c>
      <c r="AW63" s="182">
        <f t="shared" si="21"/>
        <v>18</v>
      </c>
      <c r="AX63" s="473"/>
    </row>
    <row r="64" spans="2:50">
      <c r="B64" s="493"/>
      <c r="C64" s="182">
        <v>23</v>
      </c>
      <c r="D64" s="182"/>
      <c r="E64" s="182"/>
      <c r="F64" s="166"/>
      <c r="G64" s="166"/>
      <c r="H64" s="473"/>
      <c r="I64" s="166"/>
      <c r="J64" s="166"/>
      <c r="K64" s="180"/>
      <c r="L64" s="473"/>
      <c r="M64" s="166" t="e">
        <f>RANK(K64, K$42:$K$71)</f>
        <v>#N/A</v>
      </c>
      <c r="N64" s="470"/>
      <c r="O64" s="470"/>
      <c r="P64" s="182"/>
      <c r="Q64" s="166"/>
      <c r="R64" s="180"/>
      <c r="S64" s="182" t="e">
        <f t="shared" si="10"/>
        <v>#N/A</v>
      </c>
      <c r="T64" s="473"/>
      <c r="U64" s="182"/>
      <c r="V64" s="166"/>
      <c r="W64" s="180"/>
      <c r="X64" s="182" t="e">
        <f t="shared" si="11"/>
        <v>#N/A</v>
      </c>
      <c r="Y64" s="473"/>
      <c r="Z64" s="182"/>
      <c r="AA64" s="166"/>
      <c r="AB64" s="180"/>
      <c r="AC64" s="182" t="e">
        <f t="shared" si="13"/>
        <v>#N/A</v>
      </c>
      <c r="AD64" s="473"/>
      <c r="AE64" s="182"/>
      <c r="AF64" s="166"/>
      <c r="AG64" s="180"/>
      <c r="AH64" s="182" t="e">
        <f t="shared" si="15"/>
        <v>#N/A</v>
      </c>
      <c r="AI64" s="473"/>
      <c r="AJ64" s="182"/>
      <c r="AK64" s="166"/>
      <c r="AL64" s="180"/>
      <c r="AM64" s="182" t="e">
        <f t="shared" si="17"/>
        <v>#N/A</v>
      </c>
      <c r="AN64" s="473"/>
      <c r="AO64" s="182"/>
      <c r="AP64" s="166"/>
      <c r="AQ64" s="180"/>
      <c r="AR64" s="182" t="e">
        <f t="shared" si="19"/>
        <v>#N/A</v>
      </c>
      <c r="AS64" s="473"/>
      <c r="AT64" s="182"/>
      <c r="AU64" s="166"/>
      <c r="AV64" s="180"/>
      <c r="AW64" s="182" t="e">
        <f t="shared" si="21"/>
        <v>#N/A</v>
      </c>
      <c r="AX64" s="473"/>
    </row>
    <row r="65" spans="2:50">
      <c r="B65" s="493"/>
      <c r="C65" s="182">
        <v>24</v>
      </c>
      <c r="D65" s="182"/>
      <c r="E65" s="182"/>
      <c r="F65" s="166"/>
      <c r="G65" s="166"/>
      <c r="H65" s="473"/>
      <c r="I65" s="166"/>
      <c r="J65" s="166"/>
      <c r="K65" s="180"/>
      <c r="L65" s="473"/>
      <c r="M65" s="166" t="e">
        <f>RANK(K65, K$42:$K$71)</f>
        <v>#N/A</v>
      </c>
      <c r="N65" s="470"/>
      <c r="O65" s="470"/>
      <c r="P65" s="182"/>
      <c r="Q65" s="166"/>
      <c r="R65" s="180"/>
      <c r="S65" s="182" t="e">
        <f t="shared" si="10"/>
        <v>#N/A</v>
      </c>
      <c r="T65" s="473"/>
      <c r="U65" s="182"/>
      <c r="V65" s="166"/>
      <c r="W65" s="180"/>
      <c r="X65" s="182" t="e">
        <f t="shared" si="11"/>
        <v>#N/A</v>
      </c>
      <c r="Y65" s="473"/>
      <c r="Z65" s="182"/>
      <c r="AA65" s="166"/>
      <c r="AB65" s="180"/>
      <c r="AC65" s="182" t="e">
        <f t="shared" si="13"/>
        <v>#N/A</v>
      </c>
      <c r="AD65" s="473"/>
      <c r="AE65" s="182"/>
      <c r="AF65" s="166"/>
      <c r="AG65" s="180"/>
      <c r="AH65" s="182" t="e">
        <f t="shared" si="15"/>
        <v>#N/A</v>
      </c>
      <c r="AI65" s="473"/>
      <c r="AJ65" s="182"/>
      <c r="AK65" s="166"/>
      <c r="AL65" s="180"/>
      <c r="AM65" s="182" t="e">
        <f t="shared" si="17"/>
        <v>#N/A</v>
      </c>
      <c r="AN65" s="473"/>
      <c r="AO65" s="182"/>
      <c r="AP65" s="166"/>
      <c r="AQ65" s="180"/>
      <c r="AR65" s="182" t="e">
        <f t="shared" si="19"/>
        <v>#N/A</v>
      </c>
      <c r="AS65" s="473"/>
      <c r="AT65" s="182"/>
      <c r="AU65" s="166"/>
      <c r="AV65" s="180"/>
      <c r="AW65" s="182" t="e">
        <f t="shared" si="21"/>
        <v>#N/A</v>
      </c>
      <c r="AX65" s="473"/>
    </row>
    <row r="66" spans="2:50">
      <c r="B66" s="493"/>
      <c r="C66" s="182">
        <v>25</v>
      </c>
      <c r="D66" s="182"/>
      <c r="E66" s="182"/>
      <c r="F66" s="166"/>
      <c r="G66" s="166"/>
      <c r="H66" s="473"/>
      <c r="I66" s="182"/>
      <c r="J66" s="182"/>
      <c r="K66" s="182"/>
      <c r="L66" s="473"/>
      <c r="M66" s="166" t="e">
        <f>RANK(K66, K$42:$K$71)</f>
        <v>#N/A</v>
      </c>
      <c r="N66" s="470"/>
      <c r="O66" s="470"/>
      <c r="P66" s="182"/>
      <c r="Q66" s="166"/>
      <c r="R66" s="180"/>
      <c r="S66" s="182" t="e">
        <f t="shared" si="10"/>
        <v>#N/A</v>
      </c>
      <c r="T66" s="473"/>
      <c r="U66" s="182"/>
      <c r="V66" s="166"/>
      <c r="W66" s="180"/>
      <c r="X66" s="182" t="e">
        <f t="shared" si="11"/>
        <v>#N/A</v>
      </c>
      <c r="Y66" s="473"/>
      <c r="Z66" s="182"/>
      <c r="AA66" s="166"/>
      <c r="AB66" s="180"/>
      <c r="AC66" s="182" t="e">
        <f t="shared" si="13"/>
        <v>#N/A</v>
      </c>
      <c r="AD66" s="473"/>
      <c r="AE66" s="182"/>
      <c r="AF66" s="166"/>
      <c r="AG66" s="180"/>
      <c r="AH66" s="182" t="e">
        <f t="shared" si="15"/>
        <v>#N/A</v>
      </c>
      <c r="AI66" s="473"/>
      <c r="AJ66" s="182"/>
      <c r="AK66" s="166"/>
      <c r="AL66" s="180"/>
      <c r="AM66" s="182" t="e">
        <f t="shared" si="17"/>
        <v>#N/A</v>
      </c>
      <c r="AN66" s="473"/>
      <c r="AO66" s="182"/>
      <c r="AP66" s="166"/>
      <c r="AQ66" s="180"/>
      <c r="AR66" s="182" t="e">
        <f t="shared" si="19"/>
        <v>#N/A</v>
      </c>
      <c r="AS66" s="473"/>
      <c r="AT66" s="182"/>
      <c r="AU66" s="166"/>
      <c r="AV66" s="180"/>
      <c r="AW66" s="182" t="e">
        <f t="shared" si="21"/>
        <v>#N/A</v>
      </c>
      <c r="AX66" s="473"/>
    </row>
    <row r="67" spans="2:50">
      <c r="B67" s="493"/>
      <c r="C67" s="182">
        <v>26</v>
      </c>
      <c r="D67" s="182"/>
      <c r="E67" s="182"/>
      <c r="F67" s="166"/>
      <c r="G67" s="166"/>
      <c r="H67" s="473"/>
      <c r="I67" s="182"/>
      <c r="J67" s="182"/>
      <c r="K67" s="182"/>
      <c r="L67" s="473"/>
      <c r="M67" s="166" t="e">
        <f>RANK(K67, K$42:$K$71)</f>
        <v>#N/A</v>
      </c>
      <c r="N67" s="470"/>
      <c r="O67" s="470"/>
      <c r="P67" s="182"/>
      <c r="Q67" s="166"/>
      <c r="R67" s="180"/>
      <c r="S67" s="182" t="e">
        <f t="shared" si="10"/>
        <v>#N/A</v>
      </c>
      <c r="T67" s="473"/>
      <c r="U67" s="182"/>
      <c r="V67" s="166"/>
      <c r="W67" s="180"/>
      <c r="X67" s="182" t="e">
        <f t="shared" si="11"/>
        <v>#N/A</v>
      </c>
      <c r="Y67" s="473"/>
      <c r="Z67" s="182"/>
      <c r="AA67" s="166"/>
      <c r="AB67" s="180"/>
      <c r="AC67" s="182" t="e">
        <f t="shared" si="13"/>
        <v>#N/A</v>
      </c>
      <c r="AD67" s="473"/>
      <c r="AE67" s="182"/>
      <c r="AF67" s="166"/>
      <c r="AG67" s="180"/>
      <c r="AH67" s="182" t="e">
        <f t="shared" si="15"/>
        <v>#N/A</v>
      </c>
      <c r="AI67" s="473"/>
      <c r="AJ67" s="182"/>
      <c r="AK67" s="166"/>
      <c r="AL67" s="180"/>
      <c r="AM67" s="182" t="e">
        <f t="shared" si="17"/>
        <v>#N/A</v>
      </c>
      <c r="AN67" s="473"/>
      <c r="AO67" s="182"/>
      <c r="AP67" s="166"/>
      <c r="AQ67" s="180"/>
      <c r="AR67" s="182" t="e">
        <f t="shared" si="19"/>
        <v>#N/A</v>
      </c>
      <c r="AS67" s="473"/>
      <c r="AT67" s="182"/>
      <c r="AU67" s="166"/>
      <c r="AV67" s="180"/>
      <c r="AW67" s="182" t="e">
        <f t="shared" si="21"/>
        <v>#N/A</v>
      </c>
      <c r="AX67" s="473"/>
    </row>
    <row r="68" spans="2:50">
      <c r="B68" s="493"/>
      <c r="C68" s="182">
        <v>27</v>
      </c>
      <c r="D68" s="182"/>
      <c r="E68" s="182"/>
      <c r="F68" s="166"/>
      <c r="G68" s="166"/>
      <c r="H68" s="473"/>
      <c r="I68" s="182"/>
      <c r="J68" s="182"/>
      <c r="K68" s="182"/>
      <c r="L68" s="473"/>
      <c r="M68" s="166" t="e">
        <f>RANK(K68, K$42:$K$71)</f>
        <v>#N/A</v>
      </c>
      <c r="N68" s="470"/>
      <c r="O68" s="470"/>
      <c r="P68" s="182"/>
      <c r="Q68" s="166"/>
      <c r="R68" s="180"/>
      <c r="S68" s="182" t="e">
        <f t="shared" si="10"/>
        <v>#N/A</v>
      </c>
      <c r="T68" s="473"/>
      <c r="U68" s="182"/>
      <c r="V68" s="166"/>
      <c r="W68" s="180"/>
      <c r="X68" s="182" t="e">
        <f t="shared" si="11"/>
        <v>#N/A</v>
      </c>
      <c r="Y68" s="473"/>
      <c r="Z68" s="182"/>
      <c r="AA68" s="166"/>
      <c r="AB68" s="180"/>
      <c r="AC68" s="182" t="e">
        <f t="shared" si="13"/>
        <v>#N/A</v>
      </c>
      <c r="AD68" s="473"/>
      <c r="AE68" s="182"/>
      <c r="AF68" s="166"/>
      <c r="AG68" s="180"/>
      <c r="AH68" s="182" t="e">
        <f t="shared" si="15"/>
        <v>#N/A</v>
      </c>
      <c r="AI68" s="473"/>
      <c r="AJ68" s="182"/>
      <c r="AK68" s="166"/>
      <c r="AL68" s="180"/>
      <c r="AM68" s="182" t="e">
        <f t="shared" si="17"/>
        <v>#N/A</v>
      </c>
      <c r="AN68" s="473"/>
      <c r="AO68" s="182"/>
      <c r="AP68" s="166"/>
      <c r="AQ68" s="180"/>
      <c r="AR68" s="182" t="e">
        <f t="shared" si="19"/>
        <v>#N/A</v>
      </c>
      <c r="AS68" s="473"/>
      <c r="AT68" s="182"/>
      <c r="AU68" s="166"/>
      <c r="AV68" s="180"/>
      <c r="AW68" s="182" t="e">
        <f t="shared" si="21"/>
        <v>#N/A</v>
      </c>
      <c r="AX68" s="473"/>
    </row>
    <row r="69" spans="2:50">
      <c r="B69" s="493"/>
      <c r="C69" s="182">
        <v>28</v>
      </c>
      <c r="D69" s="182"/>
      <c r="E69" s="182"/>
      <c r="F69" s="166"/>
      <c r="G69" s="166"/>
      <c r="H69" s="473"/>
      <c r="I69" s="182"/>
      <c r="J69" s="182"/>
      <c r="K69" s="182"/>
      <c r="L69" s="473"/>
      <c r="M69" s="166" t="e">
        <f>RANK(K69, K$42:$K$71)</f>
        <v>#N/A</v>
      </c>
      <c r="N69" s="470"/>
      <c r="O69" s="470"/>
      <c r="P69" s="182"/>
      <c r="Q69" s="166"/>
      <c r="R69" s="180"/>
      <c r="S69" s="182" t="e">
        <f t="shared" si="10"/>
        <v>#N/A</v>
      </c>
      <c r="T69" s="473"/>
      <c r="U69" s="182"/>
      <c r="V69" s="166"/>
      <c r="W69" s="180"/>
      <c r="X69" s="182" t="e">
        <f t="shared" si="11"/>
        <v>#N/A</v>
      </c>
      <c r="Y69" s="473"/>
      <c r="Z69" s="182"/>
      <c r="AA69" s="166"/>
      <c r="AB69" s="180"/>
      <c r="AC69" s="182" t="e">
        <f t="shared" si="13"/>
        <v>#N/A</v>
      </c>
      <c r="AD69" s="473"/>
      <c r="AE69" s="182"/>
      <c r="AF69" s="166"/>
      <c r="AG69" s="180"/>
      <c r="AH69" s="182" t="e">
        <f t="shared" si="15"/>
        <v>#N/A</v>
      </c>
      <c r="AI69" s="473"/>
      <c r="AJ69" s="182"/>
      <c r="AK69" s="166"/>
      <c r="AL69" s="180"/>
      <c r="AM69" s="182" t="e">
        <f t="shared" si="17"/>
        <v>#N/A</v>
      </c>
      <c r="AN69" s="473"/>
      <c r="AO69" s="182"/>
      <c r="AP69" s="166"/>
      <c r="AQ69" s="180"/>
      <c r="AR69" s="182" t="e">
        <f t="shared" si="19"/>
        <v>#N/A</v>
      </c>
      <c r="AS69" s="473"/>
      <c r="AT69" s="182"/>
      <c r="AU69" s="166"/>
      <c r="AV69" s="180"/>
      <c r="AW69" s="182" t="e">
        <f t="shared" si="21"/>
        <v>#N/A</v>
      </c>
      <c r="AX69" s="473"/>
    </row>
    <row r="70" spans="2:50">
      <c r="B70" s="493"/>
      <c r="C70" s="182">
        <v>29</v>
      </c>
      <c r="D70" s="182"/>
      <c r="E70" s="182"/>
      <c r="F70" s="166"/>
      <c r="G70" s="166"/>
      <c r="H70" s="473"/>
      <c r="I70" s="182"/>
      <c r="J70" s="182"/>
      <c r="K70" s="182"/>
      <c r="L70" s="473"/>
      <c r="M70" s="166" t="e">
        <f>RANK(K70, K$42:$K$71)</f>
        <v>#N/A</v>
      </c>
      <c r="N70" s="470"/>
      <c r="O70" s="470"/>
      <c r="P70" s="182"/>
      <c r="Q70" s="166"/>
      <c r="R70" s="180"/>
      <c r="S70" s="182" t="e">
        <f t="shared" si="10"/>
        <v>#N/A</v>
      </c>
      <c r="T70" s="473"/>
      <c r="U70" s="182"/>
      <c r="V70" s="166"/>
      <c r="W70" s="180"/>
      <c r="X70" s="182" t="e">
        <f t="shared" si="11"/>
        <v>#N/A</v>
      </c>
      <c r="Y70" s="473"/>
      <c r="Z70" s="182"/>
      <c r="AA70" s="166"/>
      <c r="AB70" s="180"/>
      <c r="AC70" s="182" t="e">
        <f t="shared" si="13"/>
        <v>#N/A</v>
      </c>
      <c r="AD70" s="473"/>
      <c r="AE70" s="182"/>
      <c r="AF70" s="166"/>
      <c r="AG70" s="180"/>
      <c r="AH70" s="182" t="e">
        <f t="shared" si="15"/>
        <v>#N/A</v>
      </c>
      <c r="AI70" s="473"/>
      <c r="AJ70" s="182"/>
      <c r="AK70" s="166"/>
      <c r="AL70" s="180"/>
      <c r="AM70" s="182" t="e">
        <f t="shared" si="17"/>
        <v>#N/A</v>
      </c>
      <c r="AN70" s="473"/>
      <c r="AO70" s="182"/>
      <c r="AP70" s="166"/>
      <c r="AQ70" s="180"/>
      <c r="AR70" s="182" t="e">
        <f t="shared" si="19"/>
        <v>#N/A</v>
      </c>
      <c r="AS70" s="473"/>
      <c r="AT70" s="182"/>
      <c r="AU70" s="166"/>
      <c r="AV70" s="180"/>
      <c r="AW70" s="182" t="e">
        <f t="shared" si="21"/>
        <v>#N/A</v>
      </c>
      <c r="AX70" s="473"/>
    </row>
    <row r="71" spans="2:50">
      <c r="B71" s="494"/>
      <c r="C71" s="182">
        <v>30</v>
      </c>
      <c r="D71" s="182"/>
      <c r="E71" s="182"/>
      <c r="F71" s="166"/>
      <c r="G71" s="166"/>
      <c r="H71" s="474"/>
      <c r="I71" s="182"/>
      <c r="J71" s="182"/>
      <c r="K71" s="182"/>
      <c r="L71" s="474"/>
      <c r="M71" s="166" t="e">
        <f>RANK(K71, K$42:$K$71)</f>
        <v>#N/A</v>
      </c>
      <c r="N71" s="471"/>
      <c r="O71" s="471"/>
      <c r="P71" s="182"/>
      <c r="Q71" s="166"/>
      <c r="R71" s="180"/>
      <c r="S71" s="182" t="e">
        <f t="shared" si="10"/>
        <v>#N/A</v>
      </c>
      <c r="T71" s="474"/>
      <c r="U71" s="182"/>
      <c r="V71" s="166"/>
      <c r="W71" s="180"/>
      <c r="X71" s="182" t="e">
        <f t="shared" si="11"/>
        <v>#N/A</v>
      </c>
      <c r="Y71" s="474"/>
      <c r="Z71" s="182"/>
      <c r="AA71" s="166"/>
      <c r="AB71" s="180"/>
      <c r="AC71" s="182" t="e">
        <f t="shared" si="13"/>
        <v>#N/A</v>
      </c>
      <c r="AD71" s="474"/>
      <c r="AE71" s="182"/>
      <c r="AF71" s="166"/>
      <c r="AG71" s="180"/>
      <c r="AH71" s="182" t="e">
        <f t="shared" si="15"/>
        <v>#N/A</v>
      </c>
      <c r="AI71" s="474"/>
      <c r="AJ71" s="182"/>
      <c r="AK71" s="166"/>
      <c r="AL71" s="180"/>
      <c r="AM71" s="182" t="e">
        <f t="shared" si="17"/>
        <v>#N/A</v>
      </c>
      <c r="AN71" s="474"/>
      <c r="AO71" s="182"/>
      <c r="AP71" s="166"/>
      <c r="AQ71" s="180"/>
      <c r="AR71" s="182" t="e">
        <f t="shared" si="19"/>
        <v>#N/A</v>
      </c>
      <c r="AS71" s="474"/>
      <c r="AT71" s="182"/>
      <c r="AU71" s="166"/>
      <c r="AV71" s="180"/>
      <c r="AW71" s="182" t="e">
        <f t="shared" si="21"/>
        <v>#N/A</v>
      </c>
      <c r="AX71" s="474"/>
    </row>
    <row r="72" spans="2:50" ht="15.75">
      <c r="B72" s="495" t="s">
        <v>201</v>
      </c>
      <c r="C72" s="496"/>
      <c r="D72" s="496"/>
      <c r="E72" s="496"/>
      <c r="F72" s="496"/>
      <c r="G72" s="496"/>
      <c r="H72" s="496"/>
      <c r="I72" s="186"/>
      <c r="J72" s="183"/>
      <c r="K72" s="186"/>
      <c r="L72" s="186"/>
      <c r="M72" s="178"/>
      <c r="N72" s="469" t="s">
        <v>202</v>
      </c>
      <c r="O72" s="469" t="s">
        <v>150</v>
      </c>
      <c r="P72" s="478">
        <f>P37+7</f>
        <v>46400</v>
      </c>
      <c r="Q72" s="479"/>
      <c r="R72" s="479"/>
      <c r="S72" s="479"/>
      <c r="T72" s="479"/>
      <c r="U72" s="475">
        <f>P72+1</f>
        <v>46401</v>
      </c>
      <c r="V72" s="476"/>
      <c r="W72" s="476"/>
      <c r="X72" s="476"/>
      <c r="Y72" s="477"/>
      <c r="Z72" s="475">
        <f>U72+1</f>
        <v>46402</v>
      </c>
      <c r="AA72" s="476"/>
      <c r="AB72" s="476"/>
      <c r="AC72" s="476"/>
      <c r="AD72" s="477"/>
      <c r="AE72" s="475">
        <f>Z72+1</f>
        <v>46403</v>
      </c>
      <c r="AF72" s="476"/>
      <c r="AG72" s="476"/>
      <c r="AH72" s="476"/>
      <c r="AI72" s="477"/>
      <c r="AJ72" s="475">
        <f>AE72+1</f>
        <v>46404</v>
      </c>
      <c r="AK72" s="476"/>
      <c r="AL72" s="476"/>
      <c r="AM72" s="476"/>
      <c r="AN72" s="477"/>
      <c r="AO72" s="475">
        <f>AJ72+1</f>
        <v>46405</v>
      </c>
      <c r="AP72" s="476"/>
      <c r="AQ72" s="476"/>
      <c r="AR72" s="476"/>
      <c r="AS72" s="477"/>
      <c r="AT72" s="475">
        <f>AO72+1</f>
        <v>46406</v>
      </c>
      <c r="AU72" s="476"/>
      <c r="AV72" s="476"/>
      <c r="AW72" s="476"/>
      <c r="AX72" s="477"/>
    </row>
    <row r="73" spans="2:50" ht="15.75">
      <c r="B73" s="482"/>
      <c r="C73" s="482"/>
      <c r="D73" s="482"/>
      <c r="E73" s="482"/>
      <c r="F73" s="482"/>
      <c r="G73" s="482"/>
      <c r="H73" s="482"/>
      <c r="I73" s="184"/>
      <c r="J73" s="184"/>
      <c r="K73" s="184"/>
      <c r="L73" s="184"/>
      <c r="M73" s="179"/>
      <c r="N73" s="471"/>
      <c r="O73" s="471"/>
      <c r="P73" s="478" t="s">
        <v>203</v>
      </c>
      <c r="Q73" s="479"/>
      <c r="R73" s="479"/>
      <c r="S73" s="479"/>
      <c r="T73" s="479"/>
      <c r="U73" s="478" t="s">
        <v>204</v>
      </c>
      <c r="V73" s="479"/>
      <c r="W73" s="479"/>
      <c r="X73" s="479"/>
      <c r="Y73" s="479"/>
      <c r="Z73" s="478" t="s">
        <v>205</v>
      </c>
      <c r="AA73" s="479"/>
      <c r="AB73" s="479"/>
      <c r="AC73" s="479"/>
      <c r="AD73" s="479"/>
      <c r="AE73" s="478" t="s">
        <v>206</v>
      </c>
      <c r="AF73" s="479"/>
      <c r="AG73" s="479"/>
      <c r="AH73" s="479"/>
      <c r="AI73" s="479"/>
      <c r="AJ73" s="478" t="s">
        <v>207</v>
      </c>
      <c r="AK73" s="479"/>
      <c r="AL73" s="479"/>
      <c r="AM73" s="479"/>
      <c r="AN73" s="479"/>
      <c r="AO73" s="478" t="s">
        <v>157</v>
      </c>
      <c r="AP73" s="479"/>
      <c r="AQ73" s="479"/>
      <c r="AR73" s="479"/>
      <c r="AS73" s="479"/>
      <c r="AT73" s="478" t="s">
        <v>208</v>
      </c>
      <c r="AU73" s="479"/>
      <c r="AV73" s="479"/>
      <c r="AW73" s="479"/>
      <c r="AX73" s="479"/>
    </row>
    <row r="74" spans="2:50">
      <c r="B74" s="469" t="s">
        <v>209</v>
      </c>
      <c r="C74" s="463" t="s">
        <v>210</v>
      </c>
      <c r="D74" s="483"/>
      <c r="E74" s="466" t="s">
        <v>211</v>
      </c>
      <c r="F74" s="467"/>
      <c r="G74" s="468"/>
      <c r="H74" s="469" t="s">
        <v>212</v>
      </c>
      <c r="I74" s="466" t="s">
        <v>213</v>
      </c>
      <c r="J74" s="467"/>
      <c r="K74" s="468"/>
      <c r="L74" s="469" t="s">
        <v>212</v>
      </c>
      <c r="M74" s="469" t="s">
        <v>214</v>
      </c>
      <c r="N74" s="469"/>
      <c r="O74" s="469" t="s">
        <v>215</v>
      </c>
      <c r="P74" s="466" t="s">
        <v>216</v>
      </c>
      <c r="Q74" s="467"/>
      <c r="R74" s="467"/>
      <c r="S74" s="468"/>
      <c r="T74" s="469" t="s">
        <v>212</v>
      </c>
      <c r="U74" s="466" t="s">
        <v>216</v>
      </c>
      <c r="V74" s="467"/>
      <c r="W74" s="467"/>
      <c r="X74" s="468"/>
      <c r="Y74" s="469" t="s">
        <v>212</v>
      </c>
      <c r="Z74" s="466" t="s">
        <v>216</v>
      </c>
      <c r="AA74" s="467"/>
      <c r="AB74" s="467"/>
      <c r="AC74" s="468"/>
      <c r="AD74" s="469" t="s">
        <v>212</v>
      </c>
      <c r="AE74" s="466" t="s">
        <v>216</v>
      </c>
      <c r="AF74" s="467"/>
      <c r="AG74" s="467"/>
      <c r="AH74" s="468"/>
      <c r="AI74" s="469" t="s">
        <v>212</v>
      </c>
      <c r="AJ74" s="466" t="s">
        <v>216</v>
      </c>
      <c r="AK74" s="467"/>
      <c r="AL74" s="467"/>
      <c r="AM74" s="468"/>
      <c r="AN74" s="469" t="s">
        <v>212</v>
      </c>
      <c r="AO74" s="466" t="s">
        <v>216</v>
      </c>
      <c r="AP74" s="467"/>
      <c r="AQ74" s="467"/>
      <c r="AR74" s="468"/>
      <c r="AS74" s="469" t="s">
        <v>212</v>
      </c>
      <c r="AT74" s="466" t="s">
        <v>216</v>
      </c>
      <c r="AU74" s="467"/>
      <c r="AV74" s="467"/>
      <c r="AW74" s="468"/>
      <c r="AX74" s="469" t="s">
        <v>212</v>
      </c>
    </row>
    <row r="75" spans="2:50">
      <c r="B75" s="470"/>
      <c r="C75" s="464"/>
      <c r="D75" s="484"/>
      <c r="E75" s="466" t="s">
        <v>217</v>
      </c>
      <c r="F75" s="467"/>
      <c r="G75" s="468"/>
      <c r="H75" s="470"/>
      <c r="I75" s="466" t="s">
        <v>217</v>
      </c>
      <c r="J75" s="467"/>
      <c r="K75" s="468"/>
      <c r="L75" s="470"/>
      <c r="M75" s="470"/>
      <c r="N75" s="470"/>
      <c r="O75" s="470"/>
      <c r="P75" s="466" t="s">
        <v>218</v>
      </c>
      <c r="Q75" s="467"/>
      <c r="R75" s="467"/>
      <c r="S75" s="468"/>
      <c r="T75" s="470"/>
      <c r="U75" s="466" t="s">
        <v>218</v>
      </c>
      <c r="V75" s="467"/>
      <c r="W75" s="467"/>
      <c r="X75" s="468"/>
      <c r="Y75" s="470"/>
      <c r="Z75" s="466" t="s">
        <v>218</v>
      </c>
      <c r="AA75" s="467"/>
      <c r="AB75" s="467"/>
      <c r="AC75" s="468"/>
      <c r="AD75" s="470"/>
      <c r="AE75" s="466" t="s">
        <v>218</v>
      </c>
      <c r="AF75" s="467"/>
      <c r="AG75" s="467"/>
      <c r="AH75" s="468"/>
      <c r="AI75" s="470"/>
      <c r="AJ75" s="466" t="s">
        <v>218</v>
      </c>
      <c r="AK75" s="467"/>
      <c r="AL75" s="467"/>
      <c r="AM75" s="468"/>
      <c r="AN75" s="470"/>
      <c r="AO75" s="466" t="s">
        <v>218</v>
      </c>
      <c r="AP75" s="467"/>
      <c r="AQ75" s="467"/>
      <c r="AR75" s="468"/>
      <c r="AS75" s="470"/>
      <c r="AT75" s="466" t="s">
        <v>218</v>
      </c>
      <c r="AU75" s="467"/>
      <c r="AV75" s="467"/>
      <c r="AW75" s="468"/>
      <c r="AX75" s="470"/>
    </row>
    <row r="76" spans="2:50">
      <c r="B76" s="471"/>
      <c r="C76" s="465"/>
      <c r="D76" s="485"/>
      <c r="E76" s="271" t="s">
        <v>219</v>
      </c>
      <c r="F76" s="271" t="s">
        <v>220</v>
      </c>
      <c r="G76" s="271" t="s">
        <v>221</v>
      </c>
      <c r="H76" s="471"/>
      <c r="I76" s="271" t="s">
        <v>219</v>
      </c>
      <c r="J76" s="271" t="s">
        <v>220</v>
      </c>
      <c r="K76" s="271" t="s">
        <v>221</v>
      </c>
      <c r="L76" s="471"/>
      <c r="M76" s="471"/>
      <c r="N76" s="470"/>
      <c r="O76" s="470"/>
      <c r="P76" s="271" t="s">
        <v>219</v>
      </c>
      <c r="Q76" s="271" t="s">
        <v>220</v>
      </c>
      <c r="R76" s="271" t="s">
        <v>221</v>
      </c>
      <c r="S76" s="271" t="s">
        <v>214</v>
      </c>
      <c r="T76" s="471"/>
      <c r="U76" s="271" t="s">
        <v>219</v>
      </c>
      <c r="V76" s="271" t="s">
        <v>220</v>
      </c>
      <c r="W76" s="271" t="s">
        <v>221</v>
      </c>
      <c r="X76" s="271" t="s">
        <v>214</v>
      </c>
      <c r="Y76" s="471"/>
      <c r="Z76" s="271" t="s">
        <v>219</v>
      </c>
      <c r="AA76" s="271" t="s">
        <v>220</v>
      </c>
      <c r="AB76" s="271" t="s">
        <v>221</v>
      </c>
      <c r="AC76" s="271" t="s">
        <v>214</v>
      </c>
      <c r="AD76" s="471"/>
      <c r="AE76" s="271" t="s">
        <v>219</v>
      </c>
      <c r="AF76" s="271" t="s">
        <v>220</v>
      </c>
      <c r="AG76" s="271" t="s">
        <v>221</v>
      </c>
      <c r="AH76" s="271" t="s">
        <v>214</v>
      </c>
      <c r="AI76" s="471"/>
      <c r="AJ76" s="271" t="s">
        <v>219</v>
      </c>
      <c r="AK76" s="271" t="s">
        <v>220</v>
      </c>
      <c r="AL76" s="271" t="s">
        <v>221</v>
      </c>
      <c r="AM76" s="271" t="s">
        <v>214</v>
      </c>
      <c r="AN76" s="471"/>
      <c r="AO76" s="271" t="s">
        <v>219</v>
      </c>
      <c r="AP76" s="271" t="s">
        <v>220</v>
      </c>
      <c r="AQ76" s="271" t="s">
        <v>221</v>
      </c>
      <c r="AR76" s="271" t="s">
        <v>214</v>
      </c>
      <c r="AS76" s="471"/>
      <c r="AT76" s="271" t="s">
        <v>219</v>
      </c>
      <c r="AU76" s="271" t="s">
        <v>220</v>
      </c>
      <c r="AV76" s="271" t="s">
        <v>221</v>
      </c>
      <c r="AW76" s="271" t="s">
        <v>214</v>
      </c>
      <c r="AX76" s="471"/>
    </row>
    <row r="77" spans="2:50">
      <c r="B77" s="492" t="s">
        <v>245</v>
      </c>
      <c r="C77" s="182">
        <v>1</v>
      </c>
      <c r="D77" s="182" t="s">
        <v>223</v>
      </c>
      <c r="E77" s="182">
        <v>4</v>
      </c>
      <c r="F77" s="182">
        <v>2200</v>
      </c>
      <c r="G77" s="182">
        <v>550</v>
      </c>
      <c r="H77" s="472">
        <f>AVERAGE(G77:G106)</f>
        <v>845.28985507246387</v>
      </c>
      <c r="I77" s="166">
        <f t="shared" ref="I77:K92" si="26">AVERAGE(P77,U77,Z77,AE77,AJ77,AO77,AT77)</f>
        <v>3</v>
      </c>
      <c r="J77" s="166">
        <f t="shared" si="26"/>
        <v>3212.7346120686962</v>
      </c>
      <c r="K77" s="180">
        <f t="shared" si="26"/>
        <v>1070.911537356232</v>
      </c>
      <c r="L77" s="472">
        <f>IFERROR(AVERAGE(K77:K106),"-")</f>
        <v>798.9954594687166</v>
      </c>
      <c r="M77" s="166">
        <f>RANK(K77, K$77:$K$106)</f>
        <v>1</v>
      </c>
      <c r="N77" s="470"/>
      <c r="O77" s="470"/>
      <c r="P77" s="166">
        <v>3</v>
      </c>
      <c r="Q77" s="166">
        <v>3163.4042553191498</v>
      </c>
      <c r="R77" s="166">
        <v>1054.4680851063833</v>
      </c>
      <c r="S77" s="182">
        <f>RANK(R77, R$77:R$106)</f>
        <v>2</v>
      </c>
      <c r="T77" s="472">
        <f>AVERAGE(R77:R106)</f>
        <v>791.78293122534876</v>
      </c>
      <c r="U77" s="166">
        <v>3</v>
      </c>
      <c r="V77" s="166">
        <v>3159.5744680851067</v>
      </c>
      <c r="W77" s="166">
        <v>1053.1914893617022</v>
      </c>
      <c r="X77" s="182">
        <f t="shared" ref="X77:X92" si="27">RANK(W77, W$77:W$106)</f>
        <v>4</v>
      </c>
      <c r="Y77" s="472">
        <f t="shared" ref="Y77" si="28">AVERAGE(W77:W106)</f>
        <v>797.66164005296025</v>
      </c>
      <c r="Z77" s="166">
        <v>3</v>
      </c>
      <c r="AA77" s="166">
        <v>3250.0000000000055</v>
      </c>
      <c r="AB77" s="166">
        <v>1083.3333333333351</v>
      </c>
      <c r="AC77" s="182">
        <f t="shared" ref="AC77:AC92" si="29">RANK(AB77, AB$77:AB$106)</f>
        <v>3</v>
      </c>
      <c r="AD77" s="472">
        <f t="shared" ref="AD77" si="30">AVERAGE(AB77:AB106)</f>
        <v>813.27055670437358</v>
      </c>
      <c r="AE77" s="166">
        <v>3</v>
      </c>
      <c r="AF77" s="166">
        <v>3145.7142857142908</v>
      </c>
      <c r="AG77" s="166">
        <v>1048.5714285714303</v>
      </c>
      <c r="AH77" s="182">
        <f t="shared" ref="AH77:AH92" si="31">RANK(AG77, AG$77:AG$106)</f>
        <v>5</v>
      </c>
      <c r="AI77" s="472">
        <f t="shared" ref="AI77" si="32">AVERAGE(AG77:AG106)</f>
        <v>770.91583246271114</v>
      </c>
      <c r="AJ77" s="166">
        <v>3</v>
      </c>
      <c r="AK77" s="166">
        <v>3248.9999999999986</v>
      </c>
      <c r="AL77" s="166">
        <v>1082.9999999999995</v>
      </c>
      <c r="AM77" s="182">
        <f t="shared" ref="AM77:AM92" si="33">RANK(AL77, AL$77:AL$106)</f>
        <v>2</v>
      </c>
      <c r="AN77" s="472">
        <f t="shared" ref="AN77" si="34">AVERAGE(AL77:AL106)</f>
        <v>802.28817993857308</v>
      </c>
      <c r="AO77" s="166">
        <v>3</v>
      </c>
      <c r="AP77" s="166">
        <v>3234.782608695652</v>
      </c>
      <c r="AQ77" s="166">
        <v>1078.2608695652173</v>
      </c>
      <c r="AR77" s="182">
        <f t="shared" ref="AR77:AR92" si="35">RANK(AQ77, AQ$77:AQ$106)</f>
        <v>4</v>
      </c>
      <c r="AS77" s="472">
        <f t="shared" ref="AS77" si="36">AVERAGE(AQ77:AQ106)</f>
        <v>807.30632156839147</v>
      </c>
      <c r="AT77" s="166">
        <v>3</v>
      </c>
      <c r="AU77" s="166">
        <v>3286.6666666666665</v>
      </c>
      <c r="AV77" s="166">
        <v>1095.5555555555554</v>
      </c>
      <c r="AW77" s="182">
        <f t="shared" ref="AW77:AW92" si="37">RANK(AV77, AV$77:AV$106)</f>
        <v>1</v>
      </c>
      <c r="AX77" s="472">
        <f t="shared" ref="AX77" si="38">AVERAGE(AV77:AV106)</f>
        <v>809.74275432865829</v>
      </c>
    </row>
    <row r="78" spans="2:50">
      <c r="B78" s="493"/>
      <c r="C78" s="182">
        <v>2</v>
      </c>
      <c r="D78" s="182" t="s">
        <v>224</v>
      </c>
      <c r="E78" s="182">
        <v>3</v>
      </c>
      <c r="F78" s="182">
        <v>2700</v>
      </c>
      <c r="G78" s="182">
        <v>900</v>
      </c>
      <c r="H78" s="473"/>
      <c r="I78" s="166">
        <f t="shared" si="26"/>
        <v>3</v>
      </c>
      <c r="J78" s="166">
        <f t="shared" si="26"/>
        <v>3190.0742115027856</v>
      </c>
      <c r="K78" s="180">
        <f t="shared" si="26"/>
        <v>1063.3580705009288</v>
      </c>
      <c r="L78" s="473"/>
      <c r="M78" s="166">
        <f>RANK(K78, K$77:$K$106)</f>
        <v>3</v>
      </c>
      <c r="N78" s="470"/>
      <c r="O78" s="470"/>
      <c r="P78" s="166">
        <v>3</v>
      </c>
      <c r="Q78" s="166">
        <v>2720.0000000000036</v>
      </c>
      <c r="R78" s="166">
        <v>906.66666666666788</v>
      </c>
      <c r="S78" s="182">
        <f t="shared" ref="S78:S106" si="39">RANK(R78, R$77:R$106)</f>
        <v>7</v>
      </c>
      <c r="T78" s="473"/>
      <c r="U78" s="166">
        <v>3</v>
      </c>
      <c r="V78" s="166">
        <v>3199.9999999999941</v>
      </c>
      <c r="W78" s="166">
        <v>1066.6666666666647</v>
      </c>
      <c r="X78" s="182">
        <f t="shared" si="27"/>
        <v>2</v>
      </c>
      <c r="Y78" s="473"/>
      <c r="Z78" s="166">
        <v>3</v>
      </c>
      <c r="AA78" s="166">
        <v>3309.2307692307609</v>
      </c>
      <c r="AB78" s="166">
        <v>1103.0769230769204</v>
      </c>
      <c r="AC78" s="182">
        <f t="shared" si="29"/>
        <v>2</v>
      </c>
      <c r="AD78" s="473"/>
      <c r="AE78" s="166">
        <v>3</v>
      </c>
      <c r="AF78" s="166">
        <v>3170.7692307692419</v>
      </c>
      <c r="AG78" s="166">
        <v>1056.9230769230805</v>
      </c>
      <c r="AH78" s="182">
        <f t="shared" si="31"/>
        <v>2</v>
      </c>
      <c r="AI78" s="473"/>
      <c r="AJ78" s="166">
        <v>3</v>
      </c>
      <c r="AK78" s="166">
        <v>3409.0909090909213</v>
      </c>
      <c r="AL78" s="166">
        <v>1136.3636363636404</v>
      </c>
      <c r="AM78" s="182">
        <f t="shared" si="33"/>
        <v>1</v>
      </c>
      <c r="AN78" s="473"/>
      <c r="AO78" s="166">
        <v>3</v>
      </c>
      <c r="AP78" s="166">
        <v>3259.9999999999941</v>
      </c>
      <c r="AQ78" s="166">
        <v>1086.6666666666647</v>
      </c>
      <c r="AR78" s="182">
        <f t="shared" si="35"/>
        <v>1</v>
      </c>
      <c r="AS78" s="473"/>
      <c r="AT78" s="166">
        <v>3</v>
      </c>
      <c r="AU78" s="166">
        <v>3261.4285714285834</v>
      </c>
      <c r="AV78" s="166">
        <v>1087.1428571428612</v>
      </c>
      <c r="AW78" s="182">
        <f t="shared" si="37"/>
        <v>3</v>
      </c>
      <c r="AX78" s="473"/>
    </row>
    <row r="79" spans="2:50">
      <c r="B79" s="493"/>
      <c r="C79" s="182">
        <v>3</v>
      </c>
      <c r="D79" s="182" t="s">
        <v>225</v>
      </c>
      <c r="E79" s="182">
        <v>4</v>
      </c>
      <c r="F79" s="182">
        <v>3600</v>
      </c>
      <c r="G79" s="182">
        <v>900</v>
      </c>
      <c r="H79" s="473"/>
      <c r="I79" s="166">
        <f t="shared" si="26"/>
        <v>4</v>
      </c>
      <c r="J79" s="166">
        <f t="shared" si="26"/>
        <v>3258.6389786683894</v>
      </c>
      <c r="K79" s="180">
        <f t="shared" si="26"/>
        <v>814.65974466709736</v>
      </c>
      <c r="L79" s="473"/>
      <c r="M79" s="166">
        <f>RANK(K79, K$77:$K$106)</f>
        <v>11</v>
      </c>
      <c r="N79" s="470"/>
      <c r="O79" s="470"/>
      <c r="P79" s="166">
        <v>4</v>
      </c>
      <c r="Q79" s="166">
        <v>3374.1176470588193</v>
      </c>
      <c r="R79" s="166">
        <v>843.52941176470483</v>
      </c>
      <c r="S79" s="182">
        <f t="shared" si="39"/>
        <v>11</v>
      </c>
      <c r="T79" s="473"/>
      <c r="U79" s="166">
        <v>4</v>
      </c>
      <c r="V79" s="166">
        <v>3187.0588235294153</v>
      </c>
      <c r="W79" s="166">
        <v>796.76470588235384</v>
      </c>
      <c r="X79" s="182">
        <f t="shared" si="27"/>
        <v>10</v>
      </c>
      <c r="Y79" s="473"/>
      <c r="Z79" s="166">
        <v>4</v>
      </c>
      <c r="AA79" s="166">
        <v>3228.7499999999959</v>
      </c>
      <c r="AB79" s="166">
        <v>807.18749999999898</v>
      </c>
      <c r="AC79" s="182">
        <f t="shared" si="29"/>
        <v>12</v>
      </c>
      <c r="AD79" s="473"/>
      <c r="AE79" s="166">
        <v>4</v>
      </c>
      <c r="AF79" s="166">
        <v>3131.9999999999945</v>
      </c>
      <c r="AG79" s="166">
        <v>782.99999999999864</v>
      </c>
      <c r="AH79" s="182">
        <f t="shared" si="31"/>
        <v>11</v>
      </c>
      <c r="AI79" s="473"/>
      <c r="AJ79" s="166">
        <v>4</v>
      </c>
      <c r="AK79" s="166">
        <v>3355.3846153846271</v>
      </c>
      <c r="AL79" s="166">
        <v>838.84615384615677</v>
      </c>
      <c r="AM79" s="182">
        <f t="shared" si="33"/>
        <v>11</v>
      </c>
      <c r="AN79" s="473"/>
      <c r="AO79" s="166">
        <v>4</v>
      </c>
      <c r="AP79" s="166">
        <v>3229.4117647058706</v>
      </c>
      <c r="AQ79" s="166">
        <v>807.35294117646765</v>
      </c>
      <c r="AR79" s="182">
        <f t="shared" si="35"/>
        <v>12</v>
      </c>
      <c r="AS79" s="473"/>
      <c r="AT79" s="166">
        <v>4</v>
      </c>
      <c r="AU79" s="166">
        <v>3303.7500000000036</v>
      </c>
      <c r="AV79" s="166">
        <v>825.93750000000091</v>
      </c>
      <c r="AW79" s="182">
        <f t="shared" si="37"/>
        <v>11</v>
      </c>
      <c r="AX79" s="473"/>
    </row>
    <row r="80" spans="2:50">
      <c r="B80" s="493"/>
      <c r="C80" s="182">
        <v>4</v>
      </c>
      <c r="D80" s="182" t="s">
        <v>226</v>
      </c>
      <c r="E80" s="182">
        <v>3</v>
      </c>
      <c r="F80" s="182">
        <v>3600</v>
      </c>
      <c r="G80" s="182">
        <v>1200</v>
      </c>
      <c r="H80" s="473"/>
      <c r="I80" s="166">
        <f t="shared" si="26"/>
        <v>3</v>
      </c>
      <c r="J80" s="166">
        <f t="shared" si="26"/>
        <v>3201.1146563855664</v>
      </c>
      <c r="K80" s="180">
        <f t="shared" si="26"/>
        <v>1067.0382187951889</v>
      </c>
      <c r="L80" s="473"/>
      <c r="M80" s="166">
        <f>RANK(K80, K$77:$K$106)</f>
        <v>2</v>
      </c>
      <c r="N80" s="470"/>
      <c r="O80" s="470"/>
      <c r="P80" s="166">
        <v>3</v>
      </c>
      <c r="Q80" s="166">
        <v>3185.4545454545414</v>
      </c>
      <c r="R80" s="166">
        <v>1061.8181818181804</v>
      </c>
      <c r="S80" s="182">
        <f t="shared" si="39"/>
        <v>1</v>
      </c>
      <c r="T80" s="473"/>
      <c r="U80" s="166">
        <v>3</v>
      </c>
      <c r="V80" s="166">
        <v>3167.8124999999991</v>
      </c>
      <c r="W80" s="166">
        <v>1055.9374999999998</v>
      </c>
      <c r="X80" s="182">
        <f t="shared" si="27"/>
        <v>3</v>
      </c>
      <c r="Y80" s="473"/>
      <c r="Z80" s="166">
        <v>3</v>
      </c>
      <c r="AA80" s="166">
        <v>3183.9344262295072</v>
      </c>
      <c r="AB80" s="166">
        <v>1061.3114754098358</v>
      </c>
      <c r="AC80" s="182">
        <f t="shared" si="29"/>
        <v>4</v>
      </c>
      <c r="AD80" s="473"/>
      <c r="AE80" s="166">
        <v>3</v>
      </c>
      <c r="AF80" s="166">
        <v>3163.448275862067</v>
      </c>
      <c r="AG80" s="166">
        <v>1054.4827586206891</v>
      </c>
      <c r="AH80" s="182">
        <f t="shared" si="31"/>
        <v>3</v>
      </c>
      <c r="AI80" s="473"/>
      <c r="AJ80" s="166">
        <v>3</v>
      </c>
      <c r="AK80" s="166">
        <v>3214.2857142857119</v>
      </c>
      <c r="AL80" s="166">
        <v>1071.4285714285706</v>
      </c>
      <c r="AM80" s="182">
        <f t="shared" si="33"/>
        <v>4</v>
      </c>
      <c r="AN80" s="473"/>
      <c r="AO80" s="166">
        <v>3</v>
      </c>
      <c r="AP80" s="166">
        <v>3249.2307692307727</v>
      </c>
      <c r="AQ80" s="166">
        <v>1083.0769230769242</v>
      </c>
      <c r="AR80" s="182">
        <f t="shared" si="35"/>
        <v>2</v>
      </c>
      <c r="AS80" s="473"/>
      <c r="AT80" s="166">
        <v>3</v>
      </c>
      <c r="AU80" s="166">
        <v>3243.6363636363672</v>
      </c>
      <c r="AV80" s="166">
        <v>1081.2121212121224</v>
      </c>
      <c r="AW80" s="182">
        <f t="shared" si="37"/>
        <v>4</v>
      </c>
      <c r="AX80" s="473"/>
    </row>
    <row r="81" spans="2:50">
      <c r="B81" s="493"/>
      <c r="C81" s="182">
        <v>5</v>
      </c>
      <c r="D81" s="182" t="s">
        <v>227</v>
      </c>
      <c r="E81" s="182">
        <v>3</v>
      </c>
      <c r="F81" s="182">
        <v>3600</v>
      </c>
      <c r="G81" s="182">
        <v>1200</v>
      </c>
      <c r="H81" s="473"/>
      <c r="I81" s="166">
        <f t="shared" si="26"/>
        <v>4</v>
      </c>
      <c r="J81" s="166">
        <f t="shared" si="26"/>
        <v>3293.5338280766846</v>
      </c>
      <c r="K81" s="180">
        <f t="shared" si="26"/>
        <v>823.38345701917115</v>
      </c>
      <c r="L81" s="473"/>
      <c r="M81" s="166">
        <f>RANK(K81, K$77:$K$106)</f>
        <v>10</v>
      </c>
      <c r="N81" s="470"/>
      <c r="O81" s="470"/>
      <c r="P81" s="166">
        <v>4</v>
      </c>
      <c r="Q81" s="166">
        <v>3397.7777777777746</v>
      </c>
      <c r="R81" s="166">
        <v>849.44444444444366</v>
      </c>
      <c r="S81" s="182">
        <f t="shared" si="39"/>
        <v>10</v>
      </c>
      <c r="T81" s="473"/>
      <c r="U81" s="166">
        <v>4</v>
      </c>
      <c r="V81" s="166">
        <v>3152.1428571428596</v>
      </c>
      <c r="W81" s="166">
        <v>788.0357142857149</v>
      </c>
      <c r="X81" s="182">
        <f t="shared" si="27"/>
        <v>11</v>
      </c>
      <c r="Y81" s="473"/>
      <c r="Z81" s="166">
        <v>4</v>
      </c>
      <c r="AA81" s="166">
        <v>3328.8000000000011</v>
      </c>
      <c r="AB81" s="166">
        <v>832.20000000000027</v>
      </c>
      <c r="AC81" s="182">
        <f t="shared" si="29"/>
        <v>11</v>
      </c>
      <c r="AD81" s="473"/>
      <c r="AE81" s="166">
        <v>4</v>
      </c>
      <c r="AF81" s="166">
        <v>3194.400000000001</v>
      </c>
      <c r="AG81" s="166">
        <v>798.60000000000025</v>
      </c>
      <c r="AH81" s="182">
        <f t="shared" si="31"/>
        <v>9</v>
      </c>
      <c r="AI81" s="473"/>
      <c r="AJ81" s="166">
        <v>4</v>
      </c>
      <c r="AK81" s="166">
        <v>3452.7272727272662</v>
      </c>
      <c r="AL81" s="166">
        <v>863.18181818181654</v>
      </c>
      <c r="AM81" s="182">
        <f t="shared" si="33"/>
        <v>9</v>
      </c>
      <c r="AN81" s="473"/>
      <c r="AO81" s="166">
        <v>4</v>
      </c>
      <c r="AP81" s="166">
        <v>3297.7777777777792</v>
      </c>
      <c r="AQ81" s="166">
        <v>824.4444444444448</v>
      </c>
      <c r="AR81" s="182">
        <f t="shared" si="35"/>
        <v>10</v>
      </c>
      <c r="AS81" s="473"/>
      <c r="AT81" s="166">
        <v>4</v>
      </c>
      <c r="AU81" s="166">
        <v>3231.1111111111131</v>
      </c>
      <c r="AV81" s="166">
        <v>807.77777777777828</v>
      </c>
      <c r="AW81" s="182">
        <f t="shared" si="37"/>
        <v>12</v>
      </c>
      <c r="AX81" s="473"/>
    </row>
    <row r="82" spans="2:50">
      <c r="B82" s="493"/>
      <c r="C82" s="182">
        <v>6</v>
      </c>
      <c r="D82" s="182" t="s">
        <v>228</v>
      </c>
      <c r="E82" s="182">
        <v>4</v>
      </c>
      <c r="F82" s="182">
        <v>3600</v>
      </c>
      <c r="G82" s="182">
        <v>900</v>
      </c>
      <c r="H82" s="473"/>
      <c r="I82" s="166">
        <f t="shared" si="26"/>
        <v>4</v>
      </c>
      <c r="J82" s="166">
        <f t="shared" si="26"/>
        <v>3313.7265591551331</v>
      </c>
      <c r="K82" s="180">
        <f t="shared" si="26"/>
        <v>828.43163978878329</v>
      </c>
      <c r="L82" s="473"/>
      <c r="M82" s="166">
        <f>RANK(K82, K$77:$K$106)</f>
        <v>9</v>
      </c>
      <c r="N82" s="470"/>
      <c r="O82" s="470"/>
      <c r="P82" s="166">
        <v>4</v>
      </c>
      <c r="Q82" s="166">
        <v>3452.3076923076942</v>
      </c>
      <c r="R82" s="166">
        <v>863.07692307692355</v>
      </c>
      <c r="S82" s="182">
        <f t="shared" si="39"/>
        <v>8</v>
      </c>
      <c r="T82" s="473"/>
      <c r="U82" s="166">
        <v>4</v>
      </c>
      <c r="V82" s="166">
        <v>3051.4285714285738</v>
      </c>
      <c r="W82" s="166">
        <v>762.85714285714346</v>
      </c>
      <c r="X82" s="182">
        <f t="shared" si="27"/>
        <v>14</v>
      </c>
      <c r="Y82" s="473"/>
      <c r="Z82" s="166">
        <v>4</v>
      </c>
      <c r="AA82" s="166">
        <v>3518.181818181818</v>
      </c>
      <c r="AB82" s="166">
        <v>879.5454545454545</v>
      </c>
      <c r="AC82" s="182">
        <f t="shared" si="29"/>
        <v>10</v>
      </c>
      <c r="AD82" s="473"/>
      <c r="AE82" s="166">
        <v>4</v>
      </c>
      <c r="AF82" s="166">
        <v>3169.090909090909</v>
      </c>
      <c r="AG82" s="166">
        <v>792.27272727272725</v>
      </c>
      <c r="AH82" s="182">
        <f t="shared" si="31"/>
        <v>10</v>
      </c>
      <c r="AI82" s="473"/>
      <c r="AJ82" s="166">
        <v>4</v>
      </c>
      <c r="AK82" s="166">
        <v>3342.0000000000118</v>
      </c>
      <c r="AL82" s="166">
        <v>835.50000000000296</v>
      </c>
      <c r="AM82" s="182">
        <f t="shared" si="33"/>
        <v>12</v>
      </c>
      <c r="AN82" s="473"/>
      <c r="AO82" s="166">
        <v>4</v>
      </c>
      <c r="AP82" s="166">
        <v>3263.0769230769247</v>
      </c>
      <c r="AQ82" s="166">
        <v>815.76923076923117</v>
      </c>
      <c r="AR82" s="182">
        <f t="shared" si="35"/>
        <v>11</v>
      </c>
      <c r="AS82" s="473"/>
      <c r="AT82" s="166">
        <v>4</v>
      </c>
      <c r="AU82" s="166">
        <v>3400.0000000000009</v>
      </c>
      <c r="AV82" s="166">
        <v>850.00000000000023</v>
      </c>
      <c r="AW82" s="182">
        <f t="shared" si="37"/>
        <v>9</v>
      </c>
      <c r="AX82" s="473"/>
    </row>
    <row r="83" spans="2:50">
      <c r="B83" s="493"/>
      <c r="C83" s="182">
        <v>7</v>
      </c>
      <c r="D83" s="182" t="s">
        <v>229</v>
      </c>
      <c r="E83" s="182">
        <v>4</v>
      </c>
      <c r="F83" s="182">
        <v>3600</v>
      </c>
      <c r="G83" s="182">
        <v>900</v>
      </c>
      <c r="H83" s="473"/>
      <c r="I83" s="166">
        <f t="shared" si="26"/>
        <v>4</v>
      </c>
      <c r="J83" s="166">
        <f t="shared" si="26"/>
        <v>3245.3775510204168</v>
      </c>
      <c r="K83" s="180">
        <f t="shared" si="26"/>
        <v>811.34438775510421</v>
      </c>
      <c r="L83" s="473"/>
      <c r="M83" s="166">
        <f>RANK(K83, K$77:$K$106)</f>
        <v>12</v>
      </c>
      <c r="N83" s="470"/>
      <c r="O83" s="470"/>
      <c r="P83" s="166">
        <v>4</v>
      </c>
      <c r="Q83" s="166">
        <v>3282.8571428571358</v>
      </c>
      <c r="R83" s="166">
        <v>820.71428571428396</v>
      </c>
      <c r="S83" s="182">
        <f t="shared" si="39"/>
        <v>13</v>
      </c>
      <c r="T83" s="473"/>
      <c r="U83" s="166">
        <v>4</v>
      </c>
      <c r="V83" s="166">
        <v>3094.2857142857251</v>
      </c>
      <c r="W83" s="166">
        <v>773.57142857143128</v>
      </c>
      <c r="X83" s="182">
        <f t="shared" si="27"/>
        <v>12</v>
      </c>
      <c r="Y83" s="473"/>
      <c r="Z83" s="166">
        <v>4</v>
      </c>
      <c r="AA83" s="166">
        <v>3744.0000000000132</v>
      </c>
      <c r="AB83" s="166">
        <v>936.0000000000033</v>
      </c>
      <c r="AC83" s="182">
        <f t="shared" si="29"/>
        <v>8</v>
      </c>
      <c r="AD83" s="473"/>
      <c r="AE83" s="166">
        <v>4</v>
      </c>
      <c r="AF83" s="166">
        <v>2242.5000000000082</v>
      </c>
      <c r="AG83" s="166">
        <v>560.62500000000205</v>
      </c>
      <c r="AH83" s="182">
        <f t="shared" si="31"/>
        <v>20</v>
      </c>
      <c r="AI83" s="473"/>
      <c r="AJ83" s="166">
        <v>4</v>
      </c>
      <c r="AK83" s="166">
        <v>3444.0000000000123</v>
      </c>
      <c r="AL83" s="166">
        <v>861.00000000000307</v>
      </c>
      <c r="AM83" s="182">
        <f t="shared" si="33"/>
        <v>10</v>
      </c>
      <c r="AN83" s="473"/>
      <c r="AO83" s="166">
        <v>4</v>
      </c>
      <c r="AP83" s="166">
        <v>3540.0000000000127</v>
      </c>
      <c r="AQ83" s="166">
        <v>885.00000000000318</v>
      </c>
      <c r="AR83" s="182">
        <f t="shared" si="35"/>
        <v>9</v>
      </c>
      <c r="AS83" s="473"/>
      <c r="AT83" s="166">
        <v>4</v>
      </c>
      <c r="AU83" s="166">
        <v>3370.0000000000118</v>
      </c>
      <c r="AV83" s="166">
        <v>842.50000000000296</v>
      </c>
      <c r="AW83" s="182">
        <f t="shared" si="37"/>
        <v>10</v>
      </c>
      <c r="AX83" s="473"/>
    </row>
    <row r="84" spans="2:50">
      <c r="B84" s="493"/>
      <c r="C84" s="182">
        <v>8</v>
      </c>
      <c r="D84" s="182" t="s">
        <v>230</v>
      </c>
      <c r="E84" s="182">
        <v>4</v>
      </c>
      <c r="F84" s="182">
        <v>3300</v>
      </c>
      <c r="G84" s="182">
        <v>825</v>
      </c>
      <c r="H84" s="473"/>
      <c r="I84" s="166">
        <f t="shared" si="26"/>
        <v>4</v>
      </c>
      <c r="J84" s="166">
        <f t="shared" si="26"/>
        <v>2855.7575757575801</v>
      </c>
      <c r="K84" s="180">
        <f t="shared" si="26"/>
        <v>713.93939393939502</v>
      </c>
      <c r="L84" s="473"/>
      <c r="M84" s="166">
        <f>RANK(K84, K$77:$K$106)</f>
        <v>15</v>
      </c>
      <c r="N84" s="470"/>
      <c r="O84" s="470"/>
      <c r="P84" s="166">
        <v>4</v>
      </c>
      <c r="Q84" s="166">
        <v>3005.0000000000009</v>
      </c>
      <c r="R84" s="166">
        <v>751.25000000000023</v>
      </c>
      <c r="S84" s="182">
        <f t="shared" si="39"/>
        <v>15</v>
      </c>
      <c r="T84" s="473"/>
      <c r="U84" s="166">
        <v>4</v>
      </c>
      <c r="V84" s="166">
        <v>2719.9999999999982</v>
      </c>
      <c r="W84" s="166">
        <v>679.99999999999955</v>
      </c>
      <c r="X84" s="182">
        <f t="shared" si="27"/>
        <v>20</v>
      </c>
      <c r="Y84" s="473"/>
      <c r="Z84" s="166">
        <v>4</v>
      </c>
      <c r="AA84" s="166">
        <v>2825.00000000001</v>
      </c>
      <c r="AB84" s="166">
        <v>706.2500000000025</v>
      </c>
      <c r="AC84" s="182">
        <f t="shared" si="29"/>
        <v>18</v>
      </c>
      <c r="AD84" s="473"/>
      <c r="AE84" s="166">
        <v>4</v>
      </c>
      <c r="AF84" s="166">
        <v>2569.090909090909</v>
      </c>
      <c r="AG84" s="166">
        <v>642.27272727272725</v>
      </c>
      <c r="AH84" s="182">
        <f t="shared" si="31"/>
        <v>19</v>
      </c>
      <c r="AI84" s="473"/>
      <c r="AJ84" s="166">
        <v>4</v>
      </c>
      <c r="AK84" s="166">
        <v>3066.6666666666642</v>
      </c>
      <c r="AL84" s="166">
        <v>766.66666666666606</v>
      </c>
      <c r="AM84" s="182">
        <f t="shared" si="33"/>
        <v>13</v>
      </c>
      <c r="AN84" s="473"/>
      <c r="AO84" s="166">
        <v>4</v>
      </c>
      <c r="AP84" s="166">
        <v>2870.0000000000105</v>
      </c>
      <c r="AQ84" s="166">
        <v>717.50000000000261</v>
      </c>
      <c r="AR84" s="182">
        <f t="shared" si="35"/>
        <v>16</v>
      </c>
      <c r="AS84" s="473"/>
      <c r="AT84" s="166">
        <v>4</v>
      </c>
      <c r="AU84" s="166">
        <v>2934.545454545465</v>
      </c>
      <c r="AV84" s="166">
        <v>733.63636363636624</v>
      </c>
      <c r="AW84" s="182">
        <f t="shared" si="37"/>
        <v>15</v>
      </c>
      <c r="AX84" s="473"/>
    </row>
    <row r="85" spans="2:50">
      <c r="B85" s="493"/>
      <c r="C85" s="182">
        <v>9</v>
      </c>
      <c r="D85" s="182" t="s">
        <v>231</v>
      </c>
      <c r="E85" s="182">
        <v>3</v>
      </c>
      <c r="F85" s="182">
        <v>3300</v>
      </c>
      <c r="G85" s="182">
        <v>1100</v>
      </c>
      <c r="H85" s="473"/>
      <c r="I85" s="166">
        <f t="shared" si="26"/>
        <v>3</v>
      </c>
      <c r="J85" s="166">
        <f t="shared" si="26"/>
        <v>3182.1508980203766</v>
      </c>
      <c r="K85" s="180">
        <f t="shared" si="26"/>
        <v>1060.7169660067921</v>
      </c>
      <c r="L85" s="473"/>
      <c r="M85" s="166">
        <f>RANK(K85, K$77:$K$106)</f>
        <v>4</v>
      </c>
      <c r="N85" s="470"/>
      <c r="O85" s="470"/>
      <c r="P85" s="166">
        <v>3</v>
      </c>
      <c r="Q85" s="166">
        <v>2797.2413793103469</v>
      </c>
      <c r="R85" s="166">
        <v>932.41379310344894</v>
      </c>
      <c r="S85" s="182">
        <f t="shared" si="39"/>
        <v>3</v>
      </c>
      <c r="T85" s="473"/>
      <c r="U85" s="166">
        <v>3</v>
      </c>
      <c r="V85" s="166">
        <v>3208.8000000000011</v>
      </c>
      <c r="W85" s="166">
        <v>1069.6000000000004</v>
      </c>
      <c r="X85" s="182">
        <f t="shared" si="27"/>
        <v>1</v>
      </c>
      <c r="Y85" s="473"/>
      <c r="Z85" s="166">
        <v>3</v>
      </c>
      <c r="AA85" s="166">
        <v>3346.9565217391191</v>
      </c>
      <c r="AB85" s="166">
        <v>1115.6521739130396</v>
      </c>
      <c r="AC85" s="182">
        <f t="shared" si="29"/>
        <v>1</v>
      </c>
      <c r="AD85" s="473"/>
      <c r="AE85" s="166">
        <v>3</v>
      </c>
      <c r="AF85" s="166">
        <v>3146.0869565217281</v>
      </c>
      <c r="AG85" s="166">
        <v>1048.6956521739094</v>
      </c>
      <c r="AH85" s="182">
        <f t="shared" si="31"/>
        <v>4</v>
      </c>
      <c r="AI85" s="473"/>
      <c r="AJ85" s="166">
        <v>3</v>
      </c>
      <c r="AK85" s="166">
        <v>3248.5714285714275</v>
      </c>
      <c r="AL85" s="166">
        <v>1082.8571428571424</v>
      </c>
      <c r="AM85" s="182">
        <f t="shared" si="33"/>
        <v>3</v>
      </c>
      <c r="AN85" s="473"/>
      <c r="AO85" s="166">
        <v>3</v>
      </c>
      <c r="AP85" s="166">
        <v>3242.400000000001</v>
      </c>
      <c r="AQ85" s="166">
        <v>1080.8000000000004</v>
      </c>
      <c r="AR85" s="182">
        <f t="shared" si="35"/>
        <v>3</v>
      </c>
      <c r="AS85" s="473"/>
      <c r="AT85" s="166">
        <v>3</v>
      </c>
      <c r="AU85" s="166">
        <v>3285.0000000000114</v>
      </c>
      <c r="AV85" s="166">
        <v>1095.0000000000039</v>
      </c>
      <c r="AW85" s="182">
        <f t="shared" si="37"/>
        <v>2</v>
      </c>
      <c r="AX85" s="473"/>
    </row>
    <row r="86" spans="2:50">
      <c r="B86" s="493"/>
      <c r="C86" s="182">
        <v>10</v>
      </c>
      <c r="D86" s="182" t="s">
        <v>232</v>
      </c>
      <c r="E86" s="182">
        <v>3</v>
      </c>
      <c r="F86" s="182">
        <v>3300</v>
      </c>
      <c r="G86" s="182">
        <v>1100</v>
      </c>
      <c r="H86" s="473"/>
      <c r="I86" s="166">
        <f t="shared" si="26"/>
        <v>3</v>
      </c>
      <c r="J86" s="166">
        <f t="shared" si="26"/>
        <v>2771.3580938897953</v>
      </c>
      <c r="K86" s="180">
        <f t="shared" si="26"/>
        <v>923.78603129659859</v>
      </c>
      <c r="L86" s="473"/>
      <c r="M86" s="166">
        <f>RANK(K86, K$77:$K$106)</f>
        <v>8</v>
      </c>
      <c r="N86" s="470"/>
      <c r="O86" s="470"/>
      <c r="P86" s="166">
        <v>3</v>
      </c>
      <c r="Q86" s="166">
        <v>2796.3636363636365</v>
      </c>
      <c r="R86" s="166">
        <v>932.12121212121212</v>
      </c>
      <c r="S86" s="182">
        <f t="shared" si="39"/>
        <v>4</v>
      </c>
      <c r="T86" s="473"/>
      <c r="U86" s="166">
        <v>3</v>
      </c>
      <c r="V86" s="166">
        <v>2400.0000000000009</v>
      </c>
      <c r="W86" s="166">
        <v>800.00000000000034</v>
      </c>
      <c r="X86" s="182">
        <f t="shared" si="27"/>
        <v>9</v>
      </c>
      <c r="Y86" s="473"/>
      <c r="Z86" s="166">
        <v>3</v>
      </c>
      <c r="AA86" s="166">
        <v>2892.0000000000027</v>
      </c>
      <c r="AB86" s="166">
        <v>964.00000000000091</v>
      </c>
      <c r="AC86" s="182">
        <f t="shared" si="29"/>
        <v>5</v>
      </c>
      <c r="AD86" s="473"/>
      <c r="AE86" s="166">
        <v>3</v>
      </c>
      <c r="AF86" s="166">
        <v>2772.4137931034429</v>
      </c>
      <c r="AG86" s="166">
        <v>924.13793103448097</v>
      </c>
      <c r="AH86" s="182">
        <f t="shared" si="31"/>
        <v>7</v>
      </c>
      <c r="AI86" s="473"/>
      <c r="AJ86" s="166">
        <v>3</v>
      </c>
      <c r="AK86" s="166">
        <v>2873.3333333333348</v>
      </c>
      <c r="AL86" s="166">
        <v>957.77777777777828</v>
      </c>
      <c r="AM86" s="182">
        <f t="shared" si="33"/>
        <v>6</v>
      </c>
      <c r="AN86" s="473"/>
      <c r="AO86" s="166">
        <v>3</v>
      </c>
      <c r="AP86" s="166">
        <v>2816.3636363636392</v>
      </c>
      <c r="AQ86" s="166">
        <v>938.78787878787978</v>
      </c>
      <c r="AR86" s="182">
        <f t="shared" si="35"/>
        <v>7</v>
      </c>
      <c r="AS86" s="473"/>
      <c r="AT86" s="166">
        <v>3</v>
      </c>
      <c r="AU86" s="166">
        <v>2849.0322580645116</v>
      </c>
      <c r="AV86" s="166">
        <v>949.67741935483718</v>
      </c>
      <c r="AW86" s="182">
        <f t="shared" si="37"/>
        <v>8</v>
      </c>
      <c r="AX86" s="473"/>
    </row>
    <row r="87" spans="2:50">
      <c r="B87" s="493"/>
      <c r="C87" s="182">
        <v>11</v>
      </c>
      <c r="D87" s="182" t="s">
        <v>233</v>
      </c>
      <c r="E87" s="182">
        <v>4</v>
      </c>
      <c r="F87" s="182">
        <v>3300</v>
      </c>
      <c r="G87" s="182">
        <v>825</v>
      </c>
      <c r="H87" s="473"/>
      <c r="I87" s="166">
        <f t="shared" si="26"/>
        <v>4</v>
      </c>
      <c r="J87" s="166">
        <f t="shared" si="26"/>
        <v>2827.6177233739354</v>
      </c>
      <c r="K87" s="180">
        <f t="shared" si="26"/>
        <v>706.90443084348385</v>
      </c>
      <c r="L87" s="473"/>
      <c r="M87" s="166">
        <f>RANK(K87, K$77:$K$106)</f>
        <v>17</v>
      </c>
      <c r="N87" s="470"/>
      <c r="O87" s="470"/>
      <c r="P87" s="166">
        <v>4</v>
      </c>
      <c r="Q87" s="166">
        <v>2861.2500000000009</v>
      </c>
      <c r="R87" s="166">
        <v>715.31250000000023</v>
      </c>
      <c r="S87" s="182">
        <f t="shared" si="39"/>
        <v>16</v>
      </c>
      <c r="T87" s="473"/>
      <c r="U87" s="166">
        <v>4</v>
      </c>
      <c r="V87" s="166">
        <v>2704.0000000000027</v>
      </c>
      <c r="W87" s="166">
        <v>676.00000000000068</v>
      </c>
      <c r="X87" s="182">
        <f t="shared" si="27"/>
        <v>21</v>
      </c>
      <c r="Y87" s="473"/>
      <c r="Z87" s="166">
        <v>4</v>
      </c>
      <c r="AA87" s="166">
        <v>2846.6666666666665</v>
      </c>
      <c r="AB87" s="166">
        <v>711.66666666666663</v>
      </c>
      <c r="AC87" s="182">
        <f t="shared" si="29"/>
        <v>17</v>
      </c>
      <c r="AD87" s="473"/>
      <c r="AE87" s="166">
        <v>4</v>
      </c>
      <c r="AF87" s="166">
        <v>2777.727272727273</v>
      </c>
      <c r="AG87" s="166">
        <v>694.43181818181824</v>
      </c>
      <c r="AH87" s="182">
        <f t="shared" si="31"/>
        <v>16</v>
      </c>
      <c r="AI87" s="473"/>
      <c r="AJ87" s="166">
        <v>4</v>
      </c>
      <c r="AK87" s="166">
        <v>2838.5714285714275</v>
      </c>
      <c r="AL87" s="166">
        <v>709.64285714285688</v>
      </c>
      <c r="AM87" s="182">
        <f t="shared" si="33"/>
        <v>18</v>
      </c>
      <c r="AN87" s="473"/>
      <c r="AO87" s="166">
        <v>4</v>
      </c>
      <c r="AP87" s="166">
        <v>2852.5000000000009</v>
      </c>
      <c r="AQ87" s="166">
        <v>713.12500000000023</v>
      </c>
      <c r="AR87" s="182">
        <f t="shared" si="35"/>
        <v>18</v>
      </c>
      <c r="AS87" s="473"/>
      <c r="AT87" s="166">
        <v>4</v>
      </c>
      <c r="AU87" s="166">
        <v>2912.608695652174</v>
      </c>
      <c r="AV87" s="166">
        <v>728.1521739130435</v>
      </c>
      <c r="AW87" s="182">
        <f t="shared" si="37"/>
        <v>16</v>
      </c>
      <c r="AX87" s="473"/>
    </row>
    <row r="88" spans="2:50">
      <c r="B88" s="493"/>
      <c r="C88" s="182">
        <v>12</v>
      </c>
      <c r="D88" s="182" t="s">
        <v>234</v>
      </c>
      <c r="E88" s="182">
        <v>4</v>
      </c>
      <c r="F88" s="182">
        <v>3300</v>
      </c>
      <c r="G88" s="182">
        <v>825</v>
      </c>
      <c r="H88" s="473"/>
      <c r="I88" s="166">
        <f t="shared" si="26"/>
        <v>4</v>
      </c>
      <c r="J88" s="166">
        <f t="shared" si="26"/>
        <v>2809.6108407867059</v>
      </c>
      <c r="K88" s="180">
        <f t="shared" si="26"/>
        <v>702.40271019667648</v>
      </c>
      <c r="L88" s="473"/>
      <c r="M88" s="166">
        <f>RANK(K88, K$77:$K$106)</f>
        <v>20</v>
      </c>
      <c r="N88" s="470"/>
      <c r="O88" s="470"/>
      <c r="P88" s="166">
        <v>4</v>
      </c>
      <c r="Q88" s="166">
        <v>2791.6363636363658</v>
      </c>
      <c r="R88" s="166">
        <v>697.90909090909145</v>
      </c>
      <c r="S88" s="182">
        <f t="shared" si="39"/>
        <v>18</v>
      </c>
      <c r="T88" s="473"/>
      <c r="U88" s="166">
        <v>4</v>
      </c>
      <c r="V88" s="166">
        <v>2636.5714285714289</v>
      </c>
      <c r="W88" s="166">
        <v>659.14285714285722</v>
      </c>
      <c r="X88" s="182">
        <f t="shared" si="27"/>
        <v>22</v>
      </c>
      <c r="Y88" s="473"/>
      <c r="Z88" s="166">
        <v>4</v>
      </c>
      <c r="AA88" s="166">
        <v>2883.599999999999</v>
      </c>
      <c r="AB88" s="166">
        <v>720.89999999999975</v>
      </c>
      <c r="AC88" s="182">
        <f t="shared" si="29"/>
        <v>15</v>
      </c>
      <c r="AD88" s="473"/>
      <c r="AE88" s="166">
        <v>4</v>
      </c>
      <c r="AF88" s="166">
        <v>2766.1224489795927</v>
      </c>
      <c r="AG88" s="166">
        <v>691.53061224489818</v>
      </c>
      <c r="AH88" s="182">
        <f t="shared" si="31"/>
        <v>17</v>
      </c>
      <c r="AI88" s="473"/>
      <c r="AJ88" s="166">
        <v>4</v>
      </c>
      <c r="AK88" s="166">
        <v>2822.5531914893645</v>
      </c>
      <c r="AL88" s="166">
        <v>705.63829787234113</v>
      </c>
      <c r="AM88" s="182">
        <f t="shared" si="33"/>
        <v>19</v>
      </c>
      <c r="AN88" s="473"/>
      <c r="AO88" s="166">
        <v>4</v>
      </c>
      <c r="AP88" s="166">
        <v>2884.5283018867917</v>
      </c>
      <c r="AQ88" s="166">
        <v>721.13207547169793</v>
      </c>
      <c r="AR88" s="182">
        <f t="shared" si="35"/>
        <v>15</v>
      </c>
      <c r="AS88" s="473"/>
      <c r="AT88" s="166">
        <v>4</v>
      </c>
      <c r="AU88" s="166">
        <v>2882.2641509433952</v>
      </c>
      <c r="AV88" s="166">
        <v>720.56603773584879</v>
      </c>
      <c r="AW88" s="182">
        <f t="shared" si="37"/>
        <v>17</v>
      </c>
      <c r="AX88" s="473"/>
    </row>
    <row r="89" spans="2:50">
      <c r="B89" s="493"/>
      <c r="C89" s="182">
        <v>13</v>
      </c>
      <c r="D89" s="182" t="s">
        <v>235</v>
      </c>
      <c r="E89" s="182">
        <v>4</v>
      </c>
      <c r="F89" s="182">
        <v>2800</v>
      </c>
      <c r="G89" s="182">
        <v>700</v>
      </c>
      <c r="H89" s="473"/>
      <c r="I89" s="166">
        <f t="shared" si="26"/>
        <v>4</v>
      </c>
      <c r="J89" s="166">
        <f t="shared" si="26"/>
        <v>2825.3061744089559</v>
      </c>
      <c r="K89" s="180">
        <f t="shared" si="26"/>
        <v>706.32654360223898</v>
      </c>
      <c r="L89" s="473"/>
      <c r="M89" s="166">
        <f>RANK(K89, K$77:$K$106)</f>
        <v>18</v>
      </c>
      <c r="N89" s="470"/>
      <c r="O89" s="470"/>
      <c r="P89" s="166">
        <v>4</v>
      </c>
      <c r="Q89" s="166">
        <v>2790.9677419354794</v>
      </c>
      <c r="R89" s="166">
        <v>697.74193548386984</v>
      </c>
      <c r="S89" s="182">
        <f t="shared" si="39"/>
        <v>19</v>
      </c>
      <c r="T89" s="473"/>
      <c r="U89" s="166">
        <v>4</v>
      </c>
      <c r="V89" s="166">
        <v>2746.8000000000011</v>
      </c>
      <c r="W89" s="166">
        <v>686.70000000000027</v>
      </c>
      <c r="X89" s="182">
        <f t="shared" si="27"/>
        <v>18</v>
      </c>
      <c r="Y89" s="473"/>
      <c r="Z89" s="166">
        <v>4</v>
      </c>
      <c r="AA89" s="166">
        <v>2851.0344827586227</v>
      </c>
      <c r="AB89" s="166">
        <v>712.75862068965569</v>
      </c>
      <c r="AC89" s="182">
        <f t="shared" si="29"/>
        <v>16</v>
      </c>
      <c r="AD89" s="473"/>
      <c r="AE89" s="166">
        <v>4</v>
      </c>
      <c r="AF89" s="166">
        <v>2784.4444444444462</v>
      </c>
      <c r="AG89" s="166">
        <v>696.11111111111154</v>
      </c>
      <c r="AH89" s="182">
        <f t="shared" si="31"/>
        <v>15</v>
      </c>
      <c r="AI89" s="473"/>
      <c r="AJ89" s="166">
        <v>4</v>
      </c>
      <c r="AK89" s="166">
        <v>2904.9999999999955</v>
      </c>
      <c r="AL89" s="166">
        <v>726.24999999999886</v>
      </c>
      <c r="AM89" s="182">
        <f t="shared" si="33"/>
        <v>15</v>
      </c>
      <c r="AN89" s="473"/>
      <c r="AO89" s="166">
        <v>4</v>
      </c>
      <c r="AP89" s="166">
        <v>2852.0000000000027</v>
      </c>
      <c r="AQ89" s="166">
        <v>713.00000000000068</v>
      </c>
      <c r="AR89" s="182">
        <f t="shared" si="35"/>
        <v>19</v>
      </c>
      <c r="AS89" s="473"/>
      <c r="AT89" s="166">
        <v>4</v>
      </c>
      <c r="AU89" s="166">
        <v>2846.8965517241404</v>
      </c>
      <c r="AV89" s="166">
        <v>711.7241379310351</v>
      </c>
      <c r="AW89" s="182">
        <f t="shared" si="37"/>
        <v>19</v>
      </c>
      <c r="AX89" s="473"/>
    </row>
    <row r="90" spans="2:50">
      <c r="B90" s="493"/>
      <c r="C90" s="182">
        <v>14</v>
      </c>
      <c r="D90" s="182" t="s">
        <v>236</v>
      </c>
      <c r="E90" s="182">
        <v>4</v>
      </c>
      <c r="F90" s="182">
        <v>3600</v>
      </c>
      <c r="G90" s="182">
        <v>900</v>
      </c>
      <c r="H90" s="473"/>
      <c r="I90" s="166">
        <f t="shared" si="26"/>
        <v>4</v>
      </c>
      <c r="J90" s="166">
        <f t="shared" si="26"/>
        <v>2983.0000000000077</v>
      </c>
      <c r="K90" s="180">
        <f t="shared" si="26"/>
        <v>745.75000000000193</v>
      </c>
      <c r="L90" s="473"/>
      <c r="M90" s="166">
        <f>RANK(K90, K$77:$K$106)</f>
        <v>14</v>
      </c>
      <c r="N90" s="470"/>
      <c r="O90" s="470"/>
      <c r="P90" s="166">
        <v>4</v>
      </c>
      <c r="Q90" s="166">
        <v>3192.0000000000114</v>
      </c>
      <c r="R90" s="166">
        <v>798.00000000000284</v>
      </c>
      <c r="S90" s="182">
        <f t="shared" si="39"/>
        <v>14</v>
      </c>
      <c r="T90" s="473"/>
      <c r="U90" s="166">
        <v>4</v>
      </c>
      <c r="V90" s="166">
        <v>3084.0000000000109</v>
      </c>
      <c r="W90" s="166">
        <v>771.00000000000273</v>
      </c>
      <c r="X90" s="182">
        <f t="shared" si="27"/>
        <v>13</v>
      </c>
      <c r="Y90" s="473"/>
      <c r="Z90" s="166">
        <v>4</v>
      </c>
      <c r="AA90" s="166">
        <v>3124.0000000000114</v>
      </c>
      <c r="AB90" s="166">
        <v>781.00000000000284</v>
      </c>
      <c r="AC90" s="182">
        <f t="shared" si="29"/>
        <v>14</v>
      </c>
      <c r="AD90" s="473"/>
      <c r="AE90" s="166">
        <v>4</v>
      </c>
      <c r="AF90" s="166">
        <v>2968.0000000000105</v>
      </c>
      <c r="AG90" s="166">
        <v>742.00000000000261</v>
      </c>
      <c r="AH90" s="182">
        <f t="shared" si="31"/>
        <v>12</v>
      </c>
      <c r="AI90" s="473"/>
      <c r="AJ90" s="166">
        <v>4</v>
      </c>
      <c r="AK90" s="166">
        <v>2360.9999999999895</v>
      </c>
      <c r="AL90" s="166">
        <v>590.24999999999739</v>
      </c>
      <c r="AM90" s="182">
        <f t="shared" si="33"/>
        <v>20</v>
      </c>
      <c r="AN90" s="473"/>
      <c r="AO90" s="166">
        <v>4</v>
      </c>
      <c r="AP90" s="166">
        <v>3176.0000000000114</v>
      </c>
      <c r="AQ90" s="166">
        <v>794.00000000000284</v>
      </c>
      <c r="AR90" s="182">
        <f t="shared" si="35"/>
        <v>13</v>
      </c>
      <c r="AS90" s="473"/>
      <c r="AT90" s="166">
        <v>4</v>
      </c>
      <c r="AU90" s="166">
        <v>2976.0000000000109</v>
      </c>
      <c r="AV90" s="166">
        <v>744.00000000000273</v>
      </c>
      <c r="AW90" s="182">
        <f t="shared" si="37"/>
        <v>14</v>
      </c>
      <c r="AX90" s="473"/>
    </row>
    <row r="91" spans="2:50">
      <c r="B91" s="493"/>
      <c r="C91" s="182">
        <v>15</v>
      </c>
      <c r="D91" s="182" t="s">
        <v>237</v>
      </c>
      <c r="E91" s="182">
        <v>4</v>
      </c>
      <c r="F91" s="182">
        <v>3600</v>
      </c>
      <c r="G91" s="182">
        <v>900</v>
      </c>
      <c r="H91" s="473"/>
      <c r="I91" s="166">
        <f t="shared" si="26"/>
        <v>4</v>
      </c>
      <c r="J91" s="166">
        <f t="shared" si="26"/>
        <v>2255.7551020408237</v>
      </c>
      <c r="K91" s="180">
        <f t="shared" si="26"/>
        <v>563.93877551020591</v>
      </c>
      <c r="L91" s="473"/>
      <c r="M91" s="166">
        <f>RANK(K91, K$77:$K$106)</f>
        <v>22</v>
      </c>
      <c r="N91" s="470"/>
      <c r="O91" s="470"/>
      <c r="P91" s="166">
        <v>4</v>
      </c>
      <c r="Q91" s="166">
        <v>2255.9999999999718</v>
      </c>
      <c r="R91" s="166">
        <v>563.99999999999295</v>
      </c>
      <c r="S91" s="182">
        <f t="shared" si="39"/>
        <v>22</v>
      </c>
      <c r="T91" s="473"/>
      <c r="U91" s="166">
        <v>4</v>
      </c>
      <c r="V91" s="166">
        <v>2974.2857142857247</v>
      </c>
      <c r="W91" s="166">
        <v>743.57142857143117</v>
      </c>
      <c r="X91" s="182">
        <f t="shared" si="27"/>
        <v>15</v>
      </c>
      <c r="Y91" s="473"/>
      <c r="Z91" s="166">
        <v>4</v>
      </c>
      <c r="AA91" s="166">
        <v>2064.0000000000405</v>
      </c>
      <c r="AB91" s="166">
        <v>516.00000000001012</v>
      </c>
      <c r="AC91" s="182">
        <f t="shared" si="29"/>
        <v>22</v>
      </c>
      <c r="AD91" s="473"/>
      <c r="AE91" s="166">
        <v>4</v>
      </c>
      <c r="AF91" s="166">
        <v>2016.0000000000393</v>
      </c>
      <c r="AG91" s="166">
        <v>504.00000000000983</v>
      </c>
      <c r="AH91" s="182">
        <f t="shared" si="31"/>
        <v>22</v>
      </c>
      <c r="AI91" s="473"/>
      <c r="AJ91" s="166">
        <v>4</v>
      </c>
      <c r="AK91" s="166">
        <v>2123.9999999999736</v>
      </c>
      <c r="AL91" s="166">
        <v>530.99999999999341</v>
      </c>
      <c r="AM91" s="182">
        <f t="shared" si="33"/>
        <v>22</v>
      </c>
      <c r="AN91" s="473"/>
      <c r="AO91" s="166">
        <v>4</v>
      </c>
      <c r="AP91" s="166">
        <v>2190.0000000000077</v>
      </c>
      <c r="AQ91" s="166">
        <v>547.50000000000193</v>
      </c>
      <c r="AR91" s="182">
        <f t="shared" si="35"/>
        <v>22</v>
      </c>
      <c r="AS91" s="473"/>
      <c r="AT91" s="166">
        <v>4</v>
      </c>
      <c r="AU91" s="166">
        <v>2166.0000000000077</v>
      </c>
      <c r="AV91" s="166">
        <v>541.50000000000193</v>
      </c>
      <c r="AW91" s="182">
        <f t="shared" si="37"/>
        <v>22</v>
      </c>
      <c r="AX91" s="473"/>
    </row>
    <row r="92" spans="2:50">
      <c r="B92" s="493"/>
      <c r="C92" s="182">
        <v>16</v>
      </c>
      <c r="D92" s="182" t="s">
        <v>238</v>
      </c>
      <c r="E92" s="182">
        <v>4</v>
      </c>
      <c r="F92" s="182">
        <v>3300</v>
      </c>
      <c r="G92" s="182">
        <v>825</v>
      </c>
      <c r="H92" s="473"/>
      <c r="I92" s="166">
        <f t="shared" si="26"/>
        <v>3</v>
      </c>
      <c r="J92" s="166">
        <f t="shared" si="26"/>
        <v>2851.1454291322734</v>
      </c>
      <c r="K92" s="180">
        <f t="shared" si="26"/>
        <v>950.38180971075781</v>
      </c>
      <c r="L92" s="473"/>
      <c r="M92" s="166">
        <f>RANK(K92, K$77:$K$106)</f>
        <v>5</v>
      </c>
      <c r="N92" s="470"/>
      <c r="O92" s="470"/>
      <c r="P92" s="166">
        <v>3</v>
      </c>
      <c r="Q92" s="166">
        <v>2727.272727272737</v>
      </c>
      <c r="R92" s="166">
        <v>909.09090909091231</v>
      </c>
      <c r="S92" s="182">
        <f t="shared" si="39"/>
        <v>6</v>
      </c>
      <c r="T92" s="473"/>
      <c r="U92" s="166">
        <v>3</v>
      </c>
      <c r="V92" s="166">
        <v>2773.8461538461552</v>
      </c>
      <c r="W92" s="166">
        <v>924.6153846153851</v>
      </c>
      <c r="X92" s="182">
        <f t="shared" si="27"/>
        <v>7</v>
      </c>
      <c r="Y92" s="473"/>
      <c r="Z92" s="166">
        <v>3</v>
      </c>
      <c r="AA92" s="166">
        <v>2870.9999999999986</v>
      </c>
      <c r="AB92" s="166">
        <v>956.99999999999955</v>
      </c>
      <c r="AC92" s="182">
        <f t="shared" si="29"/>
        <v>6</v>
      </c>
      <c r="AD92" s="473"/>
      <c r="AE92" s="166">
        <v>3</v>
      </c>
      <c r="AF92" s="166">
        <v>2706.3157894736823</v>
      </c>
      <c r="AG92" s="166">
        <v>902.10526315789411</v>
      </c>
      <c r="AH92" s="182">
        <f t="shared" si="31"/>
        <v>8</v>
      </c>
      <c r="AI92" s="473"/>
      <c r="AJ92" s="166">
        <v>3</v>
      </c>
      <c r="AK92" s="166">
        <v>2891.2500000000036</v>
      </c>
      <c r="AL92" s="166">
        <v>963.75000000000125</v>
      </c>
      <c r="AM92" s="182">
        <f t="shared" si="33"/>
        <v>5</v>
      </c>
      <c r="AN92" s="473"/>
      <c r="AO92" s="166">
        <v>3</v>
      </c>
      <c r="AP92" s="166">
        <v>2894.9999999999991</v>
      </c>
      <c r="AQ92" s="166">
        <v>964.99999999999966</v>
      </c>
      <c r="AR92" s="182">
        <f t="shared" si="35"/>
        <v>5</v>
      </c>
      <c r="AS92" s="473"/>
      <c r="AT92" s="166">
        <v>3</v>
      </c>
      <c r="AU92" s="166">
        <v>3093.3333333333376</v>
      </c>
      <c r="AV92" s="166">
        <v>1031.1111111111125</v>
      </c>
      <c r="AW92" s="182">
        <f t="shared" si="37"/>
        <v>5</v>
      </c>
      <c r="AX92" s="473"/>
    </row>
    <row r="93" spans="2:50">
      <c r="B93" s="493"/>
      <c r="C93" s="182">
        <v>17</v>
      </c>
      <c r="D93" s="182" t="s">
        <v>239</v>
      </c>
      <c r="E93" s="182">
        <v>3</v>
      </c>
      <c r="F93" s="182">
        <v>2800</v>
      </c>
      <c r="G93" s="182">
        <v>933.33333333333337</v>
      </c>
      <c r="H93" s="473"/>
      <c r="I93" s="166">
        <f t="shared" ref="I93:K99" si="40">AVERAGE(P93,U93,Z93,AE93,AJ93,AO93,AT93)</f>
        <v>3</v>
      </c>
      <c r="J93" s="166">
        <f t="shared" si="40"/>
        <v>2825.3714285714318</v>
      </c>
      <c r="K93" s="180">
        <f t="shared" si="40"/>
        <v>941.79047619047731</v>
      </c>
      <c r="L93" s="473"/>
      <c r="M93" s="166">
        <f>RANK(K93, K$77:$K$106)</f>
        <v>6</v>
      </c>
      <c r="N93" s="470"/>
      <c r="O93" s="470"/>
      <c r="P93" s="166">
        <v>3</v>
      </c>
      <c r="Q93" s="166">
        <v>2481.9999999999959</v>
      </c>
      <c r="R93" s="166">
        <v>827.33333333333201</v>
      </c>
      <c r="S93" s="182">
        <f t="shared" si="39"/>
        <v>12</v>
      </c>
      <c r="T93" s="473"/>
      <c r="U93" s="166">
        <v>3</v>
      </c>
      <c r="V93" s="166">
        <v>2860.799999999992</v>
      </c>
      <c r="W93" s="166">
        <v>953.59999999999729</v>
      </c>
      <c r="X93" s="182">
        <f t="shared" ref="X93:X106" si="41">RANK(W93, W$77:W$106)</f>
        <v>5</v>
      </c>
      <c r="Y93" s="473"/>
      <c r="Z93" s="166">
        <v>3</v>
      </c>
      <c r="AA93" s="166">
        <v>2762.4000000000278</v>
      </c>
      <c r="AB93" s="166">
        <v>920.80000000000928</v>
      </c>
      <c r="AC93" s="182">
        <f t="shared" ref="AC93:AC106" si="42">RANK(AB93, AB$77:AB$106)</f>
        <v>9</v>
      </c>
      <c r="AD93" s="473"/>
      <c r="AE93" s="166">
        <v>3</v>
      </c>
      <c r="AF93" s="166">
        <v>3282.0000000000118</v>
      </c>
      <c r="AG93" s="166">
        <v>1094.0000000000039</v>
      </c>
      <c r="AH93" s="182">
        <f t="shared" ref="AH93:AH106" si="43">RANK(AG93, AG$77:AG$106)</f>
        <v>1</v>
      </c>
      <c r="AI93" s="473"/>
      <c r="AJ93" s="166">
        <v>3</v>
      </c>
      <c r="AK93" s="166">
        <v>2673.5999999999926</v>
      </c>
      <c r="AL93" s="166">
        <v>891.19999999999754</v>
      </c>
      <c r="AM93" s="182">
        <f t="shared" ref="AM93:AM106" si="44">RANK(AL93, AL$77:AL$106)</f>
        <v>8</v>
      </c>
      <c r="AN93" s="473"/>
      <c r="AO93" s="166">
        <v>3</v>
      </c>
      <c r="AP93" s="166">
        <v>2832.00000000001</v>
      </c>
      <c r="AQ93" s="166">
        <v>944.0000000000033</v>
      </c>
      <c r="AR93" s="182">
        <f t="shared" ref="AR93:AR106" si="45">RANK(AQ93, AQ$77:AQ$106)</f>
        <v>6</v>
      </c>
      <c r="AS93" s="473"/>
      <c r="AT93" s="166">
        <v>3</v>
      </c>
      <c r="AU93" s="166">
        <v>2884.799999999992</v>
      </c>
      <c r="AV93" s="166">
        <v>961.59999999999729</v>
      </c>
      <c r="AW93" s="182">
        <f t="shared" ref="AW93:AW106" si="46">RANK(AV93, AV$77:AV$106)</f>
        <v>6</v>
      </c>
      <c r="AX93" s="473"/>
    </row>
    <row r="94" spans="2:50">
      <c r="B94" s="493"/>
      <c r="C94" s="182">
        <v>18</v>
      </c>
      <c r="D94" s="182" t="s">
        <v>240</v>
      </c>
      <c r="E94" s="182">
        <v>4</v>
      </c>
      <c r="F94" s="182">
        <v>3000</v>
      </c>
      <c r="G94" s="182">
        <v>750</v>
      </c>
      <c r="H94" s="473"/>
      <c r="I94" s="166">
        <f t="shared" si="40"/>
        <v>3</v>
      </c>
      <c r="J94" s="166">
        <f t="shared" si="40"/>
        <v>2341.1619047619056</v>
      </c>
      <c r="K94" s="180">
        <f t="shared" si="40"/>
        <v>780.38730158730175</v>
      </c>
      <c r="L94" s="473"/>
      <c r="M94" s="166">
        <f>RANK(K94, K$77:$K$106)</f>
        <v>13</v>
      </c>
      <c r="N94" s="470"/>
      <c r="O94" s="470"/>
      <c r="P94" s="166">
        <v>3</v>
      </c>
      <c r="Q94" s="166">
        <v>2564</v>
      </c>
      <c r="R94" s="166">
        <v>854.66666666666663</v>
      </c>
      <c r="S94" s="182">
        <f t="shared" si="39"/>
        <v>9</v>
      </c>
      <c r="T94" s="473"/>
      <c r="U94" s="166">
        <v>3</v>
      </c>
      <c r="V94" s="166">
        <v>2500</v>
      </c>
      <c r="W94" s="166">
        <v>833.33333333333337</v>
      </c>
      <c r="X94" s="182">
        <f t="shared" si="41"/>
        <v>8</v>
      </c>
      <c r="Y94" s="473"/>
      <c r="Z94" s="166">
        <v>3</v>
      </c>
      <c r="AA94" s="166">
        <v>2397.3333333333335</v>
      </c>
      <c r="AB94" s="166">
        <v>799.1111111111112</v>
      </c>
      <c r="AC94" s="182">
        <f t="shared" si="42"/>
        <v>13</v>
      </c>
      <c r="AD94" s="473"/>
      <c r="AE94" s="166">
        <v>3</v>
      </c>
      <c r="AF94" s="166">
        <v>2124.0000000000009</v>
      </c>
      <c r="AG94" s="166">
        <v>708.00000000000034</v>
      </c>
      <c r="AH94" s="182">
        <f t="shared" si="43"/>
        <v>13</v>
      </c>
      <c r="AI94" s="473"/>
      <c r="AJ94" s="166">
        <v>3</v>
      </c>
      <c r="AK94" s="166">
        <v>2241.6000000000008</v>
      </c>
      <c r="AL94" s="166">
        <v>747.20000000000027</v>
      </c>
      <c r="AM94" s="182">
        <f t="shared" si="44"/>
        <v>14</v>
      </c>
      <c r="AN94" s="473"/>
      <c r="AO94" s="166">
        <v>3</v>
      </c>
      <c r="AP94" s="166">
        <v>2326.8000000000006</v>
      </c>
      <c r="AQ94" s="166">
        <v>775.60000000000025</v>
      </c>
      <c r="AR94" s="182">
        <f t="shared" si="45"/>
        <v>14</v>
      </c>
      <c r="AS94" s="473"/>
      <c r="AT94" s="166">
        <v>3</v>
      </c>
      <c r="AU94" s="166">
        <v>2234.4000000000005</v>
      </c>
      <c r="AV94" s="166">
        <v>744.80000000000018</v>
      </c>
      <c r="AW94" s="182">
        <f t="shared" si="46"/>
        <v>13</v>
      </c>
      <c r="AX94" s="473"/>
    </row>
    <row r="95" spans="2:50">
      <c r="B95" s="493"/>
      <c r="C95" s="182">
        <v>19</v>
      </c>
      <c r="D95" s="182" t="s">
        <v>241</v>
      </c>
      <c r="E95" s="182">
        <v>12</v>
      </c>
      <c r="F95" s="182">
        <v>1500</v>
      </c>
      <c r="G95" s="182">
        <v>125</v>
      </c>
      <c r="H95" s="473"/>
      <c r="I95" s="166">
        <f t="shared" si="40"/>
        <v>9.1428571428571423</v>
      </c>
      <c r="J95" s="166">
        <f t="shared" si="40"/>
        <v>1495.103896103896</v>
      </c>
      <c r="K95" s="180">
        <f t="shared" si="40"/>
        <v>165.59378121878123</v>
      </c>
      <c r="L95" s="473"/>
      <c r="M95" s="166">
        <f>RANK(K95, K$77:$K$106)</f>
        <v>23</v>
      </c>
      <c r="N95" s="470"/>
      <c r="O95" s="470"/>
      <c r="P95" s="166">
        <v>8</v>
      </c>
      <c r="Q95" s="166">
        <v>1487.2727272727279</v>
      </c>
      <c r="R95" s="166">
        <v>185.90909090909099</v>
      </c>
      <c r="S95" s="182">
        <f t="shared" si="39"/>
        <v>23</v>
      </c>
      <c r="T95" s="473"/>
      <c r="U95" s="166">
        <v>8</v>
      </c>
      <c r="V95" s="166">
        <v>1487.0769230769247</v>
      </c>
      <c r="W95" s="166">
        <v>185.88461538461559</v>
      </c>
      <c r="X95" s="182">
        <f t="shared" si="41"/>
        <v>23</v>
      </c>
      <c r="Y95" s="473"/>
      <c r="Z95" s="166">
        <v>8</v>
      </c>
      <c r="AA95" s="166">
        <v>1528.9999999999991</v>
      </c>
      <c r="AB95" s="166">
        <v>191.12499999999989</v>
      </c>
      <c r="AC95" s="182">
        <f t="shared" si="42"/>
        <v>23</v>
      </c>
      <c r="AD95" s="473"/>
      <c r="AE95" s="166">
        <v>10</v>
      </c>
      <c r="AF95" s="166">
        <v>1467.9999999999993</v>
      </c>
      <c r="AG95" s="166">
        <v>146.79999999999993</v>
      </c>
      <c r="AH95" s="182">
        <f t="shared" si="43"/>
        <v>23</v>
      </c>
      <c r="AI95" s="473"/>
      <c r="AJ95" s="166">
        <v>10</v>
      </c>
      <c r="AK95" s="166">
        <v>1541.4545454545466</v>
      </c>
      <c r="AL95" s="166">
        <v>154.14545454545467</v>
      </c>
      <c r="AM95" s="182">
        <f t="shared" si="44"/>
        <v>23</v>
      </c>
      <c r="AN95" s="473"/>
      <c r="AO95" s="166">
        <v>10</v>
      </c>
      <c r="AP95" s="166">
        <v>1477.846153846152</v>
      </c>
      <c r="AQ95" s="166">
        <v>147.78461538461519</v>
      </c>
      <c r="AR95" s="182">
        <f t="shared" si="45"/>
        <v>23</v>
      </c>
      <c r="AS95" s="473"/>
      <c r="AT95" s="166">
        <v>10</v>
      </c>
      <c r="AU95" s="166">
        <v>1475.0769230769226</v>
      </c>
      <c r="AV95" s="166">
        <v>147.50769230769225</v>
      </c>
      <c r="AW95" s="182">
        <f t="shared" si="46"/>
        <v>23</v>
      </c>
      <c r="AX95" s="473"/>
    </row>
    <row r="96" spans="2:50">
      <c r="B96" s="493"/>
      <c r="C96" s="182">
        <v>20</v>
      </c>
      <c r="D96" s="182" t="s">
        <v>242</v>
      </c>
      <c r="E96" s="182">
        <v>4</v>
      </c>
      <c r="F96" s="182">
        <v>3000</v>
      </c>
      <c r="G96" s="182">
        <v>750</v>
      </c>
      <c r="H96" s="473"/>
      <c r="I96" s="166">
        <f t="shared" si="40"/>
        <v>4</v>
      </c>
      <c r="J96" s="166">
        <f t="shared" si="40"/>
        <v>2337.0000000000068</v>
      </c>
      <c r="K96" s="180">
        <f t="shared" si="40"/>
        <v>584.25000000000171</v>
      </c>
      <c r="L96" s="473"/>
      <c r="M96" s="166">
        <f>RANK(K96, K$77:$K$106)</f>
        <v>21</v>
      </c>
      <c r="N96" s="470"/>
      <c r="O96" s="470"/>
      <c r="P96" s="166">
        <v>4</v>
      </c>
      <c r="Q96" s="166">
        <v>2480.9999999999991</v>
      </c>
      <c r="R96" s="166">
        <v>620.24999999999977</v>
      </c>
      <c r="S96" s="182">
        <f t="shared" si="39"/>
        <v>21</v>
      </c>
      <c r="T96" s="473"/>
      <c r="U96" s="166">
        <v>4</v>
      </c>
      <c r="V96" s="166">
        <v>2736.00000000001</v>
      </c>
      <c r="W96" s="166">
        <v>684.0000000000025</v>
      </c>
      <c r="X96" s="182">
        <f t="shared" si="41"/>
        <v>19</v>
      </c>
      <c r="Y96" s="473"/>
      <c r="Z96" s="166">
        <v>4</v>
      </c>
      <c r="AA96" s="166">
        <v>2253.0000000000077</v>
      </c>
      <c r="AB96" s="166">
        <v>563.25000000000193</v>
      </c>
      <c r="AC96" s="182">
        <f t="shared" si="42"/>
        <v>21</v>
      </c>
      <c r="AD96" s="473"/>
      <c r="AE96" s="166">
        <v>4</v>
      </c>
      <c r="AF96" s="166">
        <v>2122.5000000000077</v>
      </c>
      <c r="AG96" s="166">
        <v>530.62500000000193</v>
      </c>
      <c r="AH96" s="182">
        <f t="shared" si="43"/>
        <v>21</v>
      </c>
      <c r="AI96" s="473"/>
      <c r="AJ96" s="166">
        <v>4</v>
      </c>
      <c r="AK96" s="166">
        <v>2244.0000000000082</v>
      </c>
      <c r="AL96" s="166">
        <v>561.00000000000205</v>
      </c>
      <c r="AM96" s="182">
        <f t="shared" si="44"/>
        <v>21</v>
      </c>
      <c r="AN96" s="473"/>
      <c r="AO96" s="166">
        <v>4</v>
      </c>
      <c r="AP96" s="166">
        <v>2317.5000000000082</v>
      </c>
      <c r="AQ96" s="166">
        <v>579.37500000000205</v>
      </c>
      <c r="AR96" s="182">
        <f t="shared" si="45"/>
        <v>21</v>
      </c>
      <c r="AS96" s="473"/>
      <c r="AT96" s="166">
        <v>4</v>
      </c>
      <c r="AU96" s="166">
        <v>2205.0000000000077</v>
      </c>
      <c r="AV96" s="166">
        <v>551.25000000000193</v>
      </c>
      <c r="AW96" s="182">
        <f t="shared" si="46"/>
        <v>21</v>
      </c>
      <c r="AX96" s="473"/>
    </row>
    <row r="97" spans="2:50">
      <c r="B97" s="493"/>
      <c r="C97" s="182">
        <v>21</v>
      </c>
      <c r="D97" s="182" t="s">
        <v>243</v>
      </c>
      <c r="E97" s="182">
        <v>3</v>
      </c>
      <c r="F97" s="182">
        <v>2800</v>
      </c>
      <c r="G97" s="182">
        <v>933.33333333333337</v>
      </c>
      <c r="H97" s="473"/>
      <c r="I97" s="166">
        <f t="shared" si="40"/>
        <v>3</v>
      </c>
      <c r="J97" s="166">
        <f t="shared" si="40"/>
        <v>2811.3372729830126</v>
      </c>
      <c r="K97" s="180">
        <f t="shared" si="40"/>
        <v>937.11242432767074</v>
      </c>
      <c r="L97" s="473"/>
      <c r="M97" s="166">
        <f>RANK(K97, K$77:$K$106)</f>
        <v>7</v>
      </c>
      <c r="N97" s="470"/>
      <c r="O97" s="470"/>
      <c r="P97" s="182">
        <v>3</v>
      </c>
      <c r="Q97" s="166">
        <v>2782.5974025974037</v>
      </c>
      <c r="R97" s="180">
        <v>927.53246753246788</v>
      </c>
      <c r="S97" s="182">
        <f t="shared" si="39"/>
        <v>5</v>
      </c>
      <c r="T97" s="473"/>
      <c r="U97" s="182">
        <v>3</v>
      </c>
      <c r="V97" s="166">
        <v>2791.6363636363612</v>
      </c>
      <c r="W97" s="180">
        <v>930.54545454545371</v>
      </c>
      <c r="X97" s="182">
        <f t="shared" si="41"/>
        <v>6</v>
      </c>
      <c r="Y97" s="473"/>
      <c r="Z97" s="182">
        <v>3</v>
      </c>
      <c r="AA97" s="166">
        <v>2836.3636363636342</v>
      </c>
      <c r="AB97" s="180">
        <v>945.4545454545447</v>
      </c>
      <c r="AC97" s="182">
        <f t="shared" si="42"/>
        <v>7</v>
      </c>
      <c r="AD97" s="473"/>
      <c r="AE97" s="182">
        <v>3</v>
      </c>
      <c r="AF97" s="166">
        <v>2773.8461538461552</v>
      </c>
      <c r="AG97" s="180">
        <v>924.6153846153851</v>
      </c>
      <c r="AH97" s="182">
        <f t="shared" si="43"/>
        <v>6</v>
      </c>
      <c r="AI97" s="473"/>
      <c r="AJ97" s="182">
        <v>3</v>
      </c>
      <c r="AK97" s="166">
        <v>2815.2000000000007</v>
      </c>
      <c r="AL97" s="180">
        <v>938.4000000000002</v>
      </c>
      <c r="AM97" s="182">
        <f t="shared" si="44"/>
        <v>7</v>
      </c>
      <c r="AN97" s="473"/>
      <c r="AO97" s="182">
        <v>3</v>
      </c>
      <c r="AP97" s="166">
        <v>2812.1311475409825</v>
      </c>
      <c r="AQ97" s="180">
        <v>937.3770491803275</v>
      </c>
      <c r="AR97" s="182">
        <f t="shared" si="45"/>
        <v>8</v>
      </c>
      <c r="AS97" s="473"/>
      <c r="AT97" s="182">
        <v>3</v>
      </c>
      <c r="AU97" s="166">
        <v>2867.5862068965503</v>
      </c>
      <c r="AV97" s="180">
        <v>955.86206896551676</v>
      </c>
      <c r="AW97" s="182">
        <f t="shared" si="46"/>
        <v>7</v>
      </c>
      <c r="AX97" s="473"/>
    </row>
    <row r="98" spans="2:50">
      <c r="B98" s="493"/>
      <c r="C98" s="182">
        <v>22</v>
      </c>
      <c r="D98" s="182" t="s">
        <v>246</v>
      </c>
      <c r="E98" s="182">
        <v>4</v>
      </c>
      <c r="F98" s="182">
        <v>2800</v>
      </c>
      <c r="G98" s="182">
        <v>700</v>
      </c>
      <c r="H98" s="473"/>
      <c r="I98" s="166">
        <f t="shared" si="40"/>
        <v>4</v>
      </c>
      <c r="J98" s="166">
        <f t="shared" si="40"/>
        <v>2812.1493183819584</v>
      </c>
      <c r="K98" s="180">
        <f t="shared" si="40"/>
        <v>703.03732959548961</v>
      </c>
      <c r="L98" s="473"/>
      <c r="M98" s="166">
        <f>RANK(K98, K$77:$K$106)</f>
        <v>19</v>
      </c>
      <c r="N98" s="470"/>
      <c r="O98" s="470"/>
      <c r="P98" s="182">
        <v>4</v>
      </c>
      <c r="Q98" s="166">
        <v>2807.6190476190468</v>
      </c>
      <c r="R98" s="180">
        <v>701.9047619047617</v>
      </c>
      <c r="S98" s="182">
        <f t="shared" si="39"/>
        <v>17</v>
      </c>
      <c r="T98" s="473"/>
      <c r="U98" s="182">
        <v>4</v>
      </c>
      <c r="V98" s="166">
        <v>2856.7999999999975</v>
      </c>
      <c r="W98" s="180">
        <v>714.19999999999936</v>
      </c>
      <c r="X98" s="182">
        <f t="shared" si="41"/>
        <v>17</v>
      </c>
      <c r="Y98" s="473"/>
      <c r="Z98" s="182">
        <v>4</v>
      </c>
      <c r="AA98" s="166">
        <v>2767.9999999999986</v>
      </c>
      <c r="AB98" s="180">
        <v>691.99999999999966</v>
      </c>
      <c r="AC98" s="182">
        <f t="shared" si="42"/>
        <v>20</v>
      </c>
      <c r="AD98" s="473"/>
      <c r="AE98" s="182">
        <v>4</v>
      </c>
      <c r="AF98" s="166">
        <v>2754.6428571428551</v>
      </c>
      <c r="AG98" s="180">
        <v>688.66071428571377</v>
      </c>
      <c r="AH98" s="182">
        <f t="shared" si="43"/>
        <v>18</v>
      </c>
      <c r="AI98" s="473"/>
      <c r="AJ98" s="182">
        <v>4</v>
      </c>
      <c r="AK98" s="166">
        <v>2902.4999999999959</v>
      </c>
      <c r="AL98" s="180">
        <v>725.62499999999898</v>
      </c>
      <c r="AM98" s="182">
        <f t="shared" si="44"/>
        <v>16</v>
      </c>
      <c r="AN98" s="473"/>
      <c r="AO98" s="182">
        <v>4</v>
      </c>
      <c r="AP98" s="166">
        <v>2780.6557377049207</v>
      </c>
      <c r="AQ98" s="180">
        <v>695.16393442623018</v>
      </c>
      <c r="AR98" s="182">
        <f t="shared" si="45"/>
        <v>20</v>
      </c>
      <c r="AS98" s="473"/>
      <c r="AT98" s="182">
        <v>4</v>
      </c>
      <c r="AU98" s="166">
        <v>2814.8275862068949</v>
      </c>
      <c r="AV98" s="180">
        <v>703.70689655172373</v>
      </c>
      <c r="AW98" s="182">
        <f t="shared" si="46"/>
        <v>20</v>
      </c>
      <c r="AX98" s="473"/>
    </row>
    <row r="99" spans="2:50">
      <c r="B99" s="493"/>
      <c r="C99" s="182">
        <v>23</v>
      </c>
      <c r="D99" s="182" t="s">
        <v>247</v>
      </c>
      <c r="E99" s="182">
        <v>4</v>
      </c>
      <c r="F99" s="182">
        <v>2800</v>
      </c>
      <c r="G99" s="182">
        <v>700</v>
      </c>
      <c r="H99" s="473"/>
      <c r="I99" s="166">
        <f t="shared" si="40"/>
        <v>4</v>
      </c>
      <c r="J99" s="166">
        <f t="shared" si="40"/>
        <v>2845.8021514884231</v>
      </c>
      <c r="K99" s="180">
        <f t="shared" si="40"/>
        <v>711.45053787210577</v>
      </c>
      <c r="L99" s="473"/>
      <c r="M99" s="166">
        <f>RANK(K99, K$77:$K$106)</f>
        <v>16</v>
      </c>
      <c r="N99" s="470"/>
      <c r="O99" s="470"/>
      <c r="P99" s="182">
        <v>4</v>
      </c>
      <c r="Q99" s="182">
        <v>2783.4146341463406</v>
      </c>
      <c r="R99" s="180">
        <v>695.85365853658516</v>
      </c>
      <c r="S99" s="182">
        <f t="shared" si="39"/>
        <v>20</v>
      </c>
      <c r="T99" s="473"/>
      <c r="U99" s="182">
        <v>4</v>
      </c>
      <c r="V99" s="182">
        <v>2947.9999999999986</v>
      </c>
      <c r="W99" s="180">
        <v>736.99999999999966</v>
      </c>
      <c r="X99" s="182">
        <f t="shared" si="41"/>
        <v>16</v>
      </c>
      <c r="Y99" s="473"/>
      <c r="Z99" s="182">
        <v>4</v>
      </c>
      <c r="AA99" s="182">
        <v>2822.400000000001</v>
      </c>
      <c r="AB99" s="180">
        <v>705.60000000000025</v>
      </c>
      <c r="AC99" s="182">
        <f t="shared" si="42"/>
        <v>19</v>
      </c>
      <c r="AD99" s="473"/>
      <c r="AE99" s="182">
        <v>4</v>
      </c>
      <c r="AF99" s="182">
        <v>2794.411764705882</v>
      </c>
      <c r="AG99" s="180">
        <v>698.60294117647049</v>
      </c>
      <c r="AH99" s="182">
        <f t="shared" si="43"/>
        <v>14</v>
      </c>
      <c r="AI99" s="473"/>
      <c r="AJ99" s="182">
        <v>4</v>
      </c>
      <c r="AK99" s="182">
        <v>2847.6190476190468</v>
      </c>
      <c r="AL99" s="180">
        <v>711.9047619047617</v>
      </c>
      <c r="AM99" s="182">
        <f t="shared" si="44"/>
        <v>17</v>
      </c>
      <c r="AN99" s="473"/>
      <c r="AO99" s="182">
        <v>4</v>
      </c>
      <c r="AP99" s="182">
        <v>2869.3150684931484</v>
      </c>
      <c r="AQ99" s="180">
        <v>717.32876712328709</v>
      </c>
      <c r="AR99" s="182">
        <f t="shared" si="45"/>
        <v>17</v>
      </c>
      <c r="AS99" s="473"/>
      <c r="AT99" s="182">
        <v>4</v>
      </c>
      <c r="AU99" s="182">
        <v>2855.4545454545455</v>
      </c>
      <c r="AV99" s="180">
        <v>713.86363636363637</v>
      </c>
      <c r="AW99" s="182">
        <f t="shared" si="46"/>
        <v>18</v>
      </c>
      <c r="AX99" s="473"/>
    </row>
    <row r="100" spans="2:50">
      <c r="B100" s="493"/>
      <c r="C100" s="182">
        <v>24</v>
      </c>
      <c r="D100" s="182"/>
      <c r="E100" s="182"/>
      <c r="F100" s="182"/>
      <c r="G100" s="182"/>
      <c r="H100" s="473"/>
      <c r="I100" s="166"/>
      <c r="J100" s="166"/>
      <c r="K100" s="180"/>
      <c r="L100" s="473"/>
      <c r="M100" s="166" t="e">
        <f>RANK(K100, K$77:$K$106)</f>
        <v>#N/A</v>
      </c>
      <c r="N100" s="470"/>
      <c r="O100" s="470"/>
      <c r="P100" s="182"/>
      <c r="Q100" s="182"/>
      <c r="R100" s="182"/>
      <c r="S100" s="182" t="e">
        <f t="shared" si="39"/>
        <v>#N/A</v>
      </c>
      <c r="T100" s="473"/>
      <c r="U100" s="182"/>
      <c r="V100" s="182"/>
      <c r="W100" s="182"/>
      <c r="X100" s="182" t="e">
        <f t="shared" si="41"/>
        <v>#N/A</v>
      </c>
      <c r="Y100" s="473"/>
      <c r="Z100" s="182"/>
      <c r="AA100" s="182"/>
      <c r="AB100" s="182"/>
      <c r="AC100" s="182" t="e">
        <f t="shared" si="42"/>
        <v>#N/A</v>
      </c>
      <c r="AD100" s="473"/>
      <c r="AE100" s="182"/>
      <c r="AF100" s="182"/>
      <c r="AG100" s="182"/>
      <c r="AH100" s="182" t="e">
        <f t="shared" si="43"/>
        <v>#N/A</v>
      </c>
      <c r="AI100" s="473"/>
      <c r="AJ100" s="182"/>
      <c r="AK100" s="182"/>
      <c r="AL100" s="182"/>
      <c r="AM100" s="182" t="e">
        <f t="shared" si="44"/>
        <v>#N/A</v>
      </c>
      <c r="AN100" s="473"/>
      <c r="AO100" s="182"/>
      <c r="AP100" s="182"/>
      <c r="AQ100" s="182"/>
      <c r="AR100" s="182" t="e">
        <f t="shared" si="45"/>
        <v>#N/A</v>
      </c>
      <c r="AS100" s="473"/>
      <c r="AT100" s="182"/>
      <c r="AU100" s="182"/>
      <c r="AV100" s="182"/>
      <c r="AW100" s="182" t="e">
        <f t="shared" si="46"/>
        <v>#N/A</v>
      </c>
      <c r="AX100" s="473"/>
    </row>
    <row r="101" spans="2:50">
      <c r="B101" s="493"/>
      <c r="C101" s="182">
        <v>25</v>
      </c>
      <c r="D101" s="182"/>
      <c r="E101" s="182"/>
      <c r="F101" s="182"/>
      <c r="G101" s="182"/>
      <c r="H101" s="473"/>
      <c r="I101" s="182"/>
      <c r="J101" s="182"/>
      <c r="K101" s="182"/>
      <c r="L101" s="473"/>
      <c r="M101" s="166" t="e">
        <f>RANK(K101, K$77:$K$106)</f>
        <v>#N/A</v>
      </c>
      <c r="N101" s="470"/>
      <c r="O101" s="470"/>
      <c r="P101" s="182"/>
      <c r="Q101" s="182"/>
      <c r="R101" s="182"/>
      <c r="S101" s="182" t="e">
        <f t="shared" si="39"/>
        <v>#N/A</v>
      </c>
      <c r="T101" s="473"/>
      <c r="U101" s="182"/>
      <c r="V101" s="182"/>
      <c r="W101" s="182"/>
      <c r="X101" s="182" t="e">
        <f t="shared" si="41"/>
        <v>#N/A</v>
      </c>
      <c r="Y101" s="473"/>
      <c r="Z101" s="182"/>
      <c r="AA101" s="182"/>
      <c r="AB101" s="182"/>
      <c r="AC101" s="182" t="e">
        <f t="shared" si="42"/>
        <v>#N/A</v>
      </c>
      <c r="AD101" s="473"/>
      <c r="AE101" s="182"/>
      <c r="AF101" s="182"/>
      <c r="AG101" s="182"/>
      <c r="AH101" s="182" t="e">
        <f t="shared" si="43"/>
        <v>#N/A</v>
      </c>
      <c r="AI101" s="473"/>
      <c r="AJ101" s="182"/>
      <c r="AK101" s="182"/>
      <c r="AL101" s="182"/>
      <c r="AM101" s="182" t="e">
        <f t="shared" si="44"/>
        <v>#N/A</v>
      </c>
      <c r="AN101" s="473"/>
      <c r="AO101" s="182"/>
      <c r="AP101" s="182"/>
      <c r="AQ101" s="182"/>
      <c r="AR101" s="182" t="e">
        <f t="shared" si="45"/>
        <v>#N/A</v>
      </c>
      <c r="AS101" s="473"/>
      <c r="AT101" s="182"/>
      <c r="AU101" s="182"/>
      <c r="AV101" s="182"/>
      <c r="AW101" s="182" t="e">
        <f t="shared" si="46"/>
        <v>#N/A</v>
      </c>
      <c r="AX101" s="473"/>
    </row>
    <row r="102" spans="2:50">
      <c r="B102" s="493"/>
      <c r="C102" s="182">
        <v>26</v>
      </c>
      <c r="D102" s="182"/>
      <c r="E102" s="182"/>
      <c r="F102" s="182"/>
      <c r="G102" s="182"/>
      <c r="H102" s="473"/>
      <c r="I102" s="182"/>
      <c r="J102" s="182"/>
      <c r="K102" s="182"/>
      <c r="L102" s="473"/>
      <c r="M102" s="166" t="e">
        <f>RANK(K102, K$77:$K$106)</f>
        <v>#N/A</v>
      </c>
      <c r="N102" s="470"/>
      <c r="O102" s="470"/>
      <c r="P102" s="182"/>
      <c r="Q102" s="182"/>
      <c r="R102" s="182"/>
      <c r="S102" s="182" t="e">
        <f t="shared" si="39"/>
        <v>#N/A</v>
      </c>
      <c r="T102" s="473"/>
      <c r="U102" s="182"/>
      <c r="V102" s="182"/>
      <c r="W102" s="182"/>
      <c r="X102" s="182" t="e">
        <f t="shared" si="41"/>
        <v>#N/A</v>
      </c>
      <c r="Y102" s="473"/>
      <c r="Z102" s="182"/>
      <c r="AA102" s="182"/>
      <c r="AB102" s="182"/>
      <c r="AC102" s="182" t="e">
        <f t="shared" si="42"/>
        <v>#N/A</v>
      </c>
      <c r="AD102" s="473"/>
      <c r="AE102" s="182"/>
      <c r="AF102" s="182"/>
      <c r="AG102" s="182"/>
      <c r="AH102" s="182" t="e">
        <f t="shared" si="43"/>
        <v>#N/A</v>
      </c>
      <c r="AI102" s="473"/>
      <c r="AJ102" s="182"/>
      <c r="AK102" s="182"/>
      <c r="AL102" s="182"/>
      <c r="AM102" s="182" t="e">
        <f t="shared" si="44"/>
        <v>#N/A</v>
      </c>
      <c r="AN102" s="473"/>
      <c r="AO102" s="182"/>
      <c r="AP102" s="182"/>
      <c r="AQ102" s="182"/>
      <c r="AR102" s="182" t="e">
        <f t="shared" si="45"/>
        <v>#N/A</v>
      </c>
      <c r="AS102" s="473"/>
      <c r="AT102" s="182"/>
      <c r="AU102" s="182"/>
      <c r="AV102" s="182"/>
      <c r="AW102" s="182" t="e">
        <f t="shared" si="46"/>
        <v>#N/A</v>
      </c>
      <c r="AX102" s="473"/>
    </row>
    <row r="103" spans="2:50">
      <c r="B103" s="493"/>
      <c r="C103" s="182">
        <v>27</v>
      </c>
      <c r="D103" s="182"/>
      <c r="E103" s="182"/>
      <c r="F103" s="182"/>
      <c r="G103" s="182"/>
      <c r="H103" s="473"/>
      <c r="I103" s="182"/>
      <c r="J103" s="182"/>
      <c r="K103" s="182"/>
      <c r="L103" s="473"/>
      <c r="M103" s="166" t="e">
        <f>RANK(K103, K$77:$K$106)</f>
        <v>#N/A</v>
      </c>
      <c r="N103" s="470"/>
      <c r="O103" s="470"/>
      <c r="P103" s="182"/>
      <c r="Q103" s="182"/>
      <c r="R103" s="182"/>
      <c r="S103" s="182" t="e">
        <f t="shared" si="39"/>
        <v>#N/A</v>
      </c>
      <c r="T103" s="473"/>
      <c r="U103" s="182"/>
      <c r="V103" s="182"/>
      <c r="W103" s="182"/>
      <c r="X103" s="182" t="e">
        <f t="shared" si="41"/>
        <v>#N/A</v>
      </c>
      <c r="Y103" s="473"/>
      <c r="Z103" s="182"/>
      <c r="AA103" s="182"/>
      <c r="AB103" s="182"/>
      <c r="AC103" s="182" t="e">
        <f t="shared" si="42"/>
        <v>#N/A</v>
      </c>
      <c r="AD103" s="473"/>
      <c r="AE103" s="182"/>
      <c r="AF103" s="182"/>
      <c r="AG103" s="182"/>
      <c r="AH103" s="182" t="e">
        <f t="shared" si="43"/>
        <v>#N/A</v>
      </c>
      <c r="AI103" s="473"/>
      <c r="AJ103" s="182"/>
      <c r="AK103" s="182"/>
      <c r="AL103" s="182"/>
      <c r="AM103" s="182" t="e">
        <f t="shared" si="44"/>
        <v>#N/A</v>
      </c>
      <c r="AN103" s="473"/>
      <c r="AO103" s="182"/>
      <c r="AP103" s="182"/>
      <c r="AQ103" s="182"/>
      <c r="AR103" s="182" t="e">
        <f t="shared" si="45"/>
        <v>#N/A</v>
      </c>
      <c r="AS103" s="473"/>
      <c r="AT103" s="182"/>
      <c r="AU103" s="182"/>
      <c r="AV103" s="182"/>
      <c r="AW103" s="182" t="e">
        <f t="shared" si="46"/>
        <v>#N/A</v>
      </c>
      <c r="AX103" s="473"/>
    </row>
    <row r="104" spans="2:50">
      <c r="B104" s="493"/>
      <c r="C104" s="182">
        <v>28</v>
      </c>
      <c r="D104" s="182"/>
      <c r="E104" s="182"/>
      <c r="F104" s="182"/>
      <c r="G104" s="182"/>
      <c r="H104" s="473"/>
      <c r="I104" s="182"/>
      <c r="J104" s="182"/>
      <c r="K104" s="182"/>
      <c r="L104" s="473"/>
      <c r="M104" s="166" t="e">
        <f>RANK(K104, K$77:$K$106)</f>
        <v>#N/A</v>
      </c>
      <c r="N104" s="470"/>
      <c r="O104" s="470"/>
      <c r="P104" s="182"/>
      <c r="Q104" s="182"/>
      <c r="R104" s="182"/>
      <c r="S104" s="182" t="e">
        <f t="shared" si="39"/>
        <v>#N/A</v>
      </c>
      <c r="T104" s="473"/>
      <c r="U104" s="182"/>
      <c r="V104" s="182"/>
      <c r="W104" s="182"/>
      <c r="X104" s="182" t="e">
        <f t="shared" si="41"/>
        <v>#N/A</v>
      </c>
      <c r="Y104" s="473"/>
      <c r="Z104" s="182"/>
      <c r="AA104" s="182"/>
      <c r="AB104" s="182"/>
      <c r="AC104" s="182" t="e">
        <f t="shared" si="42"/>
        <v>#N/A</v>
      </c>
      <c r="AD104" s="473"/>
      <c r="AE104" s="182"/>
      <c r="AF104" s="182"/>
      <c r="AG104" s="182"/>
      <c r="AH104" s="182" t="e">
        <f t="shared" si="43"/>
        <v>#N/A</v>
      </c>
      <c r="AI104" s="473"/>
      <c r="AJ104" s="182"/>
      <c r="AK104" s="182"/>
      <c r="AL104" s="182"/>
      <c r="AM104" s="182" t="e">
        <f t="shared" si="44"/>
        <v>#N/A</v>
      </c>
      <c r="AN104" s="473"/>
      <c r="AO104" s="182"/>
      <c r="AP104" s="182"/>
      <c r="AQ104" s="182"/>
      <c r="AR104" s="182" t="e">
        <f t="shared" si="45"/>
        <v>#N/A</v>
      </c>
      <c r="AS104" s="473"/>
      <c r="AT104" s="182"/>
      <c r="AU104" s="182"/>
      <c r="AV104" s="182"/>
      <c r="AW104" s="182" t="e">
        <f t="shared" si="46"/>
        <v>#N/A</v>
      </c>
      <c r="AX104" s="473"/>
    </row>
    <row r="105" spans="2:50">
      <c r="B105" s="493"/>
      <c r="C105" s="182">
        <v>29</v>
      </c>
      <c r="D105" s="182"/>
      <c r="E105" s="182"/>
      <c r="F105" s="182"/>
      <c r="G105" s="182"/>
      <c r="H105" s="473"/>
      <c r="I105" s="182"/>
      <c r="J105" s="182"/>
      <c r="K105" s="182"/>
      <c r="L105" s="473"/>
      <c r="M105" s="166" t="e">
        <f>RANK(K105, K$77:$K$106)</f>
        <v>#N/A</v>
      </c>
      <c r="N105" s="470"/>
      <c r="O105" s="470"/>
      <c r="P105" s="182"/>
      <c r="Q105" s="182"/>
      <c r="R105" s="182"/>
      <c r="S105" s="182" t="e">
        <f t="shared" si="39"/>
        <v>#N/A</v>
      </c>
      <c r="T105" s="473"/>
      <c r="U105" s="182"/>
      <c r="V105" s="182"/>
      <c r="W105" s="182"/>
      <c r="X105" s="182" t="e">
        <f t="shared" si="41"/>
        <v>#N/A</v>
      </c>
      <c r="Y105" s="473"/>
      <c r="Z105" s="182"/>
      <c r="AA105" s="182"/>
      <c r="AB105" s="182"/>
      <c r="AC105" s="182" t="e">
        <f t="shared" si="42"/>
        <v>#N/A</v>
      </c>
      <c r="AD105" s="473"/>
      <c r="AE105" s="182"/>
      <c r="AF105" s="182"/>
      <c r="AG105" s="182"/>
      <c r="AH105" s="182" t="e">
        <f t="shared" si="43"/>
        <v>#N/A</v>
      </c>
      <c r="AI105" s="473"/>
      <c r="AJ105" s="182"/>
      <c r="AK105" s="182"/>
      <c r="AL105" s="182"/>
      <c r="AM105" s="182" t="e">
        <f t="shared" si="44"/>
        <v>#N/A</v>
      </c>
      <c r="AN105" s="473"/>
      <c r="AO105" s="182"/>
      <c r="AP105" s="182"/>
      <c r="AQ105" s="182"/>
      <c r="AR105" s="182" t="e">
        <f t="shared" si="45"/>
        <v>#N/A</v>
      </c>
      <c r="AS105" s="473"/>
      <c r="AT105" s="182"/>
      <c r="AU105" s="182"/>
      <c r="AV105" s="182"/>
      <c r="AW105" s="182" t="e">
        <f t="shared" si="46"/>
        <v>#N/A</v>
      </c>
      <c r="AX105" s="473"/>
    </row>
    <row r="106" spans="2:50">
      <c r="B106" s="494"/>
      <c r="C106" s="182">
        <v>30</v>
      </c>
      <c r="D106" s="182"/>
      <c r="E106" s="182"/>
      <c r="F106" s="182"/>
      <c r="G106" s="182"/>
      <c r="H106" s="474"/>
      <c r="I106" s="182"/>
      <c r="J106" s="182"/>
      <c r="K106" s="182"/>
      <c r="L106" s="474"/>
      <c r="M106" s="166" t="e">
        <f>RANK(K106, K$77:$K$106)</f>
        <v>#N/A</v>
      </c>
      <c r="N106" s="471"/>
      <c r="O106" s="471"/>
      <c r="P106" s="182"/>
      <c r="Q106" s="182"/>
      <c r="R106" s="182"/>
      <c r="S106" s="182" t="e">
        <f t="shared" si="39"/>
        <v>#N/A</v>
      </c>
      <c r="T106" s="474"/>
      <c r="U106" s="182"/>
      <c r="V106" s="182"/>
      <c r="W106" s="182"/>
      <c r="X106" s="182" t="e">
        <f t="shared" si="41"/>
        <v>#N/A</v>
      </c>
      <c r="Y106" s="474"/>
      <c r="Z106" s="182"/>
      <c r="AA106" s="182"/>
      <c r="AB106" s="182"/>
      <c r="AC106" s="182" t="e">
        <f t="shared" si="42"/>
        <v>#N/A</v>
      </c>
      <c r="AD106" s="474"/>
      <c r="AE106" s="182"/>
      <c r="AF106" s="182"/>
      <c r="AG106" s="182"/>
      <c r="AH106" s="182" t="e">
        <f t="shared" si="43"/>
        <v>#N/A</v>
      </c>
      <c r="AI106" s="474"/>
      <c r="AJ106" s="182"/>
      <c r="AK106" s="182"/>
      <c r="AL106" s="182"/>
      <c r="AM106" s="182" t="e">
        <f t="shared" si="44"/>
        <v>#N/A</v>
      </c>
      <c r="AN106" s="474"/>
      <c r="AO106" s="182"/>
      <c r="AP106" s="182"/>
      <c r="AQ106" s="182"/>
      <c r="AR106" s="182" t="e">
        <f t="shared" si="45"/>
        <v>#N/A</v>
      </c>
      <c r="AS106" s="474"/>
      <c r="AT106" s="182"/>
      <c r="AU106" s="182"/>
      <c r="AV106" s="182"/>
      <c r="AW106" s="182" t="e">
        <f t="shared" si="46"/>
        <v>#N/A</v>
      </c>
      <c r="AX106" s="474"/>
    </row>
    <row r="107" spans="2:50" ht="15.75">
      <c r="B107" s="480" t="s">
        <v>201</v>
      </c>
      <c r="C107" s="481"/>
      <c r="D107" s="481"/>
      <c r="E107" s="481"/>
      <c r="F107" s="481"/>
      <c r="G107" s="481"/>
      <c r="H107" s="481"/>
      <c r="I107" s="186"/>
      <c r="J107" s="186"/>
      <c r="K107" s="186"/>
      <c r="L107" s="186"/>
      <c r="M107" s="185"/>
      <c r="N107" s="469" t="s">
        <v>202</v>
      </c>
      <c r="O107" s="469" t="s">
        <v>150</v>
      </c>
      <c r="P107" s="478">
        <f>P72+7</f>
        <v>46407</v>
      </c>
      <c r="Q107" s="479"/>
      <c r="R107" s="479"/>
      <c r="S107" s="479"/>
      <c r="T107" s="479"/>
      <c r="U107" s="475">
        <f>P107+1</f>
        <v>46408</v>
      </c>
      <c r="V107" s="476"/>
      <c r="W107" s="476"/>
      <c r="X107" s="476"/>
      <c r="Y107" s="477"/>
      <c r="Z107" s="475">
        <f>U107+1</f>
        <v>46409</v>
      </c>
      <c r="AA107" s="476"/>
      <c r="AB107" s="476"/>
      <c r="AC107" s="476"/>
      <c r="AD107" s="477"/>
      <c r="AE107" s="475">
        <f>Z107+1</f>
        <v>46410</v>
      </c>
      <c r="AF107" s="476"/>
      <c r="AG107" s="476"/>
      <c r="AH107" s="476"/>
      <c r="AI107" s="477"/>
      <c r="AJ107" s="475">
        <f>AE107+1</f>
        <v>46411</v>
      </c>
      <c r="AK107" s="476"/>
      <c r="AL107" s="476"/>
      <c r="AM107" s="476"/>
      <c r="AN107" s="477"/>
      <c r="AO107" s="475">
        <f>AJ107+1</f>
        <v>46412</v>
      </c>
      <c r="AP107" s="476"/>
      <c r="AQ107" s="476"/>
      <c r="AR107" s="476"/>
      <c r="AS107" s="477"/>
      <c r="AT107" s="475">
        <f>AO107+1</f>
        <v>46413</v>
      </c>
      <c r="AU107" s="476"/>
      <c r="AV107" s="476"/>
      <c r="AW107" s="476"/>
      <c r="AX107" s="477"/>
    </row>
    <row r="108" spans="2:50" ht="15.75">
      <c r="B108" s="482"/>
      <c r="C108" s="482"/>
      <c r="D108" s="482"/>
      <c r="E108" s="482"/>
      <c r="F108" s="482"/>
      <c r="G108" s="482"/>
      <c r="H108" s="482"/>
      <c r="I108" s="184"/>
      <c r="J108" s="184"/>
      <c r="K108" s="184"/>
      <c r="L108" s="184"/>
      <c r="M108" s="179"/>
      <c r="N108" s="471"/>
      <c r="O108" s="471"/>
      <c r="P108" s="478" t="s">
        <v>203</v>
      </c>
      <c r="Q108" s="479"/>
      <c r="R108" s="479"/>
      <c r="S108" s="479"/>
      <c r="T108" s="479"/>
      <c r="U108" s="478" t="s">
        <v>204</v>
      </c>
      <c r="V108" s="479"/>
      <c r="W108" s="479"/>
      <c r="X108" s="479"/>
      <c r="Y108" s="479"/>
      <c r="Z108" s="478" t="s">
        <v>205</v>
      </c>
      <c r="AA108" s="479"/>
      <c r="AB108" s="479"/>
      <c r="AC108" s="479"/>
      <c r="AD108" s="479"/>
      <c r="AE108" s="478" t="s">
        <v>206</v>
      </c>
      <c r="AF108" s="479"/>
      <c r="AG108" s="479"/>
      <c r="AH108" s="479"/>
      <c r="AI108" s="479"/>
      <c r="AJ108" s="478" t="s">
        <v>207</v>
      </c>
      <c r="AK108" s="479"/>
      <c r="AL108" s="479"/>
      <c r="AM108" s="479"/>
      <c r="AN108" s="479"/>
      <c r="AO108" s="478" t="s">
        <v>157</v>
      </c>
      <c r="AP108" s="479"/>
      <c r="AQ108" s="479"/>
      <c r="AR108" s="479"/>
      <c r="AS108" s="479"/>
      <c r="AT108" s="478" t="s">
        <v>208</v>
      </c>
      <c r="AU108" s="479"/>
      <c r="AV108" s="479"/>
      <c r="AW108" s="479"/>
      <c r="AX108" s="479"/>
    </row>
    <row r="109" spans="2:50">
      <c r="B109" s="462" t="s">
        <v>209</v>
      </c>
      <c r="C109" s="462" t="s">
        <v>210</v>
      </c>
      <c r="D109" s="462"/>
      <c r="E109" s="462" t="s">
        <v>211</v>
      </c>
      <c r="F109" s="462"/>
      <c r="G109" s="462"/>
      <c r="H109" s="463" t="s">
        <v>212</v>
      </c>
      <c r="I109" s="462" t="s">
        <v>213</v>
      </c>
      <c r="J109" s="462"/>
      <c r="K109" s="462"/>
      <c r="L109" s="463" t="s">
        <v>212</v>
      </c>
      <c r="M109" s="469" t="s">
        <v>214</v>
      </c>
      <c r="N109" s="462"/>
      <c r="O109" s="462" t="s">
        <v>215</v>
      </c>
      <c r="P109" s="466" t="s">
        <v>216</v>
      </c>
      <c r="Q109" s="467"/>
      <c r="R109" s="467"/>
      <c r="S109" s="468"/>
      <c r="T109" s="462" t="s">
        <v>212</v>
      </c>
      <c r="U109" s="466" t="s">
        <v>216</v>
      </c>
      <c r="V109" s="467"/>
      <c r="W109" s="467"/>
      <c r="X109" s="468"/>
      <c r="Y109" s="462" t="s">
        <v>212</v>
      </c>
      <c r="Z109" s="466" t="s">
        <v>216</v>
      </c>
      <c r="AA109" s="467"/>
      <c r="AB109" s="467"/>
      <c r="AC109" s="468"/>
      <c r="AD109" s="462" t="s">
        <v>212</v>
      </c>
      <c r="AE109" s="466" t="s">
        <v>216</v>
      </c>
      <c r="AF109" s="467"/>
      <c r="AG109" s="467"/>
      <c r="AH109" s="468"/>
      <c r="AI109" s="462" t="s">
        <v>212</v>
      </c>
      <c r="AJ109" s="466" t="s">
        <v>216</v>
      </c>
      <c r="AK109" s="467"/>
      <c r="AL109" s="467"/>
      <c r="AM109" s="468"/>
      <c r="AN109" s="462" t="s">
        <v>212</v>
      </c>
      <c r="AO109" s="466" t="s">
        <v>216</v>
      </c>
      <c r="AP109" s="467"/>
      <c r="AQ109" s="467"/>
      <c r="AR109" s="468"/>
      <c r="AS109" s="462" t="s">
        <v>212</v>
      </c>
      <c r="AT109" s="466" t="s">
        <v>216</v>
      </c>
      <c r="AU109" s="467"/>
      <c r="AV109" s="467"/>
      <c r="AW109" s="468"/>
      <c r="AX109" s="462" t="s">
        <v>212</v>
      </c>
    </row>
    <row r="110" spans="2:50">
      <c r="B110" s="462"/>
      <c r="C110" s="462"/>
      <c r="D110" s="462"/>
      <c r="E110" s="462" t="s">
        <v>217</v>
      </c>
      <c r="F110" s="462"/>
      <c r="G110" s="462"/>
      <c r="H110" s="464"/>
      <c r="I110" s="462" t="s">
        <v>217</v>
      </c>
      <c r="J110" s="462"/>
      <c r="K110" s="462"/>
      <c r="L110" s="464"/>
      <c r="M110" s="470"/>
      <c r="N110" s="462"/>
      <c r="O110" s="462"/>
      <c r="P110" s="466" t="s">
        <v>218</v>
      </c>
      <c r="Q110" s="467"/>
      <c r="R110" s="467"/>
      <c r="S110" s="468"/>
      <c r="T110" s="462"/>
      <c r="U110" s="466" t="s">
        <v>218</v>
      </c>
      <c r="V110" s="467"/>
      <c r="W110" s="467"/>
      <c r="X110" s="468"/>
      <c r="Y110" s="462"/>
      <c r="Z110" s="466" t="s">
        <v>218</v>
      </c>
      <c r="AA110" s="467"/>
      <c r="AB110" s="467"/>
      <c r="AC110" s="468"/>
      <c r="AD110" s="462"/>
      <c r="AE110" s="466" t="s">
        <v>218</v>
      </c>
      <c r="AF110" s="467"/>
      <c r="AG110" s="467"/>
      <c r="AH110" s="468"/>
      <c r="AI110" s="462"/>
      <c r="AJ110" s="466" t="s">
        <v>218</v>
      </c>
      <c r="AK110" s="467"/>
      <c r="AL110" s="467"/>
      <c r="AM110" s="468"/>
      <c r="AN110" s="462"/>
      <c r="AO110" s="466" t="s">
        <v>218</v>
      </c>
      <c r="AP110" s="467"/>
      <c r="AQ110" s="467"/>
      <c r="AR110" s="468"/>
      <c r="AS110" s="462"/>
      <c r="AT110" s="466" t="s">
        <v>218</v>
      </c>
      <c r="AU110" s="467"/>
      <c r="AV110" s="467"/>
      <c r="AW110" s="468"/>
      <c r="AX110" s="462"/>
    </row>
    <row r="111" spans="2:50">
      <c r="B111" s="462"/>
      <c r="C111" s="462"/>
      <c r="D111" s="462"/>
      <c r="E111" s="271" t="s">
        <v>219</v>
      </c>
      <c r="F111" s="271" t="s">
        <v>220</v>
      </c>
      <c r="G111" s="271" t="s">
        <v>221</v>
      </c>
      <c r="H111" s="465"/>
      <c r="I111" s="271" t="s">
        <v>219</v>
      </c>
      <c r="J111" s="271" t="s">
        <v>220</v>
      </c>
      <c r="K111" s="271" t="s">
        <v>221</v>
      </c>
      <c r="L111" s="465"/>
      <c r="M111" s="471"/>
      <c r="N111" s="462"/>
      <c r="O111" s="462"/>
      <c r="P111" s="271" t="s">
        <v>219</v>
      </c>
      <c r="Q111" s="271" t="s">
        <v>220</v>
      </c>
      <c r="R111" s="271" t="s">
        <v>221</v>
      </c>
      <c r="S111" s="271" t="s">
        <v>214</v>
      </c>
      <c r="T111" s="462"/>
      <c r="U111" s="271" t="s">
        <v>219</v>
      </c>
      <c r="V111" s="271" t="s">
        <v>220</v>
      </c>
      <c r="W111" s="271" t="s">
        <v>221</v>
      </c>
      <c r="X111" s="271" t="s">
        <v>214</v>
      </c>
      <c r="Y111" s="462"/>
      <c r="Z111" s="271" t="s">
        <v>219</v>
      </c>
      <c r="AA111" s="271" t="s">
        <v>220</v>
      </c>
      <c r="AB111" s="271" t="s">
        <v>221</v>
      </c>
      <c r="AC111" s="271" t="s">
        <v>214</v>
      </c>
      <c r="AD111" s="462"/>
      <c r="AE111" s="271" t="s">
        <v>219</v>
      </c>
      <c r="AF111" s="271" t="s">
        <v>220</v>
      </c>
      <c r="AG111" s="271" t="s">
        <v>221</v>
      </c>
      <c r="AH111" s="271" t="s">
        <v>214</v>
      </c>
      <c r="AI111" s="462"/>
      <c r="AJ111" s="271" t="s">
        <v>219</v>
      </c>
      <c r="AK111" s="271" t="s">
        <v>220</v>
      </c>
      <c r="AL111" s="271" t="s">
        <v>221</v>
      </c>
      <c r="AM111" s="271" t="s">
        <v>214</v>
      </c>
      <c r="AN111" s="462"/>
      <c r="AO111" s="271" t="s">
        <v>219</v>
      </c>
      <c r="AP111" s="271" t="s">
        <v>220</v>
      </c>
      <c r="AQ111" s="271" t="s">
        <v>221</v>
      </c>
      <c r="AR111" s="271" t="s">
        <v>214</v>
      </c>
      <c r="AS111" s="462"/>
      <c r="AT111" s="271" t="s">
        <v>219</v>
      </c>
      <c r="AU111" s="271" t="s">
        <v>220</v>
      </c>
      <c r="AV111" s="271" t="s">
        <v>221</v>
      </c>
      <c r="AW111" s="271" t="s">
        <v>214</v>
      </c>
      <c r="AX111" s="462"/>
    </row>
    <row r="112" spans="2:50">
      <c r="B112" s="479" t="s">
        <v>245</v>
      </c>
      <c r="C112" s="182">
        <v>1</v>
      </c>
      <c r="D112" s="182" t="s">
        <v>223</v>
      </c>
      <c r="E112" s="182">
        <v>4</v>
      </c>
      <c r="F112" s="182">
        <v>2200</v>
      </c>
      <c r="G112" s="182">
        <v>550</v>
      </c>
      <c r="H112" s="472">
        <f>AVERAGE(G112:G141)</f>
        <v>839.2361111111112</v>
      </c>
      <c r="I112" s="166">
        <f>AVERAGE(P112,U112,Z112,AE112,AJ112,AO112,AT112)</f>
        <v>3</v>
      </c>
      <c r="J112" s="166">
        <f>AVERAGE(Q112,V112,AA112,AF112,AK112,AP112,AU112)</f>
        <v>3206.8302128839891</v>
      </c>
      <c r="K112" s="180">
        <f>AVERAGE(R112,W112,AB112,AG112,AL112,AQ112,AV112)</f>
        <v>1068.943404294663</v>
      </c>
      <c r="L112" s="459">
        <f>IFERROR(AVERAGE(K112:K141),"-")</f>
        <v>781.25061205900738</v>
      </c>
      <c r="M112" s="166">
        <f>RANK(K112, K$112:$K$141)</f>
        <v>3</v>
      </c>
      <c r="N112" s="462"/>
      <c r="O112" s="462"/>
      <c r="P112" s="166">
        <v>3</v>
      </c>
      <c r="Q112" s="166">
        <v>3278.181818181818</v>
      </c>
      <c r="R112" s="166">
        <v>1092.7272727272727</v>
      </c>
      <c r="S112" s="182">
        <f>RANK(R112, R$112:R$141)</f>
        <v>1</v>
      </c>
      <c r="T112" s="472">
        <f>AVERAGE(R112:R141)</f>
        <v>798.25923677171647</v>
      </c>
      <c r="U112" s="166">
        <v>3</v>
      </c>
      <c r="V112" s="166">
        <v>3118.6666666666665</v>
      </c>
      <c r="W112" s="166">
        <v>1039.5555555555554</v>
      </c>
      <c r="X112" s="182">
        <f t="shared" ref="X112:X127" si="47">RANK(W112, W$112:W$141)</f>
        <v>4</v>
      </c>
      <c r="Y112" s="472">
        <f t="shared" ref="Y112" si="48">AVERAGE(W112:W141)</f>
        <v>764.4729447179335</v>
      </c>
      <c r="Z112" s="166">
        <v>3</v>
      </c>
      <c r="AA112" s="166">
        <v>3175.500000000005</v>
      </c>
      <c r="AB112" s="166">
        <v>1058.5000000000016</v>
      </c>
      <c r="AC112" s="182">
        <f t="shared" ref="AC112:AC127" si="49">RANK(AB112, AB$112:AB$141)</f>
        <v>2</v>
      </c>
      <c r="AD112" s="472">
        <f t="shared" ref="AD112" si="50">AVERAGE(AB112:AB141)</f>
        <v>776.00730488019769</v>
      </c>
      <c r="AE112" s="166">
        <v>3</v>
      </c>
      <c r="AF112" s="166">
        <v>3271.5789473684222</v>
      </c>
      <c r="AG112" s="166">
        <v>1090.526315789474</v>
      </c>
      <c r="AH112" s="182">
        <f t="shared" ref="AH112:AH127" si="51">RANK(AG112, AG$112:AG$141)</f>
        <v>4</v>
      </c>
      <c r="AI112" s="472">
        <f t="shared" ref="AI112" si="52">AVERAGE(AG112:AG141)</f>
        <v>801.88508659778176</v>
      </c>
      <c r="AJ112" s="166">
        <v>3</v>
      </c>
      <c r="AK112" s="166">
        <v>3238.6666666666665</v>
      </c>
      <c r="AL112" s="166">
        <v>1079.5555555555554</v>
      </c>
      <c r="AM112" s="182">
        <f t="shared" ref="AM112:AM127" si="53">RANK(AL112, AL$112:AL$141)</f>
        <v>3</v>
      </c>
      <c r="AN112" s="472">
        <f t="shared" ref="AN112" si="54">AVERAGE(AL112:AL141)</f>
        <v>790.41636835754912</v>
      </c>
      <c r="AO112" s="166">
        <v>3</v>
      </c>
      <c r="AP112" s="166">
        <v>3182.608695652174</v>
      </c>
      <c r="AQ112" s="166">
        <v>1060.8695652173913</v>
      </c>
      <c r="AR112" s="182">
        <f t="shared" ref="AR112:AR127" si="55">RANK(AQ112, AQ$112:AQ$141)</f>
        <v>1</v>
      </c>
      <c r="AS112" s="472">
        <f t="shared" ref="AS112" si="56">AVERAGE(AQ112:AQ141)</f>
        <v>771.50653942302097</v>
      </c>
      <c r="AT112" s="166">
        <v>3</v>
      </c>
      <c r="AU112" s="166">
        <v>3182.608695652174</v>
      </c>
      <c r="AV112" s="166">
        <v>1060.8695652173913</v>
      </c>
      <c r="AW112" s="182">
        <f t="shared" ref="AW112:AW127" si="57">RANK(AV112, AV$112:AV$141)</f>
        <v>1</v>
      </c>
      <c r="AX112" s="472">
        <f t="shared" ref="AX112" si="58">AVERAGE(AV112:AV141)</f>
        <v>771.50653942302097</v>
      </c>
    </row>
    <row r="113" spans="2:50">
      <c r="B113" s="479"/>
      <c r="C113" s="182">
        <v>2</v>
      </c>
      <c r="D113" s="182" t="s">
        <v>224</v>
      </c>
      <c r="E113" s="182">
        <v>3</v>
      </c>
      <c r="F113" s="182">
        <v>2700</v>
      </c>
      <c r="G113" s="182">
        <v>900</v>
      </c>
      <c r="H113" s="473"/>
      <c r="I113" s="166">
        <f t="shared" ref="I113:I130" si="59">AVERAGE(P113,U113,Z113,AE113,AJ113,AO113,AT113)</f>
        <v>3</v>
      </c>
      <c r="J113" s="166">
        <f t="shared" ref="J113:J130" si="60">AVERAGE(Q113,V113,AA113,AF113,AK113,AP113,AU113)</f>
        <v>3265.0408163265301</v>
      </c>
      <c r="K113" s="180">
        <f t="shared" ref="K113:K130" si="61">AVERAGE(R113,W113,AB113,AG113,AL113,AQ113,AV113)</f>
        <v>1088.3469387755099</v>
      </c>
      <c r="L113" s="460"/>
      <c r="M113" s="166">
        <f>RANK(K113, K$112:$K$141)</f>
        <v>1</v>
      </c>
      <c r="N113" s="462"/>
      <c r="O113" s="462"/>
      <c r="P113" s="166">
        <v>3</v>
      </c>
      <c r="Q113" s="166">
        <v>3267.9999999999941</v>
      </c>
      <c r="R113" s="166">
        <v>1089.3333333333314</v>
      </c>
      <c r="S113" s="182">
        <f t="shared" ref="S113:S141" si="62">RANK(R113, R$112:R$141)</f>
        <v>2</v>
      </c>
      <c r="T113" s="473"/>
      <c r="U113" s="166">
        <v>3</v>
      </c>
      <c r="V113" s="166">
        <v>3243.9999999999941</v>
      </c>
      <c r="W113" s="166">
        <v>1081.3333333333314</v>
      </c>
      <c r="X113" s="182">
        <f t="shared" si="47"/>
        <v>2</v>
      </c>
      <c r="Y113" s="473"/>
      <c r="Z113" s="166">
        <v>3</v>
      </c>
      <c r="AA113" s="166">
        <v>3144.99999999999</v>
      </c>
      <c r="AB113" s="166">
        <v>1048.3333333333301</v>
      </c>
      <c r="AC113" s="182">
        <f t="shared" si="49"/>
        <v>3</v>
      </c>
      <c r="AD113" s="473"/>
      <c r="AE113" s="166">
        <v>3</v>
      </c>
      <c r="AF113" s="166">
        <v>3443.9999999999845</v>
      </c>
      <c r="AG113" s="166">
        <v>1147.9999999999948</v>
      </c>
      <c r="AH113" s="182">
        <f t="shared" si="51"/>
        <v>1</v>
      </c>
      <c r="AI113" s="473"/>
      <c r="AJ113" s="166">
        <v>3</v>
      </c>
      <c r="AK113" s="166">
        <v>3424.2857142857265</v>
      </c>
      <c r="AL113" s="166">
        <v>1141.4285714285754</v>
      </c>
      <c r="AM113" s="182">
        <f t="shared" si="53"/>
        <v>1</v>
      </c>
      <c r="AN113" s="473"/>
      <c r="AO113" s="166">
        <v>3</v>
      </c>
      <c r="AP113" s="166">
        <v>3165.0000000000109</v>
      </c>
      <c r="AQ113" s="166">
        <v>1055.0000000000036</v>
      </c>
      <c r="AR113" s="182">
        <f t="shared" si="55"/>
        <v>3</v>
      </c>
      <c r="AS113" s="473"/>
      <c r="AT113" s="166">
        <v>3</v>
      </c>
      <c r="AU113" s="166">
        <v>3165.0000000000109</v>
      </c>
      <c r="AV113" s="166">
        <v>1055.0000000000036</v>
      </c>
      <c r="AW113" s="182">
        <f t="shared" si="57"/>
        <v>3</v>
      </c>
      <c r="AX113" s="473"/>
    </row>
    <row r="114" spans="2:50">
      <c r="B114" s="479"/>
      <c r="C114" s="182">
        <v>3</v>
      </c>
      <c r="D114" s="182" t="s">
        <v>225</v>
      </c>
      <c r="E114" s="182">
        <v>4</v>
      </c>
      <c r="F114" s="182">
        <v>3600</v>
      </c>
      <c r="G114" s="182">
        <v>900</v>
      </c>
      <c r="H114" s="473"/>
      <c r="I114" s="166">
        <f t="shared" si="59"/>
        <v>4</v>
      </c>
      <c r="J114" s="166">
        <f t="shared" si="60"/>
        <v>3153.467356173237</v>
      </c>
      <c r="K114" s="180">
        <f t="shared" si="61"/>
        <v>788.36683904330926</v>
      </c>
      <c r="L114" s="460"/>
      <c r="M114" s="166">
        <f>RANK(K114, K$112:$K$141)</f>
        <v>11</v>
      </c>
      <c r="N114" s="462"/>
      <c r="O114" s="462"/>
      <c r="P114" s="166">
        <v>4</v>
      </c>
      <c r="Q114" s="166">
        <v>3180.0000000000045</v>
      </c>
      <c r="R114" s="166">
        <v>795.00000000000114</v>
      </c>
      <c r="S114" s="182">
        <f t="shared" si="62"/>
        <v>12</v>
      </c>
      <c r="T114" s="473"/>
      <c r="U114" s="166">
        <v>4</v>
      </c>
      <c r="V114" s="166">
        <v>2934.0000000000045</v>
      </c>
      <c r="W114" s="166">
        <v>733.50000000000114</v>
      </c>
      <c r="X114" s="182">
        <f t="shared" si="47"/>
        <v>11</v>
      </c>
      <c r="Y114" s="473"/>
      <c r="Z114" s="166">
        <v>4</v>
      </c>
      <c r="AA114" s="166">
        <v>3179.9999999999945</v>
      </c>
      <c r="AB114" s="166">
        <v>794.99999999999864</v>
      </c>
      <c r="AC114" s="182">
        <f t="shared" si="49"/>
        <v>10</v>
      </c>
      <c r="AD114" s="473"/>
      <c r="AE114" s="166">
        <v>4</v>
      </c>
      <c r="AF114" s="166">
        <v>3286.1538461538375</v>
      </c>
      <c r="AG114" s="166">
        <v>821.53846153845939</v>
      </c>
      <c r="AH114" s="182">
        <f t="shared" si="51"/>
        <v>10</v>
      </c>
      <c r="AI114" s="473"/>
      <c r="AJ114" s="166">
        <v>4</v>
      </c>
      <c r="AK114" s="166">
        <v>3314.1176470588116</v>
      </c>
      <c r="AL114" s="166">
        <v>828.5294117647029</v>
      </c>
      <c r="AM114" s="182">
        <f t="shared" si="53"/>
        <v>10</v>
      </c>
      <c r="AN114" s="473"/>
      <c r="AO114" s="166">
        <v>4</v>
      </c>
      <c r="AP114" s="166">
        <v>3090.0000000000041</v>
      </c>
      <c r="AQ114" s="166">
        <v>772.50000000000102</v>
      </c>
      <c r="AR114" s="182">
        <f t="shared" si="55"/>
        <v>11</v>
      </c>
      <c r="AS114" s="473"/>
      <c r="AT114" s="166">
        <v>4</v>
      </c>
      <c r="AU114" s="166">
        <v>3090.0000000000041</v>
      </c>
      <c r="AV114" s="166">
        <v>772.50000000000102</v>
      </c>
      <c r="AW114" s="182">
        <f t="shared" si="57"/>
        <v>11</v>
      </c>
      <c r="AX114" s="473"/>
    </row>
    <row r="115" spans="2:50">
      <c r="B115" s="479"/>
      <c r="C115" s="182">
        <v>4</v>
      </c>
      <c r="D115" s="182" t="s">
        <v>226</v>
      </c>
      <c r="E115" s="182">
        <v>3</v>
      </c>
      <c r="F115" s="182">
        <v>3600</v>
      </c>
      <c r="G115" s="182">
        <v>1200</v>
      </c>
      <c r="H115" s="473"/>
      <c r="I115" s="166">
        <f t="shared" si="59"/>
        <v>3</v>
      </c>
      <c r="J115" s="166">
        <f t="shared" si="60"/>
        <v>3234.9039349015752</v>
      </c>
      <c r="K115" s="180">
        <f t="shared" si="61"/>
        <v>1078.3013116338584</v>
      </c>
      <c r="L115" s="460"/>
      <c r="M115" s="166">
        <f>RANK(K115, K$112:$K$141)</f>
        <v>2</v>
      </c>
      <c r="N115" s="462"/>
      <c r="O115" s="462"/>
      <c r="P115" s="166">
        <v>3</v>
      </c>
      <c r="Q115" s="166">
        <v>3253.333333333328</v>
      </c>
      <c r="R115" s="166">
        <v>1084.4444444444428</v>
      </c>
      <c r="S115" s="182">
        <f t="shared" si="62"/>
        <v>3</v>
      </c>
      <c r="T115" s="473"/>
      <c r="U115" s="166">
        <v>3</v>
      </c>
      <c r="V115" s="166">
        <v>3239.9999999999982</v>
      </c>
      <c r="W115" s="166">
        <v>1079.9999999999993</v>
      </c>
      <c r="X115" s="182">
        <f t="shared" si="47"/>
        <v>3</v>
      </c>
      <c r="Y115" s="473"/>
      <c r="Z115" s="166">
        <v>3</v>
      </c>
      <c r="AA115" s="166">
        <v>3238.9090909090883</v>
      </c>
      <c r="AB115" s="166">
        <v>1079.6363636363628</v>
      </c>
      <c r="AC115" s="182">
        <f t="shared" si="49"/>
        <v>1</v>
      </c>
      <c r="AD115" s="473"/>
      <c r="AE115" s="166">
        <v>3</v>
      </c>
      <c r="AF115" s="166">
        <v>3304.5283018867945</v>
      </c>
      <c r="AG115" s="166">
        <v>1101.5094339622649</v>
      </c>
      <c r="AH115" s="182">
        <f t="shared" si="51"/>
        <v>3</v>
      </c>
      <c r="AI115" s="473"/>
      <c r="AJ115" s="166">
        <v>3</v>
      </c>
      <c r="AK115" s="166">
        <v>3249.3749999999991</v>
      </c>
      <c r="AL115" s="166">
        <v>1083.1249999999998</v>
      </c>
      <c r="AM115" s="182">
        <f t="shared" si="53"/>
        <v>2</v>
      </c>
      <c r="AN115" s="473"/>
      <c r="AO115" s="166">
        <v>3</v>
      </c>
      <c r="AP115" s="166">
        <v>3179.090909090909</v>
      </c>
      <c r="AQ115" s="166">
        <v>1059.6969696969697</v>
      </c>
      <c r="AR115" s="182">
        <f t="shared" si="55"/>
        <v>2</v>
      </c>
      <c r="AS115" s="473"/>
      <c r="AT115" s="166">
        <v>3</v>
      </c>
      <c r="AU115" s="166">
        <v>3179.090909090909</v>
      </c>
      <c r="AV115" s="166">
        <v>1059.6969696969697</v>
      </c>
      <c r="AW115" s="182">
        <f t="shared" si="57"/>
        <v>2</v>
      </c>
      <c r="AX115" s="473"/>
    </row>
    <row r="116" spans="2:50">
      <c r="B116" s="479"/>
      <c r="C116" s="182">
        <v>5</v>
      </c>
      <c r="D116" s="182" t="s">
        <v>227</v>
      </c>
      <c r="E116" s="182">
        <v>3</v>
      </c>
      <c r="F116" s="182">
        <v>3600</v>
      </c>
      <c r="G116" s="182">
        <v>1200</v>
      </c>
      <c r="H116" s="473"/>
      <c r="I116" s="166">
        <f t="shared" si="59"/>
        <v>4</v>
      </c>
      <c r="J116" s="166">
        <f t="shared" si="60"/>
        <v>3216.4077097505674</v>
      </c>
      <c r="K116" s="180">
        <f t="shared" si="61"/>
        <v>804.10192743764185</v>
      </c>
      <c r="L116" s="460"/>
      <c r="M116" s="166">
        <f>RANK(K116, K$112:$K$141)</f>
        <v>10</v>
      </c>
      <c r="N116" s="462"/>
      <c r="O116" s="462"/>
      <c r="P116" s="166">
        <v>4</v>
      </c>
      <c r="Q116" s="166">
        <v>3268.8888888888905</v>
      </c>
      <c r="R116" s="166">
        <v>817.22222222222263</v>
      </c>
      <c r="S116" s="182">
        <f t="shared" si="62"/>
        <v>11</v>
      </c>
      <c r="T116" s="473"/>
      <c r="U116" s="166">
        <v>4</v>
      </c>
      <c r="V116" s="166">
        <v>3381.6000000000008</v>
      </c>
      <c r="W116" s="166">
        <v>845.4000000000002</v>
      </c>
      <c r="X116" s="182">
        <f t="shared" si="47"/>
        <v>9</v>
      </c>
      <c r="Y116" s="473"/>
      <c r="Z116" s="166">
        <v>4</v>
      </c>
      <c r="AA116" s="166">
        <v>3065.0000000000009</v>
      </c>
      <c r="AB116" s="166">
        <v>766.25000000000023</v>
      </c>
      <c r="AC116" s="182">
        <f t="shared" si="49"/>
        <v>12</v>
      </c>
      <c r="AD116" s="473"/>
      <c r="AE116" s="166">
        <v>4</v>
      </c>
      <c r="AF116" s="166">
        <v>3262.8571428571481</v>
      </c>
      <c r="AG116" s="166">
        <v>815.71428571428703</v>
      </c>
      <c r="AH116" s="182">
        <f t="shared" si="51"/>
        <v>11</v>
      </c>
      <c r="AI116" s="473"/>
      <c r="AJ116" s="166">
        <v>4</v>
      </c>
      <c r="AK116" s="166">
        <v>3262.222222222219</v>
      </c>
      <c r="AL116" s="166">
        <v>815.55555555555475</v>
      </c>
      <c r="AM116" s="182">
        <f t="shared" si="53"/>
        <v>11</v>
      </c>
      <c r="AN116" s="473"/>
      <c r="AO116" s="166">
        <v>4</v>
      </c>
      <c r="AP116" s="166">
        <v>3137.1428571428551</v>
      </c>
      <c r="AQ116" s="166">
        <v>784.28571428571377</v>
      </c>
      <c r="AR116" s="182">
        <f t="shared" si="55"/>
        <v>10</v>
      </c>
      <c r="AS116" s="473"/>
      <c r="AT116" s="166">
        <v>4</v>
      </c>
      <c r="AU116" s="166">
        <v>3137.1428571428551</v>
      </c>
      <c r="AV116" s="166">
        <v>784.28571428571377</v>
      </c>
      <c r="AW116" s="182">
        <f t="shared" si="57"/>
        <v>10</v>
      </c>
      <c r="AX116" s="473"/>
    </row>
    <row r="117" spans="2:50">
      <c r="B117" s="479"/>
      <c r="C117" s="182">
        <v>6</v>
      </c>
      <c r="D117" s="182" t="s">
        <v>228</v>
      </c>
      <c r="E117" s="182">
        <v>4</v>
      </c>
      <c r="F117" s="182">
        <v>3600</v>
      </c>
      <c r="G117" s="182">
        <v>900</v>
      </c>
      <c r="H117" s="473"/>
      <c r="I117" s="166">
        <f t="shared" si="59"/>
        <v>4</v>
      </c>
      <c r="J117" s="166">
        <f t="shared" si="60"/>
        <v>3299.9706959706996</v>
      </c>
      <c r="K117" s="180">
        <f t="shared" si="61"/>
        <v>824.9926739926749</v>
      </c>
      <c r="L117" s="460"/>
      <c r="M117" s="166">
        <f>RANK(K117, K$112:$K$141)</f>
        <v>9</v>
      </c>
      <c r="N117" s="462"/>
      <c r="O117" s="462"/>
      <c r="P117" s="166">
        <v>4</v>
      </c>
      <c r="Q117" s="166">
        <v>3428.5714285714312</v>
      </c>
      <c r="R117" s="166">
        <v>857.14285714285779</v>
      </c>
      <c r="S117" s="182">
        <f t="shared" si="62"/>
        <v>10</v>
      </c>
      <c r="T117" s="473"/>
      <c r="U117" s="166">
        <v>4</v>
      </c>
      <c r="V117" s="166">
        <v>2996.0000000000027</v>
      </c>
      <c r="W117" s="166">
        <v>749.00000000000068</v>
      </c>
      <c r="X117" s="182">
        <f t="shared" si="47"/>
        <v>10</v>
      </c>
      <c r="Y117" s="473"/>
      <c r="Z117" s="166">
        <v>4</v>
      </c>
      <c r="AA117" s="166">
        <v>3551.9999999999991</v>
      </c>
      <c r="AB117" s="166">
        <v>887.99999999999977</v>
      </c>
      <c r="AC117" s="182">
        <f t="shared" si="49"/>
        <v>8</v>
      </c>
      <c r="AD117" s="473"/>
      <c r="AE117" s="166">
        <v>4</v>
      </c>
      <c r="AF117" s="166">
        <v>3513.3333333333458</v>
      </c>
      <c r="AG117" s="166">
        <v>878.33333333333644</v>
      </c>
      <c r="AH117" s="182">
        <f t="shared" si="51"/>
        <v>8</v>
      </c>
      <c r="AI117" s="473"/>
      <c r="AJ117" s="166">
        <v>4</v>
      </c>
      <c r="AK117" s="166">
        <v>3318.4615384615399</v>
      </c>
      <c r="AL117" s="166">
        <v>829.61538461538498</v>
      </c>
      <c r="AM117" s="182">
        <f t="shared" si="53"/>
        <v>9</v>
      </c>
      <c r="AN117" s="473"/>
      <c r="AO117" s="166">
        <v>4</v>
      </c>
      <c r="AP117" s="166">
        <v>3145.7142857142881</v>
      </c>
      <c r="AQ117" s="166">
        <v>786.42857142857201</v>
      </c>
      <c r="AR117" s="182">
        <f t="shared" si="55"/>
        <v>9</v>
      </c>
      <c r="AS117" s="473"/>
      <c r="AT117" s="166">
        <v>4</v>
      </c>
      <c r="AU117" s="166">
        <v>3145.7142857142881</v>
      </c>
      <c r="AV117" s="166">
        <v>786.42857142857201</v>
      </c>
      <c r="AW117" s="182">
        <f t="shared" si="57"/>
        <v>9</v>
      </c>
      <c r="AX117" s="473"/>
    </row>
    <row r="118" spans="2:50">
      <c r="B118" s="479"/>
      <c r="C118" s="182">
        <v>7</v>
      </c>
      <c r="D118" s="182" t="s">
        <v>229</v>
      </c>
      <c r="E118" s="182">
        <v>4</v>
      </c>
      <c r="F118" s="182">
        <v>3600</v>
      </c>
      <c r="G118" s="182">
        <v>900</v>
      </c>
      <c r="H118" s="473"/>
      <c r="I118" s="166">
        <f t="shared" si="59"/>
        <v>4</v>
      </c>
      <c r="J118" s="166">
        <f t="shared" si="60"/>
        <v>3108.4999999999923</v>
      </c>
      <c r="K118" s="180">
        <f t="shared" si="61"/>
        <v>777.12499999999807</v>
      </c>
      <c r="L118" s="460"/>
      <c r="M118" s="166">
        <f>RANK(K118, K$112:$K$141)</f>
        <v>12</v>
      </c>
      <c r="N118" s="462"/>
      <c r="O118" s="462"/>
      <c r="P118" s="166">
        <v>4</v>
      </c>
      <c r="Q118" s="166">
        <v>3487.4999999999773</v>
      </c>
      <c r="R118" s="166">
        <v>871.87499999999432</v>
      </c>
      <c r="S118" s="182">
        <f t="shared" si="62"/>
        <v>9</v>
      </c>
      <c r="T118" s="473"/>
      <c r="U118" s="166">
        <v>4</v>
      </c>
      <c r="V118" s="166">
        <v>2717.9999999999877</v>
      </c>
      <c r="W118" s="166">
        <v>679.49999999999693</v>
      </c>
      <c r="X118" s="182">
        <f t="shared" si="47"/>
        <v>19</v>
      </c>
      <c r="Y118" s="473"/>
      <c r="Z118" s="166">
        <v>4</v>
      </c>
      <c r="AA118" s="166">
        <v>3120.0000000000109</v>
      </c>
      <c r="AB118" s="166">
        <v>780.00000000000273</v>
      </c>
      <c r="AC118" s="182">
        <f t="shared" si="49"/>
        <v>11</v>
      </c>
      <c r="AD118" s="473"/>
      <c r="AE118" s="166"/>
      <c r="AF118" s="166"/>
      <c r="AG118" s="166"/>
      <c r="AH118" s="182" t="e">
        <f t="shared" si="51"/>
        <v>#N/A</v>
      </c>
      <c r="AI118" s="473"/>
      <c r="AJ118" s="166"/>
      <c r="AK118" s="166"/>
      <c r="AL118" s="166"/>
      <c r="AM118" s="182" t="e">
        <f t="shared" si="53"/>
        <v>#N/A</v>
      </c>
      <c r="AN118" s="473"/>
      <c r="AO118" s="166"/>
      <c r="AP118" s="166"/>
      <c r="AQ118" s="166"/>
      <c r="AR118" s="182" t="e">
        <f t="shared" si="55"/>
        <v>#N/A</v>
      </c>
      <c r="AS118" s="473"/>
      <c r="AT118" s="166" t="s">
        <v>244</v>
      </c>
      <c r="AU118" s="166" t="s">
        <v>244</v>
      </c>
      <c r="AV118" s="166" t="s">
        <v>244</v>
      </c>
      <c r="AW118" s="182" t="e">
        <f t="shared" si="57"/>
        <v>#VALUE!</v>
      </c>
      <c r="AX118" s="473"/>
    </row>
    <row r="119" spans="2:50">
      <c r="B119" s="479"/>
      <c r="C119" s="182">
        <v>8</v>
      </c>
      <c r="D119" s="182" t="s">
        <v>230</v>
      </c>
      <c r="E119" s="182">
        <v>4</v>
      </c>
      <c r="F119" s="182">
        <v>3300</v>
      </c>
      <c r="G119" s="182">
        <v>825</v>
      </c>
      <c r="H119" s="473"/>
      <c r="I119" s="166">
        <f t="shared" si="59"/>
        <v>4</v>
      </c>
      <c r="J119" s="166">
        <f t="shared" si="60"/>
        <v>2824.6813186813197</v>
      </c>
      <c r="K119" s="180">
        <f t="shared" si="61"/>
        <v>706.17032967032992</v>
      </c>
      <c r="L119" s="460"/>
      <c r="M119" s="166">
        <f>RANK(K119, K$112:$K$141)</f>
        <v>15</v>
      </c>
      <c r="N119" s="462"/>
      <c r="O119" s="462"/>
      <c r="P119" s="166">
        <v>4</v>
      </c>
      <c r="Q119" s="166">
        <v>2867.1428571428592</v>
      </c>
      <c r="R119" s="166">
        <v>716.78571428571479</v>
      </c>
      <c r="S119" s="182">
        <f t="shared" si="62"/>
        <v>16</v>
      </c>
      <c r="T119" s="473"/>
      <c r="U119" s="166">
        <v>4</v>
      </c>
      <c r="V119" s="166">
        <v>2772.8571428571449</v>
      </c>
      <c r="W119" s="166">
        <v>693.21428571428623</v>
      </c>
      <c r="X119" s="182">
        <f t="shared" si="47"/>
        <v>17</v>
      </c>
      <c r="Y119" s="473"/>
      <c r="Z119" s="166">
        <v>4</v>
      </c>
      <c r="AA119" s="166">
        <v>2921.9999999999991</v>
      </c>
      <c r="AB119" s="166">
        <v>730.49999999999977</v>
      </c>
      <c r="AC119" s="182">
        <f t="shared" si="49"/>
        <v>14</v>
      </c>
      <c r="AD119" s="473"/>
      <c r="AE119" s="166">
        <v>4</v>
      </c>
      <c r="AF119" s="166">
        <v>2939.9999999999977</v>
      </c>
      <c r="AG119" s="166">
        <v>734.99999999999943</v>
      </c>
      <c r="AH119" s="182">
        <f t="shared" si="51"/>
        <v>14</v>
      </c>
      <c r="AI119" s="473"/>
      <c r="AJ119" s="166">
        <v>4</v>
      </c>
      <c r="AK119" s="166">
        <v>2824.6153846153861</v>
      </c>
      <c r="AL119" s="166">
        <v>706.15384615384653</v>
      </c>
      <c r="AM119" s="182">
        <f t="shared" si="53"/>
        <v>17</v>
      </c>
      <c r="AN119" s="473"/>
      <c r="AO119" s="166">
        <v>4</v>
      </c>
      <c r="AP119" s="166">
        <v>2723.0769230769247</v>
      </c>
      <c r="AQ119" s="166">
        <v>680.76923076923117</v>
      </c>
      <c r="AR119" s="182">
        <f t="shared" si="55"/>
        <v>17</v>
      </c>
      <c r="AS119" s="473"/>
      <c r="AT119" s="166">
        <v>4</v>
      </c>
      <c r="AU119" s="166">
        <v>2723.0769230769247</v>
      </c>
      <c r="AV119" s="166">
        <v>680.76923076923117</v>
      </c>
      <c r="AW119" s="182">
        <f t="shared" si="57"/>
        <v>17</v>
      </c>
      <c r="AX119" s="473"/>
    </row>
    <row r="120" spans="2:50">
      <c r="B120" s="479"/>
      <c r="C120" s="182">
        <v>9</v>
      </c>
      <c r="D120" s="182" t="s">
        <v>231</v>
      </c>
      <c r="E120" s="182">
        <v>3</v>
      </c>
      <c r="F120" s="182">
        <v>3300</v>
      </c>
      <c r="G120" s="182">
        <v>1100</v>
      </c>
      <c r="H120" s="473"/>
      <c r="I120" s="166">
        <f t="shared" si="59"/>
        <v>3</v>
      </c>
      <c r="J120" s="166">
        <f t="shared" si="60"/>
        <v>3139.0153846153844</v>
      </c>
      <c r="K120" s="180">
        <f t="shared" si="61"/>
        <v>1046.3384615384616</v>
      </c>
      <c r="L120" s="460"/>
      <c r="M120" s="166">
        <f>RANK(K120, K$112:$K$141)</f>
        <v>4</v>
      </c>
      <c r="N120" s="462"/>
      <c r="O120" s="462"/>
      <c r="P120" s="166">
        <v>3</v>
      </c>
      <c r="Q120" s="166">
        <v>3212.3076923076942</v>
      </c>
      <c r="R120" s="166">
        <v>1070.7692307692314</v>
      </c>
      <c r="S120" s="182">
        <f t="shared" si="62"/>
        <v>4</v>
      </c>
      <c r="T120" s="473"/>
      <c r="U120" s="166">
        <v>3</v>
      </c>
      <c r="V120" s="166">
        <v>3244.8000000000006</v>
      </c>
      <c r="W120" s="166">
        <v>1081.6000000000001</v>
      </c>
      <c r="X120" s="182">
        <f t="shared" si="47"/>
        <v>1</v>
      </c>
      <c r="Y120" s="473"/>
      <c r="Z120" s="166">
        <v>3</v>
      </c>
      <c r="AA120" s="166">
        <v>2798.3999999999919</v>
      </c>
      <c r="AB120" s="166">
        <v>932.79999999999734</v>
      </c>
      <c r="AC120" s="182">
        <f t="shared" si="49"/>
        <v>7</v>
      </c>
      <c r="AD120" s="473"/>
      <c r="AE120" s="166">
        <v>3</v>
      </c>
      <c r="AF120" s="166">
        <v>3311.9999999999991</v>
      </c>
      <c r="AG120" s="166">
        <v>1103.9999999999998</v>
      </c>
      <c r="AH120" s="182">
        <f t="shared" si="51"/>
        <v>2</v>
      </c>
      <c r="AI120" s="473"/>
      <c r="AJ120" s="166">
        <v>3</v>
      </c>
      <c r="AK120" s="166">
        <v>3225.6000000000008</v>
      </c>
      <c r="AL120" s="166">
        <v>1075.2000000000003</v>
      </c>
      <c r="AM120" s="182">
        <f t="shared" si="53"/>
        <v>4</v>
      </c>
      <c r="AN120" s="473"/>
      <c r="AO120" s="166">
        <v>3</v>
      </c>
      <c r="AP120" s="166">
        <v>3090.0000000000018</v>
      </c>
      <c r="AQ120" s="166">
        <v>1030.0000000000007</v>
      </c>
      <c r="AR120" s="182">
        <f t="shared" si="55"/>
        <v>4</v>
      </c>
      <c r="AS120" s="473"/>
      <c r="AT120" s="166">
        <v>3</v>
      </c>
      <c r="AU120" s="166">
        <v>3090.0000000000018</v>
      </c>
      <c r="AV120" s="166">
        <v>1030.0000000000007</v>
      </c>
      <c r="AW120" s="182">
        <f t="shared" si="57"/>
        <v>4</v>
      </c>
      <c r="AX120" s="473"/>
    </row>
    <row r="121" spans="2:50">
      <c r="B121" s="479"/>
      <c r="C121" s="182">
        <v>10</v>
      </c>
      <c r="D121" s="182" t="s">
        <v>232</v>
      </c>
      <c r="E121" s="182">
        <v>3</v>
      </c>
      <c r="F121" s="182">
        <v>3300</v>
      </c>
      <c r="G121" s="182">
        <v>1100</v>
      </c>
      <c r="H121" s="473"/>
      <c r="I121" s="166">
        <f t="shared" si="59"/>
        <v>3</v>
      </c>
      <c r="J121" s="166">
        <f t="shared" si="60"/>
        <v>2764.0660951951236</v>
      </c>
      <c r="K121" s="180">
        <f t="shared" si="61"/>
        <v>921.35536506504093</v>
      </c>
      <c r="L121" s="460"/>
      <c r="M121" s="166">
        <f>RANK(K121, K$112:$K$141)</f>
        <v>7</v>
      </c>
      <c r="N121" s="462"/>
      <c r="O121" s="462"/>
      <c r="P121" s="166">
        <v>3</v>
      </c>
      <c r="Q121" s="166">
        <v>2829.3749999999886</v>
      </c>
      <c r="R121" s="166">
        <v>943.12499999999625</v>
      </c>
      <c r="S121" s="182">
        <f t="shared" si="62"/>
        <v>5</v>
      </c>
      <c r="T121" s="473"/>
      <c r="U121" s="166">
        <v>3</v>
      </c>
      <c r="V121" s="166">
        <v>2735.6249999999964</v>
      </c>
      <c r="W121" s="166">
        <v>911.87499999999875</v>
      </c>
      <c r="X121" s="182">
        <f t="shared" si="47"/>
        <v>6</v>
      </c>
      <c r="Y121" s="473"/>
      <c r="Z121" s="166">
        <v>3</v>
      </c>
      <c r="AA121" s="166">
        <v>2629.9999999999955</v>
      </c>
      <c r="AB121" s="166">
        <v>876.66666666666515</v>
      </c>
      <c r="AC121" s="182">
        <f t="shared" si="49"/>
        <v>9</v>
      </c>
      <c r="AD121" s="473"/>
      <c r="AE121" s="166">
        <v>3</v>
      </c>
      <c r="AF121" s="166">
        <v>2856.9230769230694</v>
      </c>
      <c r="AG121" s="166">
        <v>952.30769230768976</v>
      </c>
      <c r="AH121" s="182">
        <f t="shared" si="51"/>
        <v>6</v>
      </c>
      <c r="AI121" s="473"/>
      <c r="AJ121" s="166">
        <v>3</v>
      </c>
      <c r="AK121" s="166">
        <v>2852.903225806454</v>
      </c>
      <c r="AL121" s="166">
        <v>950.9677419354847</v>
      </c>
      <c r="AM121" s="182">
        <f t="shared" si="53"/>
        <v>5</v>
      </c>
      <c r="AN121" s="473"/>
      <c r="AO121" s="166">
        <v>3</v>
      </c>
      <c r="AP121" s="166">
        <v>2721.8181818181783</v>
      </c>
      <c r="AQ121" s="166">
        <v>907.27272727272612</v>
      </c>
      <c r="AR121" s="182">
        <f t="shared" si="55"/>
        <v>7</v>
      </c>
      <c r="AS121" s="473"/>
      <c r="AT121" s="166">
        <v>3</v>
      </c>
      <c r="AU121" s="166">
        <v>2721.8181818181783</v>
      </c>
      <c r="AV121" s="166">
        <v>907.27272727272612</v>
      </c>
      <c r="AW121" s="182">
        <f t="shared" si="57"/>
        <v>7</v>
      </c>
      <c r="AX121" s="473"/>
    </row>
    <row r="122" spans="2:50">
      <c r="B122" s="479"/>
      <c r="C122" s="182">
        <v>11</v>
      </c>
      <c r="D122" s="182" t="s">
        <v>233</v>
      </c>
      <c r="E122" s="182">
        <v>4</v>
      </c>
      <c r="F122" s="182">
        <v>3300</v>
      </c>
      <c r="G122" s="182">
        <v>825</v>
      </c>
      <c r="H122" s="473"/>
      <c r="I122" s="166">
        <f t="shared" si="59"/>
        <v>4</v>
      </c>
      <c r="J122" s="166">
        <f t="shared" si="60"/>
        <v>2782.973862634753</v>
      </c>
      <c r="K122" s="180">
        <f t="shared" si="61"/>
        <v>695.74346565868825</v>
      </c>
      <c r="L122" s="460"/>
      <c r="M122" s="166">
        <f>RANK(K122, K$112:$K$141)</f>
        <v>19</v>
      </c>
      <c r="N122" s="462"/>
      <c r="O122" s="462"/>
      <c r="P122" s="166">
        <v>4</v>
      </c>
      <c r="Q122" s="166">
        <v>2803.7500000000009</v>
      </c>
      <c r="R122" s="166">
        <v>700.93750000000023</v>
      </c>
      <c r="S122" s="182">
        <f t="shared" si="62"/>
        <v>20</v>
      </c>
      <c r="T122" s="473"/>
      <c r="U122" s="166">
        <v>4</v>
      </c>
      <c r="V122" s="166">
        <v>2760.0000000000005</v>
      </c>
      <c r="W122" s="166">
        <v>690.00000000000011</v>
      </c>
      <c r="X122" s="182">
        <f t="shared" si="47"/>
        <v>18</v>
      </c>
      <c r="Y122" s="473"/>
      <c r="Z122" s="166">
        <v>4</v>
      </c>
      <c r="AA122" s="166">
        <v>2743.2558139534881</v>
      </c>
      <c r="AB122" s="166">
        <v>685.81395348837202</v>
      </c>
      <c r="AC122" s="182">
        <f t="shared" si="49"/>
        <v>18</v>
      </c>
      <c r="AD122" s="473"/>
      <c r="AE122" s="166">
        <v>4</v>
      </c>
      <c r="AF122" s="166">
        <v>2869.4999999999991</v>
      </c>
      <c r="AG122" s="166">
        <v>717.37499999999977</v>
      </c>
      <c r="AH122" s="182">
        <f t="shared" si="51"/>
        <v>17</v>
      </c>
      <c r="AI122" s="473"/>
      <c r="AJ122" s="166">
        <v>4</v>
      </c>
      <c r="AK122" s="166">
        <v>2811.2499999999959</v>
      </c>
      <c r="AL122" s="166">
        <v>702.81249999999898</v>
      </c>
      <c r="AM122" s="182">
        <f t="shared" si="53"/>
        <v>18</v>
      </c>
      <c r="AN122" s="473"/>
      <c r="AO122" s="166">
        <v>4</v>
      </c>
      <c r="AP122" s="166">
        <v>2746.5306122448942</v>
      </c>
      <c r="AQ122" s="166">
        <v>686.63265306122355</v>
      </c>
      <c r="AR122" s="182">
        <f t="shared" si="55"/>
        <v>16</v>
      </c>
      <c r="AS122" s="473"/>
      <c r="AT122" s="166">
        <v>4</v>
      </c>
      <c r="AU122" s="166">
        <v>2746.5306122448942</v>
      </c>
      <c r="AV122" s="166">
        <v>686.63265306122355</v>
      </c>
      <c r="AW122" s="182">
        <f t="shared" si="57"/>
        <v>16</v>
      </c>
      <c r="AX122" s="473"/>
    </row>
    <row r="123" spans="2:50">
      <c r="B123" s="479"/>
      <c r="C123" s="182">
        <v>12</v>
      </c>
      <c r="D123" s="182" t="s">
        <v>234</v>
      </c>
      <c r="E123" s="182">
        <v>4</v>
      </c>
      <c r="F123" s="182">
        <v>3300</v>
      </c>
      <c r="G123" s="182">
        <v>825</v>
      </c>
      <c r="H123" s="473"/>
      <c r="I123" s="166">
        <f t="shared" si="59"/>
        <v>4</v>
      </c>
      <c r="J123" s="166">
        <f t="shared" si="60"/>
        <v>2812.7163685987211</v>
      </c>
      <c r="K123" s="180">
        <f t="shared" si="61"/>
        <v>703.17909214968029</v>
      </c>
      <c r="L123" s="460"/>
      <c r="M123" s="166">
        <f>RANK(K123, K$112:$K$141)</f>
        <v>16</v>
      </c>
      <c r="N123" s="462"/>
      <c r="O123" s="462"/>
      <c r="P123" s="166">
        <v>4</v>
      </c>
      <c r="Q123" s="166">
        <v>2841.9230769230739</v>
      </c>
      <c r="R123" s="166">
        <v>710.48076923076849</v>
      </c>
      <c r="S123" s="182">
        <f t="shared" si="62"/>
        <v>18</v>
      </c>
      <c r="T123" s="473"/>
      <c r="U123" s="166">
        <v>4</v>
      </c>
      <c r="V123" s="166">
        <v>2777.6470588235261</v>
      </c>
      <c r="W123" s="166">
        <v>694.41176470588152</v>
      </c>
      <c r="X123" s="182">
        <f t="shared" si="47"/>
        <v>15</v>
      </c>
      <c r="Y123" s="473"/>
      <c r="Z123" s="166">
        <v>4</v>
      </c>
      <c r="AA123" s="166">
        <v>2885.3333333333358</v>
      </c>
      <c r="AB123" s="166">
        <v>721.33333333333394</v>
      </c>
      <c r="AC123" s="182">
        <f t="shared" si="49"/>
        <v>16</v>
      </c>
      <c r="AD123" s="473"/>
      <c r="AE123" s="166">
        <v>4</v>
      </c>
      <c r="AF123" s="166">
        <v>2814.6666666666692</v>
      </c>
      <c r="AG123" s="166">
        <v>703.66666666666731</v>
      </c>
      <c r="AH123" s="182">
        <f t="shared" si="51"/>
        <v>19</v>
      </c>
      <c r="AI123" s="473"/>
      <c r="AJ123" s="166">
        <v>4</v>
      </c>
      <c r="AK123" s="166">
        <v>2865.0000000000018</v>
      </c>
      <c r="AL123" s="166">
        <v>716.25000000000045</v>
      </c>
      <c r="AM123" s="182">
        <f t="shared" si="53"/>
        <v>15</v>
      </c>
      <c r="AN123" s="473"/>
      <c r="AO123" s="166">
        <v>4</v>
      </c>
      <c r="AP123" s="166">
        <v>2752.2222222222199</v>
      </c>
      <c r="AQ123" s="166">
        <v>688.05555555555497</v>
      </c>
      <c r="AR123" s="182">
        <f t="shared" si="55"/>
        <v>15</v>
      </c>
      <c r="AS123" s="473"/>
      <c r="AT123" s="166">
        <v>4</v>
      </c>
      <c r="AU123" s="166">
        <v>2752.2222222222199</v>
      </c>
      <c r="AV123" s="166">
        <v>688.05555555555497</v>
      </c>
      <c r="AW123" s="182">
        <f t="shared" si="57"/>
        <v>15</v>
      </c>
      <c r="AX123" s="473"/>
    </row>
    <row r="124" spans="2:50">
      <c r="B124" s="479"/>
      <c r="C124" s="182">
        <v>13</v>
      </c>
      <c r="D124" s="182" t="s">
        <v>235</v>
      </c>
      <c r="E124" s="182">
        <v>4</v>
      </c>
      <c r="F124" s="182">
        <v>2800</v>
      </c>
      <c r="G124" s="182">
        <v>700</v>
      </c>
      <c r="H124" s="473"/>
      <c r="I124" s="166">
        <f t="shared" si="59"/>
        <v>4</v>
      </c>
      <c r="J124" s="166">
        <f t="shared" si="60"/>
        <v>2777.6567398119128</v>
      </c>
      <c r="K124" s="180">
        <f t="shared" si="61"/>
        <v>694.41418495297819</v>
      </c>
      <c r="L124" s="460"/>
      <c r="M124" s="166">
        <f>RANK(K124, K$112:$K$141)</f>
        <v>20</v>
      </c>
      <c r="N124" s="462"/>
      <c r="O124" s="462"/>
      <c r="P124" s="166">
        <v>4</v>
      </c>
      <c r="Q124" s="166">
        <v>2884.137931034481</v>
      </c>
      <c r="R124" s="166">
        <v>721.03448275862024</v>
      </c>
      <c r="S124" s="182">
        <f t="shared" si="62"/>
        <v>15</v>
      </c>
      <c r="T124" s="473"/>
      <c r="U124" s="166">
        <v>4</v>
      </c>
      <c r="V124" s="166">
        <v>2712.8571428571449</v>
      </c>
      <c r="W124" s="166">
        <v>678.21428571428623</v>
      </c>
      <c r="X124" s="182">
        <f t="shared" si="47"/>
        <v>20</v>
      </c>
      <c r="Y124" s="473"/>
      <c r="Z124" s="166">
        <v>4</v>
      </c>
      <c r="AA124" s="166">
        <v>2752.500000000005</v>
      </c>
      <c r="AB124" s="166">
        <v>688.12500000000125</v>
      </c>
      <c r="AC124" s="182">
        <f t="shared" si="49"/>
        <v>17</v>
      </c>
      <c r="AD124" s="473"/>
      <c r="AE124" s="166">
        <v>4</v>
      </c>
      <c r="AF124" s="166">
        <v>2874.5454545454545</v>
      </c>
      <c r="AG124" s="166">
        <v>718.63636363636363</v>
      </c>
      <c r="AH124" s="182">
        <f t="shared" si="51"/>
        <v>16</v>
      </c>
      <c r="AI124" s="473"/>
      <c r="AJ124" s="166">
        <v>4</v>
      </c>
      <c r="AK124" s="166">
        <v>2807.1428571428551</v>
      </c>
      <c r="AL124" s="166">
        <v>701.78571428571377</v>
      </c>
      <c r="AM124" s="182">
        <f t="shared" si="53"/>
        <v>19</v>
      </c>
      <c r="AN124" s="473"/>
      <c r="AO124" s="166">
        <v>4</v>
      </c>
      <c r="AP124" s="166">
        <v>2706.206896551726</v>
      </c>
      <c r="AQ124" s="166">
        <v>676.5517241379315</v>
      </c>
      <c r="AR124" s="182">
        <f t="shared" si="55"/>
        <v>18</v>
      </c>
      <c r="AS124" s="473"/>
      <c r="AT124" s="166">
        <v>4</v>
      </c>
      <c r="AU124" s="166">
        <v>2706.206896551726</v>
      </c>
      <c r="AV124" s="166">
        <v>676.5517241379315</v>
      </c>
      <c r="AW124" s="182">
        <f t="shared" si="57"/>
        <v>18</v>
      </c>
      <c r="AX124" s="473"/>
    </row>
    <row r="125" spans="2:50">
      <c r="B125" s="479"/>
      <c r="C125" s="182">
        <v>14</v>
      </c>
      <c r="D125" s="182" t="s">
        <v>236</v>
      </c>
      <c r="E125" s="182">
        <v>4</v>
      </c>
      <c r="F125" s="182">
        <v>3600</v>
      </c>
      <c r="G125" s="182">
        <v>900</v>
      </c>
      <c r="H125" s="473"/>
      <c r="I125" s="166">
        <f t="shared" si="59"/>
        <v>4</v>
      </c>
      <c r="J125" s="166">
        <f t="shared" si="60"/>
        <v>2624.2857142857065</v>
      </c>
      <c r="K125" s="180">
        <f t="shared" si="61"/>
        <v>656.07142857142662</v>
      </c>
      <c r="L125" s="460"/>
      <c r="M125" s="166">
        <f>RANK(K125, K$112:$K$141)</f>
        <v>21</v>
      </c>
      <c r="N125" s="462"/>
      <c r="O125" s="462"/>
      <c r="P125" s="166">
        <v>4</v>
      </c>
      <c r="Q125" s="166">
        <v>2651.9999999999882</v>
      </c>
      <c r="R125" s="166">
        <v>662.99999999999704</v>
      </c>
      <c r="S125" s="182">
        <f t="shared" si="62"/>
        <v>21</v>
      </c>
      <c r="T125" s="473"/>
      <c r="U125" s="166">
        <v>4</v>
      </c>
      <c r="V125" s="166">
        <v>2573.9999999999882</v>
      </c>
      <c r="W125" s="166">
        <v>643.49999999999704</v>
      </c>
      <c r="X125" s="182">
        <f t="shared" si="47"/>
        <v>21</v>
      </c>
      <c r="Y125" s="473"/>
      <c r="Z125" s="166">
        <v>4</v>
      </c>
      <c r="AA125" s="166">
        <v>2270.99999999999</v>
      </c>
      <c r="AB125" s="166">
        <v>567.7499999999975</v>
      </c>
      <c r="AC125" s="182">
        <f t="shared" si="49"/>
        <v>21</v>
      </c>
      <c r="AD125" s="473"/>
      <c r="AE125" s="166">
        <v>4</v>
      </c>
      <c r="AF125" s="166">
        <v>3136.0000000000109</v>
      </c>
      <c r="AG125" s="166">
        <v>784.00000000000273</v>
      </c>
      <c r="AH125" s="182">
        <f t="shared" si="51"/>
        <v>12</v>
      </c>
      <c r="AI125" s="473"/>
      <c r="AJ125" s="166">
        <v>4</v>
      </c>
      <c r="AK125" s="166">
        <v>2420.9999999999895</v>
      </c>
      <c r="AL125" s="166">
        <v>605.24999999999739</v>
      </c>
      <c r="AM125" s="182">
        <f t="shared" si="53"/>
        <v>20</v>
      </c>
      <c r="AN125" s="473"/>
      <c r="AO125" s="166">
        <v>4</v>
      </c>
      <c r="AP125" s="166">
        <v>2657.9999999999882</v>
      </c>
      <c r="AQ125" s="166">
        <v>664.49999999999704</v>
      </c>
      <c r="AR125" s="182">
        <f t="shared" si="55"/>
        <v>19</v>
      </c>
      <c r="AS125" s="473"/>
      <c r="AT125" s="166">
        <v>4</v>
      </c>
      <c r="AU125" s="166">
        <v>2657.9999999999882</v>
      </c>
      <c r="AV125" s="166">
        <v>664.49999999999704</v>
      </c>
      <c r="AW125" s="182">
        <f t="shared" si="57"/>
        <v>19</v>
      </c>
      <c r="AX125" s="473"/>
    </row>
    <row r="126" spans="2:50">
      <c r="B126" s="479"/>
      <c r="C126" s="182">
        <v>15</v>
      </c>
      <c r="D126" s="182" t="s">
        <v>237</v>
      </c>
      <c r="E126" s="182">
        <v>4</v>
      </c>
      <c r="F126" s="182">
        <v>3600</v>
      </c>
      <c r="G126" s="182">
        <v>900</v>
      </c>
      <c r="H126" s="473"/>
      <c r="I126" s="166">
        <f t="shared" si="59"/>
        <v>4</v>
      </c>
      <c r="J126" s="166">
        <f t="shared" si="60"/>
        <v>2245.7142857142721</v>
      </c>
      <c r="K126" s="180">
        <f t="shared" si="61"/>
        <v>561.42857142856803</v>
      </c>
      <c r="L126" s="460"/>
      <c r="M126" s="166">
        <f>RANK(K126, K$112:$K$141)</f>
        <v>22</v>
      </c>
      <c r="N126" s="462"/>
      <c r="O126" s="462"/>
      <c r="P126" s="166">
        <v>4</v>
      </c>
      <c r="Q126" s="166">
        <v>2555.9999999999682</v>
      </c>
      <c r="R126" s="166">
        <v>638.99999999999204</v>
      </c>
      <c r="S126" s="182">
        <f t="shared" si="62"/>
        <v>22</v>
      </c>
      <c r="T126" s="473"/>
      <c r="U126" s="166">
        <v>4</v>
      </c>
      <c r="V126" s="166">
        <v>2352.0000000000082</v>
      </c>
      <c r="W126" s="166">
        <v>588.00000000000205</v>
      </c>
      <c r="X126" s="182">
        <f t="shared" si="47"/>
        <v>22</v>
      </c>
      <c r="Y126" s="473"/>
      <c r="Z126" s="166">
        <v>4</v>
      </c>
      <c r="AA126" s="166">
        <v>1944.0000000000377</v>
      </c>
      <c r="AB126" s="166">
        <v>486.00000000000944</v>
      </c>
      <c r="AC126" s="182">
        <f t="shared" si="49"/>
        <v>23</v>
      </c>
      <c r="AD126" s="473"/>
      <c r="AE126" s="166">
        <v>4</v>
      </c>
      <c r="AF126" s="166">
        <v>1997.999999999975</v>
      </c>
      <c r="AG126" s="166">
        <v>499.49999999999375</v>
      </c>
      <c r="AH126" s="182">
        <f t="shared" si="51"/>
        <v>22</v>
      </c>
      <c r="AI126" s="473"/>
      <c r="AJ126" s="166">
        <v>4</v>
      </c>
      <c r="AK126" s="166">
        <v>2189.9999999999727</v>
      </c>
      <c r="AL126" s="166">
        <v>547.49999999999318</v>
      </c>
      <c r="AM126" s="182">
        <f t="shared" si="53"/>
        <v>21</v>
      </c>
      <c r="AN126" s="473"/>
      <c r="AO126" s="166">
        <v>4</v>
      </c>
      <c r="AP126" s="166">
        <v>2339.9999999999709</v>
      </c>
      <c r="AQ126" s="166">
        <v>584.99999999999272</v>
      </c>
      <c r="AR126" s="182">
        <f t="shared" si="55"/>
        <v>20</v>
      </c>
      <c r="AS126" s="473"/>
      <c r="AT126" s="166">
        <v>4</v>
      </c>
      <c r="AU126" s="166">
        <v>2339.9999999999709</v>
      </c>
      <c r="AV126" s="166">
        <v>584.99999999999272</v>
      </c>
      <c r="AW126" s="182">
        <f t="shared" si="57"/>
        <v>20</v>
      </c>
      <c r="AX126" s="473"/>
    </row>
    <row r="127" spans="2:50">
      <c r="B127" s="479"/>
      <c r="C127" s="182">
        <v>16</v>
      </c>
      <c r="D127" s="182" t="s">
        <v>238</v>
      </c>
      <c r="E127" s="182">
        <v>4</v>
      </c>
      <c r="F127" s="182">
        <v>3300</v>
      </c>
      <c r="G127" s="182">
        <v>825</v>
      </c>
      <c r="H127" s="473"/>
      <c r="I127" s="166">
        <f t="shared" si="59"/>
        <v>3</v>
      </c>
      <c r="J127" s="166">
        <f t="shared" si="60"/>
        <v>2826.9183673469411</v>
      </c>
      <c r="K127" s="180">
        <f t="shared" si="61"/>
        <v>942.3061224489802</v>
      </c>
      <c r="L127" s="460"/>
      <c r="M127" s="166">
        <f>RANK(K127, K$112:$K$141)</f>
        <v>5</v>
      </c>
      <c r="N127" s="462"/>
      <c r="O127" s="462"/>
      <c r="P127" s="166">
        <v>3</v>
      </c>
      <c r="Q127" s="166">
        <v>2822.8571428571477</v>
      </c>
      <c r="R127" s="166">
        <v>940.95238095238255</v>
      </c>
      <c r="S127" s="182">
        <f t="shared" si="62"/>
        <v>6</v>
      </c>
      <c r="T127" s="473"/>
      <c r="U127" s="166">
        <v>3</v>
      </c>
      <c r="V127" s="166">
        <v>2699.9999999999991</v>
      </c>
      <c r="W127" s="166">
        <v>899.99999999999966</v>
      </c>
      <c r="X127" s="182">
        <f t="shared" si="47"/>
        <v>7</v>
      </c>
      <c r="Y127" s="473"/>
      <c r="Z127" s="166">
        <v>3</v>
      </c>
      <c r="AA127" s="166">
        <v>3052.0000000000032</v>
      </c>
      <c r="AB127" s="166">
        <v>1017.3333333333344</v>
      </c>
      <c r="AC127" s="182">
        <f t="shared" si="49"/>
        <v>4</v>
      </c>
      <c r="AD127" s="473"/>
      <c r="AE127" s="166">
        <v>3</v>
      </c>
      <c r="AF127" s="166">
        <v>2918.5714285714307</v>
      </c>
      <c r="AG127" s="166">
        <v>972.85714285714357</v>
      </c>
      <c r="AH127" s="182">
        <f t="shared" si="51"/>
        <v>5</v>
      </c>
      <c r="AI127" s="473"/>
      <c r="AJ127" s="166">
        <v>3</v>
      </c>
      <c r="AK127" s="166">
        <v>2835.0000000000045</v>
      </c>
      <c r="AL127" s="166">
        <v>945.00000000000148</v>
      </c>
      <c r="AM127" s="182">
        <f t="shared" si="53"/>
        <v>7</v>
      </c>
      <c r="AN127" s="473"/>
      <c r="AO127" s="166">
        <v>3</v>
      </c>
      <c r="AP127" s="166">
        <v>2729.9999999999991</v>
      </c>
      <c r="AQ127" s="166">
        <v>909.99999999999966</v>
      </c>
      <c r="AR127" s="182">
        <f t="shared" si="55"/>
        <v>6</v>
      </c>
      <c r="AS127" s="473"/>
      <c r="AT127" s="166">
        <v>3</v>
      </c>
      <c r="AU127" s="166">
        <v>2729.9999999999991</v>
      </c>
      <c r="AV127" s="166">
        <v>909.99999999999966</v>
      </c>
      <c r="AW127" s="182">
        <f t="shared" si="57"/>
        <v>6</v>
      </c>
      <c r="AX127" s="473"/>
    </row>
    <row r="128" spans="2:50">
      <c r="B128" s="479"/>
      <c r="C128" s="182">
        <v>17</v>
      </c>
      <c r="D128" s="182" t="s">
        <v>239</v>
      </c>
      <c r="E128" s="182">
        <v>3</v>
      </c>
      <c r="F128" s="182">
        <v>2800</v>
      </c>
      <c r="G128" s="182">
        <v>933.33333333333337</v>
      </c>
      <c r="H128" s="473"/>
      <c r="I128" s="166">
        <f t="shared" si="59"/>
        <v>3</v>
      </c>
      <c r="J128" s="166">
        <f t="shared" si="60"/>
        <v>2716.1999999999948</v>
      </c>
      <c r="K128" s="180">
        <f t="shared" si="61"/>
        <v>905.39999999999839</v>
      </c>
      <c r="L128" s="460"/>
      <c r="M128" s="166">
        <f>RANK(K128, K$112:$K$141)</f>
        <v>8</v>
      </c>
      <c r="N128" s="462"/>
      <c r="O128" s="462"/>
      <c r="P128" s="166">
        <v>3</v>
      </c>
      <c r="Q128" s="166">
        <v>2781.5999999999922</v>
      </c>
      <c r="R128" s="166">
        <v>927.19999999999743</v>
      </c>
      <c r="S128" s="182">
        <f t="shared" si="62"/>
        <v>8</v>
      </c>
      <c r="T128" s="473"/>
      <c r="U128" s="166">
        <v>3</v>
      </c>
      <c r="V128" s="166">
        <v>2589.5999999999926</v>
      </c>
      <c r="W128" s="166">
        <v>863.19999999999754</v>
      </c>
      <c r="X128" s="182">
        <f t="shared" ref="X128:X141" si="63">RANK(W128, W$112:W$141)</f>
        <v>8</v>
      </c>
      <c r="Y128" s="473"/>
      <c r="Z128" s="166">
        <v>3</v>
      </c>
      <c r="AA128" s="166">
        <v>3051.0000000000109</v>
      </c>
      <c r="AB128" s="166">
        <v>1017.0000000000036</v>
      </c>
      <c r="AC128" s="182">
        <f t="shared" ref="AC128:AC141" si="64">RANK(AB128, AB$112:AB$141)</f>
        <v>5</v>
      </c>
      <c r="AD128" s="473"/>
      <c r="AE128" s="166">
        <v>3</v>
      </c>
      <c r="AF128" s="166">
        <v>2579.9999999999927</v>
      </c>
      <c r="AG128" s="166">
        <v>859.99999999999761</v>
      </c>
      <c r="AH128" s="182">
        <f t="shared" ref="AH128:AH141" si="65">RANK(AG128, AG$112:AG$141)</f>
        <v>9</v>
      </c>
      <c r="AI128" s="473"/>
      <c r="AJ128" s="166">
        <v>3</v>
      </c>
      <c r="AK128" s="166">
        <v>2731.1999999999921</v>
      </c>
      <c r="AL128" s="166">
        <v>910.39999999999736</v>
      </c>
      <c r="AM128" s="182">
        <f t="shared" ref="AM128:AM141" si="66">RANK(AL128, AL$112:AL$141)</f>
        <v>8</v>
      </c>
      <c r="AN128" s="473"/>
      <c r="AO128" s="166">
        <v>3</v>
      </c>
      <c r="AP128" s="166">
        <v>2639.9999999999923</v>
      </c>
      <c r="AQ128" s="166">
        <v>879.99999999999739</v>
      </c>
      <c r="AR128" s="182">
        <f t="shared" ref="AR128:AR141" si="67">RANK(AQ128, AQ$112:AQ$141)</f>
        <v>8</v>
      </c>
      <c r="AS128" s="473"/>
      <c r="AT128" s="166">
        <v>3</v>
      </c>
      <c r="AU128" s="166">
        <v>2639.9999999999923</v>
      </c>
      <c r="AV128" s="166">
        <v>879.99999999999739</v>
      </c>
      <c r="AW128" s="182">
        <f t="shared" ref="AW128:AW141" si="68">RANK(AV128, AV$112:AV$141)</f>
        <v>8</v>
      </c>
      <c r="AX128" s="473"/>
    </row>
    <row r="129" spans="2:50">
      <c r="B129" s="479"/>
      <c r="C129" s="182">
        <v>18</v>
      </c>
      <c r="D129" s="182" t="s">
        <v>240</v>
      </c>
      <c r="E129" s="182">
        <v>4</v>
      </c>
      <c r="F129" s="182">
        <v>3000</v>
      </c>
      <c r="G129" s="182">
        <v>750</v>
      </c>
      <c r="H129" s="473"/>
      <c r="I129" s="166">
        <f t="shared" si="59"/>
        <v>3</v>
      </c>
      <c r="J129" s="166">
        <f t="shared" si="60"/>
        <v>2186.6095238095195</v>
      </c>
      <c r="K129" s="180">
        <f t="shared" si="61"/>
        <v>728.86984126983975</v>
      </c>
      <c r="L129" s="460"/>
      <c r="M129" s="166">
        <f>RANK(K129, K$112:$K$141)</f>
        <v>13</v>
      </c>
      <c r="N129" s="462"/>
      <c r="O129" s="462"/>
      <c r="P129" s="166">
        <v>3</v>
      </c>
      <c r="Q129" s="166">
        <v>2221.1999999999939</v>
      </c>
      <c r="R129" s="166">
        <v>740.39999999999793</v>
      </c>
      <c r="S129" s="182">
        <f t="shared" si="62"/>
        <v>13</v>
      </c>
      <c r="T129" s="473"/>
      <c r="U129" s="166">
        <v>3</v>
      </c>
      <c r="V129" s="166">
        <v>2102.3999999999942</v>
      </c>
      <c r="W129" s="166">
        <v>700.79999999999802</v>
      </c>
      <c r="X129" s="182">
        <f t="shared" si="63"/>
        <v>12</v>
      </c>
      <c r="Y129" s="473"/>
      <c r="Z129" s="166">
        <v>3</v>
      </c>
      <c r="AA129" s="166">
        <v>2170.6666666666665</v>
      </c>
      <c r="AB129" s="166">
        <v>723.55555555555554</v>
      </c>
      <c r="AC129" s="182">
        <f t="shared" si="64"/>
        <v>15</v>
      </c>
      <c r="AD129" s="473"/>
      <c r="AE129" s="166">
        <v>3</v>
      </c>
      <c r="AF129" s="166">
        <v>2272</v>
      </c>
      <c r="AG129" s="166">
        <v>757.33333333333337</v>
      </c>
      <c r="AH129" s="182">
        <f t="shared" si="65"/>
        <v>13</v>
      </c>
      <c r="AI129" s="473"/>
      <c r="AJ129" s="166">
        <v>3</v>
      </c>
      <c r="AK129" s="166">
        <v>2191.1999999999939</v>
      </c>
      <c r="AL129" s="166">
        <v>730.39999999999793</v>
      </c>
      <c r="AM129" s="182">
        <f t="shared" si="66"/>
        <v>14</v>
      </c>
      <c r="AN129" s="473"/>
      <c r="AO129" s="166">
        <v>3</v>
      </c>
      <c r="AP129" s="166">
        <v>2174.3999999999937</v>
      </c>
      <c r="AQ129" s="166">
        <v>724.79999999999791</v>
      </c>
      <c r="AR129" s="182">
        <f t="shared" si="67"/>
        <v>12</v>
      </c>
      <c r="AS129" s="473"/>
      <c r="AT129" s="166">
        <v>3</v>
      </c>
      <c r="AU129" s="166">
        <v>2174.3999999999937</v>
      </c>
      <c r="AV129" s="166">
        <v>724.79999999999791</v>
      </c>
      <c r="AW129" s="182">
        <f t="shared" si="68"/>
        <v>12</v>
      </c>
      <c r="AX129" s="473"/>
    </row>
    <row r="130" spans="2:50">
      <c r="B130" s="479"/>
      <c r="C130" s="182">
        <v>19</v>
      </c>
      <c r="D130" s="182" t="s">
        <v>241</v>
      </c>
      <c r="E130" s="182">
        <v>12</v>
      </c>
      <c r="F130" s="182">
        <v>1500</v>
      </c>
      <c r="G130" s="182">
        <v>125</v>
      </c>
      <c r="H130" s="473"/>
      <c r="I130" s="166">
        <f t="shared" si="59"/>
        <v>9.7142857142857135</v>
      </c>
      <c r="J130" s="166">
        <f t="shared" si="60"/>
        <v>1492.4285714285704</v>
      </c>
      <c r="K130" s="180">
        <f t="shared" si="61"/>
        <v>154.38571428571419</v>
      </c>
      <c r="L130" s="460"/>
      <c r="M130" s="166">
        <f>RANK(K130, K$112:$K$141)</f>
        <v>24</v>
      </c>
      <c r="N130" s="462"/>
      <c r="O130" s="462"/>
      <c r="P130" s="166">
        <v>10</v>
      </c>
      <c r="Q130" s="166">
        <v>1525.9999999999993</v>
      </c>
      <c r="R130" s="166">
        <v>152.59999999999994</v>
      </c>
      <c r="S130" s="182">
        <f t="shared" si="62"/>
        <v>24</v>
      </c>
      <c r="T130" s="473"/>
      <c r="U130" s="166">
        <v>8</v>
      </c>
      <c r="V130" s="166">
        <v>1439.9999999999993</v>
      </c>
      <c r="W130" s="166">
        <v>179.99999999999991</v>
      </c>
      <c r="X130" s="182">
        <f t="shared" si="63"/>
        <v>24</v>
      </c>
      <c r="Y130" s="473"/>
      <c r="Z130" s="166">
        <v>10</v>
      </c>
      <c r="AA130" s="166">
        <v>1427.9999999999991</v>
      </c>
      <c r="AB130" s="166">
        <v>142.7999999999999</v>
      </c>
      <c r="AC130" s="182">
        <f t="shared" si="64"/>
        <v>24</v>
      </c>
      <c r="AD130" s="473"/>
      <c r="AE130" s="166">
        <v>10</v>
      </c>
      <c r="AF130" s="166">
        <v>1541.999999999998</v>
      </c>
      <c r="AG130" s="166">
        <v>154.19999999999979</v>
      </c>
      <c r="AH130" s="182">
        <f t="shared" si="65"/>
        <v>23</v>
      </c>
      <c r="AI130" s="473"/>
      <c r="AJ130" s="166">
        <v>10</v>
      </c>
      <c r="AK130" s="166">
        <v>1512.9999999999993</v>
      </c>
      <c r="AL130" s="166">
        <v>151.29999999999993</v>
      </c>
      <c r="AM130" s="182">
        <f t="shared" si="66"/>
        <v>23</v>
      </c>
      <c r="AN130" s="473"/>
      <c r="AO130" s="166">
        <v>10</v>
      </c>
      <c r="AP130" s="166">
        <v>1498.9999999999991</v>
      </c>
      <c r="AQ130" s="166">
        <v>149.89999999999992</v>
      </c>
      <c r="AR130" s="182">
        <f t="shared" si="67"/>
        <v>22</v>
      </c>
      <c r="AS130" s="473"/>
      <c r="AT130" s="166">
        <v>10</v>
      </c>
      <c r="AU130" s="166">
        <v>1498.9999999999991</v>
      </c>
      <c r="AV130" s="166">
        <v>149.89999999999992</v>
      </c>
      <c r="AW130" s="182">
        <f t="shared" si="68"/>
        <v>22</v>
      </c>
      <c r="AX130" s="473"/>
    </row>
    <row r="131" spans="2:50">
      <c r="B131" s="479"/>
      <c r="C131" s="182">
        <v>20</v>
      </c>
      <c r="D131" s="182" t="s">
        <v>242</v>
      </c>
      <c r="E131" s="182">
        <v>4</v>
      </c>
      <c r="F131" s="182">
        <v>3000</v>
      </c>
      <c r="G131" s="182">
        <v>750</v>
      </c>
      <c r="H131" s="473"/>
      <c r="I131" s="166">
        <f t="shared" ref="I131:I135" si="69">AVERAGE(P131,U131,Z131,AE131,AJ131,AO131,AT131)</f>
        <v>4</v>
      </c>
      <c r="J131" s="166">
        <f t="shared" ref="J131:J135" si="70">AVERAGE(Q131,V131,AA131,AF131,AK131,AP131,AU131)</f>
        <v>2162.7857142857183</v>
      </c>
      <c r="K131" s="180">
        <f t="shared" ref="K131:K135" si="71">AVERAGE(R131,W131,AB131,AG131,AL131,AQ131,AV131)</f>
        <v>540.69642857142958</v>
      </c>
      <c r="L131" s="460"/>
      <c r="M131" s="166">
        <f>RANK(K131, K$112:$K$141)</f>
        <v>23</v>
      </c>
      <c r="N131" s="462"/>
      <c r="O131" s="462"/>
      <c r="P131" s="166">
        <v>4</v>
      </c>
      <c r="Q131" s="166">
        <v>2168.9999999999991</v>
      </c>
      <c r="R131" s="166">
        <v>542.24999999999977</v>
      </c>
      <c r="S131" s="182">
        <f t="shared" si="62"/>
        <v>23</v>
      </c>
      <c r="T131" s="473"/>
      <c r="U131" s="166">
        <v>4</v>
      </c>
      <c r="V131" s="166">
        <v>2057.9999999999995</v>
      </c>
      <c r="W131" s="166">
        <v>514.49999999999989</v>
      </c>
      <c r="X131" s="182">
        <f t="shared" si="63"/>
        <v>23</v>
      </c>
      <c r="Y131" s="473"/>
      <c r="Z131" s="166">
        <v>4</v>
      </c>
      <c r="AA131" s="166">
        <v>2156.5714285714362</v>
      </c>
      <c r="AB131" s="166">
        <v>539.14285714285904</v>
      </c>
      <c r="AC131" s="182">
        <f t="shared" si="64"/>
        <v>22</v>
      </c>
      <c r="AD131" s="473"/>
      <c r="AE131" s="166">
        <v>4</v>
      </c>
      <c r="AF131" s="166">
        <v>2199.4285714285797</v>
      </c>
      <c r="AG131" s="166">
        <v>549.85714285714494</v>
      </c>
      <c r="AH131" s="182">
        <f t="shared" si="65"/>
        <v>21</v>
      </c>
      <c r="AI131" s="473"/>
      <c r="AJ131" s="166">
        <v>4</v>
      </c>
      <c r="AK131" s="166">
        <v>2044.4999999999993</v>
      </c>
      <c r="AL131" s="166">
        <v>511.12499999999983</v>
      </c>
      <c r="AM131" s="182">
        <f t="shared" si="66"/>
        <v>22</v>
      </c>
      <c r="AN131" s="473"/>
      <c r="AO131" s="166">
        <v>4</v>
      </c>
      <c r="AP131" s="166">
        <v>2256.0000000000082</v>
      </c>
      <c r="AQ131" s="166">
        <v>564.00000000000205</v>
      </c>
      <c r="AR131" s="182">
        <f t="shared" si="67"/>
        <v>21</v>
      </c>
      <c r="AS131" s="473"/>
      <c r="AT131" s="166">
        <v>4</v>
      </c>
      <c r="AU131" s="166">
        <v>2256.0000000000082</v>
      </c>
      <c r="AV131" s="166">
        <v>564.00000000000205</v>
      </c>
      <c r="AW131" s="182">
        <f t="shared" si="68"/>
        <v>21</v>
      </c>
      <c r="AX131" s="473"/>
    </row>
    <row r="132" spans="2:50">
      <c r="B132" s="479"/>
      <c r="C132" s="182">
        <v>21</v>
      </c>
      <c r="D132" s="182" t="s">
        <v>243</v>
      </c>
      <c r="E132" s="182">
        <v>3</v>
      </c>
      <c r="F132" s="182">
        <v>2800</v>
      </c>
      <c r="G132" s="182">
        <v>933.33333333333337</v>
      </c>
      <c r="H132" s="473"/>
      <c r="I132" s="166">
        <f t="shared" si="69"/>
        <v>3</v>
      </c>
      <c r="J132" s="166">
        <f t="shared" si="70"/>
        <v>2808.1266977653536</v>
      </c>
      <c r="K132" s="180">
        <f t="shared" si="71"/>
        <v>936.04223258845116</v>
      </c>
      <c r="L132" s="460"/>
      <c r="M132" s="166">
        <f>RANK(K132, K$112:$K$141)</f>
        <v>6</v>
      </c>
      <c r="N132" s="462"/>
      <c r="O132" s="462"/>
      <c r="P132" s="182">
        <v>3</v>
      </c>
      <c r="Q132" s="166">
        <v>2809.2857142857165</v>
      </c>
      <c r="R132" s="180">
        <v>936.42857142857213</v>
      </c>
      <c r="S132" s="182">
        <f t="shared" si="62"/>
        <v>7</v>
      </c>
      <c r="T132" s="473"/>
      <c r="U132" s="182">
        <v>3</v>
      </c>
      <c r="V132" s="166">
        <v>2747.0588235294108</v>
      </c>
      <c r="W132" s="180">
        <v>915.68627450980364</v>
      </c>
      <c r="X132" s="182">
        <f t="shared" si="63"/>
        <v>5</v>
      </c>
      <c r="Y132" s="473"/>
      <c r="Z132" s="182">
        <v>3</v>
      </c>
      <c r="AA132" s="166">
        <v>2917.333333333333</v>
      </c>
      <c r="AB132" s="180">
        <v>972.44444444444434</v>
      </c>
      <c r="AC132" s="182">
        <f t="shared" si="64"/>
        <v>6</v>
      </c>
      <c r="AD132" s="473"/>
      <c r="AE132" s="182">
        <v>3</v>
      </c>
      <c r="AF132" s="166">
        <v>2833.6363636363635</v>
      </c>
      <c r="AG132" s="180">
        <v>944.5454545454545</v>
      </c>
      <c r="AH132" s="182">
        <f t="shared" si="65"/>
        <v>7</v>
      </c>
      <c r="AI132" s="473"/>
      <c r="AJ132" s="182">
        <v>3</v>
      </c>
      <c r="AK132" s="166">
        <v>2838.4615384615354</v>
      </c>
      <c r="AL132" s="180">
        <v>946.15384615384517</v>
      </c>
      <c r="AM132" s="182">
        <f t="shared" si="66"/>
        <v>6</v>
      </c>
      <c r="AN132" s="473"/>
      <c r="AO132" s="182">
        <v>3</v>
      </c>
      <c r="AP132" s="166">
        <v>2755.555555555557</v>
      </c>
      <c r="AQ132" s="180">
        <v>918.51851851851904</v>
      </c>
      <c r="AR132" s="182">
        <f t="shared" si="67"/>
        <v>5</v>
      </c>
      <c r="AS132" s="473"/>
      <c r="AT132" s="182">
        <v>3</v>
      </c>
      <c r="AU132" s="166">
        <v>2755.555555555557</v>
      </c>
      <c r="AV132" s="180">
        <v>918.51851851851904</v>
      </c>
      <c r="AW132" s="182">
        <f t="shared" si="68"/>
        <v>5</v>
      </c>
      <c r="AX132" s="473"/>
    </row>
    <row r="133" spans="2:50">
      <c r="B133" s="479"/>
      <c r="C133" s="182">
        <v>22</v>
      </c>
      <c r="D133" s="182" t="s">
        <v>246</v>
      </c>
      <c r="E133" s="182">
        <v>4</v>
      </c>
      <c r="F133" s="182">
        <v>2800</v>
      </c>
      <c r="G133" s="182">
        <v>700</v>
      </c>
      <c r="H133" s="473"/>
      <c r="I133" s="166">
        <f t="shared" si="69"/>
        <v>4</v>
      </c>
      <c r="J133" s="166">
        <f t="shared" si="70"/>
        <v>2812.5935247548146</v>
      </c>
      <c r="K133" s="180">
        <f t="shared" si="71"/>
        <v>703.14838118870364</v>
      </c>
      <c r="L133" s="460"/>
      <c r="M133" s="166">
        <f>RANK(K133, K$112:$K$141)</f>
        <v>17</v>
      </c>
      <c r="N133" s="462"/>
      <c r="O133" s="462"/>
      <c r="P133" s="182">
        <v>4</v>
      </c>
      <c r="Q133" s="166">
        <v>2843.9999999999977</v>
      </c>
      <c r="R133" s="180">
        <v>710.99999999999943</v>
      </c>
      <c r="S133" s="182">
        <f t="shared" si="62"/>
        <v>17</v>
      </c>
      <c r="T133" s="473"/>
      <c r="U133" s="182">
        <v>4</v>
      </c>
      <c r="V133" s="166">
        <v>2783.0769230769215</v>
      </c>
      <c r="W133" s="180">
        <v>695.76923076923038</v>
      </c>
      <c r="X133" s="182">
        <f t="shared" si="63"/>
        <v>13</v>
      </c>
      <c r="Y133" s="473"/>
      <c r="Z133" s="182">
        <v>4</v>
      </c>
      <c r="AA133" s="166">
        <v>2712.0000000000032</v>
      </c>
      <c r="AB133" s="180">
        <v>678.0000000000008</v>
      </c>
      <c r="AC133" s="182">
        <f t="shared" si="64"/>
        <v>20</v>
      </c>
      <c r="AD133" s="473"/>
      <c r="AE133" s="182">
        <v>4</v>
      </c>
      <c r="AF133" s="166">
        <v>2876.1290322580599</v>
      </c>
      <c r="AG133" s="180">
        <v>719.03225806451496</v>
      </c>
      <c r="AH133" s="182">
        <f t="shared" si="65"/>
        <v>15</v>
      </c>
      <c r="AI133" s="473"/>
      <c r="AJ133" s="182">
        <v>4</v>
      </c>
      <c r="AK133" s="166">
        <v>2968.3333333333376</v>
      </c>
      <c r="AL133" s="180">
        <v>742.08333333333439</v>
      </c>
      <c r="AM133" s="182">
        <f t="shared" si="66"/>
        <v>13</v>
      </c>
      <c r="AN133" s="473"/>
      <c r="AO133" s="182">
        <v>4</v>
      </c>
      <c r="AP133" s="166">
        <v>2752.307692307691</v>
      </c>
      <c r="AQ133" s="180">
        <v>688.07692307692275</v>
      </c>
      <c r="AR133" s="182">
        <f t="shared" si="67"/>
        <v>14</v>
      </c>
      <c r="AS133" s="473"/>
      <c r="AT133" s="182">
        <v>4</v>
      </c>
      <c r="AU133" s="166">
        <v>2752.307692307691</v>
      </c>
      <c r="AV133" s="180">
        <v>688.07692307692275</v>
      </c>
      <c r="AW133" s="182">
        <f t="shared" si="68"/>
        <v>14</v>
      </c>
      <c r="AX133" s="473"/>
    </row>
    <row r="134" spans="2:50">
      <c r="B134" s="479"/>
      <c r="C134" s="182">
        <v>23</v>
      </c>
      <c r="D134" s="182" t="s">
        <v>247</v>
      </c>
      <c r="E134" s="182">
        <v>4</v>
      </c>
      <c r="F134" s="182">
        <v>2800</v>
      </c>
      <c r="G134" s="182">
        <v>700</v>
      </c>
      <c r="H134" s="473"/>
      <c r="I134" s="166">
        <f t="shared" si="69"/>
        <v>4</v>
      </c>
      <c r="J134" s="166">
        <f t="shared" si="70"/>
        <v>2885.2679089026924</v>
      </c>
      <c r="K134" s="180">
        <f t="shared" si="71"/>
        <v>721.3169772256731</v>
      </c>
      <c r="L134" s="460"/>
      <c r="M134" s="166">
        <f>RANK(K134, K$112:$K$141)</f>
        <v>14</v>
      </c>
      <c r="N134" s="462"/>
      <c r="O134" s="462"/>
      <c r="P134" s="182">
        <v>4</v>
      </c>
      <c r="Q134" s="182">
        <v>2836.4516129032249</v>
      </c>
      <c r="R134" s="180">
        <v>709.11290322580624</v>
      </c>
      <c r="S134" s="182">
        <f t="shared" si="62"/>
        <v>19</v>
      </c>
      <c r="T134" s="473"/>
      <c r="U134" s="182">
        <v>4</v>
      </c>
      <c r="V134" s="182">
        <v>2773.5483870967732</v>
      </c>
      <c r="W134" s="180">
        <v>693.38709677419331</v>
      </c>
      <c r="X134" s="182">
        <f t="shared" si="63"/>
        <v>16</v>
      </c>
      <c r="Y134" s="473"/>
      <c r="Z134" s="182">
        <v>4</v>
      </c>
      <c r="AA134" s="182">
        <v>2977.333333333333</v>
      </c>
      <c r="AB134" s="180">
        <v>744.33333333333326</v>
      </c>
      <c r="AC134" s="182">
        <f t="shared" si="64"/>
        <v>13</v>
      </c>
      <c r="AD134" s="473"/>
      <c r="AE134" s="182">
        <v>4</v>
      </c>
      <c r="AF134" s="182">
        <v>2858.5714285714334</v>
      </c>
      <c r="AG134" s="180">
        <v>714.64285714285836</v>
      </c>
      <c r="AH134" s="182">
        <f t="shared" si="65"/>
        <v>18</v>
      </c>
      <c r="AI134" s="473"/>
      <c r="AJ134" s="182">
        <v>4</v>
      </c>
      <c r="AK134" s="182">
        <v>2980.4347826086955</v>
      </c>
      <c r="AL134" s="180">
        <v>745.10869565217388</v>
      </c>
      <c r="AM134" s="182">
        <f t="shared" si="66"/>
        <v>12</v>
      </c>
      <c r="AN134" s="473"/>
      <c r="AO134" s="182"/>
      <c r="AP134" s="182"/>
      <c r="AQ134" s="180"/>
      <c r="AR134" s="182" t="e">
        <f t="shared" si="67"/>
        <v>#N/A</v>
      </c>
      <c r="AS134" s="473"/>
      <c r="AT134" s="182" t="s">
        <v>244</v>
      </c>
      <c r="AU134" s="182" t="s">
        <v>244</v>
      </c>
      <c r="AV134" s="180" t="s">
        <v>244</v>
      </c>
      <c r="AW134" s="182" t="e">
        <f t="shared" si="68"/>
        <v>#VALUE!</v>
      </c>
      <c r="AX134" s="473"/>
    </row>
    <row r="135" spans="2:50">
      <c r="B135" s="479"/>
      <c r="C135" s="182">
        <v>24</v>
      </c>
      <c r="D135" s="271" t="s">
        <v>248</v>
      </c>
      <c r="E135" s="182">
        <v>4</v>
      </c>
      <c r="F135" s="182">
        <v>2800</v>
      </c>
      <c r="G135" s="182">
        <v>700</v>
      </c>
      <c r="H135" s="473"/>
      <c r="I135" s="166">
        <f t="shared" si="69"/>
        <v>4</v>
      </c>
      <c r="J135" s="166">
        <f t="shared" si="70"/>
        <v>2811.8799904982238</v>
      </c>
      <c r="K135" s="180">
        <f t="shared" si="71"/>
        <v>702.96999762455596</v>
      </c>
      <c r="L135" s="460"/>
      <c r="M135" s="166">
        <f>RANK(K135, K$112:$K$141)</f>
        <v>18</v>
      </c>
      <c r="N135" s="462"/>
      <c r="O135" s="462"/>
      <c r="P135" s="182">
        <v>4</v>
      </c>
      <c r="Q135" s="182">
        <v>2901.5999999999963</v>
      </c>
      <c r="R135" s="182">
        <v>725.39999999999907</v>
      </c>
      <c r="S135" s="182">
        <f t="shared" si="62"/>
        <v>14</v>
      </c>
      <c r="T135" s="473"/>
      <c r="U135" s="182">
        <v>4</v>
      </c>
      <c r="V135" s="182">
        <v>2779.6153846153861</v>
      </c>
      <c r="W135" s="182">
        <v>694.90384615384653</v>
      </c>
      <c r="X135" s="182">
        <f t="shared" si="63"/>
        <v>14</v>
      </c>
      <c r="Y135" s="473"/>
      <c r="Z135" s="182">
        <v>4</v>
      </c>
      <c r="AA135" s="182">
        <v>2739.428571428572</v>
      </c>
      <c r="AB135" s="182">
        <v>684.857142857143</v>
      </c>
      <c r="AC135" s="182">
        <f t="shared" si="64"/>
        <v>19</v>
      </c>
      <c r="AD135" s="473"/>
      <c r="AE135" s="182">
        <v>4</v>
      </c>
      <c r="AF135" s="182">
        <v>2803.1249999999995</v>
      </c>
      <c r="AG135" s="182">
        <v>700.78124999999989</v>
      </c>
      <c r="AH135" s="182">
        <f t="shared" si="65"/>
        <v>20</v>
      </c>
      <c r="AI135" s="473"/>
      <c r="AJ135" s="182">
        <v>4</v>
      </c>
      <c r="AK135" s="182">
        <v>2857.1052631578959</v>
      </c>
      <c r="AL135" s="182">
        <v>714.27631578947398</v>
      </c>
      <c r="AM135" s="182">
        <f t="shared" si="66"/>
        <v>16</v>
      </c>
      <c r="AN135" s="473"/>
      <c r="AO135" s="182">
        <v>4</v>
      </c>
      <c r="AP135" s="182">
        <v>2801.1428571428578</v>
      </c>
      <c r="AQ135" s="182">
        <v>700.28571428571445</v>
      </c>
      <c r="AR135" s="182">
        <f t="shared" si="67"/>
        <v>13</v>
      </c>
      <c r="AS135" s="473"/>
      <c r="AT135" s="182">
        <v>4</v>
      </c>
      <c r="AU135" s="182">
        <v>2801.1428571428578</v>
      </c>
      <c r="AV135" s="182">
        <v>700.28571428571445</v>
      </c>
      <c r="AW135" s="182">
        <f t="shared" si="68"/>
        <v>13</v>
      </c>
      <c r="AX135" s="473"/>
    </row>
    <row r="136" spans="2:50">
      <c r="B136" s="479"/>
      <c r="C136" s="182">
        <v>25</v>
      </c>
      <c r="D136" s="182"/>
      <c r="E136" s="182"/>
      <c r="F136" s="182"/>
      <c r="G136" s="182"/>
      <c r="H136" s="473"/>
      <c r="I136" s="182"/>
      <c r="J136" s="182"/>
      <c r="K136" s="182"/>
      <c r="L136" s="460"/>
      <c r="M136" s="166" t="e">
        <f>RANK(K136, K$112:$K$141)</f>
        <v>#N/A</v>
      </c>
      <c r="N136" s="462"/>
      <c r="O136" s="462"/>
      <c r="P136" s="182"/>
      <c r="Q136" s="182"/>
      <c r="R136" s="182"/>
      <c r="S136" s="182" t="e">
        <f t="shared" si="62"/>
        <v>#N/A</v>
      </c>
      <c r="T136" s="473"/>
      <c r="U136" s="182"/>
      <c r="V136" s="182"/>
      <c r="W136" s="182"/>
      <c r="X136" s="182" t="e">
        <f t="shared" si="63"/>
        <v>#N/A</v>
      </c>
      <c r="Y136" s="473"/>
      <c r="Z136" s="182"/>
      <c r="AA136" s="182"/>
      <c r="AB136" s="182"/>
      <c r="AC136" s="182" t="e">
        <f t="shared" si="64"/>
        <v>#N/A</v>
      </c>
      <c r="AD136" s="473"/>
      <c r="AE136" s="182"/>
      <c r="AF136" s="182"/>
      <c r="AG136" s="182"/>
      <c r="AH136" s="182" t="e">
        <f t="shared" si="65"/>
        <v>#N/A</v>
      </c>
      <c r="AI136" s="473"/>
      <c r="AJ136" s="182"/>
      <c r="AK136" s="182"/>
      <c r="AL136" s="182"/>
      <c r="AM136" s="182" t="e">
        <f t="shared" si="66"/>
        <v>#N/A</v>
      </c>
      <c r="AN136" s="473"/>
      <c r="AO136" s="182"/>
      <c r="AP136" s="182"/>
      <c r="AQ136" s="182"/>
      <c r="AR136" s="182" t="e">
        <f t="shared" si="67"/>
        <v>#N/A</v>
      </c>
      <c r="AS136" s="473"/>
      <c r="AT136" s="182"/>
      <c r="AU136" s="182"/>
      <c r="AV136" s="182"/>
      <c r="AW136" s="182" t="e">
        <f t="shared" si="68"/>
        <v>#N/A</v>
      </c>
      <c r="AX136" s="473"/>
    </row>
    <row r="137" spans="2:50">
      <c r="B137" s="479"/>
      <c r="C137" s="182">
        <v>26</v>
      </c>
      <c r="D137" s="182"/>
      <c r="E137" s="182"/>
      <c r="F137" s="182"/>
      <c r="G137" s="182"/>
      <c r="H137" s="473"/>
      <c r="I137" s="182"/>
      <c r="J137" s="182"/>
      <c r="K137" s="182"/>
      <c r="L137" s="460"/>
      <c r="M137" s="166" t="e">
        <f>RANK(K137, K$112:$K$141)</f>
        <v>#N/A</v>
      </c>
      <c r="N137" s="462"/>
      <c r="O137" s="462"/>
      <c r="P137" s="182"/>
      <c r="Q137" s="182"/>
      <c r="R137" s="182"/>
      <c r="S137" s="182" t="e">
        <f t="shared" si="62"/>
        <v>#N/A</v>
      </c>
      <c r="T137" s="473"/>
      <c r="U137" s="182"/>
      <c r="V137" s="182"/>
      <c r="W137" s="182"/>
      <c r="X137" s="182" t="e">
        <f t="shared" si="63"/>
        <v>#N/A</v>
      </c>
      <c r="Y137" s="473"/>
      <c r="Z137" s="182"/>
      <c r="AA137" s="182"/>
      <c r="AB137" s="182"/>
      <c r="AC137" s="182" t="e">
        <f t="shared" si="64"/>
        <v>#N/A</v>
      </c>
      <c r="AD137" s="473"/>
      <c r="AE137" s="182"/>
      <c r="AF137" s="182"/>
      <c r="AG137" s="182"/>
      <c r="AH137" s="182" t="e">
        <f t="shared" si="65"/>
        <v>#N/A</v>
      </c>
      <c r="AI137" s="473"/>
      <c r="AJ137" s="182"/>
      <c r="AK137" s="182"/>
      <c r="AL137" s="182"/>
      <c r="AM137" s="182" t="e">
        <f t="shared" si="66"/>
        <v>#N/A</v>
      </c>
      <c r="AN137" s="473"/>
      <c r="AO137" s="182"/>
      <c r="AP137" s="182"/>
      <c r="AQ137" s="182"/>
      <c r="AR137" s="182" t="e">
        <f t="shared" si="67"/>
        <v>#N/A</v>
      </c>
      <c r="AS137" s="473"/>
      <c r="AT137" s="182"/>
      <c r="AU137" s="182"/>
      <c r="AV137" s="182"/>
      <c r="AW137" s="182" t="e">
        <f t="shared" si="68"/>
        <v>#N/A</v>
      </c>
      <c r="AX137" s="473"/>
    </row>
    <row r="138" spans="2:50">
      <c r="B138" s="479"/>
      <c r="C138" s="182">
        <v>27</v>
      </c>
      <c r="D138" s="182"/>
      <c r="E138" s="182"/>
      <c r="F138" s="182"/>
      <c r="G138" s="182"/>
      <c r="H138" s="473"/>
      <c r="I138" s="182"/>
      <c r="J138" s="182"/>
      <c r="K138" s="182"/>
      <c r="L138" s="460"/>
      <c r="M138" s="166" t="e">
        <f>RANK(K138, K$112:$K$141)</f>
        <v>#N/A</v>
      </c>
      <c r="N138" s="462"/>
      <c r="O138" s="462"/>
      <c r="P138" s="182"/>
      <c r="Q138" s="182"/>
      <c r="R138" s="182"/>
      <c r="S138" s="182" t="e">
        <f t="shared" si="62"/>
        <v>#N/A</v>
      </c>
      <c r="T138" s="473"/>
      <c r="U138" s="182"/>
      <c r="V138" s="182"/>
      <c r="W138" s="182"/>
      <c r="X138" s="182" t="e">
        <f t="shared" si="63"/>
        <v>#N/A</v>
      </c>
      <c r="Y138" s="473"/>
      <c r="Z138" s="182"/>
      <c r="AA138" s="182"/>
      <c r="AB138" s="182"/>
      <c r="AC138" s="182" t="e">
        <f t="shared" si="64"/>
        <v>#N/A</v>
      </c>
      <c r="AD138" s="473"/>
      <c r="AE138" s="182"/>
      <c r="AF138" s="182"/>
      <c r="AG138" s="182"/>
      <c r="AH138" s="182" t="e">
        <f t="shared" si="65"/>
        <v>#N/A</v>
      </c>
      <c r="AI138" s="473"/>
      <c r="AJ138" s="182"/>
      <c r="AK138" s="182"/>
      <c r="AL138" s="182"/>
      <c r="AM138" s="182" t="e">
        <f t="shared" si="66"/>
        <v>#N/A</v>
      </c>
      <c r="AN138" s="473"/>
      <c r="AO138" s="182"/>
      <c r="AP138" s="182"/>
      <c r="AQ138" s="182"/>
      <c r="AR138" s="182" t="e">
        <f t="shared" si="67"/>
        <v>#N/A</v>
      </c>
      <c r="AS138" s="473"/>
      <c r="AT138" s="182"/>
      <c r="AU138" s="182"/>
      <c r="AV138" s="182"/>
      <c r="AW138" s="182" t="e">
        <f t="shared" si="68"/>
        <v>#N/A</v>
      </c>
      <c r="AX138" s="473"/>
    </row>
    <row r="139" spans="2:50">
      <c r="B139" s="479"/>
      <c r="C139" s="182">
        <v>28</v>
      </c>
      <c r="D139" s="182"/>
      <c r="E139" s="182"/>
      <c r="F139" s="182"/>
      <c r="G139" s="182"/>
      <c r="H139" s="473"/>
      <c r="I139" s="182"/>
      <c r="J139" s="182"/>
      <c r="K139" s="182"/>
      <c r="L139" s="460"/>
      <c r="M139" s="166" t="e">
        <f>RANK(K139, K$112:$K$141)</f>
        <v>#N/A</v>
      </c>
      <c r="N139" s="462"/>
      <c r="O139" s="462"/>
      <c r="P139" s="182"/>
      <c r="Q139" s="182"/>
      <c r="R139" s="182"/>
      <c r="S139" s="182" t="e">
        <f t="shared" si="62"/>
        <v>#N/A</v>
      </c>
      <c r="T139" s="473"/>
      <c r="U139" s="182"/>
      <c r="V139" s="182"/>
      <c r="W139" s="182"/>
      <c r="X139" s="182" t="e">
        <f t="shared" si="63"/>
        <v>#N/A</v>
      </c>
      <c r="Y139" s="473"/>
      <c r="Z139" s="182"/>
      <c r="AA139" s="182"/>
      <c r="AB139" s="182"/>
      <c r="AC139" s="182" t="e">
        <f t="shared" si="64"/>
        <v>#N/A</v>
      </c>
      <c r="AD139" s="473"/>
      <c r="AE139" s="182"/>
      <c r="AF139" s="182"/>
      <c r="AG139" s="182"/>
      <c r="AH139" s="182" t="e">
        <f t="shared" si="65"/>
        <v>#N/A</v>
      </c>
      <c r="AI139" s="473"/>
      <c r="AJ139" s="182"/>
      <c r="AK139" s="182"/>
      <c r="AL139" s="182"/>
      <c r="AM139" s="182" t="e">
        <f t="shared" si="66"/>
        <v>#N/A</v>
      </c>
      <c r="AN139" s="473"/>
      <c r="AO139" s="182"/>
      <c r="AP139" s="182"/>
      <c r="AQ139" s="182"/>
      <c r="AR139" s="182" t="e">
        <f t="shared" si="67"/>
        <v>#N/A</v>
      </c>
      <c r="AS139" s="473"/>
      <c r="AT139" s="182"/>
      <c r="AU139" s="182"/>
      <c r="AV139" s="182"/>
      <c r="AW139" s="182" t="e">
        <f t="shared" si="68"/>
        <v>#N/A</v>
      </c>
      <c r="AX139" s="473"/>
    </row>
    <row r="140" spans="2:50">
      <c r="B140" s="479"/>
      <c r="C140" s="182">
        <v>29</v>
      </c>
      <c r="D140" s="182"/>
      <c r="E140" s="182"/>
      <c r="F140" s="182"/>
      <c r="G140" s="182"/>
      <c r="H140" s="473"/>
      <c r="I140" s="182"/>
      <c r="J140" s="182"/>
      <c r="K140" s="182"/>
      <c r="L140" s="460"/>
      <c r="M140" s="166" t="e">
        <f>RANK(K140, K$112:$K$141)</f>
        <v>#N/A</v>
      </c>
      <c r="N140" s="462"/>
      <c r="O140" s="462"/>
      <c r="P140" s="182"/>
      <c r="Q140" s="182"/>
      <c r="R140" s="182"/>
      <c r="S140" s="182" t="e">
        <f t="shared" si="62"/>
        <v>#N/A</v>
      </c>
      <c r="T140" s="473"/>
      <c r="U140" s="182"/>
      <c r="V140" s="182"/>
      <c r="W140" s="182"/>
      <c r="X140" s="182" t="e">
        <f t="shared" si="63"/>
        <v>#N/A</v>
      </c>
      <c r="Y140" s="473"/>
      <c r="Z140" s="182"/>
      <c r="AA140" s="182"/>
      <c r="AB140" s="182"/>
      <c r="AC140" s="182" t="e">
        <f t="shared" si="64"/>
        <v>#N/A</v>
      </c>
      <c r="AD140" s="473"/>
      <c r="AE140" s="182"/>
      <c r="AF140" s="182"/>
      <c r="AG140" s="182"/>
      <c r="AH140" s="182" t="e">
        <f t="shared" si="65"/>
        <v>#N/A</v>
      </c>
      <c r="AI140" s="473"/>
      <c r="AJ140" s="182"/>
      <c r="AK140" s="182"/>
      <c r="AL140" s="182"/>
      <c r="AM140" s="182" t="e">
        <f t="shared" si="66"/>
        <v>#N/A</v>
      </c>
      <c r="AN140" s="473"/>
      <c r="AO140" s="182"/>
      <c r="AP140" s="182"/>
      <c r="AQ140" s="182"/>
      <c r="AR140" s="182" t="e">
        <f t="shared" si="67"/>
        <v>#N/A</v>
      </c>
      <c r="AS140" s="473"/>
      <c r="AT140" s="182"/>
      <c r="AU140" s="182"/>
      <c r="AV140" s="182"/>
      <c r="AW140" s="182" t="e">
        <f t="shared" si="68"/>
        <v>#N/A</v>
      </c>
      <c r="AX140" s="473"/>
    </row>
    <row r="141" spans="2:50">
      <c r="B141" s="479"/>
      <c r="C141" s="182">
        <v>30</v>
      </c>
      <c r="D141" s="182"/>
      <c r="E141" s="182"/>
      <c r="F141" s="182"/>
      <c r="G141" s="182"/>
      <c r="H141" s="474"/>
      <c r="I141" s="182"/>
      <c r="J141" s="182"/>
      <c r="K141" s="182"/>
      <c r="L141" s="461"/>
      <c r="M141" s="166" t="e">
        <f>RANK(K141, K$112:$K$141)</f>
        <v>#N/A</v>
      </c>
      <c r="N141" s="462"/>
      <c r="O141" s="462"/>
      <c r="P141" s="182"/>
      <c r="Q141" s="182"/>
      <c r="R141" s="182"/>
      <c r="S141" s="182" t="e">
        <f t="shared" si="62"/>
        <v>#N/A</v>
      </c>
      <c r="T141" s="474"/>
      <c r="U141" s="182"/>
      <c r="V141" s="182"/>
      <c r="W141" s="182"/>
      <c r="X141" s="182" t="e">
        <f t="shared" si="63"/>
        <v>#N/A</v>
      </c>
      <c r="Y141" s="474"/>
      <c r="Z141" s="182"/>
      <c r="AA141" s="182"/>
      <c r="AB141" s="182"/>
      <c r="AC141" s="182" t="e">
        <f t="shared" si="64"/>
        <v>#N/A</v>
      </c>
      <c r="AD141" s="474"/>
      <c r="AE141" s="182"/>
      <c r="AF141" s="182"/>
      <c r="AG141" s="182"/>
      <c r="AH141" s="182" t="e">
        <f t="shared" si="65"/>
        <v>#N/A</v>
      </c>
      <c r="AI141" s="474"/>
      <c r="AJ141" s="182"/>
      <c r="AK141" s="182"/>
      <c r="AL141" s="182"/>
      <c r="AM141" s="182" t="e">
        <f t="shared" si="66"/>
        <v>#N/A</v>
      </c>
      <c r="AN141" s="474"/>
      <c r="AO141" s="182"/>
      <c r="AP141" s="182"/>
      <c r="AQ141" s="182"/>
      <c r="AR141" s="182" t="e">
        <f t="shared" si="67"/>
        <v>#N/A</v>
      </c>
      <c r="AS141" s="474"/>
      <c r="AT141" s="182"/>
      <c r="AU141" s="182"/>
      <c r="AV141" s="182"/>
      <c r="AW141" s="182" t="e">
        <f t="shared" si="68"/>
        <v>#N/A</v>
      </c>
      <c r="AX141" s="474"/>
    </row>
    <row r="142" spans="2:50" ht="15.75">
      <c r="B142" s="480" t="s">
        <v>201</v>
      </c>
      <c r="C142" s="481"/>
      <c r="D142" s="481"/>
      <c r="E142" s="481"/>
      <c r="F142" s="481"/>
      <c r="G142" s="481"/>
      <c r="H142" s="481"/>
      <c r="I142" s="186"/>
      <c r="J142" s="186"/>
      <c r="K142" s="186"/>
      <c r="L142" s="186"/>
      <c r="M142" s="185"/>
      <c r="N142" s="469" t="s">
        <v>202</v>
      </c>
      <c r="O142" s="469" t="s">
        <v>150</v>
      </c>
      <c r="P142" s="478">
        <f>P107+7</f>
        <v>46414</v>
      </c>
      <c r="Q142" s="479"/>
      <c r="R142" s="479"/>
      <c r="S142" s="479"/>
      <c r="T142" s="479"/>
      <c r="U142" s="475">
        <f>P142+1</f>
        <v>46415</v>
      </c>
      <c r="V142" s="476"/>
      <c r="W142" s="476"/>
      <c r="X142" s="476"/>
      <c r="Y142" s="477"/>
      <c r="Z142" s="475">
        <f>U142+1</f>
        <v>46416</v>
      </c>
      <c r="AA142" s="476"/>
      <c r="AB142" s="476"/>
      <c r="AC142" s="476"/>
      <c r="AD142" s="477"/>
      <c r="AE142" s="475">
        <f>Z142+1</f>
        <v>46417</v>
      </c>
      <c r="AF142" s="476"/>
      <c r="AG142" s="476"/>
      <c r="AH142" s="476"/>
      <c r="AI142" s="477"/>
      <c r="AJ142" s="475">
        <f>AE142+1</f>
        <v>46418</v>
      </c>
      <c r="AK142" s="476"/>
      <c r="AL142" s="476"/>
      <c r="AM142" s="476"/>
      <c r="AN142" s="477"/>
      <c r="AO142" s="475">
        <f>AJ142+1</f>
        <v>46419</v>
      </c>
      <c r="AP142" s="476"/>
      <c r="AQ142" s="476"/>
      <c r="AR142" s="476"/>
      <c r="AS142" s="477"/>
      <c r="AT142" s="475">
        <f>AO142+1</f>
        <v>46420</v>
      </c>
      <c r="AU142" s="476"/>
      <c r="AV142" s="476"/>
      <c r="AW142" s="476"/>
      <c r="AX142" s="477"/>
    </row>
    <row r="143" spans="2:50" ht="15.75">
      <c r="B143" s="482"/>
      <c r="C143" s="482"/>
      <c r="D143" s="482"/>
      <c r="E143" s="482"/>
      <c r="F143" s="482"/>
      <c r="G143" s="482"/>
      <c r="H143" s="482"/>
      <c r="I143" s="184"/>
      <c r="J143" s="184"/>
      <c r="K143" s="184"/>
      <c r="L143" s="184"/>
      <c r="M143" s="179"/>
      <c r="N143" s="471"/>
      <c r="O143" s="471"/>
      <c r="P143" s="478" t="s">
        <v>203</v>
      </c>
      <c r="Q143" s="479"/>
      <c r="R143" s="479"/>
      <c r="S143" s="479"/>
      <c r="T143" s="479"/>
      <c r="U143" s="478" t="s">
        <v>204</v>
      </c>
      <c r="V143" s="479"/>
      <c r="W143" s="479"/>
      <c r="X143" s="479"/>
      <c r="Y143" s="479"/>
      <c r="Z143" s="478" t="s">
        <v>205</v>
      </c>
      <c r="AA143" s="479"/>
      <c r="AB143" s="479"/>
      <c r="AC143" s="479"/>
      <c r="AD143" s="479"/>
      <c r="AE143" s="478" t="s">
        <v>206</v>
      </c>
      <c r="AF143" s="479"/>
      <c r="AG143" s="479"/>
      <c r="AH143" s="479"/>
      <c r="AI143" s="479"/>
      <c r="AJ143" s="478" t="s">
        <v>207</v>
      </c>
      <c r="AK143" s="479"/>
      <c r="AL143" s="479"/>
      <c r="AM143" s="479"/>
      <c r="AN143" s="479"/>
      <c r="AO143" s="478" t="s">
        <v>157</v>
      </c>
      <c r="AP143" s="479"/>
      <c r="AQ143" s="479"/>
      <c r="AR143" s="479"/>
      <c r="AS143" s="479"/>
      <c r="AT143" s="478" t="s">
        <v>208</v>
      </c>
      <c r="AU143" s="479"/>
      <c r="AV143" s="479"/>
      <c r="AW143" s="479"/>
      <c r="AX143" s="479"/>
    </row>
    <row r="144" spans="2:50">
      <c r="B144" s="462" t="s">
        <v>209</v>
      </c>
      <c r="C144" s="462" t="s">
        <v>210</v>
      </c>
      <c r="D144" s="462"/>
      <c r="E144" s="462" t="s">
        <v>211</v>
      </c>
      <c r="F144" s="462"/>
      <c r="G144" s="462"/>
      <c r="H144" s="463" t="s">
        <v>212</v>
      </c>
      <c r="I144" s="462" t="s">
        <v>213</v>
      </c>
      <c r="J144" s="462"/>
      <c r="K144" s="462"/>
      <c r="L144" s="463" t="s">
        <v>212</v>
      </c>
      <c r="M144" s="469" t="s">
        <v>214</v>
      </c>
      <c r="N144" s="462"/>
      <c r="O144" s="462" t="s">
        <v>215</v>
      </c>
      <c r="P144" s="466" t="s">
        <v>216</v>
      </c>
      <c r="Q144" s="467"/>
      <c r="R144" s="467"/>
      <c r="S144" s="468"/>
      <c r="T144" s="462" t="s">
        <v>212</v>
      </c>
      <c r="U144" s="466" t="s">
        <v>216</v>
      </c>
      <c r="V144" s="467"/>
      <c r="W144" s="467"/>
      <c r="X144" s="468"/>
      <c r="Y144" s="462" t="s">
        <v>212</v>
      </c>
      <c r="Z144" s="466" t="s">
        <v>216</v>
      </c>
      <c r="AA144" s="467"/>
      <c r="AB144" s="467"/>
      <c r="AC144" s="468"/>
      <c r="AD144" s="462" t="s">
        <v>212</v>
      </c>
      <c r="AE144" s="466" t="s">
        <v>216</v>
      </c>
      <c r="AF144" s="467"/>
      <c r="AG144" s="467"/>
      <c r="AH144" s="468"/>
      <c r="AI144" s="462" t="s">
        <v>212</v>
      </c>
      <c r="AJ144" s="466" t="s">
        <v>216</v>
      </c>
      <c r="AK144" s="467"/>
      <c r="AL144" s="467"/>
      <c r="AM144" s="468"/>
      <c r="AN144" s="462" t="s">
        <v>212</v>
      </c>
      <c r="AO144" s="466" t="s">
        <v>216</v>
      </c>
      <c r="AP144" s="467"/>
      <c r="AQ144" s="467"/>
      <c r="AR144" s="468"/>
      <c r="AS144" s="462" t="s">
        <v>212</v>
      </c>
      <c r="AT144" s="466" t="s">
        <v>216</v>
      </c>
      <c r="AU144" s="467"/>
      <c r="AV144" s="467"/>
      <c r="AW144" s="468"/>
      <c r="AX144" s="462" t="s">
        <v>212</v>
      </c>
    </row>
    <row r="145" spans="2:50">
      <c r="B145" s="462"/>
      <c r="C145" s="462"/>
      <c r="D145" s="462"/>
      <c r="E145" s="462" t="s">
        <v>217</v>
      </c>
      <c r="F145" s="462"/>
      <c r="G145" s="462"/>
      <c r="H145" s="464"/>
      <c r="I145" s="462" t="s">
        <v>217</v>
      </c>
      <c r="J145" s="462"/>
      <c r="K145" s="462"/>
      <c r="L145" s="464"/>
      <c r="M145" s="470"/>
      <c r="N145" s="462"/>
      <c r="O145" s="462"/>
      <c r="P145" s="466" t="s">
        <v>218</v>
      </c>
      <c r="Q145" s="467"/>
      <c r="R145" s="467"/>
      <c r="S145" s="468"/>
      <c r="T145" s="462"/>
      <c r="U145" s="466" t="s">
        <v>218</v>
      </c>
      <c r="V145" s="467"/>
      <c r="W145" s="467"/>
      <c r="X145" s="468"/>
      <c r="Y145" s="462"/>
      <c r="Z145" s="466" t="s">
        <v>218</v>
      </c>
      <c r="AA145" s="467"/>
      <c r="AB145" s="467"/>
      <c r="AC145" s="468"/>
      <c r="AD145" s="462"/>
      <c r="AE145" s="466" t="s">
        <v>218</v>
      </c>
      <c r="AF145" s="467"/>
      <c r="AG145" s="467"/>
      <c r="AH145" s="468"/>
      <c r="AI145" s="462"/>
      <c r="AJ145" s="466" t="s">
        <v>218</v>
      </c>
      <c r="AK145" s="467"/>
      <c r="AL145" s="467"/>
      <c r="AM145" s="468"/>
      <c r="AN145" s="462"/>
      <c r="AO145" s="466" t="s">
        <v>218</v>
      </c>
      <c r="AP145" s="467"/>
      <c r="AQ145" s="467"/>
      <c r="AR145" s="468"/>
      <c r="AS145" s="462"/>
      <c r="AT145" s="466" t="s">
        <v>218</v>
      </c>
      <c r="AU145" s="467"/>
      <c r="AV145" s="467"/>
      <c r="AW145" s="468"/>
      <c r="AX145" s="462"/>
    </row>
    <row r="146" spans="2:50">
      <c r="B146" s="462"/>
      <c r="C146" s="462"/>
      <c r="D146" s="462"/>
      <c r="E146" s="271" t="s">
        <v>219</v>
      </c>
      <c r="F146" s="271" t="s">
        <v>220</v>
      </c>
      <c r="G146" s="271" t="s">
        <v>221</v>
      </c>
      <c r="H146" s="465"/>
      <c r="I146" s="271" t="s">
        <v>219</v>
      </c>
      <c r="J146" s="271" t="s">
        <v>220</v>
      </c>
      <c r="K146" s="271" t="s">
        <v>221</v>
      </c>
      <c r="L146" s="465"/>
      <c r="M146" s="471"/>
      <c r="N146" s="462"/>
      <c r="O146" s="462"/>
      <c r="P146" s="271" t="s">
        <v>219</v>
      </c>
      <c r="Q146" s="271" t="s">
        <v>220</v>
      </c>
      <c r="R146" s="271" t="s">
        <v>221</v>
      </c>
      <c r="S146" s="271" t="s">
        <v>214</v>
      </c>
      <c r="T146" s="462"/>
      <c r="U146" s="271" t="s">
        <v>219</v>
      </c>
      <c r="V146" s="271" t="s">
        <v>220</v>
      </c>
      <c r="W146" s="271" t="s">
        <v>221</v>
      </c>
      <c r="X146" s="271" t="s">
        <v>214</v>
      </c>
      <c r="Y146" s="462"/>
      <c r="Z146" s="271" t="s">
        <v>219</v>
      </c>
      <c r="AA146" s="271" t="s">
        <v>220</v>
      </c>
      <c r="AB146" s="271" t="s">
        <v>221</v>
      </c>
      <c r="AC146" s="271" t="s">
        <v>214</v>
      </c>
      <c r="AD146" s="462"/>
      <c r="AE146" s="271" t="s">
        <v>219</v>
      </c>
      <c r="AF146" s="271" t="s">
        <v>220</v>
      </c>
      <c r="AG146" s="271" t="s">
        <v>221</v>
      </c>
      <c r="AH146" s="271" t="s">
        <v>214</v>
      </c>
      <c r="AI146" s="462"/>
      <c r="AJ146" s="271" t="s">
        <v>219</v>
      </c>
      <c r="AK146" s="271" t="s">
        <v>220</v>
      </c>
      <c r="AL146" s="271" t="s">
        <v>221</v>
      </c>
      <c r="AM146" s="271" t="s">
        <v>214</v>
      </c>
      <c r="AN146" s="462"/>
      <c r="AO146" s="271" t="s">
        <v>219</v>
      </c>
      <c r="AP146" s="271" t="s">
        <v>220</v>
      </c>
      <c r="AQ146" s="271" t="s">
        <v>221</v>
      </c>
      <c r="AR146" s="271" t="s">
        <v>214</v>
      </c>
      <c r="AS146" s="462"/>
      <c r="AT146" s="271" t="s">
        <v>219</v>
      </c>
      <c r="AU146" s="271" t="s">
        <v>220</v>
      </c>
      <c r="AV146" s="271" t="s">
        <v>221</v>
      </c>
      <c r="AW146" s="271" t="s">
        <v>214</v>
      </c>
      <c r="AX146" s="462"/>
    </row>
    <row r="147" spans="2:50">
      <c r="B147" s="479" t="s">
        <v>245</v>
      </c>
      <c r="C147" s="182">
        <v>1</v>
      </c>
      <c r="D147" s="182"/>
      <c r="E147" s="182"/>
      <c r="F147" s="182"/>
      <c r="G147" s="182"/>
      <c r="H147" s="472" t="e">
        <f>AVERAGE(G147:G176)</f>
        <v>#DIV/0!</v>
      </c>
      <c r="I147" s="166" t="e">
        <f>AVERAGE(P147,U147,Z147,AE147,AJ147,AO147,AT147)</f>
        <v>#DIV/0!</v>
      </c>
      <c r="J147" s="166" t="e">
        <f>AVERAGE(Q147,V147,AA147,AF147,AK147,AP147,AU147)</f>
        <v>#DIV/0!</v>
      </c>
      <c r="K147" s="180" t="e">
        <f>AVERAGE(R147,W147,AB147,AG147,AL147,AQ147,AV147)</f>
        <v>#DIV/0!</v>
      </c>
      <c r="L147" s="459" t="str">
        <f>IFERROR(AVERAGE(K147:K176),"-")</f>
        <v>-</v>
      </c>
      <c r="M147" s="166" t="e">
        <f>RANK(K147, K$147:$K$176)</f>
        <v>#DIV/0!</v>
      </c>
      <c r="N147" s="462"/>
      <c r="O147" s="462"/>
      <c r="P147" s="166"/>
      <c r="Q147" s="166"/>
      <c r="R147" s="166"/>
      <c r="S147" s="182" t="e">
        <f>RANK(R147, R$147:R$176)</f>
        <v>#N/A</v>
      </c>
      <c r="T147" s="472" t="e">
        <f>AVERAGE(R147:R176)</f>
        <v>#DIV/0!</v>
      </c>
      <c r="U147" s="166"/>
      <c r="V147" s="166"/>
      <c r="W147" s="166"/>
      <c r="X147" s="182" t="e">
        <f t="shared" ref="X147:X162" si="72">RANK(W147, W$147:W$176)</f>
        <v>#N/A</v>
      </c>
      <c r="Y147" s="472" t="e">
        <f t="shared" ref="Y147" si="73">AVERAGE(W147:W176)</f>
        <v>#DIV/0!</v>
      </c>
      <c r="Z147" s="166"/>
      <c r="AA147" s="166"/>
      <c r="AB147" s="166"/>
      <c r="AC147" s="182" t="e">
        <f t="shared" ref="AC147:AC162" si="74">RANK(AB147, AB$147:AB$176)</f>
        <v>#N/A</v>
      </c>
      <c r="AD147" s="472" t="e">
        <f t="shared" ref="AD147" si="75">AVERAGE(AB147:AB176)</f>
        <v>#DIV/0!</v>
      </c>
      <c r="AE147" s="166"/>
      <c r="AF147" s="166"/>
      <c r="AG147" s="166"/>
      <c r="AH147" s="182" t="e">
        <f t="shared" ref="AH147:AH162" si="76">RANK(AG147, AG$147:AG$176)</f>
        <v>#N/A</v>
      </c>
      <c r="AI147" s="472" t="e">
        <f t="shared" ref="AI147" si="77">AVERAGE(AG147:AG176)</f>
        <v>#DIV/0!</v>
      </c>
      <c r="AJ147" s="166"/>
      <c r="AK147" s="166"/>
      <c r="AL147" s="166"/>
      <c r="AM147" s="182" t="e">
        <f t="shared" ref="AM147:AM162" si="78">RANK(AL147, AL$147:AL$176)</f>
        <v>#N/A</v>
      </c>
      <c r="AN147" s="472" t="e">
        <f t="shared" ref="AN147" si="79">AVERAGE(AL147:AL176)</f>
        <v>#DIV/0!</v>
      </c>
      <c r="AO147" s="166"/>
      <c r="AP147" s="166"/>
      <c r="AQ147" s="166"/>
      <c r="AR147" s="182" t="e">
        <f t="shared" ref="AR147:AR162" si="80">RANK(AQ147, AQ$147:AQ$176)</f>
        <v>#N/A</v>
      </c>
      <c r="AS147" s="472" t="e">
        <f t="shared" ref="AS147" si="81">AVERAGE(AQ147:AQ176)</f>
        <v>#DIV/0!</v>
      </c>
      <c r="AT147" s="166"/>
      <c r="AU147" s="166"/>
      <c r="AV147" s="166"/>
      <c r="AW147" s="182" t="e">
        <f t="shared" ref="AW147:AW162" si="82">RANK(AV147, AV$147:AV$176)</f>
        <v>#N/A</v>
      </c>
      <c r="AX147" s="472" t="e">
        <f t="shared" ref="AX147" si="83">AVERAGE(AV147:AV176)</f>
        <v>#DIV/0!</v>
      </c>
    </row>
    <row r="148" spans="2:50">
      <c r="B148" s="479"/>
      <c r="C148" s="182">
        <v>2</v>
      </c>
      <c r="D148" s="182"/>
      <c r="E148" s="182"/>
      <c r="F148" s="182"/>
      <c r="G148" s="182"/>
      <c r="H148" s="473"/>
      <c r="I148" s="166" t="e">
        <f t="shared" ref="I148:I156" si="84">AVERAGE(P148,U148,Z148,AE148,AJ148,AO148,AT148)</f>
        <v>#DIV/0!</v>
      </c>
      <c r="J148" s="166" t="e">
        <f t="shared" ref="J148:J156" si="85">AVERAGE(Q148,V148,AA148,AF148,AK148,AP148,AU148)</f>
        <v>#DIV/0!</v>
      </c>
      <c r="K148" s="180" t="e">
        <f t="shared" ref="K148:K156" si="86">AVERAGE(R148,W148,AB148,AG148,AL148,AQ148,AV148)</f>
        <v>#DIV/0!</v>
      </c>
      <c r="L148" s="460"/>
      <c r="M148" s="166" t="e">
        <f>RANK(K148, K$147:$K$176)</f>
        <v>#DIV/0!</v>
      </c>
      <c r="N148" s="462"/>
      <c r="O148" s="462"/>
      <c r="P148" s="166"/>
      <c r="Q148" s="166"/>
      <c r="R148" s="166"/>
      <c r="S148" s="182" t="e">
        <f t="shared" ref="S148:S176" si="87">RANK(R148, R$147:R$176)</f>
        <v>#N/A</v>
      </c>
      <c r="T148" s="473"/>
      <c r="U148" s="166"/>
      <c r="V148" s="166"/>
      <c r="W148" s="166"/>
      <c r="X148" s="182" t="e">
        <f t="shared" si="72"/>
        <v>#N/A</v>
      </c>
      <c r="Y148" s="473"/>
      <c r="Z148" s="166"/>
      <c r="AA148" s="166"/>
      <c r="AB148" s="166"/>
      <c r="AC148" s="182" t="e">
        <f t="shared" si="74"/>
        <v>#N/A</v>
      </c>
      <c r="AD148" s="473"/>
      <c r="AE148" s="166"/>
      <c r="AF148" s="166"/>
      <c r="AG148" s="166"/>
      <c r="AH148" s="182" t="e">
        <f t="shared" si="76"/>
        <v>#N/A</v>
      </c>
      <c r="AI148" s="473"/>
      <c r="AJ148" s="166"/>
      <c r="AK148" s="166"/>
      <c r="AL148" s="166"/>
      <c r="AM148" s="182" t="e">
        <f t="shared" si="78"/>
        <v>#N/A</v>
      </c>
      <c r="AN148" s="473"/>
      <c r="AO148" s="166"/>
      <c r="AP148" s="166"/>
      <c r="AQ148" s="166"/>
      <c r="AR148" s="182" t="e">
        <f t="shared" si="80"/>
        <v>#N/A</v>
      </c>
      <c r="AS148" s="473"/>
      <c r="AT148" s="166"/>
      <c r="AU148" s="166"/>
      <c r="AV148" s="166"/>
      <c r="AW148" s="182" t="e">
        <f t="shared" si="82"/>
        <v>#N/A</v>
      </c>
      <c r="AX148" s="473"/>
    </row>
    <row r="149" spans="2:50">
      <c r="B149" s="479"/>
      <c r="C149" s="182">
        <v>3</v>
      </c>
      <c r="D149" s="182"/>
      <c r="E149" s="182"/>
      <c r="F149" s="182"/>
      <c r="G149" s="182"/>
      <c r="H149" s="473"/>
      <c r="I149" s="166" t="e">
        <f t="shared" si="84"/>
        <v>#DIV/0!</v>
      </c>
      <c r="J149" s="166" t="e">
        <f t="shared" si="85"/>
        <v>#DIV/0!</v>
      </c>
      <c r="K149" s="180" t="e">
        <f t="shared" si="86"/>
        <v>#DIV/0!</v>
      </c>
      <c r="L149" s="460"/>
      <c r="M149" s="166" t="e">
        <f>RANK(K149, K$147:$K$176)</f>
        <v>#DIV/0!</v>
      </c>
      <c r="N149" s="462"/>
      <c r="O149" s="462"/>
      <c r="P149" s="166"/>
      <c r="Q149" s="166"/>
      <c r="R149" s="166"/>
      <c r="S149" s="182" t="e">
        <f t="shared" si="87"/>
        <v>#N/A</v>
      </c>
      <c r="T149" s="473"/>
      <c r="U149" s="166"/>
      <c r="V149" s="166"/>
      <c r="W149" s="166"/>
      <c r="X149" s="182" t="e">
        <f t="shared" si="72"/>
        <v>#N/A</v>
      </c>
      <c r="Y149" s="473"/>
      <c r="Z149" s="166"/>
      <c r="AA149" s="166"/>
      <c r="AB149" s="166"/>
      <c r="AC149" s="182" t="e">
        <f t="shared" si="74"/>
        <v>#N/A</v>
      </c>
      <c r="AD149" s="473"/>
      <c r="AE149" s="166"/>
      <c r="AF149" s="166"/>
      <c r="AG149" s="166"/>
      <c r="AH149" s="182" t="e">
        <f t="shared" si="76"/>
        <v>#N/A</v>
      </c>
      <c r="AI149" s="473"/>
      <c r="AJ149" s="166"/>
      <c r="AK149" s="166"/>
      <c r="AL149" s="166"/>
      <c r="AM149" s="182" t="e">
        <f t="shared" si="78"/>
        <v>#N/A</v>
      </c>
      <c r="AN149" s="473"/>
      <c r="AO149" s="166"/>
      <c r="AP149" s="166"/>
      <c r="AQ149" s="166"/>
      <c r="AR149" s="182" t="e">
        <f t="shared" si="80"/>
        <v>#N/A</v>
      </c>
      <c r="AS149" s="473"/>
      <c r="AT149" s="166"/>
      <c r="AU149" s="166"/>
      <c r="AV149" s="166"/>
      <c r="AW149" s="182" t="e">
        <f t="shared" si="82"/>
        <v>#N/A</v>
      </c>
      <c r="AX149" s="473"/>
    </row>
    <row r="150" spans="2:50">
      <c r="B150" s="479"/>
      <c r="C150" s="182">
        <v>4</v>
      </c>
      <c r="D150" s="182"/>
      <c r="E150" s="182"/>
      <c r="F150" s="182"/>
      <c r="G150" s="182"/>
      <c r="H150" s="473"/>
      <c r="I150" s="166" t="e">
        <f t="shared" si="84"/>
        <v>#DIV/0!</v>
      </c>
      <c r="J150" s="166" t="e">
        <f t="shared" si="85"/>
        <v>#DIV/0!</v>
      </c>
      <c r="K150" s="180" t="e">
        <f t="shared" si="86"/>
        <v>#DIV/0!</v>
      </c>
      <c r="L150" s="460"/>
      <c r="M150" s="166" t="e">
        <f>RANK(K150, K$147:$K$176)</f>
        <v>#DIV/0!</v>
      </c>
      <c r="N150" s="462"/>
      <c r="O150" s="462"/>
      <c r="P150" s="166"/>
      <c r="Q150" s="166"/>
      <c r="R150" s="166"/>
      <c r="S150" s="182" t="e">
        <f t="shared" si="87"/>
        <v>#N/A</v>
      </c>
      <c r="T150" s="473"/>
      <c r="U150" s="166"/>
      <c r="V150" s="166"/>
      <c r="W150" s="166"/>
      <c r="X150" s="182" t="e">
        <f t="shared" si="72"/>
        <v>#N/A</v>
      </c>
      <c r="Y150" s="473"/>
      <c r="Z150" s="166"/>
      <c r="AA150" s="166"/>
      <c r="AB150" s="166"/>
      <c r="AC150" s="182" t="e">
        <f t="shared" si="74"/>
        <v>#N/A</v>
      </c>
      <c r="AD150" s="473"/>
      <c r="AE150" s="166"/>
      <c r="AF150" s="166"/>
      <c r="AG150" s="166"/>
      <c r="AH150" s="182" t="e">
        <f t="shared" si="76"/>
        <v>#N/A</v>
      </c>
      <c r="AI150" s="473"/>
      <c r="AJ150" s="166"/>
      <c r="AK150" s="166"/>
      <c r="AL150" s="166"/>
      <c r="AM150" s="182" t="e">
        <f t="shared" si="78"/>
        <v>#N/A</v>
      </c>
      <c r="AN150" s="473"/>
      <c r="AO150" s="166"/>
      <c r="AP150" s="166"/>
      <c r="AQ150" s="166"/>
      <c r="AR150" s="182" t="e">
        <f t="shared" si="80"/>
        <v>#N/A</v>
      </c>
      <c r="AS150" s="473"/>
      <c r="AT150" s="166"/>
      <c r="AU150" s="166"/>
      <c r="AV150" s="166"/>
      <c r="AW150" s="182" t="e">
        <f t="shared" si="82"/>
        <v>#N/A</v>
      </c>
      <c r="AX150" s="473"/>
    </row>
    <row r="151" spans="2:50">
      <c r="B151" s="479"/>
      <c r="C151" s="182">
        <v>5</v>
      </c>
      <c r="D151" s="182"/>
      <c r="E151" s="182"/>
      <c r="F151" s="182"/>
      <c r="G151" s="182"/>
      <c r="H151" s="473"/>
      <c r="I151" s="166" t="e">
        <f t="shared" si="84"/>
        <v>#DIV/0!</v>
      </c>
      <c r="J151" s="166" t="e">
        <f t="shared" si="85"/>
        <v>#DIV/0!</v>
      </c>
      <c r="K151" s="180" t="e">
        <f t="shared" si="86"/>
        <v>#DIV/0!</v>
      </c>
      <c r="L151" s="460"/>
      <c r="M151" s="166" t="e">
        <f>RANK(K151, K$147:$K$176)</f>
        <v>#DIV/0!</v>
      </c>
      <c r="N151" s="462"/>
      <c r="O151" s="462"/>
      <c r="P151" s="166"/>
      <c r="Q151" s="166"/>
      <c r="R151" s="166"/>
      <c r="S151" s="182" t="e">
        <f t="shared" si="87"/>
        <v>#N/A</v>
      </c>
      <c r="T151" s="473"/>
      <c r="U151" s="166"/>
      <c r="V151" s="166"/>
      <c r="W151" s="166"/>
      <c r="X151" s="182" t="e">
        <f t="shared" si="72"/>
        <v>#N/A</v>
      </c>
      <c r="Y151" s="473"/>
      <c r="Z151" s="166"/>
      <c r="AA151" s="166"/>
      <c r="AB151" s="166"/>
      <c r="AC151" s="182" t="e">
        <f t="shared" si="74"/>
        <v>#N/A</v>
      </c>
      <c r="AD151" s="473"/>
      <c r="AE151" s="166"/>
      <c r="AF151" s="166"/>
      <c r="AG151" s="166"/>
      <c r="AH151" s="182" t="e">
        <f t="shared" si="76"/>
        <v>#N/A</v>
      </c>
      <c r="AI151" s="473"/>
      <c r="AJ151" s="166"/>
      <c r="AK151" s="166"/>
      <c r="AL151" s="166"/>
      <c r="AM151" s="182" t="e">
        <f t="shared" si="78"/>
        <v>#N/A</v>
      </c>
      <c r="AN151" s="473"/>
      <c r="AO151" s="166"/>
      <c r="AP151" s="166"/>
      <c r="AQ151" s="166"/>
      <c r="AR151" s="182" t="e">
        <f t="shared" si="80"/>
        <v>#N/A</v>
      </c>
      <c r="AS151" s="473"/>
      <c r="AT151" s="166"/>
      <c r="AU151" s="166"/>
      <c r="AV151" s="166"/>
      <c r="AW151" s="182" t="e">
        <f t="shared" si="82"/>
        <v>#N/A</v>
      </c>
      <c r="AX151" s="473"/>
    </row>
    <row r="152" spans="2:50">
      <c r="B152" s="479"/>
      <c r="C152" s="182">
        <v>6</v>
      </c>
      <c r="D152" s="182"/>
      <c r="E152" s="182"/>
      <c r="F152" s="182"/>
      <c r="G152" s="182"/>
      <c r="H152" s="473"/>
      <c r="I152" s="166" t="e">
        <f t="shared" si="84"/>
        <v>#DIV/0!</v>
      </c>
      <c r="J152" s="166" t="e">
        <f t="shared" si="85"/>
        <v>#DIV/0!</v>
      </c>
      <c r="K152" s="180" t="e">
        <f t="shared" si="86"/>
        <v>#DIV/0!</v>
      </c>
      <c r="L152" s="460"/>
      <c r="M152" s="166" t="e">
        <f>RANK(K152, K$147:$K$176)</f>
        <v>#DIV/0!</v>
      </c>
      <c r="N152" s="462"/>
      <c r="O152" s="462"/>
      <c r="P152" s="166"/>
      <c r="Q152" s="166"/>
      <c r="R152" s="166"/>
      <c r="S152" s="182" t="e">
        <f t="shared" si="87"/>
        <v>#N/A</v>
      </c>
      <c r="T152" s="473"/>
      <c r="U152" s="166"/>
      <c r="V152" s="166"/>
      <c r="W152" s="166"/>
      <c r="X152" s="182" t="e">
        <f t="shared" si="72"/>
        <v>#N/A</v>
      </c>
      <c r="Y152" s="473"/>
      <c r="Z152" s="166"/>
      <c r="AA152" s="166"/>
      <c r="AB152" s="166"/>
      <c r="AC152" s="182" t="e">
        <f t="shared" si="74"/>
        <v>#N/A</v>
      </c>
      <c r="AD152" s="473"/>
      <c r="AE152" s="166"/>
      <c r="AF152" s="166"/>
      <c r="AG152" s="166"/>
      <c r="AH152" s="182" t="e">
        <f t="shared" si="76"/>
        <v>#N/A</v>
      </c>
      <c r="AI152" s="473"/>
      <c r="AJ152" s="166"/>
      <c r="AK152" s="166"/>
      <c r="AL152" s="166"/>
      <c r="AM152" s="182" t="e">
        <f t="shared" si="78"/>
        <v>#N/A</v>
      </c>
      <c r="AN152" s="473"/>
      <c r="AO152" s="166"/>
      <c r="AP152" s="166"/>
      <c r="AQ152" s="166"/>
      <c r="AR152" s="182" t="e">
        <f t="shared" si="80"/>
        <v>#N/A</v>
      </c>
      <c r="AS152" s="473"/>
      <c r="AT152" s="166"/>
      <c r="AU152" s="166"/>
      <c r="AV152" s="166"/>
      <c r="AW152" s="182" t="e">
        <f t="shared" si="82"/>
        <v>#N/A</v>
      </c>
      <c r="AX152" s="473"/>
    </row>
    <row r="153" spans="2:50">
      <c r="B153" s="479"/>
      <c r="C153" s="182">
        <v>7</v>
      </c>
      <c r="D153" s="182"/>
      <c r="E153" s="182"/>
      <c r="F153" s="182"/>
      <c r="G153" s="182"/>
      <c r="H153" s="473"/>
      <c r="I153" s="166" t="e">
        <f t="shared" si="84"/>
        <v>#DIV/0!</v>
      </c>
      <c r="J153" s="166" t="e">
        <f t="shared" si="85"/>
        <v>#DIV/0!</v>
      </c>
      <c r="K153" s="180" t="e">
        <f t="shared" si="86"/>
        <v>#DIV/0!</v>
      </c>
      <c r="L153" s="460"/>
      <c r="M153" s="166" t="e">
        <f>RANK(K153, K$147:$K$176)</f>
        <v>#DIV/0!</v>
      </c>
      <c r="N153" s="462"/>
      <c r="O153" s="462"/>
      <c r="P153" s="166"/>
      <c r="Q153" s="166"/>
      <c r="R153" s="166"/>
      <c r="S153" s="182" t="e">
        <f t="shared" si="87"/>
        <v>#N/A</v>
      </c>
      <c r="T153" s="473"/>
      <c r="U153" s="166"/>
      <c r="V153" s="166"/>
      <c r="W153" s="166"/>
      <c r="X153" s="182" t="e">
        <f t="shared" si="72"/>
        <v>#N/A</v>
      </c>
      <c r="Y153" s="473"/>
      <c r="Z153" s="166"/>
      <c r="AA153" s="166"/>
      <c r="AB153" s="166"/>
      <c r="AC153" s="182" t="e">
        <f t="shared" si="74"/>
        <v>#N/A</v>
      </c>
      <c r="AD153" s="473"/>
      <c r="AE153" s="166"/>
      <c r="AF153" s="166"/>
      <c r="AG153" s="166"/>
      <c r="AH153" s="182" t="e">
        <f t="shared" si="76"/>
        <v>#N/A</v>
      </c>
      <c r="AI153" s="473"/>
      <c r="AJ153" s="166"/>
      <c r="AK153" s="166"/>
      <c r="AL153" s="166"/>
      <c r="AM153" s="182" t="e">
        <f t="shared" si="78"/>
        <v>#N/A</v>
      </c>
      <c r="AN153" s="473"/>
      <c r="AO153" s="166"/>
      <c r="AP153" s="166"/>
      <c r="AQ153" s="166"/>
      <c r="AR153" s="182" t="e">
        <f t="shared" si="80"/>
        <v>#N/A</v>
      </c>
      <c r="AS153" s="473"/>
      <c r="AT153" s="166"/>
      <c r="AU153" s="166"/>
      <c r="AV153" s="166"/>
      <c r="AW153" s="182" t="e">
        <f t="shared" si="82"/>
        <v>#N/A</v>
      </c>
      <c r="AX153" s="473"/>
    </row>
    <row r="154" spans="2:50">
      <c r="B154" s="479"/>
      <c r="C154" s="182">
        <v>8</v>
      </c>
      <c r="D154" s="182"/>
      <c r="E154" s="182"/>
      <c r="F154" s="182"/>
      <c r="G154" s="182"/>
      <c r="H154" s="473"/>
      <c r="I154" s="166" t="e">
        <f t="shared" si="84"/>
        <v>#DIV/0!</v>
      </c>
      <c r="J154" s="166" t="e">
        <f t="shared" si="85"/>
        <v>#DIV/0!</v>
      </c>
      <c r="K154" s="180" t="e">
        <f t="shared" si="86"/>
        <v>#DIV/0!</v>
      </c>
      <c r="L154" s="460"/>
      <c r="M154" s="166" t="e">
        <f>RANK(K154, K$147:$K$176)</f>
        <v>#DIV/0!</v>
      </c>
      <c r="N154" s="462"/>
      <c r="O154" s="462"/>
      <c r="P154" s="166"/>
      <c r="Q154" s="166"/>
      <c r="R154" s="166"/>
      <c r="S154" s="182" t="e">
        <f t="shared" si="87"/>
        <v>#N/A</v>
      </c>
      <c r="T154" s="473"/>
      <c r="U154" s="166"/>
      <c r="V154" s="166"/>
      <c r="W154" s="166"/>
      <c r="X154" s="182" t="e">
        <f t="shared" si="72"/>
        <v>#N/A</v>
      </c>
      <c r="Y154" s="473"/>
      <c r="Z154" s="166"/>
      <c r="AA154" s="166"/>
      <c r="AB154" s="166"/>
      <c r="AC154" s="182" t="e">
        <f t="shared" si="74"/>
        <v>#N/A</v>
      </c>
      <c r="AD154" s="473"/>
      <c r="AE154" s="166"/>
      <c r="AF154" s="166"/>
      <c r="AG154" s="166"/>
      <c r="AH154" s="182" t="e">
        <f t="shared" si="76"/>
        <v>#N/A</v>
      </c>
      <c r="AI154" s="473"/>
      <c r="AJ154" s="166"/>
      <c r="AK154" s="166"/>
      <c r="AL154" s="166"/>
      <c r="AM154" s="182" t="e">
        <f t="shared" si="78"/>
        <v>#N/A</v>
      </c>
      <c r="AN154" s="473"/>
      <c r="AO154" s="166"/>
      <c r="AP154" s="166"/>
      <c r="AQ154" s="166"/>
      <c r="AR154" s="182" t="e">
        <f t="shared" si="80"/>
        <v>#N/A</v>
      </c>
      <c r="AS154" s="473"/>
      <c r="AT154" s="166"/>
      <c r="AU154" s="166"/>
      <c r="AV154" s="166"/>
      <c r="AW154" s="182" t="e">
        <f t="shared" si="82"/>
        <v>#N/A</v>
      </c>
      <c r="AX154" s="473"/>
    </row>
    <row r="155" spans="2:50">
      <c r="B155" s="479"/>
      <c r="C155" s="182">
        <v>9</v>
      </c>
      <c r="D155" s="182"/>
      <c r="E155" s="182"/>
      <c r="F155" s="182"/>
      <c r="G155" s="182"/>
      <c r="H155" s="473"/>
      <c r="I155" s="166" t="e">
        <f t="shared" si="84"/>
        <v>#DIV/0!</v>
      </c>
      <c r="J155" s="166" t="e">
        <f t="shared" si="85"/>
        <v>#DIV/0!</v>
      </c>
      <c r="K155" s="180" t="e">
        <f t="shared" si="86"/>
        <v>#DIV/0!</v>
      </c>
      <c r="L155" s="460"/>
      <c r="M155" s="166" t="e">
        <f>RANK(K155, K$147:$K$176)</f>
        <v>#DIV/0!</v>
      </c>
      <c r="N155" s="462"/>
      <c r="O155" s="462"/>
      <c r="P155" s="166"/>
      <c r="Q155" s="166"/>
      <c r="R155" s="166"/>
      <c r="S155" s="182" t="e">
        <f t="shared" si="87"/>
        <v>#N/A</v>
      </c>
      <c r="T155" s="473"/>
      <c r="U155" s="166"/>
      <c r="V155" s="166"/>
      <c r="W155" s="166"/>
      <c r="X155" s="182" t="e">
        <f t="shared" si="72"/>
        <v>#N/A</v>
      </c>
      <c r="Y155" s="473"/>
      <c r="Z155" s="166"/>
      <c r="AA155" s="166"/>
      <c r="AB155" s="166"/>
      <c r="AC155" s="182" t="e">
        <f t="shared" si="74"/>
        <v>#N/A</v>
      </c>
      <c r="AD155" s="473"/>
      <c r="AE155" s="166"/>
      <c r="AF155" s="166"/>
      <c r="AG155" s="166"/>
      <c r="AH155" s="182" t="e">
        <f t="shared" si="76"/>
        <v>#N/A</v>
      </c>
      <c r="AI155" s="473"/>
      <c r="AJ155" s="166"/>
      <c r="AK155" s="166"/>
      <c r="AL155" s="166"/>
      <c r="AM155" s="182" t="e">
        <f t="shared" si="78"/>
        <v>#N/A</v>
      </c>
      <c r="AN155" s="473"/>
      <c r="AO155" s="166"/>
      <c r="AP155" s="166"/>
      <c r="AQ155" s="166"/>
      <c r="AR155" s="182" t="e">
        <f t="shared" si="80"/>
        <v>#N/A</v>
      </c>
      <c r="AS155" s="473"/>
      <c r="AT155" s="166"/>
      <c r="AU155" s="166"/>
      <c r="AV155" s="166"/>
      <c r="AW155" s="182" t="e">
        <f t="shared" si="82"/>
        <v>#N/A</v>
      </c>
      <c r="AX155" s="473"/>
    </row>
    <row r="156" spans="2:50">
      <c r="B156" s="479"/>
      <c r="C156" s="182">
        <v>10</v>
      </c>
      <c r="D156" s="182"/>
      <c r="E156" s="182"/>
      <c r="F156" s="182"/>
      <c r="G156" s="182"/>
      <c r="H156" s="473"/>
      <c r="I156" s="166" t="e">
        <f t="shared" si="84"/>
        <v>#DIV/0!</v>
      </c>
      <c r="J156" s="166" t="e">
        <f t="shared" si="85"/>
        <v>#DIV/0!</v>
      </c>
      <c r="K156" s="180" t="e">
        <f t="shared" si="86"/>
        <v>#DIV/0!</v>
      </c>
      <c r="L156" s="460"/>
      <c r="M156" s="166" t="e">
        <f>RANK(K156, K$147:$K$176)</f>
        <v>#DIV/0!</v>
      </c>
      <c r="N156" s="462"/>
      <c r="O156" s="462"/>
      <c r="P156" s="166"/>
      <c r="Q156" s="166"/>
      <c r="R156" s="166"/>
      <c r="S156" s="182" t="e">
        <f t="shared" si="87"/>
        <v>#N/A</v>
      </c>
      <c r="T156" s="473"/>
      <c r="U156" s="166"/>
      <c r="V156" s="166"/>
      <c r="W156" s="166"/>
      <c r="X156" s="182" t="e">
        <f t="shared" si="72"/>
        <v>#N/A</v>
      </c>
      <c r="Y156" s="473"/>
      <c r="Z156" s="166"/>
      <c r="AA156" s="166"/>
      <c r="AB156" s="166"/>
      <c r="AC156" s="182" t="e">
        <f t="shared" si="74"/>
        <v>#N/A</v>
      </c>
      <c r="AD156" s="473"/>
      <c r="AE156" s="166"/>
      <c r="AF156" s="166"/>
      <c r="AG156" s="166"/>
      <c r="AH156" s="182" t="e">
        <f t="shared" si="76"/>
        <v>#N/A</v>
      </c>
      <c r="AI156" s="473"/>
      <c r="AJ156" s="166"/>
      <c r="AK156" s="166"/>
      <c r="AL156" s="166"/>
      <c r="AM156" s="182" t="e">
        <f t="shared" si="78"/>
        <v>#N/A</v>
      </c>
      <c r="AN156" s="473"/>
      <c r="AO156" s="166"/>
      <c r="AP156" s="166"/>
      <c r="AQ156" s="166"/>
      <c r="AR156" s="182" t="e">
        <f t="shared" si="80"/>
        <v>#N/A</v>
      </c>
      <c r="AS156" s="473"/>
      <c r="AT156" s="166"/>
      <c r="AU156" s="166"/>
      <c r="AV156" s="166"/>
      <c r="AW156" s="182" t="e">
        <f t="shared" si="82"/>
        <v>#N/A</v>
      </c>
      <c r="AX156" s="473"/>
    </row>
    <row r="157" spans="2:50">
      <c r="B157" s="479"/>
      <c r="C157" s="182">
        <v>11</v>
      </c>
      <c r="D157" s="182"/>
      <c r="E157" s="182"/>
      <c r="F157" s="182"/>
      <c r="G157" s="182"/>
      <c r="H157" s="473"/>
      <c r="I157" s="166" t="e">
        <f t="shared" ref="I157:I166" si="88">AVERAGE(P157,U157,Z157,AE157,AJ157,AO157,AT157)</f>
        <v>#DIV/0!</v>
      </c>
      <c r="J157" s="166" t="e">
        <f t="shared" ref="J157:J166" si="89">AVERAGE(Q157,V157,AA157,AF157,AK157,AP157,AU157)</f>
        <v>#DIV/0!</v>
      </c>
      <c r="K157" s="180" t="e">
        <f t="shared" ref="K157:K166" si="90">AVERAGE(R157,W157,AB157,AG157,AL157,AQ157,AV157)</f>
        <v>#DIV/0!</v>
      </c>
      <c r="L157" s="460"/>
      <c r="M157" s="166" t="e">
        <f>RANK(K157, K$147:$K$176)</f>
        <v>#DIV/0!</v>
      </c>
      <c r="N157" s="462"/>
      <c r="O157" s="462"/>
      <c r="P157" s="166"/>
      <c r="Q157" s="166"/>
      <c r="R157" s="166"/>
      <c r="S157" s="182" t="e">
        <f t="shared" si="87"/>
        <v>#N/A</v>
      </c>
      <c r="T157" s="473"/>
      <c r="U157" s="166"/>
      <c r="V157" s="166"/>
      <c r="W157" s="166"/>
      <c r="X157" s="182" t="e">
        <f t="shared" si="72"/>
        <v>#N/A</v>
      </c>
      <c r="Y157" s="473"/>
      <c r="Z157" s="166"/>
      <c r="AA157" s="166"/>
      <c r="AB157" s="166"/>
      <c r="AC157" s="182" t="e">
        <f t="shared" si="74"/>
        <v>#N/A</v>
      </c>
      <c r="AD157" s="473"/>
      <c r="AE157" s="166"/>
      <c r="AF157" s="166"/>
      <c r="AG157" s="166"/>
      <c r="AH157" s="182" t="e">
        <f t="shared" si="76"/>
        <v>#N/A</v>
      </c>
      <c r="AI157" s="473"/>
      <c r="AJ157" s="166"/>
      <c r="AK157" s="166"/>
      <c r="AL157" s="166"/>
      <c r="AM157" s="182" t="e">
        <f t="shared" si="78"/>
        <v>#N/A</v>
      </c>
      <c r="AN157" s="473"/>
      <c r="AO157" s="166"/>
      <c r="AP157" s="166"/>
      <c r="AQ157" s="166"/>
      <c r="AR157" s="182" t="e">
        <f t="shared" si="80"/>
        <v>#N/A</v>
      </c>
      <c r="AS157" s="473"/>
      <c r="AT157" s="166"/>
      <c r="AU157" s="166"/>
      <c r="AV157" s="166"/>
      <c r="AW157" s="182" t="e">
        <f t="shared" si="82"/>
        <v>#N/A</v>
      </c>
      <c r="AX157" s="473"/>
    </row>
    <row r="158" spans="2:50">
      <c r="B158" s="479"/>
      <c r="C158" s="182">
        <v>12</v>
      </c>
      <c r="D158" s="182"/>
      <c r="E158" s="182"/>
      <c r="F158" s="182"/>
      <c r="G158" s="182"/>
      <c r="H158" s="473"/>
      <c r="I158" s="166" t="e">
        <f t="shared" si="88"/>
        <v>#DIV/0!</v>
      </c>
      <c r="J158" s="166" t="e">
        <f t="shared" si="89"/>
        <v>#DIV/0!</v>
      </c>
      <c r="K158" s="180" t="e">
        <f t="shared" si="90"/>
        <v>#DIV/0!</v>
      </c>
      <c r="L158" s="460"/>
      <c r="M158" s="166" t="e">
        <f>RANK(K158, K$147:$K$176)</f>
        <v>#DIV/0!</v>
      </c>
      <c r="N158" s="462"/>
      <c r="O158" s="462"/>
      <c r="P158" s="166"/>
      <c r="Q158" s="166"/>
      <c r="R158" s="166"/>
      <c r="S158" s="182" t="e">
        <f t="shared" si="87"/>
        <v>#N/A</v>
      </c>
      <c r="T158" s="473"/>
      <c r="U158" s="166"/>
      <c r="V158" s="166"/>
      <c r="W158" s="166"/>
      <c r="X158" s="182" t="e">
        <f t="shared" si="72"/>
        <v>#N/A</v>
      </c>
      <c r="Y158" s="473"/>
      <c r="Z158" s="166"/>
      <c r="AA158" s="166"/>
      <c r="AB158" s="166"/>
      <c r="AC158" s="182" t="e">
        <f t="shared" si="74"/>
        <v>#N/A</v>
      </c>
      <c r="AD158" s="473"/>
      <c r="AE158" s="166"/>
      <c r="AF158" s="166"/>
      <c r="AG158" s="166"/>
      <c r="AH158" s="182" t="e">
        <f t="shared" si="76"/>
        <v>#N/A</v>
      </c>
      <c r="AI158" s="473"/>
      <c r="AJ158" s="166"/>
      <c r="AK158" s="166"/>
      <c r="AL158" s="166"/>
      <c r="AM158" s="182" t="e">
        <f t="shared" si="78"/>
        <v>#N/A</v>
      </c>
      <c r="AN158" s="473"/>
      <c r="AO158" s="166"/>
      <c r="AP158" s="166"/>
      <c r="AQ158" s="166"/>
      <c r="AR158" s="182" t="e">
        <f t="shared" si="80"/>
        <v>#N/A</v>
      </c>
      <c r="AS158" s="473"/>
      <c r="AT158" s="166"/>
      <c r="AU158" s="166"/>
      <c r="AV158" s="166"/>
      <c r="AW158" s="182" t="e">
        <f t="shared" si="82"/>
        <v>#N/A</v>
      </c>
      <c r="AX158" s="473"/>
    </row>
    <row r="159" spans="2:50">
      <c r="B159" s="479"/>
      <c r="C159" s="182">
        <v>13</v>
      </c>
      <c r="D159" s="182"/>
      <c r="E159" s="182"/>
      <c r="F159" s="182"/>
      <c r="G159" s="182"/>
      <c r="H159" s="473"/>
      <c r="I159" s="166" t="e">
        <f t="shared" si="88"/>
        <v>#DIV/0!</v>
      </c>
      <c r="J159" s="166" t="e">
        <f t="shared" si="89"/>
        <v>#DIV/0!</v>
      </c>
      <c r="K159" s="180" t="e">
        <f t="shared" si="90"/>
        <v>#DIV/0!</v>
      </c>
      <c r="L159" s="460"/>
      <c r="M159" s="166" t="e">
        <f>RANK(K159, K$147:$K$176)</f>
        <v>#DIV/0!</v>
      </c>
      <c r="N159" s="462"/>
      <c r="O159" s="462"/>
      <c r="P159" s="166"/>
      <c r="Q159" s="166"/>
      <c r="R159" s="166"/>
      <c r="S159" s="182" t="e">
        <f t="shared" si="87"/>
        <v>#N/A</v>
      </c>
      <c r="T159" s="473"/>
      <c r="U159" s="166"/>
      <c r="V159" s="166"/>
      <c r="W159" s="166"/>
      <c r="X159" s="182" t="e">
        <f t="shared" si="72"/>
        <v>#N/A</v>
      </c>
      <c r="Y159" s="473"/>
      <c r="Z159" s="166"/>
      <c r="AA159" s="166"/>
      <c r="AB159" s="166"/>
      <c r="AC159" s="182" t="e">
        <f t="shared" si="74"/>
        <v>#N/A</v>
      </c>
      <c r="AD159" s="473"/>
      <c r="AE159" s="166"/>
      <c r="AF159" s="166"/>
      <c r="AG159" s="166"/>
      <c r="AH159" s="182" t="e">
        <f t="shared" si="76"/>
        <v>#N/A</v>
      </c>
      <c r="AI159" s="473"/>
      <c r="AJ159" s="166"/>
      <c r="AK159" s="166"/>
      <c r="AL159" s="166"/>
      <c r="AM159" s="182" t="e">
        <f t="shared" si="78"/>
        <v>#N/A</v>
      </c>
      <c r="AN159" s="473"/>
      <c r="AO159" s="166"/>
      <c r="AP159" s="166"/>
      <c r="AQ159" s="166"/>
      <c r="AR159" s="182" t="e">
        <f t="shared" si="80"/>
        <v>#N/A</v>
      </c>
      <c r="AS159" s="473"/>
      <c r="AT159" s="166"/>
      <c r="AU159" s="166"/>
      <c r="AV159" s="166"/>
      <c r="AW159" s="182" t="e">
        <f t="shared" si="82"/>
        <v>#N/A</v>
      </c>
      <c r="AX159" s="473"/>
    </row>
    <row r="160" spans="2:50">
      <c r="B160" s="479"/>
      <c r="C160" s="182">
        <v>14</v>
      </c>
      <c r="D160" s="182"/>
      <c r="E160" s="182"/>
      <c r="F160" s="182"/>
      <c r="G160" s="182"/>
      <c r="H160" s="473"/>
      <c r="I160" s="166" t="e">
        <f t="shared" si="88"/>
        <v>#DIV/0!</v>
      </c>
      <c r="J160" s="166" t="e">
        <f t="shared" si="89"/>
        <v>#DIV/0!</v>
      </c>
      <c r="K160" s="180" t="e">
        <f t="shared" si="90"/>
        <v>#DIV/0!</v>
      </c>
      <c r="L160" s="460"/>
      <c r="M160" s="166" t="e">
        <f>RANK(K160, K$147:$K$176)</f>
        <v>#DIV/0!</v>
      </c>
      <c r="N160" s="462"/>
      <c r="O160" s="462"/>
      <c r="P160" s="166"/>
      <c r="Q160" s="166"/>
      <c r="R160" s="166"/>
      <c r="S160" s="182" t="e">
        <f t="shared" si="87"/>
        <v>#N/A</v>
      </c>
      <c r="T160" s="473"/>
      <c r="U160" s="166"/>
      <c r="V160" s="166"/>
      <c r="W160" s="166"/>
      <c r="X160" s="182" t="e">
        <f t="shared" si="72"/>
        <v>#N/A</v>
      </c>
      <c r="Y160" s="473"/>
      <c r="Z160" s="166"/>
      <c r="AA160" s="166"/>
      <c r="AB160" s="166"/>
      <c r="AC160" s="182" t="e">
        <f t="shared" si="74"/>
        <v>#N/A</v>
      </c>
      <c r="AD160" s="473"/>
      <c r="AE160" s="166"/>
      <c r="AF160" s="166"/>
      <c r="AG160" s="166"/>
      <c r="AH160" s="182" t="e">
        <f t="shared" si="76"/>
        <v>#N/A</v>
      </c>
      <c r="AI160" s="473"/>
      <c r="AJ160" s="166"/>
      <c r="AK160" s="166"/>
      <c r="AL160" s="166"/>
      <c r="AM160" s="182" t="e">
        <f t="shared" si="78"/>
        <v>#N/A</v>
      </c>
      <c r="AN160" s="473"/>
      <c r="AO160" s="166"/>
      <c r="AP160" s="166"/>
      <c r="AQ160" s="166"/>
      <c r="AR160" s="182" t="e">
        <f t="shared" si="80"/>
        <v>#N/A</v>
      </c>
      <c r="AS160" s="473"/>
      <c r="AT160" s="166"/>
      <c r="AU160" s="166"/>
      <c r="AV160" s="166"/>
      <c r="AW160" s="182" t="e">
        <f t="shared" si="82"/>
        <v>#N/A</v>
      </c>
      <c r="AX160" s="473"/>
    </row>
    <row r="161" spans="2:50">
      <c r="B161" s="479"/>
      <c r="C161" s="182">
        <v>15</v>
      </c>
      <c r="D161" s="182"/>
      <c r="E161" s="182"/>
      <c r="F161" s="182"/>
      <c r="G161" s="182"/>
      <c r="H161" s="473"/>
      <c r="I161" s="166" t="e">
        <f t="shared" si="88"/>
        <v>#DIV/0!</v>
      </c>
      <c r="J161" s="166" t="e">
        <f t="shared" si="89"/>
        <v>#DIV/0!</v>
      </c>
      <c r="K161" s="180" t="e">
        <f t="shared" si="90"/>
        <v>#DIV/0!</v>
      </c>
      <c r="L161" s="460"/>
      <c r="M161" s="166" t="e">
        <f>RANK(K161, K$147:$K$176)</f>
        <v>#DIV/0!</v>
      </c>
      <c r="N161" s="462"/>
      <c r="O161" s="462"/>
      <c r="P161" s="166"/>
      <c r="Q161" s="166"/>
      <c r="R161" s="166"/>
      <c r="S161" s="182" t="e">
        <f t="shared" ref="S161:S175" si="91">RANK(R161, R$147:R$176)</f>
        <v>#N/A</v>
      </c>
      <c r="T161" s="473"/>
      <c r="U161" s="166"/>
      <c r="V161" s="166"/>
      <c r="W161" s="166"/>
      <c r="X161" s="182" t="e">
        <f t="shared" si="72"/>
        <v>#N/A</v>
      </c>
      <c r="Y161" s="473"/>
      <c r="Z161" s="166"/>
      <c r="AA161" s="166"/>
      <c r="AB161" s="166"/>
      <c r="AC161" s="182" t="e">
        <f t="shared" si="74"/>
        <v>#N/A</v>
      </c>
      <c r="AD161" s="473"/>
      <c r="AE161" s="166"/>
      <c r="AF161" s="166"/>
      <c r="AG161" s="166"/>
      <c r="AH161" s="182" t="e">
        <f t="shared" si="76"/>
        <v>#N/A</v>
      </c>
      <c r="AI161" s="473"/>
      <c r="AJ161" s="166"/>
      <c r="AK161" s="166"/>
      <c r="AL161" s="166"/>
      <c r="AM161" s="182" t="e">
        <f t="shared" si="78"/>
        <v>#N/A</v>
      </c>
      <c r="AN161" s="473"/>
      <c r="AO161" s="166"/>
      <c r="AP161" s="166"/>
      <c r="AQ161" s="166"/>
      <c r="AR161" s="182" t="e">
        <f t="shared" si="80"/>
        <v>#N/A</v>
      </c>
      <c r="AS161" s="473"/>
      <c r="AT161" s="166"/>
      <c r="AU161" s="166"/>
      <c r="AV161" s="166"/>
      <c r="AW161" s="182" t="e">
        <f t="shared" si="82"/>
        <v>#N/A</v>
      </c>
      <c r="AX161" s="473"/>
    </row>
    <row r="162" spans="2:50">
      <c r="B162" s="479"/>
      <c r="C162" s="182">
        <v>16</v>
      </c>
      <c r="D162" s="182"/>
      <c r="E162" s="182"/>
      <c r="F162" s="182"/>
      <c r="G162" s="182"/>
      <c r="H162" s="473"/>
      <c r="I162" s="166" t="e">
        <f t="shared" si="88"/>
        <v>#DIV/0!</v>
      </c>
      <c r="J162" s="166" t="e">
        <f t="shared" si="89"/>
        <v>#DIV/0!</v>
      </c>
      <c r="K162" s="180" t="e">
        <f t="shared" si="90"/>
        <v>#DIV/0!</v>
      </c>
      <c r="L162" s="460"/>
      <c r="M162" s="166" t="e">
        <f>RANK(K162, K$147:$K$176)</f>
        <v>#DIV/0!</v>
      </c>
      <c r="N162" s="462"/>
      <c r="O162" s="462"/>
      <c r="P162" s="166"/>
      <c r="Q162" s="166"/>
      <c r="R162" s="166"/>
      <c r="S162" s="182" t="e">
        <f t="shared" si="91"/>
        <v>#N/A</v>
      </c>
      <c r="T162" s="473"/>
      <c r="U162" s="166"/>
      <c r="V162" s="166"/>
      <c r="W162" s="166"/>
      <c r="X162" s="182" t="e">
        <f t="shared" si="72"/>
        <v>#N/A</v>
      </c>
      <c r="Y162" s="473"/>
      <c r="Z162" s="166"/>
      <c r="AA162" s="166"/>
      <c r="AB162" s="166"/>
      <c r="AC162" s="182" t="e">
        <f t="shared" si="74"/>
        <v>#N/A</v>
      </c>
      <c r="AD162" s="473"/>
      <c r="AE162" s="166"/>
      <c r="AF162" s="166"/>
      <c r="AG162" s="166"/>
      <c r="AH162" s="182" t="e">
        <f t="shared" si="76"/>
        <v>#N/A</v>
      </c>
      <c r="AI162" s="473"/>
      <c r="AJ162" s="166"/>
      <c r="AK162" s="166"/>
      <c r="AL162" s="166"/>
      <c r="AM162" s="182" t="e">
        <f t="shared" si="78"/>
        <v>#N/A</v>
      </c>
      <c r="AN162" s="473"/>
      <c r="AO162" s="166"/>
      <c r="AP162" s="166"/>
      <c r="AQ162" s="166"/>
      <c r="AR162" s="182" t="e">
        <f t="shared" si="80"/>
        <v>#N/A</v>
      </c>
      <c r="AS162" s="473"/>
      <c r="AT162" s="166"/>
      <c r="AU162" s="166"/>
      <c r="AV162" s="166"/>
      <c r="AW162" s="182" t="e">
        <f t="shared" si="82"/>
        <v>#N/A</v>
      </c>
      <c r="AX162" s="473"/>
    </row>
    <row r="163" spans="2:50">
      <c r="B163" s="479"/>
      <c r="C163" s="182">
        <v>17</v>
      </c>
      <c r="D163" s="182"/>
      <c r="E163" s="182"/>
      <c r="F163" s="182"/>
      <c r="G163" s="182"/>
      <c r="H163" s="473"/>
      <c r="I163" s="166" t="e">
        <f t="shared" si="88"/>
        <v>#DIV/0!</v>
      </c>
      <c r="J163" s="166" t="e">
        <f t="shared" si="89"/>
        <v>#DIV/0!</v>
      </c>
      <c r="K163" s="180" t="e">
        <f t="shared" si="90"/>
        <v>#DIV/0!</v>
      </c>
      <c r="L163" s="460"/>
      <c r="M163" s="166" t="e">
        <f>RANK(K163, K$147:$K$176)</f>
        <v>#DIV/0!</v>
      </c>
      <c r="N163" s="462"/>
      <c r="O163" s="462"/>
      <c r="P163" s="166"/>
      <c r="Q163" s="166"/>
      <c r="R163" s="166"/>
      <c r="S163" s="182" t="e">
        <f t="shared" si="91"/>
        <v>#N/A</v>
      </c>
      <c r="T163" s="473"/>
      <c r="U163" s="166"/>
      <c r="V163" s="166"/>
      <c r="W163" s="166"/>
      <c r="X163" s="182" t="e">
        <f t="shared" ref="X163:X176" si="92">RANK(W163, W$147:W$176)</f>
        <v>#N/A</v>
      </c>
      <c r="Y163" s="473"/>
      <c r="Z163" s="166"/>
      <c r="AA163" s="166"/>
      <c r="AB163" s="166"/>
      <c r="AC163" s="182" t="e">
        <f t="shared" ref="AC163:AC176" si="93">RANK(AB163, AB$147:AB$176)</f>
        <v>#N/A</v>
      </c>
      <c r="AD163" s="473"/>
      <c r="AE163" s="166"/>
      <c r="AF163" s="166"/>
      <c r="AG163" s="166"/>
      <c r="AH163" s="182" t="e">
        <f t="shared" ref="AH163:AH176" si="94">RANK(AG163, AG$147:AG$176)</f>
        <v>#N/A</v>
      </c>
      <c r="AI163" s="473"/>
      <c r="AJ163" s="166"/>
      <c r="AK163" s="166"/>
      <c r="AL163" s="166"/>
      <c r="AM163" s="182" t="e">
        <f t="shared" ref="AM163:AM176" si="95">RANK(AL163, AL$147:AL$176)</f>
        <v>#N/A</v>
      </c>
      <c r="AN163" s="473"/>
      <c r="AO163" s="166"/>
      <c r="AP163" s="166"/>
      <c r="AQ163" s="166"/>
      <c r="AR163" s="182" t="e">
        <f t="shared" ref="AR163:AR176" si="96">RANK(AQ163, AQ$147:AQ$176)</f>
        <v>#N/A</v>
      </c>
      <c r="AS163" s="473"/>
      <c r="AT163" s="166"/>
      <c r="AU163" s="166"/>
      <c r="AV163" s="166"/>
      <c r="AW163" s="182" t="e">
        <f t="shared" ref="AW163:AW176" si="97">RANK(AV163, AV$147:AV$176)</f>
        <v>#N/A</v>
      </c>
      <c r="AX163" s="473"/>
    </row>
    <row r="164" spans="2:50">
      <c r="B164" s="479"/>
      <c r="C164" s="182">
        <v>18</v>
      </c>
      <c r="D164" s="182"/>
      <c r="E164" s="182"/>
      <c r="F164" s="182"/>
      <c r="G164" s="182"/>
      <c r="H164" s="473"/>
      <c r="I164" s="166" t="e">
        <f t="shared" si="88"/>
        <v>#DIV/0!</v>
      </c>
      <c r="J164" s="166" t="e">
        <f t="shared" si="89"/>
        <v>#DIV/0!</v>
      </c>
      <c r="K164" s="180" t="e">
        <f t="shared" si="90"/>
        <v>#DIV/0!</v>
      </c>
      <c r="L164" s="460"/>
      <c r="M164" s="166" t="e">
        <f>RANK(K164, K$147:$K$176)</f>
        <v>#DIV/0!</v>
      </c>
      <c r="N164" s="462"/>
      <c r="O164" s="462"/>
      <c r="P164" s="166"/>
      <c r="Q164" s="166"/>
      <c r="R164" s="166"/>
      <c r="S164" s="182" t="e">
        <f t="shared" si="91"/>
        <v>#N/A</v>
      </c>
      <c r="T164" s="473"/>
      <c r="U164" s="166"/>
      <c r="V164" s="166"/>
      <c r="W164" s="166"/>
      <c r="X164" s="182" t="e">
        <f t="shared" si="92"/>
        <v>#N/A</v>
      </c>
      <c r="Y164" s="473"/>
      <c r="Z164" s="166"/>
      <c r="AA164" s="166"/>
      <c r="AB164" s="166"/>
      <c r="AC164" s="182" t="e">
        <f t="shared" si="93"/>
        <v>#N/A</v>
      </c>
      <c r="AD164" s="473"/>
      <c r="AE164" s="166"/>
      <c r="AF164" s="166"/>
      <c r="AG164" s="166"/>
      <c r="AH164" s="182" t="e">
        <f t="shared" si="94"/>
        <v>#N/A</v>
      </c>
      <c r="AI164" s="473"/>
      <c r="AJ164" s="166"/>
      <c r="AK164" s="166"/>
      <c r="AL164" s="166"/>
      <c r="AM164" s="182" t="e">
        <f t="shared" si="95"/>
        <v>#N/A</v>
      </c>
      <c r="AN164" s="473"/>
      <c r="AO164" s="166"/>
      <c r="AP164" s="166"/>
      <c r="AQ164" s="166"/>
      <c r="AR164" s="182" t="e">
        <f t="shared" si="96"/>
        <v>#N/A</v>
      </c>
      <c r="AS164" s="473"/>
      <c r="AT164" s="166"/>
      <c r="AU164" s="166"/>
      <c r="AV164" s="166"/>
      <c r="AW164" s="182" t="e">
        <f t="shared" si="97"/>
        <v>#N/A</v>
      </c>
      <c r="AX164" s="473"/>
    </row>
    <row r="165" spans="2:50">
      <c r="B165" s="479"/>
      <c r="C165" s="182">
        <v>19</v>
      </c>
      <c r="D165" s="182"/>
      <c r="E165" s="182"/>
      <c r="F165" s="182"/>
      <c r="G165" s="182"/>
      <c r="H165" s="473"/>
      <c r="I165" s="166" t="e">
        <f t="shared" si="88"/>
        <v>#DIV/0!</v>
      </c>
      <c r="J165" s="166" t="e">
        <f t="shared" si="89"/>
        <v>#DIV/0!</v>
      </c>
      <c r="K165" s="180" t="e">
        <f t="shared" si="90"/>
        <v>#DIV/0!</v>
      </c>
      <c r="L165" s="460"/>
      <c r="M165" s="166" t="e">
        <f>RANK(K165, K$147:$K$176)</f>
        <v>#DIV/0!</v>
      </c>
      <c r="N165" s="462"/>
      <c r="O165" s="462"/>
      <c r="P165" s="166"/>
      <c r="Q165" s="166"/>
      <c r="R165" s="166"/>
      <c r="S165" s="182" t="e">
        <f t="shared" si="91"/>
        <v>#N/A</v>
      </c>
      <c r="T165" s="473"/>
      <c r="U165" s="166"/>
      <c r="V165" s="166"/>
      <c r="W165" s="166"/>
      <c r="X165" s="182" t="e">
        <f t="shared" si="92"/>
        <v>#N/A</v>
      </c>
      <c r="Y165" s="473"/>
      <c r="Z165" s="166"/>
      <c r="AA165" s="166"/>
      <c r="AB165" s="166"/>
      <c r="AC165" s="182" t="e">
        <f t="shared" si="93"/>
        <v>#N/A</v>
      </c>
      <c r="AD165" s="473"/>
      <c r="AE165" s="166"/>
      <c r="AF165" s="166"/>
      <c r="AG165" s="166"/>
      <c r="AH165" s="182" t="e">
        <f t="shared" si="94"/>
        <v>#N/A</v>
      </c>
      <c r="AI165" s="473"/>
      <c r="AJ165" s="166"/>
      <c r="AK165" s="166"/>
      <c r="AL165" s="166"/>
      <c r="AM165" s="182" t="e">
        <f t="shared" si="95"/>
        <v>#N/A</v>
      </c>
      <c r="AN165" s="473"/>
      <c r="AO165" s="166"/>
      <c r="AP165" s="166"/>
      <c r="AQ165" s="166"/>
      <c r="AR165" s="182" t="e">
        <f t="shared" si="96"/>
        <v>#N/A</v>
      </c>
      <c r="AS165" s="473"/>
      <c r="AT165" s="166"/>
      <c r="AU165" s="166"/>
      <c r="AV165" s="166"/>
      <c r="AW165" s="182" t="e">
        <f t="shared" si="97"/>
        <v>#N/A</v>
      </c>
      <c r="AX165" s="473"/>
    </row>
    <row r="166" spans="2:50">
      <c r="B166" s="479"/>
      <c r="C166" s="182">
        <v>20</v>
      </c>
      <c r="D166" s="182"/>
      <c r="E166" s="182"/>
      <c r="F166" s="182"/>
      <c r="G166" s="182"/>
      <c r="H166" s="473"/>
      <c r="I166" s="166" t="e">
        <f t="shared" si="88"/>
        <v>#DIV/0!</v>
      </c>
      <c r="J166" s="166" t="e">
        <f t="shared" si="89"/>
        <v>#DIV/0!</v>
      </c>
      <c r="K166" s="180" t="e">
        <f t="shared" si="90"/>
        <v>#DIV/0!</v>
      </c>
      <c r="L166" s="460"/>
      <c r="M166" s="166" t="e">
        <f>RANK(K166, K$147:$K$176)</f>
        <v>#DIV/0!</v>
      </c>
      <c r="N166" s="462"/>
      <c r="O166" s="462"/>
      <c r="P166" s="166"/>
      <c r="Q166" s="166"/>
      <c r="R166" s="166"/>
      <c r="S166" s="182" t="e">
        <f t="shared" si="91"/>
        <v>#N/A</v>
      </c>
      <c r="T166" s="473"/>
      <c r="U166" s="166"/>
      <c r="V166" s="166"/>
      <c r="W166" s="166"/>
      <c r="X166" s="182" t="e">
        <f t="shared" si="92"/>
        <v>#N/A</v>
      </c>
      <c r="Y166" s="473"/>
      <c r="Z166" s="166"/>
      <c r="AA166" s="166"/>
      <c r="AB166" s="166"/>
      <c r="AC166" s="182" t="e">
        <f t="shared" si="93"/>
        <v>#N/A</v>
      </c>
      <c r="AD166" s="473"/>
      <c r="AE166" s="166"/>
      <c r="AF166" s="166"/>
      <c r="AG166" s="166"/>
      <c r="AH166" s="182" t="e">
        <f t="shared" si="94"/>
        <v>#N/A</v>
      </c>
      <c r="AI166" s="473"/>
      <c r="AJ166" s="166"/>
      <c r="AK166" s="166"/>
      <c r="AL166" s="166"/>
      <c r="AM166" s="182" t="e">
        <f t="shared" si="95"/>
        <v>#N/A</v>
      </c>
      <c r="AN166" s="473"/>
      <c r="AO166" s="166"/>
      <c r="AP166" s="166"/>
      <c r="AQ166" s="166"/>
      <c r="AR166" s="182" t="e">
        <f t="shared" si="96"/>
        <v>#N/A</v>
      </c>
      <c r="AS166" s="473"/>
      <c r="AT166" s="166"/>
      <c r="AU166" s="166"/>
      <c r="AV166" s="166"/>
      <c r="AW166" s="182" t="e">
        <f t="shared" si="97"/>
        <v>#N/A</v>
      </c>
      <c r="AX166" s="473"/>
    </row>
    <row r="167" spans="2:50">
      <c r="B167" s="479"/>
      <c r="C167" s="182">
        <v>21</v>
      </c>
      <c r="D167" s="182"/>
      <c r="E167" s="182"/>
      <c r="F167" s="182"/>
      <c r="G167" s="182"/>
      <c r="H167" s="473"/>
      <c r="I167" s="166"/>
      <c r="J167" s="166"/>
      <c r="K167" s="180"/>
      <c r="L167" s="460"/>
      <c r="M167" s="166" t="e">
        <f>RANK(K167, K$147:$K$176)</f>
        <v>#DIV/0!</v>
      </c>
      <c r="N167" s="462"/>
      <c r="O167" s="462"/>
      <c r="P167" s="182"/>
      <c r="Q167" s="166"/>
      <c r="R167" s="180"/>
      <c r="S167" s="182" t="e">
        <f t="shared" si="91"/>
        <v>#N/A</v>
      </c>
      <c r="T167" s="473"/>
      <c r="U167" s="182"/>
      <c r="V167" s="166"/>
      <c r="W167" s="180"/>
      <c r="X167" s="182" t="e">
        <f t="shared" si="92"/>
        <v>#N/A</v>
      </c>
      <c r="Y167" s="473"/>
      <c r="Z167" s="182"/>
      <c r="AA167" s="166"/>
      <c r="AB167" s="180"/>
      <c r="AC167" s="182" t="e">
        <f t="shared" si="93"/>
        <v>#N/A</v>
      </c>
      <c r="AD167" s="473"/>
      <c r="AE167" s="182"/>
      <c r="AF167" s="166"/>
      <c r="AG167" s="180"/>
      <c r="AH167" s="182" t="e">
        <f t="shared" si="94"/>
        <v>#N/A</v>
      </c>
      <c r="AI167" s="473"/>
      <c r="AJ167" s="182"/>
      <c r="AK167" s="166"/>
      <c r="AL167" s="180"/>
      <c r="AM167" s="182" t="e">
        <f t="shared" si="95"/>
        <v>#N/A</v>
      </c>
      <c r="AN167" s="473"/>
      <c r="AO167" s="182"/>
      <c r="AP167" s="166"/>
      <c r="AQ167" s="180"/>
      <c r="AR167" s="182" t="e">
        <f t="shared" si="96"/>
        <v>#N/A</v>
      </c>
      <c r="AS167" s="473"/>
      <c r="AT167" s="166"/>
      <c r="AU167" s="166"/>
      <c r="AV167" s="166"/>
      <c r="AW167" s="182" t="e">
        <f t="shared" si="97"/>
        <v>#N/A</v>
      </c>
      <c r="AX167" s="473"/>
    </row>
    <row r="168" spans="2:50">
      <c r="B168" s="479"/>
      <c r="C168" s="182">
        <v>22</v>
      </c>
      <c r="D168" s="182"/>
      <c r="E168" s="182"/>
      <c r="F168" s="182"/>
      <c r="G168" s="182"/>
      <c r="H168" s="473"/>
      <c r="I168" s="166"/>
      <c r="J168" s="166"/>
      <c r="K168" s="180"/>
      <c r="L168" s="460"/>
      <c r="M168" s="166" t="e">
        <f>RANK(K168, K$147:$K$176)</f>
        <v>#DIV/0!</v>
      </c>
      <c r="N168" s="462"/>
      <c r="O168" s="462"/>
      <c r="P168" s="182"/>
      <c r="Q168" s="166"/>
      <c r="R168" s="180"/>
      <c r="S168" s="182" t="e">
        <f t="shared" si="91"/>
        <v>#N/A</v>
      </c>
      <c r="T168" s="473"/>
      <c r="U168" s="182"/>
      <c r="V168" s="166"/>
      <c r="W168" s="180"/>
      <c r="X168" s="182" t="e">
        <f t="shared" si="92"/>
        <v>#N/A</v>
      </c>
      <c r="Y168" s="473"/>
      <c r="Z168" s="182"/>
      <c r="AA168" s="166"/>
      <c r="AB168" s="180"/>
      <c r="AC168" s="182" t="e">
        <f t="shared" si="93"/>
        <v>#N/A</v>
      </c>
      <c r="AD168" s="473"/>
      <c r="AE168" s="182"/>
      <c r="AF168" s="166"/>
      <c r="AG168" s="180"/>
      <c r="AH168" s="182" t="e">
        <f t="shared" si="94"/>
        <v>#N/A</v>
      </c>
      <c r="AI168" s="473"/>
      <c r="AJ168" s="182"/>
      <c r="AK168" s="166"/>
      <c r="AL168" s="180"/>
      <c r="AM168" s="182" t="e">
        <f t="shared" si="95"/>
        <v>#N/A</v>
      </c>
      <c r="AN168" s="473"/>
      <c r="AO168" s="182"/>
      <c r="AP168" s="166"/>
      <c r="AQ168" s="180"/>
      <c r="AR168" s="182" t="e">
        <f t="shared" si="96"/>
        <v>#N/A</v>
      </c>
      <c r="AS168" s="473"/>
      <c r="AT168" s="166"/>
      <c r="AU168" s="166"/>
      <c r="AV168" s="166"/>
      <c r="AW168" s="182" t="e">
        <f t="shared" si="97"/>
        <v>#N/A</v>
      </c>
      <c r="AX168" s="473"/>
    </row>
    <row r="169" spans="2:50">
      <c r="B169" s="479"/>
      <c r="C169" s="182">
        <v>23</v>
      </c>
      <c r="D169" s="182"/>
      <c r="E169" s="182"/>
      <c r="F169" s="182"/>
      <c r="G169" s="182"/>
      <c r="H169" s="473"/>
      <c r="I169" s="166"/>
      <c r="J169" s="166"/>
      <c r="K169" s="180"/>
      <c r="L169" s="460"/>
      <c r="M169" s="166" t="e">
        <f>RANK(K169, K$147:$K$176)</f>
        <v>#DIV/0!</v>
      </c>
      <c r="N169" s="462"/>
      <c r="O169" s="462"/>
      <c r="P169" s="182"/>
      <c r="Q169" s="182"/>
      <c r="R169" s="180"/>
      <c r="S169" s="182" t="e">
        <f t="shared" si="91"/>
        <v>#N/A</v>
      </c>
      <c r="T169" s="473"/>
      <c r="U169" s="182"/>
      <c r="V169" s="182"/>
      <c r="W169" s="180"/>
      <c r="X169" s="182" t="e">
        <f t="shared" si="92"/>
        <v>#N/A</v>
      </c>
      <c r="Y169" s="473"/>
      <c r="Z169" s="182"/>
      <c r="AA169" s="182"/>
      <c r="AB169" s="180"/>
      <c r="AC169" s="182" t="e">
        <f t="shared" si="93"/>
        <v>#N/A</v>
      </c>
      <c r="AD169" s="473"/>
      <c r="AE169" s="182"/>
      <c r="AF169" s="182"/>
      <c r="AG169" s="180"/>
      <c r="AH169" s="182" t="e">
        <f t="shared" si="94"/>
        <v>#N/A</v>
      </c>
      <c r="AI169" s="473"/>
      <c r="AJ169" s="182"/>
      <c r="AK169" s="182"/>
      <c r="AL169" s="180"/>
      <c r="AM169" s="182" t="e">
        <f t="shared" si="95"/>
        <v>#N/A</v>
      </c>
      <c r="AN169" s="473"/>
      <c r="AO169" s="182"/>
      <c r="AP169" s="182"/>
      <c r="AQ169" s="180"/>
      <c r="AR169" s="182" t="e">
        <f t="shared" si="96"/>
        <v>#N/A</v>
      </c>
      <c r="AS169" s="473"/>
      <c r="AT169" s="166"/>
      <c r="AU169" s="166"/>
      <c r="AV169" s="166"/>
      <c r="AW169" s="182" t="e">
        <f t="shared" si="97"/>
        <v>#N/A</v>
      </c>
      <c r="AX169" s="473"/>
    </row>
    <row r="170" spans="2:50">
      <c r="B170" s="479"/>
      <c r="C170" s="182">
        <v>24</v>
      </c>
      <c r="D170" s="182"/>
      <c r="E170" s="182"/>
      <c r="F170" s="182"/>
      <c r="G170" s="182"/>
      <c r="H170" s="473"/>
      <c r="I170" s="166"/>
      <c r="J170" s="166"/>
      <c r="K170" s="180"/>
      <c r="L170" s="460"/>
      <c r="M170" s="166" t="e">
        <f>RANK(K170, K$147:$K$176)</f>
        <v>#DIV/0!</v>
      </c>
      <c r="N170" s="462"/>
      <c r="O170" s="462"/>
      <c r="P170" s="182"/>
      <c r="Q170" s="182"/>
      <c r="R170" s="182"/>
      <c r="S170" s="182" t="e">
        <f t="shared" si="91"/>
        <v>#N/A</v>
      </c>
      <c r="T170" s="473"/>
      <c r="U170" s="182"/>
      <c r="V170" s="182"/>
      <c r="W170" s="182"/>
      <c r="X170" s="182" t="e">
        <f t="shared" si="92"/>
        <v>#N/A</v>
      </c>
      <c r="Y170" s="473"/>
      <c r="Z170" s="182"/>
      <c r="AA170" s="182"/>
      <c r="AB170" s="182"/>
      <c r="AC170" s="182" t="e">
        <f t="shared" si="93"/>
        <v>#N/A</v>
      </c>
      <c r="AD170" s="473"/>
      <c r="AE170" s="182"/>
      <c r="AF170" s="182"/>
      <c r="AG170" s="182"/>
      <c r="AH170" s="182" t="e">
        <f t="shared" si="94"/>
        <v>#N/A</v>
      </c>
      <c r="AI170" s="473"/>
      <c r="AJ170" s="182"/>
      <c r="AK170" s="182"/>
      <c r="AL170" s="182"/>
      <c r="AM170" s="182" t="e">
        <f t="shared" si="95"/>
        <v>#N/A</v>
      </c>
      <c r="AN170" s="473"/>
      <c r="AO170" s="182"/>
      <c r="AP170" s="182"/>
      <c r="AQ170" s="182"/>
      <c r="AR170" s="182" t="e">
        <f t="shared" si="96"/>
        <v>#N/A</v>
      </c>
      <c r="AS170" s="473"/>
      <c r="AT170" s="166"/>
      <c r="AU170" s="166"/>
      <c r="AV170" s="166"/>
      <c r="AW170" s="182" t="e">
        <f t="shared" si="97"/>
        <v>#N/A</v>
      </c>
      <c r="AX170" s="473"/>
    </row>
    <row r="171" spans="2:50">
      <c r="B171" s="479"/>
      <c r="C171" s="182">
        <v>25</v>
      </c>
      <c r="D171" s="182"/>
      <c r="E171" s="182"/>
      <c r="F171" s="182"/>
      <c r="G171" s="182"/>
      <c r="H171" s="473"/>
      <c r="I171" s="182"/>
      <c r="J171" s="182"/>
      <c r="K171" s="182"/>
      <c r="L171" s="460"/>
      <c r="M171" s="166" t="e">
        <f>RANK(K171, K$147:$K$176)</f>
        <v>#DIV/0!</v>
      </c>
      <c r="N171" s="462"/>
      <c r="O171" s="462"/>
      <c r="P171" s="182"/>
      <c r="Q171" s="182"/>
      <c r="R171" s="182"/>
      <c r="S171" s="182" t="e">
        <f t="shared" si="91"/>
        <v>#N/A</v>
      </c>
      <c r="T171" s="473"/>
      <c r="U171" s="182"/>
      <c r="V171" s="182"/>
      <c r="W171" s="182"/>
      <c r="X171" s="182" t="e">
        <f t="shared" si="92"/>
        <v>#N/A</v>
      </c>
      <c r="Y171" s="473"/>
      <c r="Z171" s="182"/>
      <c r="AA171" s="182"/>
      <c r="AB171" s="182"/>
      <c r="AC171" s="182" t="e">
        <f t="shared" si="93"/>
        <v>#N/A</v>
      </c>
      <c r="AD171" s="473"/>
      <c r="AE171" s="182"/>
      <c r="AF171" s="182"/>
      <c r="AG171" s="182"/>
      <c r="AH171" s="182" t="e">
        <f t="shared" si="94"/>
        <v>#N/A</v>
      </c>
      <c r="AI171" s="473"/>
      <c r="AJ171" s="182"/>
      <c r="AK171" s="182"/>
      <c r="AL171" s="182"/>
      <c r="AM171" s="182" t="e">
        <f t="shared" si="95"/>
        <v>#N/A</v>
      </c>
      <c r="AN171" s="473"/>
      <c r="AO171" s="182"/>
      <c r="AP171" s="182"/>
      <c r="AQ171" s="182"/>
      <c r="AR171" s="182" t="e">
        <f t="shared" si="96"/>
        <v>#N/A</v>
      </c>
      <c r="AS171" s="473"/>
      <c r="AT171" s="182"/>
      <c r="AU171" s="182"/>
      <c r="AV171" s="182"/>
      <c r="AW171" s="182" t="e">
        <f t="shared" si="97"/>
        <v>#N/A</v>
      </c>
      <c r="AX171" s="473"/>
    </row>
    <row r="172" spans="2:50">
      <c r="B172" s="479"/>
      <c r="C172" s="182">
        <v>26</v>
      </c>
      <c r="D172" s="182"/>
      <c r="E172" s="182"/>
      <c r="F172" s="182"/>
      <c r="G172" s="182"/>
      <c r="H172" s="473"/>
      <c r="I172" s="182"/>
      <c r="J172" s="182"/>
      <c r="K172" s="182"/>
      <c r="L172" s="460"/>
      <c r="M172" s="166" t="e">
        <f>RANK(K172, K$147:$K$176)</f>
        <v>#DIV/0!</v>
      </c>
      <c r="N172" s="462"/>
      <c r="O172" s="462"/>
      <c r="P172" s="182"/>
      <c r="Q172" s="182"/>
      <c r="R172" s="182"/>
      <c r="S172" s="182" t="e">
        <f t="shared" si="91"/>
        <v>#N/A</v>
      </c>
      <c r="T172" s="473"/>
      <c r="U172" s="182"/>
      <c r="V172" s="182"/>
      <c r="W172" s="182"/>
      <c r="X172" s="182" t="e">
        <f t="shared" si="92"/>
        <v>#N/A</v>
      </c>
      <c r="Y172" s="473"/>
      <c r="Z172" s="182"/>
      <c r="AA172" s="182"/>
      <c r="AB172" s="182"/>
      <c r="AC172" s="182" t="e">
        <f t="shared" si="93"/>
        <v>#N/A</v>
      </c>
      <c r="AD172" s="473"/>
      <c r="AE172" s="182"/>
      <c r="AF172" s="182"/>
      <c r="AG172" s="182"/>
      <c r="AH172" s="182" t="e">
        <f t="shared" si="94"/>
        <v>#N/A</v>
      </c>
      <c r="AI172" s="473"/>
      <c r="AJ172" s="182"/>
      <c r="AK172" s="182"/>
      <c r="AL172" s="182"/>
      <c r="AM172" s="182" t="e">
        <f t="shared" si="95"/>
        <v>#N/A</v>
      </c>
      <c r="AN172" s="473"/>
      <c r="AO172" s="182"/>
      <c r="AP172" s="182"/>
      <c r="AQ172" s="182"/>
      <c r="AR172" s="182" t="e">
        <f t="shared" si="96"/>
        <v>#N/A</v>
      </c>
      <c r="AS172" s="473"/>
      <c r="AT172" s="182"/>
      <c r="AU172" s="182"/>
      <c r="AV172" s="182"/>
      <c r="AW172" s="182" t="e">
        <f t="shared" si="97"/>
        <v>#N/A</v>
      </c>
      <c r="AX172" s="473"/>
    </row>
    <row r="173" spans="2:50">
      <c r="B173" s="479"/>
      <c r="C173" s="182">
        <v>27</v>
      </c>
      <c r="D173" s="182"/>
      <c r="E173" s="182"/>
      <c r="F173" s="182"/>
      <c r="G173" s="182"/>
      <c r="H173" s="473"/>
      <c r="I173" s="182"/>
      <c r="J173" s="182"/>
      <c r="K173" s="182"/>
      <c r="L173" s="460"/>
      <c r="M173" s="166" t="e">
        <f>RANK(K173, K$147:$K$176)</f>
        <v>#DIV/0!</v>
      </c>
      <c r="N173" s="462"/>
      <c r="O173" s="462"/>
      <c r="P173" s="182"/>
      <c r="Q173" s="182"/>
      <c r="R173" s="182"/>
      <c r="S173" s="182" t="e">
        <f t="shared" si="91"/>
        <v>#N/A</v>
      </c>
      <c r="T173" s="473"/>
      <c r="U173" s="182"/>
      <c r="V173" s="182"/>
      <c r="W173" s="182"/>
      <c r="X173" s="182" t="e">
        <f t="shared" si="92"/>
        <v>#N/A</v>
      </c>
      <c r="Y173" s="473"/>
      <c r="Z173" s="182"/>
      <c r="AA173" s="182"/>
      <c r="AB173" s="182"/>
      <c r="AC173" s="182" t="e">
        <f t="shared" si="93"/>
        <v>#N/A</v>
      </c>
      <c r="AD173" s="473"/>
      <c r="AE173" s="182"/>
      <c r="AF173" s="182"/>
      <c r="AG173" s="182"/>
      <c r="AH173" s="182" t="e">
        <f t="shared" si="94"/>
        <v>#N/A</v>
      </c>
      <c r="AI173" s="473"/>
      <c r="AJ173" s="182"/>
      <c r="AK173" s="182"/>
      <c r="AL173" s="182"/>
      <c r="AM173" s="182" t="e">
        <f t="shared" si="95"/>
        <v>#N/A</v>
      </c>
      <c r="AN173" s="473"/>
      <c r="AO173" s="182"/>
      <c r="AP173" s="182"/>
      <c r="AQ173" s="182"/>
      <c r="AR173" s="182" t="e">
        <f t="shared" si="96"/>
        <v>#N/A</v>
      </c>
      <c r="AS173" s="473"/>
      <c r="AT173" s="182"/>
      <c r="AU173" s="182"/>
      <c r="AV173" s="182"/>
      <c r="AW173" s="182" t="e">
        <f t="shared" si="97"/>
        <v>#N/A</v>
      </c>
      <c r="AX173" s="473"/>
    </row>
    <row r="174" spans="2:50">
      <c r="B174" s="479"/>
      <c r="C174" s="182">
        <v>28</v>
      </c>
      <c r="D174" s="182"/>
      <c r="E174" s="182"/>
      <c r="F174" s="182"/>
      <c r="G174" s="182"/>
      <c r="H174" s="473"/>
      <c r="I174" s="182"/>
      <c r="J174" s="182"/>
      <c r="K174" s="182"/>
      <c r="L174" s="460"/>
      <c r="M174" s="166" t="e">
        <f>RANK(K174, K$147:$K$176)</f>
        <v>#DIV/0!</v>
      </c>
      <c r="N174" s="462"/>
      <c r="O174" s="462"/>
      <c r="P174" s="182"/>
      <c r="Q174" s="182"/>
      <c r="R174" s="182"/>
      <c r="S174" s="182" t="e">
        <f t="shared" si="91"/>
        <v>#N/A</v>
      </c>
      <c r="T174" s="473"/>
      <c r="U174" s="182"/>
      <c r="V174" s="182"/>
      <c r="W174" s="182"/>
      <c r="X174" s="182" t="e">
        <f t="shared" si="92"/>
        <v>#N/A</v>
      </c>
      <c r="Y174" s="473"/>
      <c r="Z174" s="182"/>
      <c r="AA174" s="182"/>
      <c r="AB174" s="182"/>
      <c r="AC174" s="182" t="e">
        <f t="shared" si="93"/>
        <v>#N/A</v>
      </c>
      <c r="AD174" s="473"/>
      <c r="AE174" s="182"/>
      <c r="AF174" s="182"/>
      <c r="AG174" s="182"/>
      <c r="AH174" s="182" t="e">
        <f t="shared" si="94"/>
        <v>#N/A</v>
      </c>
      <c r="AI174" s="473"/>
      <c r="AJ174" s="182"/>
      <c r="AK174" s="182"/>
      <c r="AL174" s="182"/>
      <c r="AM174" s="182" t="e">
        <f t="shared" si="95"/>
        <v>#N/A</v>
      </c>
      <c r="AN174" s="473"/>
      <c r="AO174" s="182"/>
      <c r="AP174" s="182"/>
      <c r="AQ174" s="182"/>
      <c r="AR174" s="182" t="e">
        <f t="shared" si="96"/>
        <v>#N/A</v>
      </c>
      <c r="AS174" s="473"/>
      <c r="AT174" s="182"/>
      <c r="AU174" s="182"/>
      <c r="AV174" s="182"/>
      <c r="AW174" s="182" t="e">
        <f t="shared" si="97"/>
        <v>#N/A</v>
      </c>
      <c r="AX174" s="473"/>
    </row>
    <row r="175" spans="2:50">
      <c r="B175" s="479"/>
      <c r="C175" s="182">
        <v>29</v>
      </c>
      <c r="D175" s="182"/>
      <c r="E175" s="182"/>
      <c r="F175" s="182"/>
      <c r="G175" s="182"/>
      <c r="H175" s="473"/>
      <c r="I175" s="182"/>
      <c r="J175" s="182"/>
      <c r="K175" s="182"/>
      <c r="L175" s="460"/>
      <c r="M175" s="166" t="e">
        <f>RANK(K175, K$147:$K$176)</f>
        <v>#DIV/0!</v>
      </c>
      <c r="N175" s="462"/>
      <c r="O175" s="462"/>
      <c r="P175" s="182"/>
      <c r="Q175" s="182"/>
      <c r="R175" s="182"/>
      <c r="S175" s="182" t="e">
        <f t="shared" si="91"/>
        <v>#N/A</v>
      </c>
      <c r="T175" s="473"/>
      <c r="U175" s="182"/>
      <c r="V175" s="182"/>
      <c r="W175" s="182"/>
      <c r="X175" s="182" t="e">
        <f t="shared" si="92"/>
        <v>#N/A</v>
      </c>
      <c r="Y175" s="473"/>
      <c r="Z175" s="182"/>
      <c r="AA175" s="182"/>
      <c r="AB175" s="182"/>
      <c r="AC175" s="182" t="e">
        <f t="shared" si="93"/>
        <v>#N/A</v>
      </c>
      <c r="AD175" s="473"/>
      <c r="AE175" s="182"/>
      <c r="AF175" s="182"/>
      <c r="AG175" s="182"/>
      <c r="AH175" s="182" t="e">
        <f t="shared" si="94"/>
        <v>#N/A</v>
      </c>
      <c r="AI175" s="473"/>
      <c r="AJ175" s="182"/>
      <c r="AK175" s="182"/>
      <c r="AL175" s="182"/>
      <c r="AM175" s="182" t="e">
        <f t="shared" si="95"/>
        <v>#N/A</v>
      </c>
      <c r="AN175" s="473"/>
      <c r="AO175" s="182"/>
      <c r="AP175" s="182"/>
      <c r="AQ175" s="182"/>
      <c r="AR175" s="182" t="e">
        <f t="shared" si="96"/>
        <v>#N/A</v>
      </c>
      <c r="AS175" s="473"/>
      <c r="AT175" s="182"/>
      <c r="AU175" s="182"/>
      <c r="AV175" s="182"/>
      <c r="AW175" s="182" t="e">
        <f t="shared" si="97"/>
        <v>#N/A</v>
      </c>
      <c r="AX175" s="473"/>
    </row>
    <row r="176" spans="2:50">
      <c r="B176" s="479"/>
      <c r="C176" s="182">
        <v>30</v>
      </c>
      <c r="D176" s="182"/>
      <c r="E176" s="182"/>
      <c r="F176" s="182"/>
      <c r="G176" s="182"/>
      <c r="H176" s="474"/>
      <c r="I176" s="182"/>
      <c r="J176" s="182"/>
      <c r="K176" s="182"/>
      <c r="L176" s="461"/>
      <c r="M176" s="166" t="e">
        <f>RANK(K176, K$147:$K$176)</f>
        <v>#DIV/0!</v>
      </c>
      <c r="N176" s="462"/>
      <c r="O176" s="462"/>
      <c r="P176" s="182"/>
      <c r="Q176" s="182"/>
      <c r="R176" s="182"/>
      <c r="S176" s="182" t="e">
        <f t="shared" si="87"/>
        <v>#N/A</v>
      </c>
      <c r="T176" s="474"/>
      <c r="U176" s="182"/>
      <c r="V176" s="182"/>
      <c r="W176" s="182"/>
      <c r="X176" s="182" t="e">
        <f t="shared" si="92"/>
        <v>#N/A</v>
      </c>
      <c r="Y176" s="474"/>
      <c r="Z176" s="182"/>
      <c r="AA176" s="182"/>
      <c r="AB176" s="182"/>
      <c r="AC176" s="182" t="e">
        <f t="shared" si="93"/>
        <v>#N/A</v>
      </c>
      <c r="AD176" s="474"/>
      <c r="AE176" s="182"/>
      <c r="AF176" s="182"/>
      <c r="AG176" s="182"/>
      <c r="AH176" s="182" t="e">
        <f t="shared" si="94"/>
        <v>#N/A</v>
      </c>
      <c r="AI176" s="474"/>
      <c r="AJ176" s="182"/>
      <c r="AK176" s="182"/>
      <c r="AL176" s="182"/>
      <c r="AM176" s="182" t="e">
        <f t="shared" si="95"/>
        <v>#N/A</v>
      </c>
      <c r="AN176" s="474"/>
      <c r="AO176" s="182"/>
      <c r="AP176" s="182"/>
      <c r="AQ176" s="182"/>
      <c r="AR176" s="182" t="e">
        <f t="shared" si="96"/>
        <v>#N/A</v>
      </c>
      <c r="AS176" s="474"/>
      <c r="AT176" s="182"/>
      <c r="AU176" s="182"/>
      <c r="AV176" s="182"/>
      <c r="AW176" s="182" t="e">
        <f t="shared" si="97"/>
        <v>#N/A</v>
      </c>
      <c r="AX176" s="474"/>
    </row>
    <row r="177" spans="2:50" ht="15.75">
      <c r="B177" s="480" t="s">
        <v>201</v>
      </c>
      <c r="C177" s="481"/>
      <c r="D177" s="481"/>
      <c r="E177" s="481"/>
      <c r="F177" s="481"/>
      <c r="G177" s="481"/>
      <c r="H177" s="481"/>
      <c r="I177" s="186"/>
      <c r="J177" s="186"/>
      <c r="K177" s="186"/>
      <c r="L177" s="186"/>
      <c r="M177" s="185"/>
      <c r="N177" s="469" t="s">
        <v>202</v>
      </c>
      <c r="O177" s="469" t="s">
        <v>150</v>
      </c>
      <c r="P177" s="478">
        <f>P142+7</f>
        <v>46421</v>
      </c>
      <c r="Q177" s="479"/>
      <c r="R177" s="479"/>
      <c r="S177" s="479"/>
      <c r="T177" s="479"/>
      <c r="U177" s="475">
        <f>P177+1</f>
        <v>46422</v>
      </c>
      <c r="V177" s="476"/>
      <c r="W177" s="476"/>
      <c r="X177" s="476"/>
      <c r="Y177" s="477"/>
      <c r="Z177" s="475">
        <f>U177+1</f>
        <v>46423</v>
      </c>
      <c r="AA177" s="476"/>
      <c r="AB177" s="476"/>
      <c r="AC177" s="476"/>
      <c r="AD177" s="477"/>
      <c r="AE177" s="475">
        <f>Z177+1</f>
        <v>46424</v>
      </c>
      <c r="AF177" s="476"/>
      <c r="AG177" s="476"/>
      <c r="AH177" s="476"/>
      <c r="AI177" s="477"/>
      <c r="AJ177" s="475">
        <f>AE177+1</f>
        <v>46425</v>
      </c>
      <c r="AK177" s="476"/>
      <c r="AL177" s="476"/>
      <c r="AM177" s="476"/>
      <c r="AN177" s="477"/>
      <c r="AO177" s="475">
        <f>AJ177+1</f>
        <v>46426</v>
      </c>
      <c r="AP177" s="476"/>
      <c r="AQ177" s="476"/>
      <c r="AR177" s="476"/>
      <c r="AS177" s="477"/>
      <c r="AT177" s="475">
        <f>AO177+1</f>
        <v>46427</v>
      </c>
      <c r="AU177" s="476"/>
      <c r="AV177" s="476"/>
      <c r="AW177" s="476"/>
      <c r="AX177" s="477"/>
    </row>
    <row r="178" spans="2:50" ht="15.75">
      <c r="B178" s="482"/>
      <c r="C178" s="482"/>
      <c r="D178" s="482"/>
      <c r="E178" s="482"/>
      <c r="F178" s="482"/>
      <c r="G178" s="482"/>
      <c r="H178" s="482"/>
      <c r="I178" s="184"/>
      <c r="J178" s="184"/>
      <c r="K178" s="184"/>
      <c r="L178" s="184"/>
      <c r="M178" s="179"/>
      <c r="N178" s="471"/>
      <c r="O178" s="471"/>
      <c r="P178" s="478" t="s">
        <v>203</v>
      </c>
      <c r="Q178" s="479"/>
      <c r="R178" s="479"/>
      <c r="S178" s="479"/>
      <c r="T178" s="479"/>
      <c r="U178" s="478" t="s">
        <v>204</v>
      </c>
      <c r="V178" s="479"/>
      <c r="W178" s="479"/>
      <c r="X178" s="479"/>
      <c r="Y178" s="479"/>
      <c r="Z178" s="478" t="s">
        <v>205</v>
      </c>
      <c r="AA178" s="479"/>
      <c r="AB178" s="479"/>
      <c r="AC178" s="479"/>
      <c r="AD178" s="479"/>
      <c r="AE178" s="478" t="s">
        <v>206</v>
      </c>
      <c r="AF178" s="479"/>
      <c r="AG178" s="479"/>
      <c r="AH178" s="479"/>
      <c r="AI178" s="479"/>
      <c r="AJ178" s="478" t="s">
        <v>207</v>
      </c>
      <c r="AK178" s="479"/>
      <c r="AL178" s="479"/>
      <c r="AM178" s="479"/>
      <c r="AN178" s="479"/>
      <c r="AO178" s="478" t="s">
        <v>157</v>
      </c>
      <c r="AP178" s="479"/>
      <c r="AQ178" s="479"/>
      <c r="AR178" s="479"/>
      <c r="AS178" s="479"/>
      <c r="AT178" s="478" t="s">
        <v>208</v>
      </c>
      <c r="AU178" s="479"/>
      <c r="AV178" s="479"/>
      <c r="AW178" s="479"/>
      <c r="AX178" s="479"/>
    </row>
    <row r="179" spans="2:50">
      <c r="B179" s="462" t="s">
        <v>209</v>
      </c>
      <c r="C179" s="462" t="s">
        <v>210</v>
      </c>
      <c r="D179" s="462"/>
      <c r="E179" s="462" t="s">
        <v>211</v>
      </c>
      <c r="F179" s="462"/>
      <c r="G179" s="462"/>
      <c r="H179" s="463" t="s">
        <v>212</v>
      </c>
      <c r="I179" s="462" t="s">
        <v>213</v>
      </c>
      <c r="J179" s="462"/>
      <c r="K179" s="462"/>
      <c r="L179" s="463" t="s">
        <v>212</v>
      </c>
      <c r="M179" s="469" t="s">
        <v>214</v>
      </c>
      <c r="N179" s="462"/>
      <c r="O179" s="462" t="s">
        <v>215</v>
      </c>
      <c r="P179" s="466" t="s">
        <v>216</v>
      </c>
      <c r="Q179" s="467"/>
      <c r="R179" s="467"/>
      <c r="S179" s="468"/>
      <c r="T179" s="462" t="s">
        <v>212</v>
      </c>
      <c r="U179" s="466" t="s">
        <v>216</v>
      </c>
      <c r="V179" s="467"/>
      <c r="W179" s="467"/>
      <c r="X179" s="468"/>
      <c r="Y179" s="462" t="s">
        <v>212</v>
      </c>
      <c r="Z179" s="466" t="s">
        <v>216</v>
      </c>
      <c r="AA179" s="467"/>
      <c r="AB179" s="467"/>
      <c r="AC179" s="468"/>
      <c r="AD179" s="462" t="s">
        <v>212</v>
      </c>
      <c r="AE179" s="466" t="s">
        <v>216</v>
      </c>
      <c r="AF179" s="467"/>
      <c r="AG179" s="467"/>
      <c r="AH179" s="468"/>
      <c r="AI179" s="462" t="s">
        <v>212</v>
      </c>
      <c r="AJ179" s="466" t="s">
        <v>216</v>
      </c>
      <c r="AK179" s="467"/>
      <c r="AL179" s="467"/>
      <c r="AM179" s="468"/>
      <c r="AN179" s="462" t="s">
        <v>212</v>
      </c>
      <c r="AO179" s="466" t="s">
        <v>216</v>
      </c>
      <c r="AP179" s="467"/>
      <c r="AQ179" s="467"/>
      <c r="AR179" s="468"/>
      <c r="AS179" s="462" t="s">
        <v>212</v>
      </c>
      <c r="AT179" s="488" t="s">
        <v>216</v>
      </c>
      <c r="AU179" s="489"/>
      <c r="AV179" s="489"/>
      <c r="AW179" s="490"/>
      <c r="AX179" s="486" t="s">
        <v>212</v>
      </c>
    </row>
    <row r="180" spans="2:50">
      <c r="B180" s="462"/>
      <c r="C180" s="462"/>
      <c r="D180" s="462"/>
      <c r="E180" s="462" t="s">
        <v>217</v>
      </c>
      <c r="F180" s="462"/>
      <c r="G180" s="462"/>
      <c r="H180" s="464"/>
      <c r="I180" s="462" t="s">
        <v>217</v>
      </c>
      <c r="J180" s="462"/>
      <c r="K180" s="462"/>
      <c r="L180" s="464"/>
      <c r="M180" s="470"/>
      <c r="N180" s="462"/>
      <c r="O180" s="462"/>
      <c r="P180" s="466" t="s">
        <v>218</v>
      </c>
      <c r="Q180" s="467"/>
      <c r="R180" s="467"/>
      <c r="S180" s="468"/>
      <c r="T180" s="462"/>
      <c r="U180" s="466" t="s">
        <v>218</v>
      </c>
      <c r="V180" s="467"/>
      <c r="W180" s="467"/>
      <c r="X180" s="468"/>
      <c r="Y180" s="462"/>
      <c r="Z180" s="466" t="s">
        <v>218</v>
      </c>
      <c r="AA180" s="467"/>
      <c r="AB180" s="467"/>
      <c r="AC180" s="468"/>
      <c r="AD180" s="462"/>
      <c r="AE180" s="466" t="s">
        <v>218</v>
      </c>
      <c r="AF180" s="467"/>
      <c r="AG180" s="467"/>
      <c r="AH180" s="468"/>
      <c r="AI180" s="462"/>
      <c r="AJ180" s="466" t="s">
        <v>218</v>
      </c>
      <c r="AK180" s="467"/>
      <c r="AL180" s="467"/>
      <c r="AM180" s="468"/>
      <c r="AN180" s="462"/>
      <c r="AO180" s="466" t="s">
        <v>218</v>
      </c>
      <c r="AP180" s="467"/>
      <c r="AQ180" s="467"/>
      <c r="AR180" s="468"/>
      <c r="AS180" s="462"/>
      <c r="AT180" s="488" t="s">
        <v>218</v>
      </c>
      <c r="AU180" s="489"/>
      <c r="AV180" s="489"/>
      <c r="AW180" s="490"/>
      <c r="AX180" s="486"/>
    </row>
    <row r="181" spans="2:50">
      <c r="B181" s="462"/>
      <c r="C181" s="462"/>
      <c r="D181" s="462"/>
      <c r="E181" s="271" t="s">
        <v>219</v>
      </c>
      <c r="F181" s="271" t="s">
        <v>220</v>
      </c>
      <c r="G181" s="271" t="s">
        <v>221</v>
      </c>
      <c r="H181" s="465"/>
      <c r="I181" s="271" t="s">
        <v>219</v>
      </c>
      <c r="J181" s="271" t="s">
        <v>220</v>
      </c>
      <c r="K181" s="271" t="s">
        <v>221</v>
      </c>
      <c r="L181" s="465"/>
      <c r="M181" s="471"/>
      <c r="N181" s="462"/>
      <c r="O181" s="462"/>
      <c r="P181" s="271" t="s">
        <v>219</v>
      </c>
      <c r="Q181" s="271" t="s">
        <v>220</v>
      </c>
      <c r="R181" s="271" t="s">
        <v>221</v>
      </c>
      <c r="S181" s="271" t="s">
        <v>214</v>
      </c>
      <c r="T181" s="462"/>
      <c r="U181" s="271" t="s">
        <v>219</v>
      </c>
      <c r="V181" s="271" t="s">
        <v>220</v>
      </c>
      <c r="W181" s="271" t="s">
        <v>221</v>
      </c>
      <c r="X181" s="271" t="s">
        <v>214</v>
      </c>
      <c r="Y181" s="462"/>
      <c r="Z181" s="271" t="s">
        <v>219</v>
      </c>
      <c r="AA181" s="271" t="s">
        <v>220</v>
      </c>
      <c r="AB181" s="271" t="s">
        <v>221</v>
      </c>
      <c r="AC181" s="271" t="s">
        <v>214</v>
      </c>
      <c r="AD181" s="462"/>
      <c r="AE181" s="271" t="s">
        <v>219</v>
      </c>
      <c r="AF181" s="271" t="s">
        <v>220</v>
      </c>
      <c r="AG181" s="271" t="s">
        <v>221</v>
      </c>
      <c r="AH181" s="271" t="s">
        <v>214</v>
      </c>
      <c r="AI181" s="462"/>
      <c r="AJ181" s="271" t="s">
        <v>219</v>
      </c>
      <c r="AK181" s="271" t="s">
        <v>220</v>
      </c>
      <c r="AL181" s="271" t="s">
        <v>221</v>
      </c>
      <c r="AM181" s="271" t="s">
        <v>214</v>
      </c>
      <c r="AN181" s="462"/>
      <c r="AO181" s="271" t="s">
        <v>219</v>
      </c>
      <c r="AP181" s="271" t="s">
        <v>220</v>
      </c>
      <c r="AQ181" s="271" t="s">
        <v>221</v>
      </c>
      <c r="AR181" s="271" t="s">
        <v>214</v>
      </c>
      <c r="AS181" s="462"/>
      <c r="AT181" s="390" t="s">
        <v>219</v>
      </c>
      <c r="AU181" s="390" t="s">
        <v>220</v>
      </c>
      <c r="AV181" s="390" t="s">
        <v>221</v>
      </c>
      <c r="AW181" s="390" t="s">
        <v>214</v>
      </c>
      <c r="AX181" s="486"/>
    </row>
    <row r="182" spans="2:50">
      <c r="B182" s="501" t="s">
        <v>222</v>
      </c>
      <c r="C182" s="182">
        <v>1</v>
      </c>
      <c r="D182" s="182"/>
      <c r="E182" s="166"/>
      <c r="F182" s="166"/>
      <c r="G182" s="166"/>
      <c r="H182" s="459" t="e">
        <f>AVERAGE(G182:G211)</f>
        <v>#DIV/0!</v>
      </c>
      <c r="I182" s="166" t="e">
        <f>AVERAGE(P182,U182,Z182,AE182,AJ182,AO182,AT182)</f>
        <v>#DIV/0!</v>
      </c>
      <c r="J182" s="166" t="e">
        <f>AVERAGE(Q182,V182,AA182,AF182,AK182,AP182,AU182)</f>
        <v>#DIV/0!</v>
      </c>
      <c r="K182" s="180" t="e">
        <f>AVERAGE(R182,W182,AB182,AG182,AL182,AQ182,AV182)</f>
        <v>#DIV/0!</v>
      </c>
      <c r="L182" s="459" t="str">
        <f>IFERROR(AVERAGE(K182:K211),"-")</f>
        <v>-</v>
      </c>
      <c r="M182" s="166" t="e">
        <f>RANK(K182, K$182:$K$211)</f>
        <v>#DIV/0!</v>
      </c>
      <c r="N182" s="462"/>
      <c r="O182" s="462"/>
      <c r="P182" s="166"/>
      <c r="Q182" s="166"/>
      <c r="R182" s="166"/>
      <c r="S182" s="182" t="e">
        <f>RANK(R182, R$112:R$141)</f>
        <v>#N/A</v>
      </c>
      <c r="T182" s="491" t="e">
        <f>AVERAGE(R182:R211)</f>
        <v>#DIV/0!</v>
      </c>
      <c r="U182" s="166"/>
      <c r="V182" s="166"/>
      <c r="W182" s="166"/>
      <c r="X182" s="182" t="e">
        <f>RANK(W182, W$112:W$141)</f>
        <v>#N/A</v>
      </c>
      <c r="Y182" s="491" t="e">
        <f>AVERAGE(W182:W211)</f>
        <v>#DIV/0!</v>
      </c>
      <c r="Z182" s="166"/>
      <c r="AA182" s="166"/>
      <c r="AB182" s="166"/>
      <c r="AC182" s="182" t="e">
        <f>RANK(AB182, AB$112:AB$141)</f>
        <v>#N/A</v>
      </c>
      <c r="AD182" s="491" t="e">
        <f>AVERAGE(AB182:AB211)</f>
        <v>#DIV/0!</v>
      </c>
      <c r="AE182" s="166"/>
      <c r="AF182" s="166"/>
      <c r="AG182" s="166"/>
      <c r="AH182" s="182" t="e">
        <f>RANK(AG182, AG$112:AG$141)</f>
        <v>#N/A</v>
      </c>
      <c r="AI182" s="491" t="e">
        <f>AVERAGE(AG182:AG211)</f>
        <v>#DIV/0!</v>
      </c>
      <c r="AJ182" s="166"/>
      <c r="AK182" s="166"/>
      <c r="AL182" s="166"/>
      <c r="AM182" s="182" t="e">
        <f>RANK(AL182, AL$112:AL$141)</f>
        <v>#N/A</v>
      </c>
      <c r="AN182" s="491" t="e">
        <f>AVERAGE(AL182:AL211)</f>
        <v>#DIV/0!</v>
      </c>
      <c r="AO182" s="166"/>
      <c r="AP182" s="166"/>
      <c r="AQ182" s="166"/>
      <c r="AR182" s="182" t="e">
        <f>RANK(AQ182, AQ$112:AQ$141)</f>
        <v>#N/A</v>
      </c>
      <c r="AS182" s="491" t="e">
        <f>AVERAGE(AQ182:AQ211)</f>
        <v>#DIV/0!</v>
      </c>
      <c r="AT182" s="166"/>
      <c r="AU182" s="166"/>
      <c r="AV182" s="166"/>
      <c r="AW182" s="391" t="e">
        <f>RANK(AV182, AV$112:AV$141)</f>
        <v>#N/A</v>
      </c>
      <c r="AX182" s="487" t="e">
        <f>AVERAGE(AV182:AV211)</f>
        <v>#DIV/0!</v>
      </c>
    </row>
    <row r="183" spans="2:50">
      <c r="B183" s="479"/>
      <c r="C183" s="182">
        <v>2</v>
      </c>
      <c r="D183" s="182"/>
      <c r="E183" s="166"/>
      <c r="F183" s="166"/>
      <c r="G183" s="166"/>
      <c r="H183" s="460"/>
      <c r="I183" s="166" t="e">
        <f t="shared" ref="I183:K198" si="98">AVERAGE(P183,U183,Z183,AE183,AJ183,AO183,AT183)</f>
        <v>#DIV/0!</v>
      </c>
      <c r="J183" s="166" t="e">
        <f t="shared" si="98"/>
        <v>#DIV/0!</v>
      </c>
      <c r="K183" s="180" t="e">
        <f t="shared" si="98"/>
        <v>#DIV/0!</v>
      </c>
      <c r="L183" s="460"/>
      <c r="M183" s="166" t="e">
        <f>RANK(K183, K$182:$K$211)</f>
        <v>#DIV/0!</v>
      </c>
      <c r="N183" s="462"/>
      <c r="O183" s="462"/>
      <c r="P183" s="166"/>
      <c r="Q183" s="166"/>
      <c r="R183" s="166"/>
      <c r="S183" s="182" t="e">
        <f t="shared" ref="S183:S211" si="99">RANK(R183, R$112:R$141)</f>
        <v>#N/A</v>
      </c>
      <c r="T183" s="491"/>
      <c r="U183" s="166"/>
      <c r="V183" s="166"/>
      <c r="W183" s="166"/>
      <c r="X183" s="182" t="e">
        <f t="shared" ref="X183:X211" si="100">RANK(W183, W$112:W$141)</f>
        <v>#N/A</v>
      </c>
      <c r="Y183" s="491"/>
      <c r="Z183" s="166"/>
      <c r="AA183" s="166"/>
      <c r="AB183" s="166"/>
      <c r="AC183" s="182" t="e">
        <f t="shared" ref="AC183:AC211" si="101">RANK(AB183, AB$112:AB$141)</f>
        <v>#N/A</v>
      </c>
      <c r="AD183" s="491"/>
      <c r="AE183" s="166"/>
      <c r="AF183" s="166"/>
      <c r="AG183" s="166"/>
      <c r="AH183" s="182" t="e">
        <f t="shared" ref="AH183:AH211" si="102">RANK(AG183, AG$112:AG$141)</f>
        <v>#N/A</v>
      </c>
      <c r="AI183" s="491"/>
      <c r="AJ183" s="166"/>
      <c r="AK183" s="166"/>
      <c r="AL183" s="166"/>
      <c r="AM183" s="182" t="e">
        <f t="shared" ref="AM183:AM211" si="103">RANK(AL183, AL$112:AL$141)</f>
        <v>#N/A</v>
      </c>
      <c r="AN183" s="491"/>
      <c r="AO183" s="166"/>
      <c r="AP183" s="166"/>
      <c r="AQ183" s="166"/>
      <c r="AR183" s="182" t="e">
        <f t="shared" ref="AR183:AR211" si="104">RANK(AQ183, AQ$112:AQ$141)</f>
        <v>#N/A</v>
      </c>
      <c r="AS183" s="491"/>
      <c r="AT183" s="166"/>
      <c r="AU183" s="166"/>
      <c r="AV183" s="166"/>
      <c r="AW183" s="391" t="e">
        <f t="shared" ref="AW183:AW211" si="105">RANK(AV183, AV$112:AV$141)</f>
        <v>#N/A</v>
      </c>
      <c r="AX183" s="487"/>
    </row>
    <row r="184" spans="2:50">
      <c r="B184" s="479"/>
      <c r="C184" s="182">
        <v>3</v>
      </c>
      <c r="D184" s="182"/>
      <c r="E184" s="166"/>
      <c r="F184" s="166"/>
      <c r="G184" s="166"/>
      <c r="H184" s="460"/>
      <c r="I184" s="166" t="e">
        <f t="shared" si="98"/>
        <v>#DIV/0!</v>
      </c>
      <c r="J184" s="166" t="e">
        <f t="shared" si="98"/>
        <v>#DIV/0!</v>
      </c>
      <c r="K184" s="180" t="e">
        <f t="shared" si="98"/>
        <v>#DIV/0!</v>
      </c>
      <c r="L184" s="460"/>
      <c r="M184" s="166" t="e">
        <f>RANK(K184, K$182:$K$211)</f>
        <v>#DIV/0!</v>
      </c>
      <c r="N184" s="462"/>
      <c r="O184" s="462"/>
      <c r="P184" s="166"/>
      <c r="Q184" s="166"/>
      <c r="R184" s="166"/>
      <c r="S184" s="182" t="e">
        <f t="shared" si="99"/>
        <v>#N/A</v>
      </c>
      <c r="T184" s="491"/>
      <c r="U184" s="166"/>
      <c r="V184" s="166"/>
      <c r="W184" s="166"/>
      <c r="X184" s="182" t="e">
        <f t="shared" si="100"/>
        <v>#N/A</v>
      </c>
      <c r="Y184" s="491"/>
      <c r="Z184" s="166"/>
      <c r="AA184" s="166"/>
      <c r="AB184" s="166"/>
      <c r="AC184" s="182" t="e">
        <f t="shared" si="101"/>
        <v>#N/A</v>
      </c>
      <c r="AD184" s="491"/>
      <c r="AE184" s="166"/>
      <c r="AF184" s="166"/>
      <c r="AG184" s="166"/>
      <c r="AH184" s="182" t="e">
        <f t="shared" si="102"/>
        <v>#N/A</v>
      </c>
      <c r="AI184" s="491"/>
      <c r="AJ184" s="166"/>
      <c r="AK184" s="166"/>
      <c r="AL184" s="166"/>
      <c r="AM184" s="182" t="e">
        <f t="shared" si="103"/>
        <v>#N/A</v>
      </c>
      <c r="AN184" s="491"/>
      <c r="AO184" s="166"/>
      <c r="AP184" s="166"/>
      <c r="AQ184" s="166"/>
      <c r="AR184" s="182" t="e">
        <f t="shared" si="104"/>
        <v>#N/A</v>
      </c>
      <c r="AS184" s="491"/>
      <c r="AT184" s="166"/>
      <c r="AU184" s="166"/>
      <c r="AV184" s="166"/>
      <c r="AW184" s="391" t="e">
        <f t="shared" si="105"/>
        <v>#N/A</v>
      </c>
      <c r="AX184" s="487"/>
    </row>
    <row r="185" spans="2:50">
      <c r="B185" s="479"/>
      <c r="C185" s="182">
        <v>4</v>
      </c>
      <c r="D185" s="182"/>
      <c r="E185" s="166"/>
      <c r="F185" s="166"/>
      <c r="G185" s="166"/>
      <c r="H185" s="460"/>
      <c r="I185" s="166" t="e">
        <f t="shared" si="98"/>
        <v>#DIV/0!</v>
      </c>
      <c r="J185" s="166" t="e">
        <f t="shared" si="98"/>
        <v>#DIV/0!</v>
      </c>
      <c r="K185" s="180" t="e">
        <f t="shared" si="98"/>
        <v>#DIV/0!</v>
      </c>
      <c r="L185" s="460"/>
      <c r="M185" s="166" t="e">
        <f>RANK(K185, K$182:$K$211)</f>
        <v>#DIV/0!</v>
      </c>
      <c r="N185" s="462"/>
      <c r="O185" s="462"/>
      <c r="P185" s="166"/>
      <c r="Q185" s="166"/>
      <c r="R185" s="166"/>
      <c r="S185" s="182" t="e">
        <f t="shared" si="99"/>
        <v>#N/A</v>
      </c>
      <c r="T185" s="491"/>
      <c r="U185" s="166"/>
      <c r="V185" s="166"/>
      <c r="W185" s="166"/>
      <c r="X185" s="182" t="e">
        <f t="shared" si="100"/>
        <v>#N/A</v>
      </c>
      <c r="Y185" s="491"/>
      <c r="Z185" s="166"/>
      <c r="AA185" s="166"/>
      <c r="AB185" s="166"/>
      <c r="AC185" s="182" t="e">
        <f t="shared" si="101"/>
        <v>#N/A</v>
      </c>
      <c r="AD185" s="491"/>
      <c r="AE185" s="166"/>
      <c r="AF185" s="166"/>
      <c r="AG185" s="166"/>
      <c r="AH185" s="182" t="e">
        <f t="shared" si="102"/>
        <v>#N/A</v>
      </c>
      <c r="AI185" s="491"/>
      <c r="AJ185" s="166"/>
      <c r="AK185" s="166"/>
      <c r="AL185" s="166"/>
      <c r="AM185" s="182" t="e">
        <f t="shared" si="103"/>
        <v>#N/A</v>
      </c>
      <c r="AN185" s="491"/>
      <c r="AO185" s="166"/>
      <c r="AP185" s="166"/>
      <c r="AQ185" s="166"/>
      <c r="AR185" s="182" t="e">
        <f t="shared" si="104"/>
        <v>#N/A</v>
      </c>
      <c r="AS185" s="491"/>
      <c r="AT185" s="166"/>
      <c r="AU185" s="166"/>
      <c r="AV185" s="166"/>
      <c r="AW185" s="391" t="e">
        <f t="shared" si="105"/>
        <v>#N/A</v>
      </c>
      <c r="AX185" s="487"/>
    </row>
    <row r="186" spans="2:50">
      <c r="B186" s="479"/>
      <c r="C186" s="182">
        <v>5</v>
      </c>
      <c r="D186" s="182"/>
      <c r="E186" s="166"/>
      <c r="F186" s="166"/>
      <c r="G186" s="166"/>
      <c r="H186" s="460"/>
      <c r="I186" s="166" t="e">
        <f t="shared" si="98"/>
        <v>#DIV/0!</v>
      </c>
      <c r="J186" s="166" t="e">
        <f t="shared" si="98"/>
        <v>#DIV/0!</v>
      </c>
      <c r="K186" s="180" t="e">
        <f t="shared" si="98"/>
        <v>#DIV/0!</v>
      </c>
      <c r="L186" s="460"/>
      <c r="M186" s="166" t="e">
        <f>RANK(K186, K$182:$K$211)</f>
        <v>#DIV/0!</v>
      </c>
      <c r="N186" s="462"/>
      <c r="O186" s="462"/>
      <c r="P186" s="166"/>
      <c r="Q186" s="166"/>
      <c r="R186" s="166"/>
      <c r="S186" s="182" t="e">
        <f t="shared" si="99"/>
        <v>#N/A</v>
      </c>
      <c r="T186" s="491"/>
      <c r="U186" s="166"/>
      <c r="V186" s="166"/>
      <c r="W186" s="166"/>
      <c r="X186" s="182" t="e">
        <f t="shared" si="100"/>
        <v>#N/A</v>
      </c>
      <c r="Y186" s="491"/>
      <c r="Z186" s="166"/>
      <c r="AA186" s="166"/>
      <c r="AB186" s="166"/>
      <c r="AC186" s="182" t="e">
        <f t="shared" si="101"/>
        <v>#N/A</v>
      </c>
      <c r="AD186" s="491"/>
      <c r="AE186" s="166"/>
      <c r="AF186" s="166"/>
      <c r="AG186" s="166"/>
      <c r="AH186" s="182" t="e">
        <f t="shared" si="102"/>
        <v>#N/A</v>
      </c>
      <c r="AI186" s="491"/>
      <c r="AJ186" s="166"/>
      <c r="AK186" s="166"/>
      <c r="AL186" s="166"/>
      <c r="AM186" s="182" t="e">
        <f t="shared" si="103"/>
        <v>#N/A</v>
      </c>
      <c r="AN186" s="491"/>
      <c r="AO186" s="166"/>
      <c r="AP186" s="166"/>
      <c r="AQ186" s="166"/>
      <c r="AR186" s="182" t="e">
        <f t="shared" si="104"/>
        <v>#N/A</v>
      </c>
      <c r="AS186" s="491"/>
      <c r="AT186" s="166"/>
      <c r="AU186" s="166"/>
      <c r="AV186" s="166"/>
      <c r="AW186" s="391" t="e">
        <f t="shared" si="105"/>
        <v>#N/A</v>
      </c>
      <c r="AX186" s="487"/>
    </row>
    <row r="187" spans="2:50">
      <c r="B187" s="479"/>
      <c r="C187" s="182">
        <v>6</v>
      </c>
      <c r="D187" s="182"/>
      <c r="E187" s="166"/>
      <c r="F187" s="166"/>
      <c r="G187" s="166"/>
      <c r="H187" s="460"/>
      <c r="I187" s="166" t="e">
        <f t="shared" si="98"/>
        <v>#DIV/0!</v>
      </c>
      <c r="J187" s="166" t="e">
        <f t="shared" si="98"/>
        <v>#DIV/0!</v>
      </c>
      <c r="K187" s="180" t="e">
        <f t="shared" si="98"/>
        <v>#DIV/0!</v>
      </c>
      <c r="L187" s="460"/>
      <c r="M187" s="166" t="e">
        <f>RANK(K187, K$182:$K$211)</f>
        <v>#DIV/0!</v>
      </c>
      <c r="N187" s="462"/>
      <c r="O187" s="462"/>
      <c r="P187" s="166"/>
      <c r="Q187" s="166"/>
      <c r="R187" s="166"/>
      <c r="S187" s="182" t="e">
        <f t="shared" si="99"/>
        <v>#N/A</v>
      </c>
      <c r="T187" s="491"/>
      <c r="U187" s="166"/>
      <c r="V187" s="166"/>
      <c r="W187" s="166"/>
      <c r="X187" s="182" t="e">
        <f t="shared" si="100"/>
        <v>#N/A</v>
      </c>
      <c r="Y187" s="491"/>
      <c r="Z187" s="166"/>
      <c r="AA187" s="166"/>
      <c r="AB187" s="166"/>
      <c r="AC187" s="182" t="e">
        <f t="shared" si="101"/>
        <v>#N/A</v>
      </c>
      <c r="AD187" s="491"/>
      <c r="AE187" s="166"/>
      <c r="AF187" s="166"/>
      <c r="AG187" s="166"/>
      <c r="AH187" s="182" t="e">
        <f t="shared" si="102"/>
        <v>#N/A</v>
      </c>
      <c r="AI187" s="491"/>
      <c r="AJ187" s="166"/>
      <c r="AK187" s="166"/>
      <c r="AL187" s="166"/>
      <c r="AM187" s="182" t="e">
        <f t="shared" si="103"/>
        <v>#N/A</v>
      </c>
      <c r="AN187" s="491"/>
      <c r="AO187" s="166"/>
      <c r="AP187" s="166"/>
      <c r="AQ187" s="166"/>
      <c r="AR187" s="182" t="e">
        <f t="shared" si="104"/>
        <v>#N/A</v>
      </c>
      <c r="AS187" s="491"/>
      <c r="AT187" s="166"/>
      <c r="AU187" s="166"/>
      <c r="AV187" s="166"/>
      <c r="AW187" s="391" t="e">
        <f t="shared" si="105"/>
        <v>#N/A</v>
      </c>
      <c r="AX187" s="487"/>
    </row>
    <row r="188" spans="2:50">
      <c r="B188" s="479"/>
      <c r="C188" s="182">
        <v>7</v>
      </c>
      <c r="D188" s="182"/>
      <c r="E188" s="166"/>
      <c r="F188" s="166"/>
      <c r="G188" s="166"/>
      <c r="H188" s="460"/>
      <c r="I188" s="166" t="e">
        <f t="shared" si="98"/>
        <v>#DIV/0!</v>
      </c>
      <c r="J188" s="166" t="e">
        <f t="shared" si="98"/>
        <v>#DIV/0!</v>
      </c>
      <c r="K188" s="180" t="e">
        <f t="shared" si="98"/>
        <v>#DIV/0!</v>
      </c>
      <c r="L188" s="460"/>
      <c r="M188" s="166" t="e">
        <f>RANK(K188, K$182:$K$211)</f>
        <v>#DIV/0!</v>
      </c>
      <c r="N188" s="462"/>
      <c r="O188" s="462"/>
      <c r="P188" s="166"/>
      <c r="Q188" s="166"/>
      <c r="R188" s="166"/>
      <c r="S188" s="182" t="e">
        <f t="shared" si="99"/>
        <v>#N/A</v>
      </c>
      <c r="T188" s="491"/>
      <c r="U188" s="166"/>
      <c r="V188" s="166"/>
      <c r="W188" s="166"/>
      <c r="X188" s="182" t="e">
        <f t="shared" si="100"/>
        <v>#N/A</v>
      </c>
      <c r="Y188" s="491"/>
      <c r="Z188" s="166"/>
      <c r="AA188" s="166"/>
      <c r="AB188" s="166"/>
      <c r="AC188" s="182" t="e">
        <f t="shared" si="101"/>
        <v>#N/A</v>
      </c>
      <c r="AD188" s="491"/>
      <c r="AE188" s="166"/>
      <c r="AF188" s="166"/>
      <c r="AG188" s="166"/>
      <c r="AH188" s="182" t="e">
        <f t="shared" si="102"/>
        <v>#N/A</v>
      </c>
      <c r="AI188" s="491"/>
      <c r="AJ188" s="166"/>
      <c r="AK188" s="166"/>
      <c r="AL188" s="166"/>
      <c r="AM188" s="182" t="e">
        <f t="shared" si="103"/>
        <v>#N/A</v>
      </c>
      <c r="AN188" s="491"/>
      <c r="AO188" s="166"/>
      <c r="AP188" s="166"/>
      <c r="AQ188" s="166"/>
      <c r="AR188" s="182" t="e">
        <f t="shared" si="104"/>
        <v>#N/A</v>
      </c>
      <c r="AS188" s="491"/>
      <c r="AT188" s="166"/>
      <c r="AU188" s="166"/>
      <c r="AV188" s="166"/>
      <c r="AW188" s="391" t="e">
        <f t="shared" si="105"/>
        <v>#N/A</v>
      </c>
      <c r="AX188" s="487"/>
    </row>
    <row r="189" spans="2:50">
      <c r="B189" s="479"/>
      <c r="C189" s="182">
        <v>8</v>
      </c>
      <c r="D189" s="182"/>
      <c r="E189" s="166"/>
      <c r="F189" s="166"/>
      <c r="G189" s="166"/>
      <c r="H189" s="460"/>
      <c r="I189" s="166" t="e">
        <f t="shared" si="98"/>
        <v>#DIV/0!</v>
      </c>
      <c r="J189" s="166" t="e">
        <f t="shared" si="98"/>
        <v>#DIV/0!</v>
      </c>
      <c r="K189" s="180" t="e">
        <f t="shared" si="98"/>
        <v>#DIV/0!</v>
      </c>
      <c r="L189" s="460"/>
      <c r="M189" s="166" t="e">
        <f>RANK(K189, K$182:$K$211)</f>
        <v>#DIV/0!</v>
      </c>
      <c r="N189" s="462"/>
      <c r="O189" s="462"/>
      <c r="P189" s="166"/>
      <c r="Q189" s="166"/>
      <c r="R189" s="166"/>
      <c r="S189" s="182" t="e">
        <f t="shared" si="99"/>
        <v>#N/A</v>
      </c>
      <c r="T189" s="491"/>
      <c r="U189" s="166"/>
      <c r="V189" s="166"/>
      <c r="W189" s="166"/>
      <c r="X189" s="182" t="e">
        <f t="shared" si="100"/>
        <v>#N/A</v>
      </c>
      <c r="Y189" s="491"/>
      <c r="Z189" s="166"/>
      <c r="AA189" s="166"/>
      <c r="AB189" s="166"/>
      <c r="AC189" s="182" t="e">
        <f t="shared" si="101"/>
        <v>#N/A</v>
      </c>
      <c r="AD189" s="491"/>
      <c r="AE189" s="166"/>
      <c r="AF189" s="166"/>
      <c r="AG189" s="166"/>
      <c r="AH189" s="182" t="e">
        <f t="shared" si="102"/>
        <v>#N/A</v>
      </c>
      <c r="AI189" s="491"/>
      <c r="AJ189" s="166"/>
      <c r="AK189" s="166"/>
      <c r="AL189" s="166"/>
      <c r="AM189" s="182" t="e">
        <f t="shared" si="103"/>
        <v>#N/A</v>
      </c>
      <c r="AN189" s="491"/>
      <c r="AO189" s="166"/>
      <c r="AP189" s="166"/>
      <c r="AQ189" s="166"/>
      <c r="AR189" s="182" t="e">
        <f t="shared" si="104"/>
        <v>#N/A</v>
      </c>
      <c r="AS189" s="491"/>
      <c r="AT189" s="166"/>
      <c r="AU189" s="166"/>
      <c r="AV189" s="166"/>
      <c r="AW189" s="391" t="e">
        <f t="shared" si="105"/>
        <v>#N/A</v>
      </c>
      <c r="AX189" s="487"/>
    </row>
    <row r="190" spans="2:50">
      <c r="B190" s="479"/>
      <c r="C190" s="182">
        <v>9</v>
      </c>
      <c r="D190" s="182"/>
      <c r="E190" s="166"/>
      <c r="F190" s="166"/>
      <c r="G190" s="166"/>
      <c r="H190" s="460"/>
      <c r="I190" s="166" t="e">
        <f t="shared" si="98"/>
        <v>#DIV/0!</v>
      </c>
      <c r="J190" s="166" t="e">
        <f t="shared" si="98"/>
        <v>#DIV/0!</v>
      </c>
      <c r="K190" s="180" t="e">
        <f t="shared" si="98"/>
        <v>#DIV/0!</v>
      </c>
      <c r="L190" s="460"/>
      <c r="M190" s="166" t="e">
        <f>RANK(K190, K$182:$K$211)</f>
        <v>#DIV/0!</v>
      </c>
      <c r="N190" s="462"/>
      <c r="O190" s="462"/>
      <c r="P190" s="166"/>
      <c r="Q190" s="166"/>
      <c r="R190" s="166"/>
      <c r="S190" s="182" t="e">
        <f t="shared" si="99"/>
        <v>#N/A</v>
      </c>
      <c r="T190" s="491"/>
      <c r="U190" s="166"/>
      <c r="V190" s="166"/>
      <c r="W190" s="166"/>
      <c r="X190" s="182" t="e">
        <f t="shared" si="100"/>
        <v>#N/A</v>
      </c>
      <c r="Y190" s="491"/>
      <c r="Z190" s="166"/>
      <c r="AA190" s="166"/>
      <c r="AB190" s="166"/>
      <c r="AC190" s="182" t="e">
        <f t="shared" si="101"/>
        <v>#N/A</v>
      </c>
      <c r="AD190" s="491"/>
      <c r="AE190" s="166"/>
      <c r="AF190" s="166"/>
      <c r="AG190" s="166"/>
      <c r="AH190" s="182" t="e">
        <f t="shared" si="102"/>
        <v>#N/A</v>
      </c>
      <c r="AI190" s="491"/>
      <c r="AJ190" s="166"/>
      <c r="AK190" s="166"/>
      <c r="AL190" s="166"/>
      <c r="AM190" s="182" t="e">
        <f t="shared" si="103"/>
        <v>#N/A</v>
      </c>
      <c r="AN190" s="491"/>
      <c r="AO190" s="166"/>
      <c r="AP190" s="166"/>
      <c r="AQ190" s="166"/>
      <c r="AR190" s="182" t="e">
        <f t="shared" si="104"/>
        <v>#N/A</v>
      </c>
      <c r="AS190" s="491"/>
      <c r="AT190" s="166"/>
      <c r="AU190" s="166"/>
      <c r="AV190" s="166"/>
      <c r="AW190" s="391" t="e">
        <f t="shared" si="105"/>
        <v>#N/A</v>
      </c>
      <c r="AX190" s="487"/>
    </row>
    <row r="191" spans="2:50">
      <c r="B191" s="479"/>
      <c r="C191" s="182">
        <v>10</v>
      </c>
      <c r="D191" s="182"/>
      <c r="E191" s="166"/>
      <c r="F191" s="166"/>
      <c r="G191" s="166"/>
      <c r="H191" s="460"/>
      <c r="I191" s="166" t="e">
        <f t="shared" si="98"/>
        <v>#DIV/0!</v>
      </c>
      <c r="J191" s="166" t="e">
        <f t="shared" si="98"/>
        <v>#DIV/0!</v>
      </c>
      <c r="K191" s="180" t="e">
        <f t="shared" si="98"/>
        <v>#DIV/0!</v>
      </c>
      <c r="L191" s="460"/>
      <c r="M191" s="166" t="e">
        <f>RANK(K191, K$182:$K$211)</f>
        <v>#DIV/0!</v>
      </c>
      <c r="N191" s="462"/>
      <c r="O191" s="462"/>
      <c r="P191" s="166"/>
      <c r="Q191" s="166"/>
      <c r="R191" s="166"/>
      <c r="S191" s="182" t="e">
        <f t="shared" si="99"/>
        <v>#N/A</v>
      </c>
      <c r="T191" s="491"/>
      <c r="U191" s="166"/>
      <c r="V191" s="166"/>
      <c r="W191" s="166"/>
      <c r="X191" s="182" t="e">
        <f t="shared" si="100"/>
        <v>#N/A</v>
      </c>
      <c r="Y191" s="491"/>
      <c r="Z191" s="166"/>
      <c r="AA191" s="166"/>
      <c r="AB191" s="166"/>
      <c r="AC191" s="182" t="e">
        <f t="shared" si="101"/>
        <v>#N/A</v>
      </c>
      <c r="AD191" s="491"/>
      <c r="AE191" s="166"/>
      <c r="AF191" s="166"/>
      <c r="AG191" s="166"/>
      <c r="AH191" s="182" t="e">
        <f t="shared" si="102"/>
        <v>#N/A</v>
      </c>
      <c r="AI191" s="491"/>
      <c r="AJ191" s="166"/>
      <c r="AK191" s="166"/>
      <c r="AL191" s="166"/>
      <c r="AM191" s="182" t="e">
        <f t="shared" si="103"/>
        <v>#N/A</v>
      </c>
      <c r="AN191" s="491"/>
      <c r="AO191" s="166"/>
      <c r="AP191" s="166"/>
      <c r="AQ191" s="166"/>
      <c r="AR191" s="182" t="e">
        <f t="shared" si="104"/>
        <v>#N/A</v>
      </c>
      <c r="AS191" s="491"/>
      <c r="AT191" s="166"/>
      <c r="AU191" s="166"/>
      <c r="AV191" s="166"/>
      <c r="AW191" s="391" t="e">
        <f t="shared" si="105"/>
        <v>#N/A</v>
      </c>
      <c r="AX191" s="487"/>
    </row>
    <row r="192" spans="2:50">
      <c r="B192" s="479"/>
      <c r="C192" s="182">
        <v>11</v>
      </c>
      <c r="D192" s="182"/>
      <c r="E192" s="166"/>
      <c r="F192" s="166"/>
      <c r="G192" s="166"/>
      <c r="H192" s="460"/>
      <c r="I192" s="166" t="e">
        <f t="shared" si="98"/>
        <v>#DIV/0!</v>
      </c>
      <c r="J192" s="166" t="e">
        <f t="shared" si="98"/>
        <v>#DIV/0!</v>
      </c>
      <c r="K192" s="180" t="e">
        <f t="shared" si="98"/>
        <v>#DIV/0!</v>
      </c>
      <c r="L192" s="460"/>
      <c r="M192" s="166" t="e">
        <f>RANK(K192, K$182:$K$211)</f>
        <v>#DIV/0!</v>
      </c>
      <c r="N192" s="462"/>
      <c r="O192" s="462"/>
      <c r="P192" s="166"/>
      <c r="Q192" s="166"/>
      <c r="R192" s="166"/>
      <c r="S192" s="182" t="e">
        <f t="shared" si="99"/>
        <v>#N/A</v>
      </c>
      <c r="T192" s="491"/>
      <c r="U192" s="166"/>
      <c r="V192" s="166"/>
      <c r="W192" s="166"/>
      <c r="X192" s="182" t="e">
        <f t="shared" si="100"/>
        <v>#N/A</v>
      </c>
      <c r="Y192" s="491"/>
      <c r="Z192" s="166"/>
      <c r="AA192" s="166"/>
      <c r="AB192" s="166"/>
      <c r="AC192" s="182" t="e">
        <f t="shared" si="101"/>
        <v>#N/A</v>
      </c>
      <c r="AD192" s="491"/>
      <c r="AE192" s="166"/>
      <c r="AF192" s="166"/>
      <c r="AG192" s="166"/>
      <c r="AH192" s="182" t="e">
        <f t="shared" si="102"/>
        <v>#N/A</v>
      </c>
      <c r="AI192" s="491"/>
      <c r="AJ192" s="166"/>
      <c r="AK192" s="166"/>
      <c r="AL192" s="166"/>
      <c r="AM192" s="182" t="e">
        <f t="shared" si="103"/>
        <v>#N/A</v>
      </c>
      <c r="AN192" s="491"/>
      <c r="AO192" s="166"/>
      <c r="AP192" s="166"/>
      <c r="AQ192" s="166"/>
      <c r="AR192" s="182" t="e">
        <f t="shared" si="104"/>
        <v>#N/A</v>
      </c>
      <c r="AS192" s="491"/>
      <c r="AT192" s="166"/>
      <c r="AU192" s="166"/>
      <c r="AV192" s="166"/>
      <c r="AW192" s="391" t="e">
        <f t="shared" si="105"/>
        <v>#N/A</v>
      </c>
      <c r="AX192" s="487"/>
    </row>
    <row r="193" spans="2:50">
      <c r="B193" s="479"/>
      <c r="C193" s="182">
        <v>12</v>
      </c>
      <c r="D193" s="182"/>
      <c r="E193" s="166"/>
      <c r="F193" s="166"/>
      <c r="G193" s="166"/>
      <c r="H193" s="460"/>
      <c r="I193" s="166" t="e">
        <f t="shared" si="98"/>
        <v>#DIV/0!</v>
      </c>
      <c r="J193" s="166" t="e">
        <f t="shared" si="98"/>
        <v>#DIV/0!</v>
      </c>
      <c r="K193" s="180" t="e">
        <f t="shared" si="98"/>
        <v>#DIV/0!</v>
      </c>
      <c r="L193" s="460"/>
      <c r="M193" s="166" t="e">
        <f>RANK(K193, K$182:$K$211)</f>
        <v>#DIV/0!</v>
      </c>
      <c r="N193" s="462"/>
      <c r="O193" s="462"/>
      <c r="P193" s="166"/>
      <c r="Q193" s="166"/>
      <c r="R193" s="166"/>
      <c r="S193" s="182" t="e">
        <f t="shared" si="99"/>
        <v>#N/A</v>
      </c>
      <c r="T193" s="491"/>
      <c r="U193" s="166"/>
      <c r="V193" s="166"/>
      <c r="W193" s="166"/>
      <c r="X193" s="182" t="e">
        <f t="shared" si="100"/>
        <v>#N/A</v>
      </c>
      <c r="Y193" s="491"/>
      <c r="Z193" s="166"/>
      <c r="AA193" s="166"/>
      <c r="AB193" s="166"/>
      <c r="AC193" s="182" t="e">
        <f t="shared" si="101"/>
        <v>#N/A</v>
      </c>
      <c r="AD193" s="491"/>
      <c r="AE193" s="166"/>
      <c r="AF193" s="166"/>
      <c r="AG193" s="166"/>
      <c r="AH193" s="182" t="e">
        <f t="shared" si="102"/>
        <v>#N/A</v>
      </c>
      <c r="AI193" s="491"/>
      <c r="AJ193" s="166"/>
      <c r="AK193" s="166"/>
      <c r="AL193" s="166"/>
      <c r="AM193" s="182" t="e">
        <f t="shared" si="103"/>
        <v>#N/A</v>
      </c>
      <c r="AN193" s="491"/>
      <c r="AO193" s="166"/>
      <c r="AP193" s="166"/>
      <c r="AQ193" s="166"/>
      <c r="AR193" s="182" t="e">
        <f t="shared" si="104"/>
        <v>#N/A</v>
      </c>
      <c r="AS193" s="491"/>
      <c r="AT193" s="166"/>
      <c r="AU193" s="166"/>
      <c r="AV193" s="166"/>
      <c r="AW193" s="391" t="e">
        <f t="shared" si="105"/>
        <v>#N/A</v>
      </c>
      <c r="AX193" s="487"/>
    </row>
    <row r="194" spans="2:50">
      <c r="B194" s="479"/>
      <c r="C194" s="182">
        <v>13</v>
      </c>
      <c r="D194" s="182"/>
      <c r="E194" s="166"/>
      <c r="F194" s="166"/>
      <c r="G194" s="166"/>
      <c r="H194" s="460"/>
      <c r="I194" s="166" t="e">
        <f t="shared" si="98"/>
        <v>#DIV/0!</v>
      </c>
      <c r="J194" s="166" t="e">
        <f t="shared" si="98"/>
        <v>#DIV/0!</v>
      </c>
      <c r="K194" s="180" t="e">
        <f t="shared" si="98"/>
        <v>#DIV/0!</v>
      </c>
      <c r="L194" s="460"/>
      <c r="M194" s="166" t="e">
        <f>RANK(K194, K$182:$K$211)</f>
        <v>#DIV/0!</v>
      </c>
      <c r="N194" s="462"/>
      <c r="O194" s="462"/>
      <c r="P194" s="166"/>
      <c r="Q194" s="166"/>
      <c r="R194" s="166"/>
      <c r="S194" s="182" t="e">
        <f t="shared" si="99"/>
        <v>#N/A</v>
      </c>
      <c r="T194" s="491"/>
      <c r="U194" s="166"/>
      <c r="V194" s="166"/>
      <c r="W194" s="166"/>
      <c r="X194" s="182" t="e">
        <f t="shared" si="100"/>
        <v>#N/A</v>
      </c>
      <c r="Y194" s="491"/>
      <c r="Z194" s="166"/>
      <c r="AA194" s="166"/>
      <c r="AB194" s="166"/>
      <c r="AC194" s="182" t="e">
        <f t="shared" si="101"/>
        <v>#N/A</v>
      </c>
      <c r="AD194" s="491"/>
      <c r="AE194" s="166"/>
      <c r="AF194" s="166"/>
      <c r="AG194" s="166"/>
      <c r="AH194" s="182" t="e">
        <f t="shared" si="102"/>
        <v>#N/A</v>
      </c>
      <c r="AI194" s="491"/>
      <c r="AJ194" s="166"/>
      <c r="AK194" s="166"/>
      <c r="AL194" s="166"/>
      <c r="AM194" s="182" t="e">
        <f t="shared" si="103"/>
        <v>#N/A</v>
      </c>
      <c r="AN194" s="491"/>
      <c r="AO194" s="166"/>
      <c r="AP194" s="166"/>
      <c r="AQ194" s="166"/>
      <c r="AR194" s="182" t="e">
        <f t="shared" si="104"/>
        <v>#N/A</v>
      </c>
      <c r="AS194" s="491"/>
      <c r="AT194" s="166"/>
      <c r="AU194" s="166"/>
      <c r="AV194" s="166"/>
      <c r="AW194" s="391" t="e">
        <f t="shared" si="105"/>
        <v>#N/A</v>
      </c>
      <c r="AX194" s="487"/>
    </row>
    <row r="195" spans="2:50">
      <c r="B195" s="479"/>
      <c r="C195" s="182">
        <v>14</v>
      </c>
      <c r="D195" s="182"/>
      <c r="E195" s="166"/>
      <c r="F195" s="166"/>
      <c r="G195" s="166"/>
      <c r="H195" s="460"/>
      <c r="I195" s="166" t="e">
        <f t="shared" si="98"/>
        <v>#DIV/0!</v>
      </c>
      <c r="J195" s="166" t="e">
        <f t="shared" si="98"/>
        <v>#DIV/0!</v>
      </c>
      <c r="K195" s="180" t="e">
        <f t="shared" si="98"/>
        <v>#DIV/0!</v>
      </c>
      <c r="L195" s="460"/>
      <c r="M195" s="166" t="e">
        <f>RANK(K195, K$182:$K$211)</f>
        <v>#DIV/0!</v>
      </c>
      <c r="N195" s="462"/>
      <c r="O195" s="462"/>
      <c r="P195" s="166"/>
      <c r="Q195" s="166"/>
      <c r="R195" s="166"/>
      <c r="S195" s="182" t="e">
        <f t="shared" si="99"/>
        <v>#N/A</v>
      </c>
      <c r="T195" s="491"/>
      <c r="U195" s="166"/>
      <c r="V195" s="166"/>
      <c r="W195" s="166"/>
      <c r="X195" s="182" t="e">
        <f t="shared" si="100"/>
        <v>#N/A</v>
      </c>
      <c r="Y195" s="491"/>
      <c r="Z195" s="166"/>
      <c r="AA195" s="166"/>
      <c r="AB195" s="166"/>
      <c r="AC195" s="182" t="e">
        <f t="shared" si="101"/>
        <v>#N/A</v>
      </c>
      <c r="AD195" s="491"/>
      <c r="AE195" s="166"/>
      <c r="AF195" s="166"/>
      <c r="AG195" s="166"/>
      <c r="AH195" s="182" t="e">
        <f t="shared" si="102"/>
        <v>#N/A</v>
      </c>
      <c r="AI195" s="491"/>
      <c r="AJ195" s="166"/>
      <c r="AK195" s="166"/>
      <c r="AL195" s="166"/>
      <c r="AM195" s="182" t="e">
        <f t="shared" si="103"/>
        <v>#N/A</v>
      </c>
      <c r="AN195" s="491"/>
      <c r="AO195" s="166"/>
      <c r="AP195" s="166"/>
      <c r="AQ195" s="166"/>
      <c r="AR195" s="182" t="e">
        <f t="shared" si="104"/>
        <v>#N/A</v>
      </c>
      <c r="AS195" s="491"/>
      <c r="AT195" s="166"/>
      <c r="AU195" s="166"/>
      <c r="AV195" s="166"/>
      <c r="AW195" s="391" t="e">
        <f t="shared" si="105"/>
        <v>#N/A</v>
      </c>
      <c r="AX195" s="487"/>
    </row>
    <row r="196" spans="2:50">
      <c r="B196" s="479"/>
      <c r="C196" s="182">
        <v>15</v>
      </c>
      <c r="D196" s="182"/>
      <c r="E196" s="166"/>
      <c r="F196" s="166"/>
      <c r="G196" s="166"/>
      <c r="H196" s="460"/>
      <c r="I196" s="166" t="e">
        <f t="shared" si="98"/>
        <v>#DIV/0!</v>
      </c>
      <c r="J196" s="166" t="e">
        <f t="shared" si="98"/>
        <v>#DIV/0!</v>
      </c>
      <c r="K196" s="180" t="e">
        <f t="shared" si="98"/>
        <v>#DIV/0!</v>
      </c>
      <c r="L196" s="460"/>
      <c r="M196" s="166" t="e">
        <f>RANK(K196, K$182:$K$211)</f>
        <v>#DIV/0!</v>
      </c>
      <c r="N196" s="462"/>
      <c r="O196" s="462"/>
      <c r="P196" s="166"/>
      <c r="Q196" s="166"/>
      <c r="R196" s="166"/>
      <c r="S196" s="182" t="e">
        <f t="shared" si="99"/>
        <v>#N/A</v>
      </c>
      <c r="T196" s="491"/>
      <c r="U196" s="166"/>
      <c r="V196" s="166"/>
      <c r="W196" s="166"/>
      <c r="X196" s="182" t="e">
        <f t="shared" si="100"/>
        <v>#N/A</v>
      </c>
      <c r="Y196" s="491"/>
      <c r="Z196" s="166"/>
      <c r="AA196" s="166"/>
      <c r="AB196" s="166"/>
      <c r="AC196" s="182" t="e">
        <f t="shared" si="101"/>
        <v>#N/A</v>
      </c>
      <c r="AD196" s="491"/>
      <c r="AE196" s="166"/>
      <c r="AF196" s="166"/>
      <c r="AG196" s="166"/>
      <c r="AH196" s="182" t="e">
        <f t="shared" si="102"/>
        <v>#N/A</v>
      </c>
      <c r="AI196" s="491"/>
      <c r="AJ196" s="166"/>
      <c r="AK196" s="166"/>
      <c r="AL196" s="166"/>
      <c r="AM196" s="182" t="e">
        <f t="shared" si="103"/>
        <v>#N/A</v>
      </c>
      <c r="AN196" s="491"/>
      <c r="AO196" s="166"/>
      <c r="AP196" s="166"/>
      <c r="AQ196" s="166"/>
      <c r="AR196" s="182" t="e">
        <f t="shared" si="104"/>
        <v>#N/A</v>
      </c>
      <c r="AS196" s="491"/>
      <c r="AT196" s="166"/>
      <c r="AU196" s="166"/>
      <c r="AV196" s="166"/>
      <c r="AW196" s="391" t="e">
        <f t="shared" si="105"/>
        <v>#N/A</v>
      </c>
      <c r="AX196" s="487"/>
    </row>
    <row r="197" spans="2:50">
      <c r="B197" s="479"/>
      <c r="C197" s="182">
        <v>16</v>
      </c>
      <c r="D197" s="182"/>
      <c r="E197" s="166"/>
      <c r="F197" s="166"/>
      <c r="G197" s="166"/>
      <c r="H197" s="460"/>
      <c r="I197" s="166" t="e">
        <f t="shared" si="98"/>
        <v>#DIV/0!</v>
      </c>
      <c r="J197" s="166" t="e">
        <f t="shared" si="98"/>
        <v>#DIV/0!</v>
      </c>
      <c r="K197" s="180" t="e">
        <f t="shared" si="98"/>
        <v>#DIV/0!</v>
      </c>
      <c r="L197" s="460"/>
      <c r="M197" s="166" t="e">
        <f>RANK(K197, K$182:$K$211)</f>
        <v>#DIV/0!</v>
      </c>
      <c r="N197" s="462"/>
      <c r="O197" s="462"/>
      <c r="P197" s="166"/>
      <c r="Q197" s="166"/>
      <c r="R197" s="166"/>
      <c r="S197" s="182" t="e">
        <f t="shared" si="99"/>
        <v>#N/A</v>
      </c>
      <c r="T197" s="491"/>
      <c r="U197" s="166"/>
      <c r="V197" s="166"/>
      <c r="W197" s="166"/>
      <c r="X197" s="182" t="e">
        <f t="shared" si="100"/>
        <v>#N/A</v>
      </c>
      <c r="Y197" s="491"/>
      <c r="Z197" s="166"/>
      <c r="AA197" s="166"/>
      <c r="AB197" s="166"/>
      <c r="AC197" s="182" t="e">
        <f t="shared" si="101"/>
        <v>#N/A</v>
      </c>
      <c r="AD197" s="491"/>
      <c r="AE197" s="166"/>
      <c r="AF197" s="166"/>
      <c r="AG197" s="166"/>
      <c r="AH197" s="182" t="e">
        <f t="shared" si="102"/>
        <v>#N/A</v>
      </c>
      <c r="AI197" s="491"/>
      <c r="AJ197" s="166"/>
      <c r="AK197" s="166"/>
      <c r="AL197" s="166"/>
      <c r="AM197" s="182" t="e">
        <f t="shared" si="103"/>
        <v>#N/A</v>
      </c>
      <c r="AN197" s="491"/>
      <c r="AO197" s="166"/>
      <c r="AP197" s="166"/>
      <c r="AQ197" s="166"/>
      <c r="AR197" s="182" t="e">
        <f t="shared" si="104"/>
        <v>#N/A</v>
      </c>
      <c r="AS197" s="491"/>
      <c r="AT197" s="166"/>
      <c r="AU197" s="166"/>
      <c r="AV197" s="166"/>
      <c r="AW197" s="391" t="e">
        <f t="shared" si="105"/>
        <v>#N/A</v>
      </c>
      <c r="AX197" s="487"/>
    </row>
    <row r="198" spans="2:50">
      <c r="B198" s="479"/>
      <c r="C198" s="182">
        <v>17</v>
      </c>
      <c r="D198" s="182"/>
      <c r="E198" s="166"/>
      <c r="F198" s="166"/>
      <c r="G198" s="166"/>
      <c r="H198" s="460"/>
      <c r="I198" s="166" t="e">
        <f t="shared" si="98"/>
        <v>#DIV/0!</v>
      </c>
      <c r="J198" s="166" t="e">
        <f t="shared" si="98"/>
        <v>#DIV/0!</v>
      </c>
      <c r="K198" s="180" t="e">
        <f t="shared" si="98"/>
        <v>#DIV/0!</v>
      </c>
      <c r="L198" s="460"/>
      <c r="M198" s="166" t="e">
        <f>RANK(K198, K$182:$K$211)</f>
        <v>#DIV/0!</v>
      </c>
      <c r="N198" s="462"/>
      <c r="O198" s="462"/>
      <c r="P198" s="166"/>
      <c r="Q198" s="166"/>
      <c r="R198" s="166"/>
      <c r="S198" s="182" t="e">
        <f t="shared" si="99"/>
        <v>#N/A</v>
      </c>
      <c r="T198" s="491"/>
      <c r="U198" s="166"/>
      <c r="V198" s="166"/>
      <c r="W198" s="166"/>
      <c r="X198" s="182" t="e">
        <f t="shared" si="100"/>
        <v>#N/A</v>
      </c>
      <c r="Y198" s="491"/>
      <c r="Z198" s="166"/>
      <c r="AA198" s="166"/>
      <c r="AB198" s="166"/>
      <c r="AC198" s="182" t="e">
        <f t="shared" si="101"/>
        <v>#N/A</v>
      </c>
      <c r="AD198" s="491"/>
      <c r="AE198" s="166"/>
      <c r="AF198" s="166"/>
      <c r="AG198" s="166"/>
      <c r="AH198" s="182" t="e">
        <f t="shared" si="102"/>
        <v>#N/A</v>
      </c>
      <c r="AI198" s="491"/>
      <c r="AJ198" s="166"/>
      <c r="AK198" s="166"/>
      <c r="AL198" s="166"/>
      <c r="AM198" s="182" t="e">
        <f t="shared" si="103"/>
        <v>#N/A</v>
      </c>
      <c r="AN198" s="491"/>
      <c r="AO198" s="166"/>
      <c r="AP198" s="166"/>
      <c r="AQ198" s="166"/>
      <c r="AR198" s="182" t="e">
        <f t="shared" si="104"/>
        <v>#N/A</v>
      </c>
      <c r="AS198" s="491"/>
      <c r="AT198" s="166"/>
      <c r="AU198" s="166"/>
      <c r="AV198" s="166"/>
      <c r="AW198" s="391" t="e">
        <f t="shared" si="105"/>
        <v>#N/A</v>
      </c>
      <c r="AX198" s="487"/>
    </row>
    <row r="199" spans="2:50">
      <c r="B199" s="479"/>
      <c r="C199" s="182">
        <v>18</v>
      </c>
      <c r="D199" s="182"/>
      <c r="E199" s="166"/>
      <c r="F199" s="166"/>
      <c r="G199" s="166"/>
      <c r="H199" s="460"/>
      <c r="I199" s="166" t="e">
        <f t="shared" ref="I199:K202" si="106">AVERAGE(P199,U199,Z199,AE199,AJ199,AO199,AT199)</f>
        <v>#DIV/0!</v>
      </c>
      <c r="J199" s="166" t="e">
        <f t="shared" si="106"/>
        <v>#DIV/0!</v>
      </c>
      <c r="K199" s="180" t="e">
        <f t="shared" si="106"/>
        <v>#DIV/0!</v>
      </c>
      <c r="L199" s="460"/>
      <c r="M199" s="166" t="e">
        <f>RANK(K199, K$182:$K$211)</f>
        <v>#DIV/0!</v>
      </c>
      <c r="N199" s="462"/>
      <c r="O199" s="462"/>
      <c r="P199" s="166"/>
      <c r="Q199" s="166"/>
      <c r="R199" s="166"/>
      <c r="S199" s="182" t="e">
        <f t="shared" si="99"/>
        <v>#N/A</v>
      </c>
      <c r="T199" s="491"/>
      <c r="U199" s="166"/>
      <c r="V199" s="166"/>
      <c r="W199" s="166"/>
      <c r="X199" s="182" t="e">
        <f t="shared" si="100"/>
        <v>#N/A</v>
      </c>
      <c r="Y199" s="491"/>
      <c r="Z199" s="166"/>
      <c r="AA199" s="166"/>
      <c r="AB199" s="166"/>
      <c r="AC199" s="182" t="e">
        <f t="shared" si="101"/>
        <v>#N/A</v>
      </c>
      <c r="AD199" s="491"/>
      <c r="AE199" s="166"/>
      <c r="AF199" s="166"/>
      <c r="AG199" s="166"/>
      <c r="AH199" s="182" t="e">
        <f t="shared" si="102"/>
        <v>#N/A</v>
      </c>
      <c r="AI199" s="491"/>
      <c r="AJ199" s="166"/>
      <c r="AK199" s="166"/>
      <c r="AL199" s="166"/>
      <c r="AM199" s="182" t="e">
        <f t="shared" si="103"/>
        <v>#N/A</v>
      </c>
      <c r="AN199" s="491"/>
      <c r="AO199" s="166"/>
      <c r="AP199" s="166"/>
      <c r="AQ199" s="166"/>
      <c r="AR199" s="182" t="e">
        <f t="shared" si="104"/>
        <v>#N/A</v>
      </c>
      <c r="AS199" s="491"/>
      <c r="AT199" s="166"/>
      <c r="AU199" s="166"/>
      <c r="AV199" s="166"/>
      <c r="AW199" s="391" t="e">
        <f t="shared" si="105"/>
        <v>#N/A</v>
      </c>
      <c r="AX199" s="487"/>
    </row>
    <row r="200" spans="2:50">
      <c r="B200" s="479"/>
      <c r="C200" s="182">
        <v>19</v>
      </c>
      <c r="D200" s="182"/>
      <c r="E200" s="166"/>
      <c r="F200" s="166"/>
      <c r="G200" s="166"/>
      <c r="H200" s="460"/>
      <c r="I200" s="166" t="e">
        <f t="shared" si="106"/>
        <v>#DIV/0!</v>
      </c>
      <c r="J200" s="166" t="e">
        <f t="shared" si="106"/>
        <v>#DIV/0!</v>
      </c>
      <c r="K200" s="180" t="e">
        <f t="shared" si="106"/>
        <v>#DIV/0!</v>
      </c>
      <c r="L200" s="460"/>
      <c r="M200" s="166" t="e">
        <f>RANK(K200, K$182:$K$211)</f>
        <v>#DIV/0!</v>
      </c>
      <c r="N200" s="462"/>
      <c r="O200" s="462"/>
      <c r="P200" s="166"/>
      <c r="Q200" s="166"/>
      <c r="R200" s="166"/>
      <c r="S200" s="182" t="e">
        <f t="shared" si="99"/>
        <v>#N/A</v>
      </c>
      <c r="T200" s="491"/>
      <c r="U200" s="166"/>
      <c r="V200" s="166"/>
      <c r="W200" s="166"/>
      <c r="X200" s="182" t="e">
        <f t="shared" si="100"/>
        <v>#N/A</v>
      </c>
      <c r="Y200" s="491"/>
      <c r="Z200" s="166"/>
      <c r="AA200" s="166"/>
      <c r="AB200" s="166"/>
      <c r="AC200" s="182" t="e">
        <f t="shared" si="101"/>
        <v>#N/A</v>
      </c>
      <c r="AD200" s="491"/>
      <c r="AE200" s="166"/>
      <c r="AF200" s="166"/>
      <c r="AG200" s="166"/>
      <c r="AH200" s="182" t="e">
        <f t="shared" si="102"/>
        <v>#N/A</v>
      </c>
      <c r="AI200" s="491"/>
      <c r="AJ200" s="166"/>
      <c r="AK200" s="166"/>
      <c r="AL200" s="166"/>
      <c r="AM200" s="182" t="e">
        <f t="shared" si="103"/>
        <v>#N/A</v>
      </c>
      <c r="AN200" s="491"/>
      <c r="AO200" s="166"/>
      <c r="AP200" s="166"/>
      <c r="AQ200" s="166"/>
      <c r="AR200" s="182" t="e">
        <f t="shared" si="104"/>
        <v>#N/A</v>
      </c>
      <c r="AS200" s="491"/>
      <c r="AT200" s="166"/>
      <c r="AU200" s="166"/>
      <c r="AV200" s="166"/>
      <c r="AW200" s="391" t="e">
        <f t="shared" si="105"/>
        <v>#N/A</v>
      </c>
      <c r="AX200" s="487"/>
    </row>
    <row r="201" spans="2:50">
      <c r="B201" s="479"/>
      <c r="C201" s="182">
        <v>20</v>
      </c>
      <c r="D201" s="182"/>
      <c r="E201" s="166"/>
      <c r="F201" s="166"/>
      <c r="G201" s="166"/>
      <c r="H201" s="460"/>
      <c r="I201" s="166" t="e">
        <f t="shared" si="106"/>
        <v>#DIV/0!</v>
      </c>
      <c r="J201" s="166" t="e">
        <f t="shared" si="106"/>
        <v>#DIV/0!</v>
      </c>
      <c r="K201" s="180" t="e">
        <f t="shared" si="106"/>
        <v>#DIV/0!</v>
      </c>
      <c r="L201" s="460"/>
      <c r="M201" s="166" t="e">
        <f>RANK(K201, K$182:$K$211)</f>
        <v>#DIV/0!</v>
      </c>
      <c r="N201" s="462"/>
      <c r="O201" s="462"/>
      <c r="P201" s="166"/>
      <c r="Q201" s="166"/>
      <c r="R201" s="166"/>
      <c r="S201" s="182" t="e">
        <f t="shared" si="99"/>
        <v>#N/A</v>
      </c>
      <c r="T201" s="491"/>
      <c r="U201" s="166"/>
      <c r="V201" s="166"/>
      <c r="W201" s="166"/>
      <c r="X201" s="182" t="e">
        <f t="shared" si="100"/>
        <v>#N/A</v>
      </c>
      <c r="Y201" s="491"/>
      <c r="Z201" s="166"/>
      <c r="AA201" s="166"/>
      <c r="AB201" s="166"/>
      <c r="AC201" s="182" t="e">
        <f t="shared" si="101"/>
        <v>#N/A</v>
      </c>
      <c r="AD201" s="491"/>
      <c r="AE201" s="166"/>
      <c r="AF201" s="166"/>
      <c r="AG201" s="166"/>
      <c r="AH201" s="182" t="e">
        <f t="shared" si="102"/>
        <v>#N/A</v>
      </c>
      <c r="AI201" s="491"/>
      <c r="AJ201" s="166"/>
      <c r="AK201" s="166"/>
      <c r="AL201" s="166"/>
      <c r="AM201" s="182" t="e">
        <f t="shared" si="103"/>
        <v>#N/A</v>
      </c>
      <c r="AN201" s="491"/>
      <c r="AO201" s="166"/>
      <c r="AP201" s="166"/>
      <c r="AQ201" s="166"/>
      <c r="AR201" s="182" t="e">
        <f t="shared" si="104"/>
        <v>#N/A</v>
      </c>
      <c r="AS201" s="491"/>
      <c r="AT201" s="166"/>
      <c r="AU201" s="166"/>
      <c r="AV201" s="166"/>
      <c r="AW201" s="391" t="e">
        <f t="shared" si="105"/>
        <v>#N/A</v>
      </c>
      <c r="AX201" s="487"/>
    </row>
    <row r="202" spans="2:50">
      <c r="B202" s="479"/>
      <c r="C202" s="182">
        <v>21</v>
      </c>
      <c r="D202" s="392"/>
      <c r="E202" s="166"/>
      <c r="F202" s="166"/>
      <c r="G202" s="166"/>
      <c r="H202" s="460"/>
      <c r="I202" s="166" t="e">
        <f t="shared" si="106"/>
        <v>#DIV/0!</v>
      </c>
      <c r="J202" s="166" t="e">
        <f t="shared" si="106"/>
        <v>#DIV/0!</v>
      </c>
      <c r="K202" s="180" t="e">
        <f t="shared" si="106"/>
        <v>#DIV/0!</v>
      </c>
      <c r="L202" s="460"/>
      <c r="M202" s="166" t="e">
        <f>RANK(K202, K$182:$K$211)</f>
        <v>#DIV/0!</v>
      </c>
      <c r="N202" s="462"/>
      <c r="O202" s="462"/>
      <c r="P202" s="182"/>
      <c r="Q202" s="166"/>
      <c r="R202" s="180"/>
      <c r="S202" s="182" t="e">
        <f t="shared" si="99"/>
        <v>#N/A</v>
      </c>
      <c r="T202" s="491"/>
      <c r="U202" s="182"/>
      <c r="V202" s="166"/>
      <c r="W202" s="180"/>
      <c r="X202" s="182" t="e">
        <f t="shared" si="100"/>
        <v>#N/A</v>
      </c>
      <c r="Y202" s="491"/>
      <c r="Z202" s="182"/>
      <c r="AA202" s="166"/>
      <c r="AB202" s="180"/>
      <c r="AC202" s="182" t="e">
        <f t="shared" si="101"/>
        <v>#N/A</v>
      </c>
      <c r="AD202" s="491"/>
      <c r="AE202" s="182"/>
      <c r="AF202" s="166"/>
      <c r="AG202" s="180"/>
      <c r="AH202" s="182" t="e">
        <f t="shared" si="102"/>
        <v>#N/A</v>
      </c>
      <c r="AI202" s="491"/>
      <c r="AJ202" s="182"/>
      <c r="AK202" s="166"/>
      <c r="AL202" s="180"/>
      <c r="AM202" s="182" t="e">
        <f t="shared" si="103"/>
        <v>#N/A</v>
      </c>
      <c r="AN202" s="491"/>
      <c r="AO202" s="182"/>
      <c r="AP202" s="166"/>
      <c r="AQ202" s="180"/>
      <c r="AR202" s="182" t="e">
        <f t="shared" si="104"/>
        <v>#N/A</v>
      </c>
      <c r="AS202" s="491"/>
      <c r="AT202" s="182"/>
      <c r="AU202" s="166"/>
      <c r="AV202" s="180"/>
      <c r="AW202" s="391" t="e">
        <f t="shared" si="105"/>
        <v>#N/A</v>
      </c>
      <c r="AX202" s="487"/>
    </row>
    <row r="203" spans="2:50">
      <c r="B203" s="479"/>
      <c r="C203" s="182">
        <v>22</v>
      </c>
      <c r="D203" s="182"/>
      <c r="E203" s="166"/>
      <c r="F203" s="166"/>
      <c r="G203" s="166"/>
      <c r="H203" s="460"/>
      <c r="I203" s="166"/>
      <c r="J203" s="166"/>
      <c r="K203" s="180"/>
      <c r="L203" s="460"/>
      <c r="M203" s="166" t="e">
        <f>RANK(K203, K$182:$K$211)</f>
        <v>#DIV/0!</v>
      </c>
      <c r="N203" s="462"/>
      <c r="O203" s="462"/>
      <c r="P203" s="182"/>
      <c r="Q203" s="166"/>
      <c r="R203" s="180"/>
      <c r="S203" s="182" t="e">
        <f t="shared" si="99"/>
        <v>#N/A</v>
      </c>
      <c r="T203" s="491"/>
      <c r="U203" s="182"/>
      <c r="V203" s="166"/>
      <c r="W203" s="180"/>
      <c r="X203" s="182" t="e">
        <f t="shared" si="100"/>
        <v>#N/A</v>
      </c>
      <c r="Y203" s="491"/>
      <c r="Z203" s="182"/>
      <c r="AA203" s="166"/>
      <c r="AB203" s="180"/>
      <c r="AC203" s="182" t="e">
        <f t="shared" si="101"/>
        <v>#N/A</v>
      </c>
      <c r="AD203" s="491"/>
      <c r="AE203" s="182"/>
      <c r="AF203" s="166"/>
      <c r="AG203" s="180"/>
      <c r="AH203" s="182" t="e">
        <f t="shared" si="102"/>
        <v>#N/A</v>
      </c>
      <c r="AI203" s="491"/>
      <c r="AJ203" s="182"/>
      <c r="AK203" s="166"/>
      <c r="AL203" s="180"/>
      <c r="AM203" s="182" t="e">
        <f t="shared" si="103"/>
        <v>#N/A</v>
      </c>
      <c r="AN203" s="491"/>
      <c r="AO203" s="182"/>
      <c r="AP203" s="166"/>
      <c r="AQ203" s="180"/>
      <c r="AR203" s="182" t="e">
        <f t="shared" si="104"/>
        <v>#N/A</v>
      </c>
      <c r="AS203" s="491"/>
      <c r="AT203" s="182"/>
      <c r="AU203" s="166"/>
      <c r="AV203" s="180"/>
      <c r="AW203" s="391" t="e">
        <f t="shared" si="105"/>
        <v>#N/A</v>
      </c>
      <c r="AX203" s="487"/>
    </row>
    <row r="204" spans="2:50">
      <c r="B204" s="479"/>
      <c r="C204" s="182">
        <v>23</v>
      </c>
      <c r="D204" s="182"/>
      <c r="E204" s="166"/>
      <c r="F204" s="166"/>
      <c r="G204" s="166"/>
      <c r="H204" s="460"/>
      <c r="I204" s="166"/>
      <c r="J204" s="166"/>
      <c r="K204" s="180"/>
      <c r="L204" s="460"/>
      <c r="M204" s="166" t="e">
        <f>RANK(K204, K$182:$K$211)</f>
        <v>#DIV/0!</v>
      </c>
      <c r="N204" s="462"/>
      <c r="O204" s="462"/>
      <c r="P204" s="182"/>
      <c r="Q204" s="182"/>
      <c r="R204" s="180"/>
      <c r="S204" s="182" t="e">
        <f t="shared" si="99"/>
        <v>#N/A</v>
      </c>
      <c r="T204" s="491"/>
      <c r="U204" s="182"/>
      <c r="V204" s="182"/>
      <c r="W204" s="180"/>
      <c r="X204" s="182" t="e">
        <f t="shared" si="100"/>
        <v>#N/A</v>
      </c>
      <c r="Y204" s="491"/>
      <c r="Z204" s="182"/>
      <c r="AA204" s="182"/>
      <c r="AB204" s="180"/>
      <c r="AC204" s="182" t="e">
        <f t="shared" si="101"/>
        <v>#N/A</v>
      </c>
      <c r="AD204" s="491"/>
      <c r="AE204" s="182"/>
      <c r="AF204" s="182"/>
      <c r="AG204" s="180"/>
      <c r="AH204" s="182" t="e">
        <f t="shared" si="102"/>
        <v>#N/A</v>
      </c>
      <c r="AI204" s="491"/>
      <c r="AJ204" s="182"/>
      <c r="AK204" s="182"/>
      <c r="AL204" s="180"/>
      <c r="AM204" s="182" t="e">
        <f t="shared" si="103"/>
        <v>#N/A</v>
      </c>
      <c r="AN204" s="491"/>
      <c r="AO204" s="182"/>
      <c r="AP204" s="182"/>
      <c r="AQ204" s="180"/>
      <c r="AR204" s="182" t="e">
        <f t="shared" si="104"/>
        <v>#N/A</v>
      </c>
      <c r="AS204" s="491"/>
      <c r="AT204" s="182"/>
      <c r="AU204" s="182"/>
      <c r="AV204" s="180"/>
      <c r="AW204" s="391" t="e">
        <f t="shared" si="105"/>
        <v>#N/A</v>
      </c>
      <c r="AX204" s="487"/>
    </row>
    <row r="205" spans="2:50">
      <c r="B205" s="479"/>
      <c r="C205" s="182">
        <v>24</v>
      </c>
      <c r="D205" s="271"/>
      <c r="E205" s="166"/>
      <c r="F205" s="166"/>
      <c r="G205" s="166"/>
      <c r="H205" s="460"/>
      <c r="I205" s="166"/>
      <c r="J205" s="166"/>
      <c r="K205" s="180"/>
      <c r="L205" s="460"/>
      <c r="M205" s="166" t="e">
        <f>RANK(K205, K$182:$K$211)</f>
        <v>#DIV/0!</v>
      </c>
      <c r="N205" s="462"/>
      <c r="O205" s="462"/>
      <c r="P205" s="182"/>
      <c r="Q205" s="182"/>
      <c r="R205" s="182"/>
      <c r="S205" s="182" t="e">
        <f t="shared" si="99"/>
        <v>#N/A</v>
      </c>
      <c r="T205" s="491"/>
      <c r="U205" s="182"/>
      <c r="V205" s="182"/>
      <c r="W205" s="182"/>
      <c r="X205" s="182" t="e">
        <f t="shared" si="100"/>
        <v>#N/A</v>
      </c>
      <c r="Y205" s="491"/>
      <c r="Z205" s="182"/>
      <c r="AA205" s="182"/>
      <c r="AB205" s="182"/>
      <c r="AC205" s="182" t="e">
        <f t="shared" si="101"/>
        <v>#N/A</v>
      </c>
      <c r="AD205" s="491"/>
      <c r="AE205" s="182"/>
      <c r="AF205" s="182"/>
      <c r="AG205" s="182"/>
      <c r="AH205" s="182" t="e">
        <f t="shared" si="102"/>
        <v>#N/A</v>
      </c>
      <c r="AI205" s="491"/>
      <c r="AJ205" s="182"/>
      <c r="AK205" s="182"/>
      <c r="AL205" s="182"/>
      <c r="AM205" s="182" t="e">
        <f t="shared" si="103"/>
        <v>#N/A</v>
      </c>
      <c r="AN205" s="491"/>
      <c r="AO205" s="182"/>
      <c r="AP205" s="182"/>
      <c r="AQ205" s="182"/>
      <c r="AR205" s="182" t="e">
        <f t="shared" si="104"/>
        <v>#N/A</v>
      </c>
      <c r="AS205" s="491"/>
      <c r="AT205" s="182"/>
      <c r="AU205" s="182"/>
      <c r="AV205" s="182"/>
      <c r="AW205" s="391" t="e">
        <f t="shared" si="105"/>
        <v>#N/A</v>
      </c>
      <c r="AX205" s="487"/>
    </row>
    <row r="206" spans="2:50">
      <c r="B206" s="479"/>
      <c r="C206" s="182">
        <v>25</v>
      </c>
      <c r="D206" s="182"/>
      <c r="E206" s="166"/>
      <c r="F206" s="166"/>
      <c r="G206" s="166"/>
      <c r="H206" s="460"/>
      <c r="I206" s="166"/>
      <c r="J206" s="166"/>
      <c r="K206" s="180"/>
      <c r="L206" s="460"/>
      <c r="M206" s="166" t="e">
        <f>RANK(K206, K$182:$K$211)</f>
        <v>#DIV/0!</v>
      </c>
      <c r="N206" s="462"/>
      <c r="O206" s="462"/>
      <c r="P206" s="182"/>
      <c r="Q206" s="182"/>
      <c r="R206" s="182"/>
      <c r="S206" s="182" t="e">
        <f t="shared" si="99"/>
        <v>#N/A</v>
      </c>
      <c r="T206" s="491"/>
      <c r="U206" s="182"/>
      <c r="V206" s="182"/>
      <c r="W206" s="182"/>
      <c r="X206" s="182" t="e">
        <f t="shared" si="100"/>
        <v>#N/A</v>
      </c>
      <c r="Y206" s="491"/>
      <c r="Z206" s="182"/>
      <c r="AA206" s="182"/>
      <c r="AB206" s="182"/>
      <c r="AC206" s="182" t="e">
        <f t="shared" si="101"/>
        <v>#N/A</v>
      </c>
      <c r="AD206" s="491"/>
      <c r="AE206" s="182"/>
      <c r="AF206" s="182"/>
      <c r="AG206" s="182"/>
      <c r="AH206" s="182" t="e">
        <f t="shared" si="102"/>
        <v>#N/A</v>
      </c>
      <c r="AI206" s="491"/>
      <c r="AJ206" s="182"/>
      <c r="AK206" s="182"/>
      <c r="AL206" s="182"/>
      <c r="AM206" s="182" t="e">
        <f t="shared" si="103"/>
        <v>#N/A</v>
      </c>
      <c r="AN206" s="491"/>
      <c r="AO206" s="182"/>
      <c r="AP206" s="182"/>
      <c r="AQ206" s="182"/>
      <c r="AR206" s="182" t="e">
        <f t="shared" si="104"/>
        <v>#N/A</v>
      </c>
      <c r="AS206" s="491"/>
      <c r="AT206" s="182"/>
      <c r="AU206" s="182"/>
      <c r="AV206" s="182"/>
      <c r="AW206" s="391" t="e">
        <f t="shared" si="105"/>
        <v>#N/A</v>
      </c>
      <c r="AX206" s="487"/>
    </row>
    <row r="207" spans="2:50">
      <c r="B207" s="479"/>
      <c r="C207" s="182">
        <v>26</v>
      </c>
      <c r="D207" s="182"/>
      <c r="E207" s="166"/>
      <c r="F207" s="166"/>
      <c r="G207" s="166"/>
      <c r="H207" s="460"/>
      <c r="I207" s="166"/>
      <c r="J207" s="166"/>
      <c r="K207" s="180"/>
      <c r="L207" s="460"/>
      <c r="M207" s="166" t="e">
        <f>RANK(K207, K$182:$K$211)</f>
        <v>#DIV/0!</v>
      </c>
      <c r="N207" s="462"/>
      <c r="O207" s="462"/>
      <c r="P207" s="182"/>
      <c r="Q207" s="182"/>
      <c r="R207" s="182"/>
      <c r="S207" s="182" t="e">
        <f t="shared" si="99"/>
        <v>#N/A</v>
      </c>
      <c r="T207" s="491"/>
      <c r="U207" s="182"/>
      <c r="V207" s="182"/>
      <c r="W207" s="182"/>
      <c r="X207" s="182" t="e">
        <f t="shared" si="100"/>
        <v>#N/A</v>
      </c>
      <c r="Y207" s="491"/>
      <c r="Z207" s="182"/>
      <c r="AA207" s="182"/>
      <c r="AB207" s="182"/>
      <c r="AC207" s="182" t="e">
        <f t="shared" si="101"/>
        <v>#N/A</v>
      </c>
      <c r="AD207" s="491"/>
      <c r="AE207" s="182"/>
      <c r="AF207" s="182"/>
      <c r="AG207" s="182"/>
      <c r="AH207" s="182" t="e">
        <f t="shared" si="102"/>
        <v>#N/A</v>
      </c>
      <c r="AI207" s="491"/>
      <c r="AJ207" s="182"/>
      <c r="AK207" s="182"/>
      <c r="AL207" s="182"/>
      <c r="AM207" s="182" t="e">
        <f t="shared" si="103"/>
        <v>#N/A</v>
      </c>
      <c r="AN207" s="491"/>
      <c r="AO207" s="182"/>
      <c r="AP207" s="182"/>
      <c r="AQ207" s="182"/>
      <c r="AR207" s="182" t="e">
        <f t="shared" si="104"/>
        <v>#N/A</v>
      </c>
      <c r="AS207" s="491"/>
      <c r="AT207" s="182"/>
      <c r="AU207" s="182"/>
      <c r="AV207" s="182"/>
      <c r="AW207" s="391" t="e">
        <f t="shared" si="105"/>
        <v>#N/A</v>
      </c>
      <c r="AX207" s="487"/>
    </row>
    <row r="208" spans="2:50">
      <c r="B208" s="479"/>
      <c r="C208" s="182">
        <v>27</v>
      </c>
      <c r="D208" s="182"/>
      <c r="E208" s="166"/>
      <c r="F208" s="166"/>
      <c r="G208" s="166"/>
      <c r="H208" s="460"/>
      <c r="I208" s="166"/>
      <c r="J208" s="166"/>
      <c r="K208" s="180"/>
      <c r="L208" s="460"/>
      <c r="M208" s="166" t="e">
        <f>RANK(K208, K$182:$K$211)</f>
        <v>#DIV/0!</v>
      </c>
      <c r="N208" s="462"/>
      <c r="O208" s="462"/>
      <c r="P208" s="182"/>
      <c r="Q208" s="182"/>
      <c r="R208" s="182"/>
      <c r="S208" s="182" t="e">
        <f t="shared" si="99"/>
        <v>#N/A</v>
      </c>
      <c r="T208" s="491"/>
      <c r="U208" s="182"/>
      <c r="V208" s="182"/>
      <c r="W208" s="182"/>
      <c r="X208" s="182" t="e">
        <f t="shared" si="100"/>
        <v>#N/A</v>
      </c>
      <c r="Y208" s="491"/>
      <c r="Z208" s="182"/>
      <c r="AA208" s="182"/>
      <c r="AB208" s="182"/>
      <c r="AC208" s="182" t="e">
        <f t="shared" si="101"/>
        <v>#N/A</v>
      </c>
      <c r="AD208" s="491"/>
      <c r="AE208" s="182"/>
      <c r="AF208" s="182"/>
      <c r="AG208" s="182"/>
      <c r="AH208" s="182" t="e">
        <f t="shared" si="102"/>
        <v>#N/A</v>
      </c>
      <c r="AI208" s="491"/>
      <c r="AJ208" s="182"/>
      <c r="AK208" s="182"/>
      <c r="AL208" s="182"/>
      <c r="AM208" s="182" t="e">
        <f t="shared" si="103"/>
        <v>#N/A</v>
      </c>
      <c r="AN208" s="491"/>
      <c r="AO208" s="182"/>
      <c r="AP208" s="182"/>
      <c r="AQ208" s="182"/>
      <c r="AR208" s="182" t="e">
        <f t="shared" si="104"/>
        <v>#N/A</v>
      </c>
      <c r="AS208" s="491"/>
      <c r="AT208" s="182"/>
      <c r="AU208" s="182"/>
      <c r="AV208" s="182"/>
      <c r="AW208" s="391" t="e">
        <f t="shared" si="105"/>
        <v>#N/A</v>
      </c>
      <c r="AX208" s="487"/>
    </row>
    <row r="209" spans="2:50">
      <c r="B209" s="479"/>
      <c r="C209" s="182">
        <v>28</v>
      </c>
      <c r="D209" s="182"/>
      <c r="E209" s="166"/>
      <c r="F209" s="166"/>
      <c r="G209" s="166"/>
      <c r="H209" s="460"/>
      <c r="I209" s="166"/>
      <c r="J209" s="166"/>
      <c r="K209" s="180"/>
      <c r="L209" s="460"/>
      <c r="M209" s="166" t="e">
        <f>RANK(K209, K$182:$K$211)</f>
        <v>#DIV/0!</v>
      </c>
      <c r="N209" s="462"/>
      <c r="O209" s="462"/>
      <c r="P209" s="182"/>
      <c r="Q209" s="182"/>
      <c r="R209" s="182"/>
      <c r="S209" s="182" t="e">
        <f t="shared" si="99"/>
        <v>#N/A</v>
      </c>
      <c r="T209" s="491"/>
      <c r="U209" s="182"/>
      <c r="V209" s="182"/>
      <c r="W209" s="182"/>
      <c r="X209" s="182" t="e">
        <f t="shared" si="100"/>
        <v>#N/A</v>
      </c>
      <c r="Y209" s="491"/>
      <c r="Z209" s="182"/>
      <c r="AA209" s="182"/>
      <c r="AB209" s="182"/>
      <c r="AC209" s="182" t="e">
        <f t="shared" si="101"/>
        <v>#N/A</v>
      </c>
      <c r="AD209" s="491"/>
      <c r="AE209" s="182"/>
      <c r="AF209" s="182"/>
      <c r="AG209" s="182"/>
      <c r="AH209" s="182" t="e">
        <f t="shared" si="102"/>
        <v>#N/A</v>
      </c>
      <c r="AI209" s="491"/>
      <c r="AJ209" s="182"/>
      <c r="AK209" s="182"/>
      <c r="AL209" s="182"/>
      <c r="AM209" s="182" t="e">
        <f t="shared" si="103"/>
        <v>#N/A</v>
      </c>
      <c r="AN209" s="491"/>
      <c r="AO209" s="182"/>
      <c r="AP209" s="182"/>
      <c r="AQ209" s="182"/>
      <c r="AR209" s="182" t="e">
        <f t="shared" si="104"/>
        <v>#N/A</v>
      </c>
      <c r="AS209" s="491"/>
      <c r="AT209" s="182"/>
      <c r="AU209" s="182"/>
      <c r="AV209" s="182"/>
      <c r="AW209" s="391" t="e">
        <f t="shared" si="105"/>
        <v>#N/A</v>
      </c>
      <c r="AX209" s="487"/>
    </row>
    <row r="210" spans="2:50">
      <c r="B210" s="479"/>
      <c r="C210" s="182">
        <v>29</v>
      </c>
      <c r="D210" s="182"/>
      <c r="E210" s="166"/>
      <c r="F210" s="166"/>
      <c r="G210" s="166"/>
      <c r="H210" s="460"/>
      <c r="I210" s="166"/>
      <c r="J210" s="166"/>
      <c r="K210" s="180"/>
      <c r="L210" s="460"/>
      <c r="M210" s="166" t="e">
        <f>RANK(K210, K$182:$K$211)</f>
        <v>#DIV/0!</v>
      </c>
      <c r="N210" s="462"/>
      <c r="O210" s="462"/>
      <c r="P210" s="182"/>
      <c r="Q210" s="182"/>
      <c r="R210" s="182"/>
      <c r="S210" s="182" t="e">
        <f t="shared" si="99"/>
        <v>#N/A</v>
      </c>
      <c r="T210" s="491"/>
      <c r="U210" s="182"/>
      <c r="V210" s="182"/>
      <c r="W210" s="182"/>
      <c r="X210" s="182" t="e">
        <f t="shared" si="100"/>
        <v>#N/A</v>
      </c>
      <c r="Y210" s="491"/>
      <c r="Z210" s="182"/>
      <c r="AA210" s="182"/>
      <c r="AB210" s="182"/>
      <c r="AC210" s="182" t="e">
        <f t="shared" si="101"/>
        <v>#N/A</v>
      </c>
      <c r="AD210" s="491"/>
      <c r="AE210" s="182"/>
      <c r="AF210" s="182"/>
      <c r="AG210" s="182"/>
      <c r="AH210" s="182" t="e">
        <f t="shared" si="102"/>
        <v>#N/A</v>
      </c>
      <c r="AI210" s="491"/>
      <c r="AJ210" s="182"/>
      <c r="AK210" s="182"/>
      <c r="AL210" s="182"/>
      <c r="AM210" s="182" t="e">
        <f t="shared" si="103"/>
        <v>#N/A</v>
      </c>
      <c r="AN210" s="491"/>
      <c r="AO210" s="182"/>
      <c r="AP210" s="182"/>
      <c r="AQ210" s="182"/>
      <c r="AR210" s="182" t="e">
        <f t="shared" si="104"/>
        <v>#N/A</v>
      </c>
      <c r="AS210" s="491"/>
      <c r="AT210" s="182"/>
      <c r="AU210" s="182"/>
      <c r="AV210" s="182"/>
      <c r="AW210" s="391" t="e">
        <f t="shared" si="105"/>
        <v>#N/A</v>
      </c>
      <c r="AX210" s="487"/>
    </row>
    <row r="211" spans="2:50">
      <c r="B211" s="479"/>
      <c r="C211" s="182">
        <v>30</v>
      </c>
      <c r="D211" s="182"/>
      <c r="E211" s="166"/>
      <c r="F211" s="166"/>
      <c r="G211" s="166"/>
      <c r="H211" s="460"/>
      <c r="I211" s="166"/>
      <c r="J211" s="166"/>
      <c r="K211" s="180"/>
      <c r="L211" s="461"/>
      <c r="M211" s="166" t="e">
        <f>RANK(K211, K$182:$K$211)</f>
        <v>#DIV/0!</v>
      </c>
      <c r="N211" s="462"/>
      <c r="O211" s="462"/>
      <c r="P211" s="182"/>
      <c r="Q211" s="182"/>
      <c r="R211" s="182"/>
      <c r="S211" s="182" t="e">
        <f t="shared" si="99"/>
        <v>#N/A</v>
      </c>
      <c r="T211" s="491"/>
      <c r="U211" s="182"/>
      <c r="V211" s="182"/>
      <c r="W211" s="182"/>
      <c r="X211" s="182" t="e">
        <f t="shared" si="100"/>
        <v>#N/A</v>
      </c>
      <c r="Y211" s="491"/>
      <c r="Z211" s="182"/>
      <c r="AA211" s="182"/>
      <c r="AB211" s="182"/>
      <c r="AC211" s="182" t="e">
        <f t="shared" si="101"/>
        <v>#N/A</v>
      </c>
      <c r="AD211" s="491"/>
      <c r="AE211" s="182"/>
      <c r="AF211" s="182"/>
      <c r="AG211" s="182"/>
      <c r="AH211" s="182" t="e">
        <f t="shared" si="102"/>
        <v>#N/A</v>
      </c>
      <c r="AI211" s="491"/>
      <c r="AJ211" s="182"/>
      <c r="AK211" s="182"/>
      <c r="AL211" s="182"/>
      <c r="AM211" s="182" t="e">
        <f t="shared" si="103"/>
        <v>#N/A</v>
      </c>
      <c r="AN211" s="491"/>
      <c r="AO211" s="182"/>
      <c r="AP211" s="182"/>
      <c r="AQ211" s="182"/>
      <c r="AR211" s="182" t="e">
        <f t="shared" si="104"/>
        <v>#N/A</v>
      </c>
      <c r="AS211" s="491"/>
      <c r="AT211" s="182"/>
      <c r="AU211" s="182"/>
      <c r="AV211" s="182"/>
      <c r="AW211" s="391" t="e">
        <f t="shared" si="105"/>
        <v>#N/A</v>
      </c>
      <c r="AX211" s="487"/>
    </row>
    <row r="213" spans="2:50" ht="15.75">
      <c r="B213" s="502" t="s">
        <v>249</v>
      </c>
      <c r="C213" s="503"/>
      <c r="D213" s="503"/>
      <c r="E213" s="503"/>
      <c r="F213" s="503"/>
      <c r="G213" s="503"/>
      <c r="H213" s="503"/>
      <c r="I213" s="287"/>
      <c r="J213" s="287"/>
      <c r="K213" s="287"/>
      <c r="L213" s="287"/>
      <c r="M213" s="288"/>
    </row>
    <row r="214" spans="2:50" ht="15.75">
      <c r="B214" s="504"/>
      <c r="C214" s="504"/>
      <c r="D214" s="504"/>
      <c r="E214" s="504"/>
      <c r="F214" s="504"/>
      <c r="G214" s="504"/>
      <c r="H214" s="504"/>
      <c r="I214" s="289"/>
      <c r="J214" s="289"/>
      <c r="K214" s="289"/>
      <c r="L214" s="289"/>
      <c r="M214" s="290"/>
    </row>
    <row r="215" spans="2:50">
      <c r="B215" s="462" t="s">
        <v>209</v>
      </c>
      <c r="C215" s="462" t="s">
        <v>210</v>
      </c>
      <c r="D215" s="462"/>
      <c r="E215" s="462" t="s">
        <v>211</v>
      </c>
      <c r="F215" s="462"/>
      <c r="G215" s="462"/>
      <c r="H215" s="462" t="s">
        <v>212</v>
      </c>
      <c r="I215" s="505" t="s">
        <v>213</v>
      </c>
      <c r="J215" s="505"/>
      <c r="K215" s="505"/>
      <c r="L215" s="505" t="s">
        <v>212</v>
      </c>
      <c r="M215" s="505" t="s">
        <v>214</v>
      </c>
    </row>
    <row r="216" spans="2:50">
      <c r="B216" s="462"/>
      <c r="C216" s="462"/>
      <c r="D216" s="462"/>
      <c r="E216" s="462" t="s">
        <v>217</v>
      </c>
      <c r="F216" s="462"/>
      <c r="G216" s="462"/>
      <c r="H216" s="462"/>
      <c r="I216" s="505" t="s">
        <v>217</v>
      </c>
      <c r="J216" s="505"/>
      <c r="K216" s="505"/>
      <c r="L216" s="505"/>
      <c r="M216" s="505"/>
    </row>
    <row r="217" spans="2:50">
      <c r="B217" s="462"/>
      <c r="C217" s="462"/>
      <c r="D217" s="462"/>
      <c r="E217" s="271" t="s">
        <v>219</v>
      </c>
      <c r="F217" s="271" t="s">
        <v>220</v>
      </c>
      <c r="G217" s="271" t="s">
        <v>221</v>
      </c>
      <c r="H217" s="462"/>
      <c r="I217" s="291" t="s">
        <v>219</v>
      </c>
      <c r="J217" s="291" t="s">
        <v>220</v>
      </c>
      <c r="K217" s="291" t="s">
        <v>221</v>
      </c>
      <c r="L217" s="505"/>
      <c r="M217" s="505"/>
    </row>
    <row r="218" spans="2:50">
      <c r="B218" s="501" t="s">
        <v>222</v>
      </c>
      <c r="C218" s="182">
        <v>1</v>
      </c>
      <c r="D218" s="182"/>
      <c r="E218" s="182"/>
      <c r="F218" s="182"/>
      <c r="G218" s="182"/>
      <c r="H218" s="491" t="e">
        <f>AVERAGE(G218:G247)</f>
        <v>#DIV/0!</v>
      </c>
      <c r="I218" s="166" t="e">
        <f t="shared" ref="I218:K240" si="107">AVERAGEIF($D$7:$D$211,$D218,I$7:I$211)</f>
        <v>#DIV/0!</v>
      </c>
      <c r="J218" s="166" t="e">
        <f t="shared" si="107"/>
        <v>#DIV/0!</v>
      </c>
      <c r="K218" s="166" t="e">
        <f>AVERAGEIF($D$7:$D$211,$D218,K$7:K$211)</f>
        <v>#DIV/0!</v>
      </c>
      <c r="L218" s="506" t="e">
        <f>AVERAGE(K218:K247)</f>
        <v>#DIV/0!</v>
      </c>
      <c r="M218" s="166" t="e">
        <f>RANK(K218, K$218:$K$247)</f>
        <v>#DIV/0!</v>
      </c>
    </row>
    <row r="219" spans="2:50">
      <c r="B219" s="479"/>
      <c r="C219" s="182">
        <v>2</v>
      </c>
      <c r="D219" s="182"/>
      <c r="E219" s="182"/>
      <c r="F219" s="182"/>
      <c r="G219" s="182"/>
      <c r="H219" s="491"/>
      <c r="I219" s="166" t="e">
        <f t="shared" si="107"/>
        <v>#DIV/0!</v>
      </c>
      <c r="J219" s="166" t="e">
        <f t="shared" si="107"/>
        <v>#DIV/0!</v>
      </c>
      <c r="K219" s="166" t="e">
        <f t="shared" si="107"/>
        <v>#DIV/0!</v>
      </c>
      <c r="L219" s="506"/>
      <c r="M219" s="166" t="e">
        <f>RANK(K219, K$218:$K$247)</f>
        <v>#DIV/0!</v>
      </c>
    </row>
    <row r="220" spans="2:50">
      <c r="B220" s="479"/>
      <c r="C220" s="182">
        <v>3</v>
      </c>
      <c r="D220" s="182"/>
      <c r="E220" s="182"/>
      <c r="F220" s="182"/>
      <c r="G220" s="182"/>
      <c r="H220" s="491"/>
      <c r="I220" s="166" t="e">
        <f t="shared" si="107"/>
        <v>#DIV/0!</v>
      </c>
      <c r="J220" s="166" t="e">
        <f t="shared" si="107"/>
        <v>#DIV/0!</v>
      </c>
      <c r="K220" s="166" t="e">
        <f t="shared" si="107"/>
        <v>#DIV/0!</v>
      </c>
      <c r="L220" s="506"/>
      <c r="M220" s="166" t="e">
        <f>RANK(K220, K$218:$K$247)</f>
        <v>#DIV/0!</v>
      </c>
    </row>
    <row r="221" spans="2:50">
      <c r="B221" s="479"/>
      <c r="C221" s="182">
        <v>4</v>
      </c>
      <c r="D221" s="182"/>
      <c r="E221" s="182"/>
      <c r="F221" s="182"/>
      <c r="G221" s="182"/>
      <c r="H221" s="491"/>
      <c r="I221" s="166" t="e">
        <f t="shared" si="107"/>
        <v>#DIV/0!</v>
      </c>
      <c r="J221" s="166" t="e">
        <f t="shared" si="107"/>
        <v>#DIV/0!</v>
      </c>
      <c r="K221" s="166" t="e">
        <f t="shared" si="107"/>
        <v>#DIV/0!</v>
      </c>
      <c r="L221" s="506"/>
      <c r="M221" s="166" t="e">
        <f>RANK(K221, K$218:$K$247)</f>
        <v>#DIV/0!</v>
      </c>
    </row>
    <row r="222" spans="2:50">
      <c r="B222" s="479"/>
      <c r="C222" s="182">
        <v>5</v>
      </c>
      <c r="D222" s="182"/>
      <c r="E222" s="182"/>
      <c r="F222" s="182"/>
      <c r="G222" s="182"/>
      <c r="H222" s="491"/>
      <c r="I222" s="166" t="e">
        <f t="shared" si="107"/>
        <v>#DIV/0!</v>
      </c>
      <c r="J222" s="166" t="e">
        <f t="shared" si="107"/>
        <v>#DIV/0!</v>
      </c>
      <c r="K222" s="166" t="e">
        <f t="shared" si="107"/>
        <v>#DIV/0!</v>
      </c>
      <c r="L222" s="506"/>
      <c r="M222" s="166" t="e">
        <f>RANK(K222, K$218:$K$247)</f>
        <v>#DIV/0!</v>
      </c>
    </row>
    <row r="223" spans="2:50">
      <c r="B223" s="479"/>
      <c r="C223" s="182">
        <v>6</v>
      </c>
      <c r="D223" s="182"/>
      <c r="E223" s="182"/>
      <c r="F223" s="182"/>
      <c r="G223" s="182"/>
      <c r="H223" s="491"/>
      <c r="I223" s="166" t="e">
        <f t="shared" si="107"/>
        <v>#DIV/0!</v>
      </c>
      <c r="J223" s="166" t="e">
        <f t="shared" si="107"/>
        <v>#DIV/0!</v>
      </c>
      <c r="K223" s="166" t="e">
        <f t="shared" si="107"/>
        <v>#DIV/0!</v>
      </c>
      <c r="L223" s="506"/>
      <c r="M223" s="166" t="e">
        <f>RANK(K223, K$218:$K$247)</f>
        <v>#DIV/0!</v>
      </c>
    </row>
    <row r="224" spans="2:50">
      <c r="B224" s="479"/>
      <c r="C224" s="182">
        <v>7</v>
      </c>
      <c r="D224" s="271"/>
      <c r="E224" s="182"/>
      <c r="F224" s="182"/>
      <c r="G224" s="182"/>
      <c r="H224" s="491"/>
      <c r="I224" s="166" t="e">
        <f t="shared" si="107"/>
        <v>#DIV/0!</v>
      </c>
      <c r="J224" s="166" t="e">
        <f t="shared" si="107"/>
        <v>#DIV/0!</v>
      </c>
      <c r="K224" s="166" t="e">
        <f t="shared" si="107"/>
        <v>#DIV/0!</v>
      </c>
      <c r="L224" s="506"/>
      <c r="M224" s="166" t="e">
        <f>RANK(K224, K$218:$K$247)</f>
        <v>#DIV/0!</v>
      </c>
    </row>
    <row r="225" spans="2:13">
      <c r="B225" s="479"/>
      <c r="C225" s="182">
        <v>8</v>
      </c>
      <c r="D225" s="271"/>
      <c r="E225" s="182"/>
      <c r="F225" s="182"/>
      <c r="G225" s="182"/>
      <c r="H225" s="491"/>
      <c r="I225" s="166" t="e">
        <f t="shared" si="107"/>
        <v>#DIV/0!</v>
      </c>
      <c r="J225" s="166" t="e">
        <f t="shared" si="107"/>
        <v>#DIV/0!</v>
      </c>
      <c r="K225" s="166" t="e">
        <f t="shared" si="107"/>
        <v>#DIV/0!</v>
      </c>
      <c r="L225" s="506"/>
      <c r="M225" s="166" t="e">
        <f>RANK(K225, K$218:$K$247)</f>
        <v>#DIV/0!</v>
      </c>
    </row>
    <row r="226" spans="2:13">
      <c r="B226" s="479"/>
      <c r="C226" s="182">
        <v>9</v>
      </c>
      <c r="D226" s="182"/>
      <c r="E226" s="182"/>
      <c r="F226" s="182"/>
      <c r="G226" s="182"/>
      <c r="H226" s="491"/>
      <c r="I226" s="166" t="e">
        <f t="shared" si="107"/>
        <v>#DIV/0!</v>
      </c>
      <c r="J226" s="166" t="e">
        <f t="shared" si="107"/>
        <v>#DIV/0!</v>
      </c>
      <c r="K226" s="166" t="e">
        <f t="shared" si="107"/>
        <v>#DIV/0!</v>
      </c>
      <c r="L226" s="506"/>
      <c r="M226" s="166" t="e">
        <f>RANK(K226, K$218:$K$247)</f>
        <v>#DIV/0!</v>
      </c>
    </row>
    <row r="227" spans="2:13">
      <c r="B227" s="479"/>
      <c r="C227" s="182">
        <v>10</v>
      </c>
      <c r="D227" s="182"/>
      <c r="E227" s="182"/>
      <c r="F227" s="182"/>
      <c r="G227" s="182"/>
      <c r="H227" s="491"/>
      <c r="I227" s="166" t="e">
        <f t="shared" si="107"/>
        <v>#DIV/0!</v>
      </c>
      <c r="J227" s="166" t="e">
        <f t="shared" si="107"/>
        <v>#DIV/0!</v>
      </c>
      <c r="K227" s="166" t="e">
        <f t="shared" si="107"/>
        <v>#DIV/0!</v>
      </c>
      <c r="L227" s="506"/>
      <c r="M227" s="166" t="e">
        <f>RANK(K227, K$218:$K$247)</f>
        <v>#DIV/0!</v>
      </c>
    </row>
    <row r="228" spans="2:13">
      <c r="B228" s="479"/>
      <c r="C228" s="182">
        <v>11</v>
      </c>
      <c r="D228" s="182"/>
      <c r="E228" s="182"/>
      <c r="F228" s="182"/>
      <c r="G228" s="182"/>
      <c r="H228" s="491"/>
      <c r="I228" s="166" t="e">
        <f t="shared" si="107"/>
        <v>#DIV/0!</v>
      </c>
      <c r="J228" s="166" t="e">
        <f t="shared" si="107"/>
        <v>#DIV/0!</v>
      </c>
      <c r="K228" s="166" t="e">
        <f t="shared" si="107"/>
        <v>#DIV/0!</v>
      </c>
      <c r="L228" s="506"/>
      <c r="M228" s="166" t="e">
        <f>RANK(K228, K$218:$K$247)</f>
        <v>#DIV/0!</v>
      </c>
    </row>
    <row r="229" spans="2:13">
      <c r="B229" s="479"/>
      <c r="C229" s="182">
        <v>12</v>
      </c>
      <c r="D229" s="182"/>
      <c r="E229" s="182"/>
      <c r="F229" s="182"/>
      <c r="G229" s="182"/>
      <c r="H229" s="491"/>
      <c r="I229" s="166" t="e">
        <f t="shared" si="107"/>
        <v>#DIV/0!</v>
      </c>
      <c r="J229" s="166" t="e">
        <f t="shared" si="107"/>
        <v>#DIV/0!</v>
      </c>
      <c r="K229" s="166" t="e">
        <f t="shared" si="107"/>
        <v>#DIV/0!</v>
      </c>
      <c r="L229" s="506"/>
      <c r="M229" s="166" t="e">
        <f>RANK(K229, K$218:$K$247)</f>
        <v>#DIV/0!</v>
      </c>
    </row>
    <row r="230" spans="2:13">
      <c r="B230" s="479"/>
      <c r="C230" s="182">
        <v>13</v>
      </c>
      <c r="D230" s="182"/>
      <c r="E230" s="182"/>
      <c r="F230" s="182"/>
      <c r="G230" s="182"/>
      <c r="H230" s="491"/>
      <c r="I230" s="166" t="e">
        <f t="shared" si="107"/>
        <v>#DIV/0!</v>
      </c>
      <c r="J230" s="166" t="e">
        <f t="shared" si="107"/>
        <v>#DIV/0!</v>
      </c>
      <c r="K230" s="166" t="e">
        <f t="shared" si="107"/>
        <v>#DIV/0!</v>
      </c>
      <c r="L230" s="506"/>
      <c r="M230" s="166" t="e">
        <f>RANK(K230, K$218:$K$247)</f>
        <v>#DIV/0!</v>
      </c>
    </row>
    <row r="231" spans="2:13">
      <c r="B231" s="479"/>
      <c r="C231" s="182">
        <v>14</v>
      </c>
      <c r="D231" s="182"/>
      <c r="E231" s="182"/>
      <c r="F231" s="182"/>
      <c r="G231" s="182"/>
      <c r="H231" s="491"/>
      <c r="I231" s="166" t="e">
        <f t="shared" si="107"/>
        <v>#DIV/0!</v>
      </c>
      <c r="J231" s="166" t="e">
        <f t="shared" si="107"/>
        <v>#DIV/0!</v>
      </c>
      <c r="K231" s="166" t="e">
        <f t="shared" si="107"/>
        <v>#DIV/0!</v>
      </c>
      <c r="L231" s="506"/>
      <c r="M231" s="166" t="e">
        <f>RANK(K231, K$218:$K$247)</f>
        <v>#DIV/0!</v>
      </c>
    </row>
    <row r="232" spans="2:13">
      <c r="B232" s="479"/>
      <c r="C232" s="182">
        <v>15</v>
      </c>
      <c r="D232" s="182"/>
      <c r="E232" s="182"/>
      <c r="F232" s="182"/>
      <c r="G232" s="182"/>
      <c r="H232" s="491"/>
      <c r="I232" s="166" t="e">
        <f t="shared" si="107"/>
        <v>#DIV/0!</v>
      </c>
      <c r="J232" s="166" t="e">
        <f t="shared" si="107"/>
        <v>#DIV/0!</v>
      </c>
      <c r="K232" s="166" t="e">
        <f t="shared" si="107"/>
        <v>#DIV/0!</v>
      </c>
      <c r="L232" s="506"/>
      <c r="M232" s="166" t="e">
        <f>RANK(K232, K$218:$K$247)</f>
        <v>#DIV/0!</v>
      </c>
    </row>
    <row r="233" spans="2:13">
      <c r="B233" s="479"/>
      <c r="C233" s="182">
        <v>16</v>
      </c>
      <c r="D233" s="182"/>
      <c r="E233" s="182"/>
      <c r="F233" s="182"/>
      <c r="G233" s="182"/>
      <c r="H233" s="491"/>
      <c r="I233" s="166" t="e">
        <f t="shared" si="107"/>
        <v>#DIV/0!</v>
      </c>
      <c r="J233" s="166" t="e">
        <f t="shared" si="107"/>
        <v>#DIV/0!</v>
      </c>
      <c r="K233" s="166" t="e">
        <f t="shared" si="107"/>
        <v>#DIV/0!</v>
      </c>
      <c r="L233" s="506"/>
      <c r="M233" s="166" t="e">
        <f>RANK(K233, K$218:$K$247)</f>
        <v>#DIV/0!</v>
      </c>
    </row>
    <row r="234" spans="2:13">
      <c r="B234" s="479"/>
      <c r="C234" s="182">
        <v>17</v>
      </c>
      <c r="D234" s="182"/>
      <c r="E234" s="182"/>
      <c r="F234" s="182"/>
      <c r="G234" s="182"/>
      <c r="H234" s="491"/>
      <c r="I234" s="166" t="e">
        <f t="shared" si="107"/>
        <v>#DIV/0!</v>
      </c>
      <c r="J234" s="166" t="e">
        <f t="shared" si="107"/>
        <v>#DIV/0!</v>
      </c>
      <c r="K234" s="166" t="e">
        <f t="shared" si="107"/>
        <v>#DIV/0!</v>
      </c>
      <c r="L234" s="506"/>
      <c r="M234" s="166" t="e">
        <f>RANK(K234, K$218:$K$247)</f>
        <v>#DIV/0!</v>
      </c>
    </row>
    <row r="235" spans="2:13">
      <c r="B235" s="479"/>
      <c r="C235" s="182">
        <v>18</v>
      </c>
      <c r="D235" s="182"/>
      <c r="E235" s="182"/>
      <c r="F235" s="182"/>
      <c r="G235" s="182"/>
      <c r="H235" s="491"/>
      <c r="I235" s="166" t="e">
        <f t="shared" si="107"/>
        <v>#DIV/0!</v>
      </c>
      <c r="J235" s="166" t="e">
        <f t="shared" si="107"/>
        <v>#DIV/0!</v>
      </c>
      <c r="K235" s="166" t="e">
        <f t="shared" si="107"/>
        <v>#DIV/0!</v>
      </c>
      <c r="L235" s="506"/>
      <c r="M235" s="166" t="e">
        <f>RANK(K235, K$218:$K$247)</f>
        <v>#DIV/0!</v>
      </c>
    </row>
    <row r="236" spans="2:13">
      <c r="B236" s="479"/>
      <c r="C236" s="182">
        <v>19</v>
      </c>
      <c r="D236" s="182"/>
      <c r="E236" s="182"/>
      <c r="F236" s="182"/>
      <c r="G236" s="182"/>
      <c r="H236" s="491"/>
      <c r="I236" s="166" t="e">
        <f t="shared" si="107"/>
        <v>#DIV/0!</v>
      </c>
      <c r="J236" s="166" t="e">
        <f t="shared" si="107"/>
        <v>#DIV/0!</v>
      </c>
      <c r="K236" s="166" t="e">
        <f t="shared" si="107"/>
        <v>#DIV/0!</v>
      </c>
      <c r="L236" s="506"/>
      <c r="M236" s="166" t="e">
        <f>RANK(K236, K$218:$K$247)</f>
        <v>#DIV/0!</v>
      </c>
    </row>
    <row r="237" spans="2:13">
      <c r="B237" s="479"/>
      <c r="C237" s="182">
        <v>20</v>
      </c>
      <c r="D237" s="182"/>
      <c r="E237" s="182"/>
      <c r="F237" s="182"/>
      <c r="G237" s="182"/>
      <c r="H237" s="491"/>
      <c r="I237" s="166" t="e">
        <f t="shared" si="107"/>
        <v>#DIV/0!</v>
      </c>
      <c r="J237" s="166" t="e">
        <f t="shared" si="107"/>
        <v>#DIV/0!</v>
      </c>
      <c r="K237" s="166" t="e">
        <f t="shared" si="107"/>
        <v>#DIV/0!</v>
      </c>
      <c r="L237" s="506"/>
      <c r="M237" s="166" t="e">
        <f>RANK(K237, K$218:$K$247)</f>
        <v>#DIV/0!</v>
      </c>
    </row>
    <row r="238" spans="2:13">
      <c r="B238" s="479"/>
      <c r="C238" s="182">
        <v>21</v>
      </c>
      <c r="D238" s="182"/>
      <c r="E238" s="182"/>
      <c r="F238" s="182"/>
      <c r="G238" s="182"/>
      <c r="H238" s="491"/>
      <c r="I238" s="166" t="e">
        <f t="shared" si="107"/>
        <v>#DIV/0!</v>
      </c>
      <c r="J238" s="166" t="e">
        <f t="shared" si="107"/>
        <v>#DIV/0!</v>
      </c>
      <c r="K238" s="166" t="e">
        <f t="shared" si="107"/>
        <v>#DIV/0!</v>
      </c>
      <c r="L238" s="506"/>
      <c r="M238" s="166" t="e">
        <f>RANK(K238, K$218:$K$247)</f>
        <v>#DIV/0!</v>
      </c>
    </row>
    <row r="239" spans="2:13">
      <c r="B239" s="479"/>
      <c r="C239" s="182">
        <v>22</v>
      </c>
      <c r="D239" s="182"/>
      <c r="E239" s="182"/>
      <c r="F239" s="182"/>
      <c r="G239" s="182"/>
      <c r="H239" s="491"/>
      <c r="I239" s="166" t="e">
        <f t="shared" si="107"/>
        <v>#DIV/0!</v>
      </c>
      <c r="J239" s="166" t="e">
        <f t="shared" si="107"/>
        <v>#DIV/0!</v>
      </c>
      <c r="K239" s="166" t="e">
        <f t="shared" si="107"/>
        <v>#DIV/0!</v>
      </c>
      <c r="L239" s="506"/>
      <c r="M239" s="166" t="e">
        <f>RANK(K239, K$218:$K$247)</f>
        <v>#DIV/0!</v>
      </c>
    </row>
    <row r="240" spans="2:13">
      <c r="B240" s="479"/>
      <c r="C240" s="182">
        <v>23</v>
      </c>
      <c r="D240" s="182"/>
      <c r="E240" s="182"/>
      <c r="F240" s="182"/>
      <c r="G240" s="182"/>
      <c r="H240" s="491"/>
      <c r="I240" s="166" t="e">
        <f t="shared" si="107"/>
        <v>#DIV/0!</v>
      </c>
      <c r="J240" s="166" t="e">
        <f t="shared" si="107"/>
        <v>#DIV/0!</v>
      </c>
      <c r="K240" s="166" t="e">
        <f t="shared" si="107"/>
        <v>#DIV/0!</v>
      </c>
      <c r="L240" s="506"/>
      <c r="M240" s="166" t="e">
        <f>RANK(K240, K$218:$K$247)</f>
        <v>#DIV/0!</v>
      </c>
    </row>
    <row r="241" spans="2:13">
      <c r="B241" s="479"/>
      <c r="C241" s="182">
        <v>24</v>
      </c>
      <c r="D241" s="182"/>
      <c r="E241" s="182"/>
      <c r="F241" s="182"/>
      <c r="G241" s="182"/>
      <c r="H241" s="491"/>
      <c r="I241" s="166"/>
      <c r="J241" s="166"/>
      <c r="K241" s="166"/>
      <c r="L241" s="506"/>
      <c r="M241" s="166" t="e">
        <f>RANK(K241, K$218:$K$247)</f>
        <v>#DIV/0!</v>
      </c>
    </row>
    <row r="242" spans="2:13">
      <c r="B242" s="479"/>
      <c r="C242" s="182">
        <v>25</v>
      </c>
      <c r="D242" s="182"/>
      <c r="E242" s="182"/>
      <c r="F242" s="182"/>
      <c r="G242" s="182"/>
      <c r="H242" s="491"/>
      <c r="I242" s="166"/>
      <c r="J242" s="166"/>
      <c r="K242" s="166"/>
      <c r="L242" s="506"/>
      <c r="M242" s="166" t="e">
        <f>RANK(K242, K$218:$K$247)</f>
        <v>#DIV/0!</v>
      </c>
    </row>
    <row r="243" spans="2:13">
      <c r="B243" s="479"/>
      <c r="C243" s="182">
        <v>26</v>
      </c>
      <c r="D243" s="182"/>
      <c r="E243" s="182"/>
      <c r="F243" s="182"/>
      <c r="G243" s="182"/>
      <c r="H243" s="491"/>
      <c r="I243" s="166"/>
      <c r="J243" s="166"/>
      <c r="K243" s="166"/>
      <c r="L243" s="506"/>
      <c r="M243" s="166" t="e">
        <f>RANK(K243, K$218:$K$247)</f>
        <v>#DIV/0!</v>
      </c>
    </row>
    <row r="244" spans="2:13">
      <c r="B244" s="479"/>
      <c r="C244" s="182">
        <v>27</v>
      </c>
      <c r="D244" s="182"/>
      <c r="E244" s="182"/>
      <c r="F244" s="182"/>
      <c r="G244" s="182"/>
      <c r="H244" s="491"/>
      <c r="I244" s="166"/>
      <c r="J244" s="166"/>
      <c r="K244" s="166"/>
      <c r="L244" s="506"/>
      <c r="M244" s="166" t="e">
        <f>RANK(K244, K$218:$K$247)</f>
        <v>#DIV/0!</v>
      </c>
    </row>
    <row r="245" spans="2:13">
      <c r="B245" s="479"/>
      <c r="C245" s="182">
        <v>28</v>
      </c>
      <c r="D245" s="182"/>
      <c r="E245" s="182"/>
      <c r="F245" s="182"/>
      <c r="G245" s="182"/>
      <c r="H245" s="491"/>
      <c r="I245" s="166"/>
      <c r="J245" s="166"/>
      <c r="K245" s="166"/>
      <c r="L245" s="506"/>
      <c r="M245" s="166" t="e">
        <f>RANK(K245, K$218:$K$247)</f>
        <v>#DIV/0!</v>
      </c>
    </row>
    <row r="246" spans="2:13">
      <c r="B246" s="479"/>
      <c r="C246" s="182">
        <v>29</v>
      </c>
      <c r="D246" s="182"/>
      <c r="E246" s="182"/>
      <c r="F246" s="182"/>
      <c r="G246" s="182"/>
      <c r="H246" s="491"/>
      <c r="I246" s="166"/>
      <c r="J246" s="166"/>
      <c r="K246" s="166"/>
      <c r="L246" s="506"/>
      <c r="M246" s="166" t="e">
        <f>RANK(K246, K$218:$K$247)</f>
        <v>#DIV/0!</v>
      </c>
    </row>
    <row r="247" spans="2:13">
      <c r="B247" s="479"/>
      <c r="C247" s="182">
        <v>30</v>
      </c>
      <c r="D247" s="182"/>
      <c r="E247" s="182"/>
      <c r="F247" s="182"/>
      <c r="G247" s="182"/>
      <c r="H247" s="491"/>
      <c r="I247" s="166"/>
      <c r="J247" s="166"/>
      <c r="K247" s="166"/>
      <c r="L247" s="506"/>
      <c r="M247" s="166" t="e">
        <f>RANK(K247, K$218:$K$247)</f>
        <v>#DIV/0!</v>
      </c>
    </row>
    <row r="250" spans="2:13">
      <c r="D250" s="182" t="s">
        <v>230</v>
      </c>
      <c r="E250" s="182">
        <v>4</v>
      </c>
      <c r="F250" s="182">
        <v>2700</v>
      </c>
      <c r="G250" s="182">
        <f>F250/E250</f>
        <v>675</v>
      </c>
      <c r="H250" s="102">
        <v>704.2</v>
      </c>
    </row>
    <row r="251" spans="2:13">
      <c r="D251" s="182" t="s">
        <v>232</v>
      </c>
      <c r="E251" s="182">
        <v>3</v>
      </c>
      <c r="F251" s="182">
        <v>2700</v>
      </c>
      <c r="G251" s="182">
        <f t="shared" ref="G251:G255" si="108">F251/E251</f>
        <v>900</v>
      </c>
    </row>
    <row r="252" spans="2:13">
      <c r="D252" s="182" t="s">
        <v>233</v>
      </c>
      <c r="E252" s="182">
        <v>4</v>
      </c>
      <c r="F252" s="182">
        <v>2700</v>
      </c>
      <c r="G252" s="182">
        <f t="shared" si="108"/>
        <v>675</v>
      </c>
    </row>
    <row r="253" spans="2:13">
      <c r="D253" s="182" t="s">
        <v>241</v>
      </c>
      <c r="E253" s="182">
        <v>4</v>
      </c>
      <c r="F253" s="182">
        <v>2700</v>
      </c>
      <c r="G253" s="182">
        <f t="shared" si="108"/>
        <v>675</v>
      </c>
    </row>
    <row r="254" spans="2:13">
      <c r="D254" s="271" t="s">
        <v>250</v>
      </c>
      <c r="E254" s="182">
        <v>4</v>
      </c>
      <c r="F254" s="182">
        <v>2600</v>
      </c>
      <c r="G254" s="182">
        <f t="shared" si="108"/>
        <v>650</v>
      </c>
    </row>
    <row r="255" spans="2:13">
      <c r="D255" s="271" t="s">
        <v>251</v>
      </c>
      <c r="E255" s="182">
        <v>4</v>
      </c>
      <c r="F255" s="182">
        <v>2600</v>
      </c>
      <c r="G255" s="182">
        <f t="shared" si="108"/>
        <v>650</v>
      </c>
    </row>
    <row r="257" spans="4:8">
      <c r="D257" s="182" t="s">
        <v>230</v>
      </c>
      <c r="E257" s="182">
        <v>4</v>
      </c>
      <c r="F257" s="182">
        <v>3300</v>
      </c>
      <c r="G257" s="182">
        <f>F257/E257</f>
        <v>825</v>
      </c>
      <c r="H257" s="102">
        <v>845.8</v>
      </c>
    </row>
    <row r="258" spans="4:8">
      <c r="D258" s="182" t="s">
        <v>232</v>
      </c>
      <c r="E258" s="182">
        <v>3</v>
      </c>
      <c r="F258" s="182">
        <v>3300</v>
      </c>
      <c r="G258" s="182">
        <f t="shared" ref="G258:G262" si="109">F258/E258</f>
        <v>1100</v>
      </c>
    </row>
    <row r="259" spans="4:8">
      <c r="D259" s="182" t="s">
        <v>233</v>
      </c>
      <c r="E259" s="182">
        <v>4</v>
      </c>
      <c r="F259" s="182">
        <v>3300</v>
      </c>
      <c r="G259" s="182">
        <f t="shared" si="109"/>
        <v>825</v>
      </c>
    </row>
    <row r="260" spans="4:8">
      <c r="D260" s="182" t="s">
        <v>241</v>
      </c>
      <c r="E260" s="182">
        <v>4</v>
      </c>
      <c r="F260" s="182">
        <v>3100</v>
      </c>
      <c r="G260" s="182">
        <f t="shared" si="109"/>
        <v>775</v>
      </c>
    </row>
    <row r="261" spans="4:8">
      <c r="D261" s="271" t="s">
        <v>250</v>
      </c>
      <c r="E261" s="182">
        <v>4</v>
      </c>
      <c r="F261" s="182">
        <v>3100</v>
      </c>
      <c r="G261" s="182">
        <f t="shared" si="109"/>
        <v>775</v>
      </c>
    </row>
    <row r="262" spans="4:8">
      <c r="D262" s="271" t="s">
        <v>251</v>
      </c>
      <c r="E262" s="182">
        <v>4</v>
      </c>
      <c r="F262" s="182">
        <v>3100</v>
      </c>
      <c r="G262" s="182">
        <f t="shared" si="109"/>
        <v>775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6" zoomScale="55" zoomScaleNormal="55" workbookViewId="0">
      <pane xSplit="15" topLeftCell="Z1" activePane="topRight" state="frozen"/>
      <selection sqref="A1:L2"/>
      <selection pane="topRight" activeCell="D72" sqref="D7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166.67638992066685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8" t="s">
        <v>203</v>
      </c>
      <c r="Q3" s="479"/>
      <c r="R3" s="479"/>
      <c r="S3" s="479"/>
      <c r="T3" s="479"/>
      <c r="U3" s="478" t="s">
        <v>204</v>
      </c>
      <c r="V3" s="479"/>
      <c r="W3" s="479"/>
      <c r="X3" s="479"/>
      <c r="Y3" s="479"/>
      <c r="Z3" s="478" t="s">
        <v>205</v>
      </c>
      <c r="AA3" s="479"/>
      <c r="AB3" s="479"/>
      <c r="AC3" s="479"/>
      <c r="AD3" s="479"/>
      <c r="AE3" s="478" t="s">
        <v>206</v>
      </c>
      <c r="AF3" s="479"/>
      <c r="AG3" s="479"/>
      <c r="AH3" s="479"/>
      <c r="AI3" s="479"/>
      <c r="AJ3" s="478" t="s">
        <v>207</v>
      </c>
      <c r="AK3" s="479"/>
      <c r="AL3" s="479"/>
      <c r="AM3" s="479"/>
      <c r="AN3" s="479"/>
      <c r="AO3" s="478" t="s">
        <v>157</v>
      </c>
      <c r="AP3" s="479"/>
      <c r="AQ3" s="479"/>
      <c r="AR3" s="479"/>
      <c r="AS3" s="479"/>
      <c r="AT3" s="478" t="s">
        <v>208</v>
      </c>
      <c r="AU3" s="479"/>
      <c r="AV3" s="479"/>
      <c r="AW3" s="479"/>
      <c r="AX3" s="479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507" t="s">
        <v>253</v>
      </c>
      <c r="C7" s="182">
        <v>1</v>
      </c>
      <c r="D7" s="203" t="s">
        <v>254</v>
      </c>
      <c r="E7" s="166">
        <v>10</v>
      </c>
      <c r="F7" s="166">
        <v>1500</v>
      </c>
      <c r="G7" s="166">
        <v>150</v>
      </c>
      <c r="H7" s="459">
        <f>AVERAGE(G7:G21)</f>
        <v>167.14285714285714</v>
      </c>
      <c r="I7" s="166">
        <f>AVERAGE(P7,U7,Z7,AE7,AJ7,AO7,AT7)</f>
        <v>10</v>
      </c>
      <c r="J7" s="166">
        <f>AVERAGE(Q7,V7,AA7,AF7,AK7,AP7,AU7)</f>
        <v>1426.8857142857162</v>
      </c>
      <c r="K7" s="180">
        <f>AVERAGE(R7,W7,AB7,AG7,AL7,AQ7,AV7)</f>
        <v>142.68857142857161</v>
      </c>
      <c r="L7" s="459">
        <f>AVERAGE(K7:K21)</f>
        <v>165.79335108466466</v>
      </c>
      <c r="M7" s="181">
        <f>RANK(K7, K$7:$K$21)</f>
        <v>4</v>
      </c>
      <c r="N7" s="462"/>
      <c r="O7" s="462"/>
      <c r="P7" s="182">
        <v>10</v>
      </c>
      <c r="Q7" s="166">
        <v>1411.200000000005</v>
      </c>
      <c r="R7" s="166">
        <v>141.12000000000052</v>
      </c>
      <c r="S7" s="182">
        <f>RANK(R7, R$7:R$21)</f>
        <v>5</v>
      </c>
      <c r="T7" s="491">
        <f>AVERAGE(R7:R21)</f>
        <v>171.9079076479079</v>
      </c>
      <c r="U7" s="182">
        <v>10</v>
      </c>
      <c r="V7" s="166">
        <v>1364.9999999999995</v>
      </c>
      <c r="W7" s="166">
        <v>136.49999999999994</v>
      </c>
      <c r="X7" s="182">
        <f>RANK(W7, W$7:W$21)</f>
        <v>5</v>
      </c>
      <c r="Y7" s="491">
        <f t="shared" ref="Y7" si="0">AVERAGE(W7:W21)</f>
        <v>166.27142857142854</v>
      </c>
      <c r="Z7" s="182">
        <v>10</v>
      </c>
      <c r="AA7" s="166">
        <v>1599.0000000000057</v>
      </c>
      <c r="AB7" s="166">
        <v>159.90000000000057</v>
      </c>
      <c r="AC7" s="182">
        <f>RANK(AB7, AB$7:AB$21)</f>
        <v>3</v>
      </c>
      <c r="AD7" s="491">
        <f t="shared" ref="AD7" si="1">AVERAGE(AB7:AB21)</f>
        <v>164.7256235827665</v>
      </c>
      <c r="AE7" s="182">
        <v>10</v>
      </c>
      <c r="AF7" s="166">
        <v>1367.9999999999939</v>
      </c>
      <c r="AG7" s="166">
        <v>136.79999999999939</v>
      </c>
      <c r="AH7" s="182">
        <f>RANK(AG7, AG$7:AG$21)</f>
        <v>5</v>
      </c>
      <c r="AI7" s="491">
        <f t="shared" ref="AI7" si="2">AVERAGE(AG7:AG21)</f>
        <v>166.58274257071247</v>
      </c>
      <c r="AJ7" s="182">
        <v>10</v>
      </c>
      <c r="AK7" s="166">
        <v>1218.0000000000043</v>
      </c>
      <c r="AL7" s="166">
        <v>121.80000000000044</v>
      </c>
      <c r="AM7" s="182">
        <f>RANK(AL7, AL$7:AL$21)</f>
        <v>3</v>
      </c>
      <c r="AN7" s="491">
        <f t="shared" ref="AN7" si="3">AVERAGE(AL7:AL21)</f>
        <v>155.50761256883726</v>
      </c>
      <c r="AO7" s="182">
        <v>10</v>
      </c>
      <c r="AP7" s="166">
        <v>1589.9999999999993</v>
      </c>
      <c r="AQ7" s="166">
        <v>158.99999999999994</v>
      </c>
      <c r="AR7" s="182">
        <f>RANK(AQ7, AQ$7:AQ$21)</f>
        <v>3</v>
      </c>
      <c r="AS7" s="491">
        <f t="shared" ref="AS7" si="4">AVERAGE(AQ7:AQ21)</f>
        <v>171.43320964749543</v>
      </c>
      <c r="AT7" s="182">
        <v>10</v>
      </c>
      <c r="AU7" s="166">
        <v>1437.000000000005</v>
      </c>
      <c r="AV7" s="166">
        <v>143.7000000000005</v>
      </c>
      <c r="AW7" s="182">
        <f>RANK(AV7, AV$7:AV$21)</f>
        <v>4</v>
      </c>
      <c r="AX7" s="491">
        <f t="shared" ref="AX7" si="5">AVERAGE(AV7:AV21)</f>
        <v>164.12493300350451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255</v>
      </c>
      <c r="E8" s="166">
        <v>15</v>
      </c>
      <c r="F8" s="166">
        <v>1800</v>
      </c>
      <c r="G8" s="166">
        <v>120</v>
      </c>
      <c r="H8" s="460"/>
      <c r="I8" s="166">
        <f t="shared" ref="I8:K10" si="6">AVERAGE(P8,U8,Z8,AE8,AJ8,AO8,AT8)</f>
        <v>12.285714285714286</v>
      </c>
      <c r="J8" s="166">
        <f t="shared" si="6"/>
        <v>1762.5442176870752</v>
      </c>
      <c r="K8" s="180">
        <f t="shared" si="6"/>
        <v>144.08568189180437</v>
      </c>
      <c r="L8" s="460"/>
      <c r="M8" s="181">
        <f>RANK(K8, K$7:$K$21)</f>
        <v>3</v>
      </c>
      <c r="N8" s="462"/>
      <c r="O8" s="462"/>
      <c r="P8" s="182">
        <v>12</v>
      </c>
      <c r="Q8" s="166">
        <v>1830.6666666666667</v>
      </c>
      <c r="R8" s="166">
        <v>152.55555555555557</v>
      </c>
      <c r="S8" s="182">
        <f t="shared" ref="S8:S21" si="7">RANK(R8, R$7:R$21)</f>
        <v>3</v>
      </c>
      <c r="T8" s="491"/>
      <c r="U8" s="182">
        <v>12</v>
      </c>
      <c r="V8" s="166">
        <v>1688.9999999999995</v>
      </c>
      <c r="W8" s="166">
        <v>140.74999999999997</v>
      </c>
      <c r="X8" s="182">
        <f t="shared" ref="X8:X21" si="8">RANK(W8, W$7:W$21)</f>
        <v>3</v>
      </c>
      <c r="Y8" s="491"/>
      <c r="Z8" s="182">
        <v>12</v>
      </c>
      <c r="AA8" s="166">
        <v>1878.000000000003</v>
      </c>
      <c r="AB8" s="166">
        <v>156.50000000000026</v>
      </c>
      <c r="AC8" s="182">
        <f t="shared" ref="AC8:AC21" si="9">RANK(AB8, AB$7:AB$21)</f>
        <v>4</v>
      </c>
      <c r="AD8" s="491"/>
      <c r="AE8" s="182">
        <v>12</v>
      </c>
      <c r="AF8" s="166">
        <v>1818.8571428571411</v>
      </c>
      <c r="AG8" s="166">
        <v>151.57142857142841</v>
      </c>
      <c r="AH8" s="182">
        <f t="shared" ref="AH8:AH21" si="10">RANK(AG8, AG$7:AG$21)</f>
        <v>3</v>
      </c>
      <c r="AI8" s="491"/>
      <c r="AJ8" s="182">
        <v>14</v>
      </c>
      <c r="AK8" s="166">
        <v>1642.2857142857163</v>
      </c>
      <c r="AL8" s="166">
        <v>117.30612244897974</v>
      </c>
      <c r="AM8" s="182">
        <f t="shared" ref="AM8:AM21" si="11">RANK(AL8, AL$7:AL$21)</f>
        <v>4</v>
      </c>
      <c r="AN8" s="491"/>
      <c r="AO8" s="182">
        <v>12</v>
      </c>
      <c r="AP8" s="166">
        <v>1688</v>
      </c>
      <c r="AQ8" s="166">
        <v>140.66666666666666</v>
      </c>
      <c r="AR8" s="182">
        <f t="shared" ref="AR8:AR21" si="12">RANK(AQ8, AQ$7:AQ$21)</f>
        <v>4</v>
      </c>
      <c r="AS8" s="491"/>
      <c r="AT8" s="182">
        <v>12</v>
      </c>
      <c r="AU8" s="166">
        <v>1790.9999999999995</v>
      </c>
      <c r="AV8" s="166">
        <v>149.24999999999997</v>
      </c>
      <c r="AW8" s="182">
        <f t="shared" ref="AW8:AW21" si="13">RANK(AV8, AV$7:AV$21)</f>
        <v>3</v>
      </c>
      <c r="AX8" s="491"/>
      <c r="AZ8" s="181" t="e">
        <f>RANK(AX8, $K$7:AX$21)</f>
        <v>#N/A</v>
      </c>
      <c r="BB8" s="182" t="e">
        <f t="shared" ref="BB8:BB21" si="14">RANK(BA8, BA$7:BA$21)</f>
        <v>#N/A</v>
      </c>
    </row>
    <row r="9" spans="1:54">
      <c r="A9" s="79"/>
      <c r="B9" s="479"/>
      <c r="C9" s="182">
        <v>3</v>
      </c>
      <c r="D9" s="203" t="s">
        <v>256</v>
      </c>
      <c r="E9" s="166">
        <v>15</v>
      </c>
      <c r="F9" s="166">
        <v>1800</v>
      </c>
      <c r="G9" s="166">
        <v>120</v>
      </c>
      <c r="H9" s="460"/>
      <c r="I9" s="166">
        <f t="shared" si="6"/>
        <v>12.285714285714286</v>
      </c>
      <c r="J9" s="166">
        <f t="shared" si="6"/>
        <v>1681.0789115646257</v>
      </c>
      <c r="K9" s="180">
        <f t="shared" si="6"/>
        <v>137.34063816002589</v>
      </c>
      <c r="L9" s="460"/>
      <c r="M9" s="181">
        <f>RANK(K9, K$7:$K$21)</f>
        <v>5</v>
      </c>
      <c r="N9" s="462"/>
      <c r="O9" s="462"/>
      <c r="P9" s="182">
        <v>12</v>
      </c>
      <c r="Q9" s="166">
        <v>1814.6666666666665</v>
      </c>
      <c r="R9" s="166">
        <v>151.2222222222222</v>
      </c>
      <c r="S9" s="182">
        <f t="shared" si="7"/>
        <v>4</v>
      </c>
      <c r="T9" s="491"/>
      <c r="U9" s="182">
        <v>12</v>
      </c>
      <c r="V9" s="166">
        <v>1682.9999999999993</v>
      </c>
      <c r="W9" s="166">
        <v>140.24999999999994</v>
      </c>
      <c r="X9" s="182">
        <f t="shared" si="8"/>
        <v>4</v>
      </c>
      <c r="Y9" s="491"/>
      <c r="Z9" s="182">
        <v>12</v>
      </c>
      <c r="AA9" s="166">
        <v>1730.6666666666667</v>
      </c>
      <c r="AB9" s="166">
        <v>144.22222222222223</v>
      </c>
      <c r="AC9" s="182">
        <f t="shared" si="9"/>
        <v>5</v>
      </c>
      <c r="AD9" s="491"/>
      <c r="AE9" s="182">
        <v>12</v>
      </c>
      <c r="AF9" s="166">
        <v>1765.7142857142881</v>
      </c>
      <c r="AG9" s="166">
        <v>147.14285714285734</v>
      </c>
      <c r="AH9" s="182">
        <f t="shared" si="10"/>
        <v>4</v>
      </c>
      <c r="AI9" s="491"/>
      <c r="AJ9" s="182">
        <v>14</v>
      </c>
      <c r="AK9" s="166">
        <v>1616.5714285714268</v>
      </c>
      <c r="AL9" s="166">
        <v>115.46938775510192</v>
      </c>
      <c r="AM9" s="182">
        <f t="shared" si="11"/>
        <v>5</v>
      </c>
      <c r="AN9" s="491"/>
      <c r="AO9" s="182">
        <v>12</v>
      </c>
      <c r="AP9" s="166">
        <v>1551.5999999999981</v>
      </c>
      <c r="AQ9" s="166">
        <v>129.29999999999984</v>
      </c>
      <c r="AR9" s="182">
        <f t="shared" si="12"/>
        <v>5</v>
      </c>
      <c r="AS9" s="491"/>
      <c r="AT9" s="182">
        <v>12</v>
      </c>
      <c r="AU9" s="166">
        <v>1605.3333333333335</v>
      </c>
      <c r="AV9" s="166">
        <v>133.7777777777778</v>
      </c>
      <c r="AW9" s="182">
        <f t="shared" si="13"/>
        <v>5</v>
      </c>
      <c r="AX9" s="491"/>
      <c r="AZ9" s="181" t="e">
        <f>RANK(AX9, $K$7:AX$21)</f>
        <v>#N/A</v>
      </c>
      <c r="BB9" s="182" t="e">
        <f t="shared" si="14"/>
        <v>#N/A</v>
      </c>
    </row>
    <row r="10" spans="1:54">
      <c r="A10" s="79"/>
      <c r="B10" s="479"/>
      <c r="C10" s="182">
        <v>4</v>
      </c>
      <c r="D10" s="203" t="s">
        <v>257</v>
      </c>
      <c r="E10" s="166">
        <v>5</v>
      </c>
      <c r="F10" s="166">
        <v>1500</v>
      </c>
      <c r="G10" s="166">
        <v>300</v>
      </c>
      <c r="H10" s="460"/>
      <c r="I10" s="166">
        <f t="shared" si="6"/>
        <v>6</v>
      </c>
      <c r="J10" s="166">
        <f t="shared" si="6"/>
        <v>1504.8192754613815</v>
      </c>
      <c r="K10" s="180">
        <f t="shared" si="6"/>
        <v>250.80321257689687</v>
      </c>
      <c r="L10" s="460"/>
      <c r="M10" s="181">
        <f>RANK(K10, K$7:$K$21)</f>
        <v>2</v>
      </c>
      <c r="N10" s="462"/>
      <c r="O10" s="462"/>
      <c r="P10" s="182">
        <v>6</v>
      </c>
      <c r="Q10" s="166">
        <v>1573.6363636363665</v>
      </c>
      <c r="R10" s="166">
        <v>262.27272727272776</v>
      </c>
      <c r="S10" s="182">
        <f t="shared" si="7"/>
        <v>2</v>
      </c>
      <c r="T10" s="491"/>
      <c r="U10" s="182">
        <v>6</v>
      </c>
      <c r="V10" s="166">
        <v>1560</v>
      </c>
      <c r="W10" s="166">
        <v>260</v>
      </c>
      <c r="X10" s="182">
        <f t="shared" si="8"/>
        <v>2</v>
      </c>
      <c r="Y10" s="491"/>
      <c r="Z10" s="182">
        <v>6</v>
      </c>
      <c r="AA10" s="166">
        <v>1394.4000000000003</v>
      </c>
      <c r="AB10" s="166">
        <v>232.40000000000006</v>
      </c>
      <c r="AC10" s="182">
        <f t="shared" si="9"/>
        <v>2</v>
      </c>
      <c r="AD10" s="491"/>
      <c r="AE10" s="182">
        <v>6</v>
      </c>
      <c r="AF10" s="166">
        <v>1455.7894736842095</v>
      </c>
      <c r="AG10" s="166">
        <v>242.63157894736824</v>
      </c>
      <c r="AH10" s="182">
        <f t="shared" si="10"/>
        <v>2</v>
      </c>
      <c r="AI10" s="491"/>
      <c r="AJ10" s="182">
        <v>6</v>
      </c>
      <c r="AK10" s="166">
        <v>1572.0000000000014</v>
      </c>
      <c r="AL10" s="166">
        <v>262.00000000000023</v>
      </c>
      <c r="AM10" s="182">
        <f t="shared" si="11"/>
        <v>2</v>
      </c>
      <c r="AN10" s="491"/>
      <c r="AO10" s="182">
        <v>6</v>
      </c>
      <c r="AP10" s="166">
        <v>1510.909090909091</v>
      </c>
      <c r="AQ10" s="166">
        <v>251.81818181818184</v>
      </c>
      <c r="AR10" s="182">
        <f t="shared" si="12"/>
        <v>2</v>
      </c>
      <c r="AS10" s="491"/>
      <c r="AT10" s="182">
        <v>6</v>
      </c>
      <c r="AU10" s="166">
        <v>1466.9999999999995</v>
      </c>
      <c r="AV10" s="166">
        <v>244.49999999999991</v>
      </c>
      <c r="AW10" s="182">
        <f t="shared" si="13"/>
        <v>2</v>
      </c>
      <c r="AX10" s="491"/>
      <c r="AZ10" s="181" t="e">
        <f>RANK(AX10, $K$7:AX$21)</f>
        <v>#N/A</v>
      </c>
      <c r="BB10" s="182" t="e">
        <f t="shared" si="14"/>
        <v>#N/A</v>
      </c>
    </row>
    <row r="11" spans="1:54">
      <c r="A11" s="79"/>
      <c r="B11" s="479"/>
      <c r="C11" s="182">
        <v>5</v>
      </c>
      <c r="D11" s="203" t="s">
        <v>258</v>
      </c>
      <c r="E11" s="166">
        <v>5</v>
      </c>
      <c r="F11" s="166">
        <v>1500</v>
      </c>
      <c r="G11" s="166">
        <v>300</v>
      </c>
      <c r="H11" s="460"/>
      <c r="I11" s="166">
        <f>AVERAGE(P11,U11,Z11,AE11,AJ11,AO11,AT11)</f>
        <v>5</v>
      </c>
      <c r="J11" s="166">
        <f>AVERAGE(Q11,V11,AA11,AF11,AK11,AP11,AU11)</f>
        <v>1477.0204081632669</v>
      </c>
      <c r="K11" s="180">
        <f>AVERAGE(R11,W11,AB11,AG11,AL11,AQ11,AV11)</f>
        <v>295.40408163265334</v>
      </c>
      <c r="L11" s="460"/>
      <c r="M11" s="181">
        <f>RANK(K11, K$7:$K$21)</f>
        <v>1</v>
      </c>
      <c r="N11" s="462"/>
      <c r="O11" s="462"/>
      <c r="P11" s="182">
        <v>5</v>
      </c>
      <c r="Q11" s="166">
        <v>1528.0000000000036</v>
      </c>
      <c r="R11" s="166">
        <v>305.6000000000007</v>
      </c>
      <c r="S11" s="182">
        <f t="shared" si="7"/>
        <v>1</v>
      </c>
      <c r="T11" s="491"/>
      <c r="U11" s="182">
        <v>5</v>
      </c>
      <c r="V11" s="166">
        <v>1498.0000000000014</v>
      </c>
      <c r="W11" s="166">
        <v>299.60000000000025</v>
      </c>
      <c r="X11" s="182">
        <f t="shared" si="8"/>
        <v>1</v>
      </c>
      <c r="Y11" s="491"/>
      <c r="Z11" s="182">
        <v>5</v>
      </c>
      <c r="AA11" s="166">
        <v>1263.4285714285702</v>
      </c>
      <c r="AB11" s="166">
        <v>252.68571428571403</v>
      </c>
      <c r="AC11" s="182">
        <f t="shared" si="9"/>
        <v>1</v>
      </c>
      <c r="AD11" s="491"/>
      <c r="AE11" s="182">
        <v>5</v>
      </c>
      <c r="AF11" s="166">
        <v>1455.0000000000005</v>
      </c>
      <c r="AG11" s="166">
        <v>291.00000000000011</v>
      </c>
      <c r="AH11" s="182">
        <f t="shared" si="10"/>
        <v>1</v>
      </c>
      <c r="AI11" s="491"/>
      <c r="AJ11" s="182">
        <v>5</v>
      </c>
      <c r="AK11" s="166">
        <v>1554.0000000000025</v>
      </c>
      <c r="AL11" s="166">
        <v>310.80000000000052</v>
      </c>
      <c r="AM11" s="182">
        <f t="shared" si="11"/>
        <v>1</v>
      </c>
      <c r="AN11" s="491"/>
      <c r="AO11" s="182">
        <v>5</v>
      </c>
      <c r="AP11" s="166">
        <v>1583.5714285714298</v>
      </c>
      <c r="AQ11" s="166">
        <v>316.71428571428595</v>
      </c>
      <c r="AR11" s="182">
        <f t="shared" si="12"/>
        <v>1</v>
      </c>
      <c r="AS11" s="491"/>
      <c r="AT11" s="182">
        <v>5</v>
      </c>
      <c r="AU11" s="166">
        <v>1457.1428571428582</v>
      </c>
      <c r="AV11" s="166">
        <v>291.42857142857167</v>
      </c>
      <c r="AW11" s="182">
        <f t="shared" si="13"/>
        <v>1</v>
      </c>
      <c r="AX11" s="491"/>
      <c r="AZ11" s="181" t="e">
        <f>RANK(AX11, $K$7:AX$21)</f>
        <v>#N/A</v>
      </c>
      <c r="BB11" s="182" t="e">
        <f t="shared" si="14"/>
        <v>#N/A</v>
      </c>
    </row>
    <row r="12" spans="1:54">
      <c r="A12" s="79"/>
      <c r="B12" s="479"/>
      <c r="C12" s="182">
        <v>6</v>
      </c>
      <c r="D12" s="203" t="s">
        <v>259</v>
      </c>
      <c r="E12" s="166">
        <v>15</v>
      </c>
      <c r="F12" s="166">
        <v>1200</v>
      </c>
      <c r="G12" s="166">
        <v>80</v>
      </c>
      <c r="H12" s="460"/>
      <c r="I12" s="166">
        <f t="shared" ref="I12:K13" si="15">AVERAGE(P12,U12,Z12,AE12,AJ12,AO12,AT12)</f>
        <v>10.285714285714286</v>
      </c>
      <c r="J12" s="166">
        <f t="shared" si="15"/>
        <v>1130.7142857142867</v>
      </c>
      <c r="K12" s="180">
        <f t="shared" si="15"/>
        <v>110.64285714285725</v>
      </c>
      <c r="L12" s="460"/>
      <c r="M12" s="181">
        <f>RANK(K12, K$7:$K$21)</f>
        <v>6</v>
      </c>
      <c r="N12" s="462"/>
      <c r="O12" s="462"/>
      <c r="P12" s="182">
        <v>10</v>
      </c>
      <c r="Q12" s="166">
        <v>1100.9999999999995</v>
      </c>
      <c r="R12" s="166">
        <v>110.09999999999995</v>
      </c>
      <c r="S12" s="182">
        <f t="shared" si="7"/>
        <v>6</v>
      </c>
      <c r="T12" s="491"/>
      <c r="U12" s="182">
        <v>10</v>
      </c>
      <c r="V12" s="166">
        <v>1049.9999999999995</v>
      </c>
      <c r="W12" s="166">
        <v>104.99999999999996</v>
      </c>
      <c r="X12" s="182">
        <f t="shared" si="8"/>
        <v>6</v>
      </c>
      <c r="Y12" s="491"/>
      <c r="Z12" s="182">
        <v>10</v>
      </c>
      <c r="AA12" s="166">
        <v>1251.9999999999977</v>
      </c>
      <c r="AB12" s="166">
        <v>125.19999999999978</v>
      </c>
      <c r="AC12" s="182">
        <f t="shared" si="9"/>
        <v>6</v>
      </c>
      <c r="AD12" s="491"/>
      <c r="AE12" s="182">
        <v>10</v>
      </c>
      <c r="AF12" s="166">
        <v>1188.0000000000043</v>
      </c>
      <c r="AG12" s="166">
        <v>118.80000000000044</v>
      </c>
      <c r="AH12" s="182">
        <f t="shared" si="10"/>
        <v>6</v>
      </c>
      <c r="AI12" s="491"/>
      <c r="AJ12" s="182">
        <v>12</v>
      </c>
      <c r="AK12" s="166">
        <v>1020.0000000000036</v>
      </c>
      <c r="AL12" s="166">
        <v>85.000000000000298</v>
      </c>
      <c r="AM12" s="182">
        <f t="shared" si="11"/>
        <v>6</v>
      </c>
      <c r="AN12" s="491"/>
      <c r="AO12" s="182">
        <v>10</v>
      </c>
      <c r="AP12" s="166">
        <v>1220.0000000000043</v>
      </c>
      <c r="AQ12" s="166">
        <v>122.00000000000043</v>
      </c>
      <c r="AR12" s="182">
        <f t="shared" si="12"/>
        <v>6</v>
      </c>
      <c r="AS12" s="491"/>
      <c r="AT12" s="182">
        <v>10</v>
      </c>
      <c r="AU12" s="166">
        <v>1083.9999999999982</v>
      </c>
      <c r="AV12" s="166">
        <v>108.39999999999982</v>
      </c>
      <c r="AW12" s="182">
        <f t="shared" si="13"/>
        <v>6</v>
      </c>
      <c r="AX12" s="491"/>
      <c r="AZ12" s="181" t="e">
        <f>RANK(AX12, $K$7:AX$21)</f>
        <v>#N/A</v>
      </c>
      <c r="BB12" s="182" t="e">
        <f t="shared" si="14"/>
        <v>#N/A</v>
      </c>
    </row>
    <row r="13" spans="1:54">
      <c r="A13" s="79"/>
      <c r="B13" s="479"/>
      <c r="C13" s="182">
        <v>7</v>
      </c>
      <c r="D13" s="203" t="s">
        <v>260</v>
      </c>
      <c r="E13" s="166">
        <v>13</v>
      </c>
      <c r="F13" s="166">
        <v>1300</v>
      </c>
      <c r="G13" s="166">
        <v>100</v>
      </c>
      <c r="H13" s="460"/>
      <c r="I13" s="166">
        <f t="shared" si="15"/>
        <v>15</v>
      </c>
      <c r="J13" s="166">
        <f t="shared" si="15"/>
        <v>1193.8262213976502</v>
      </c>
      <c r="K13" s="180">
        <f t="shared" si="15"/>
        <v>79.588414759843346</v>
      </c>
      <c r="L13" s="460"/>
      <c r="M13" s="181">
        <f>RANK(K13, K$7:$K$21)</f>
        <v>7</v>
      </c>
      <c r="N13" s="462"/>
      <c r="O13" s="462"/>
      <c r="P13" s="182">
        <v>15</v>
      </c>
      <c r="Q13" s="166">
        <v>1207.2727272727268</v>
      </c>
      <c r="R13" s="166">
        <v>80.484848484848456</v>
      </c>
      <c r="S13" s="182">
        <f t="shared" si="7"/>
        <v>7</v>
      </c>
      <c r="T13" s="491"/>
      <c r="U13" s="182">
        <v>15</v>
      </c>
      <c r="V13" s="166">
        <v>1227.0000000000007</v>
      </c>
      <c r="W13" s="166">
        <v>81.80000000000004</v>
      </c>
      <c r="X13" s="182">
        <f t="shared" si="8"/>
        <v>7</v>
      </c>
      <c r="Y13" s="491"/>
      <c r="Z13" s="182">
        <v>15</v>
      </c>
      <c r="AA13" s="166">
        <v>1232.5714285714303</v>
      </c>
      <c r="AB13" s="166">
        <v>82.171428571428677</v>
      </c>
      <c r="AC13" s="182">
        <f t="shared" si="9"/>
        <v>7</v>
      </c>
      <c r="AD13" s="491"/>
      <c r="AE13" s="182">
        <v>15</v>
      </c>
      <c r="AF13" s="166">
        <v>1171.9999999999995</v>
      </c>
      <c r="AG13" s="166">
        <v>78.133333333333297</v>
      </c>
      <c r="AH13" s="182">
        <f t="shared" si="10"/>
        <v>7</v>
      </c>
      <c r="AI13" s="491"/>
      <c r="AJ13" s="182">
        <v>15</v>
      </c>
      <c r="AK13" s="166">
        <v>1142.6666666666667</v>
      </c>
      <c r="AL13" s="166">
        <v>76.177777777777777</v>
      </c>
      <c r="AM13" s="182">
        <f t="shared" si="11"/>
        <v>7</v>
      </c>
      <c r="AN13" s="491"/>
      <c r="AO13" s="182">
        <v>15</v>
      </c>
      <c r="AP13" s="166">
        <v>1207.9999999999993</v>
      </c>
      <c r="AQ13" s="166">
        <v>80.533333333333289</v>
      </c>
      <c r="AR13" s="182">
        <f t="shared" si="12"/>
        <v>7</v>
      </c>
      <c r="AS13" s="491"/>
      <c r="AT13" s="182">
        <v>15</v>
      </c>
      <c r="AU13" s="166">
        <v>1167.2727272727279</v>
      </c>
      <c r="AV13" s="166">
        <v>77.818181818181856</v>
      </c>
      <c r="AW13" s="182">
        <f t="shared" si="13"/>
        <v>7</v>
      </c>
      <c r="AX13" s="491"/>
      <c r="AZ13" s="181" t="e">
        <f>RANK(AX13, $K$7:AX$21)</f>
        <v>#N/A</v>
      </c>
      <c r="BB13" s="182" t="e">
        <f t="shared" si="14"/>
        <v>#N/A</v>
      </c>
    </row>
    <row r="14" spans="1:54">
      <c r="A14" s="79"/>
      <c r="B14" s="479"/>
      <c r="C14" s="182">
        <v>8</v>
      </c>
      <c r="D14" s="292"/>
      <c r="E14" s="166" t="s">
        <v>244</v>
      </c>
      <c r="F14" s="166" t="s">
        <v>244</v>
      </c>
      <c r="G14" s="166" t="s">
        <v>244</v>
      </c>
      <c r="H14" s="460"/>
      <c r="I14" s="166"/>
      <c r="J14" s="166"/>
      <c r="K14" s="180"/>
      <c r="L14" s="460"/>
      <c r="M14" s="181" t="e">
        <f>RANK(K14, K$7:$K$21)</f>
        <v>#N/A</v>
      </c>
      <c r="N14" s="462"/>
      <c r="O14" s="462"/>
      <c r="P14" s="182"/>
      <c r="Q14" s="166"/>
      <c r="R14" s="166"/>
      <c r="S14" s="182" t="e">
        <f t="shared" si="7"/>
        <v>#N/A</v>
      </c>
      <c r="T14" s="491"/>
      <c r="U14" s="182"/>
      <c r="V14" s="166"/>
      <c r="W14" s="166"/>
      <c r="X14" s="182" t="e">
        <f t="shared" si="8"/>
        <v>#N/A</v>
      </c>
      <c r="Y14" s="491"/>
      <c r="Z14" s="182"/>
      <c r="AA14" s="166"/>
      <c r="AB14" s="166"/>
      <c r="AC14" s="182" t="e">
        <f t="shared" si="9"/>
        <v>#N/A</v>
      </c>
      <c r="AD14" s="491"/>
      <c r="AE14" s="182"/>
      <c r="AF14" s="166"/>
      <c r="AG14" s="166"/>
      <c r="AH14" s="182" t="e">
        <f t="shared" si="10"/>
        <v>#N/A</v>
      </c>
      <c r="AI14" s="491"/>
      <c r="AJ14" s="182"/>
      <c r="AK14" s="166"/>
      <c r="AL14" s="166"/>
      <c r="AM14" s="182" t="e">
        <f t="shared" si="11"/>
        <v>#N/A</v>
      </c>
      <c r="AN14" s="491"/>
      <c r="AO14" s="182"/>
      <c r="AP14" s="166"/>
      <c r="AQ14" s="166"/>
      <c r="AR14" s="182" t="e">
        <f t="shared" si="12"/>
        <v>#N/A</v>
      </c>
      <c r="AS14" s="491"/>
      <c r="AT14" s="182"/>
      <c r="AU14" s="166"/>
      <c r="AV14" s="166"/>
      <c r="AW14" s="182" t="e">
        <f t="shared" si="13"/>
        <v>#N/A</v>
      </c>
      <c r="AX14" s="491"/>
      <c r="AZ14" s="181" t="e">
        <f>RANK(AX14, $K$7:AX$21)</f>
        <v>#N/A</v>
      </c>
      <c r="BB14" s="182" t="e">
        <f t="shared" si="14"/>
        <v>#N/A</v>
      </c>
    </row>
    <row r="15" spans="1:54">
      <c r="A15" s="79"/>
      <c r="B15" s="479"/>
      <c r="C15" s="182">
        <v>9</v>
      </c>
      <c r="D15" s="203"/>
      <c r="E15" s="166" t="s">
        <v>244</v>
      </c>
      <c r="F15" s="166" t="s">
        <v>244</v>
      </c>
      <c r="G15" s="166" t="s">
        <v>244</v>
      </c>
      <c r="H15" s="460"/>
      <c r="I15" s="166"/>
      <c r="J15" s="166"/>
      <c r="K15" s="180"/>
      <c r="L15" s="460"/>
      <c r="M15" s="181" t="e">
        <f>RANK(K15, K$7:$K$21)</f>
        <v>#N/A</v>
      </c>
      <c r="N15" s="462"/>
      <c r="O15" s="462"/>
      <c r="P15" s="182"/>
      <c r="Q15" s="166"/>
      <c r="R15" s="166"/>
      <c r="S15" s="182" t="e">
        <f t="shared" si="7"/>
        <v>#N/A</v>
      </c>
      <c r="T15" s="491"/>
      <c r="U15" s="182"/>
      <c r="V15" s="166"/>
      <c r="W15" s="166"/>
      <c r="X15" s="182" t="e">
        <f t="shared" si="8"/>
        <v>#N/A</v>
      </c>
      <c r="Y15" s="491"/>
      <c r="Z15" s="182"/>
      <c r="AA15" s="166"/>
      <c r="AB15" s="166"/>
      <c r="AC15" s="182" t="e">
        <f t="shared" si="9"/>
        <v>#N/A</v>
      </c>
      <c r="AD15" s="491"/>
      <c r="AE15" s="182"/>
      <c r="AF15" s="166"/>
      <c r="AG15" s="166"/>
      <c r="AH15" s="182" t="e">
        <f t="shared" si="10"/>
        <v>#N/A</v>
      </c>
      <c r="AI15" s="491"/>
      <c r="AJ15" s="182"/>
      <c r="AK15" s="166"/>
      <c r="AL15" s="166"/>
      <c r="AM15" s="182" t="e">
        <f t="shared" si="11"/>
        <v>#N/A</v>
      </c>
      <c r="AN15" s="491"/>
      <c r="AO15" s="182"/>
      <c r="AP15" s="166"/>
      <c r="AQ15" s="166"/>
      <c r="AR15" s="182" t="e">
        <f t="shared" si="12"/>
        <v>#N/A</v>
      </c>
      <c r="AS15" s="491"/>
      <c r="AT15" s="182"/>
      <c r="AU15" s="166"/>
      <c r="AV15" s="166"/>
      <c r="AW15" s="182" t="e">
        <f t="shared" si="13"/>
        <v>#N/A</v>
      </c>
      <c r="AX15" s="491"/>
      <c r="AZ15" s="181" t="e">
        <f>RANK(AX15, $K$7:AX$21)</f>
        <v>#N/A</v>
      </c>
      <c r="BB15" s="182" t="e">
        <f t="shared" si="14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460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/>
      <c r="Q16" s="166"/>
      <c r="R16" s="166"/>
      <c r="S16" s="182" t="e">
        <f t="shared" si="7"/>
        <v>#N/A</v>
      </c>
      <c r="T16" s="491"/>
      <c r="U16" s="182"/>
      <c r="V16" s="166"/>
      <c r="W16" s="166"/>
      <c r="X16" s="182" t="e">
        <f t="shared" si="8"/>
        <v>#N/A</v>
      </c>
      <c r="Y16" s="491"/>
      <c r="Z16" s="182"/>
      <c r="AA16" s="166"/>
      <c r="AB16" s="166"/>
      <c r="AC16" s="182" t="e">
        <f t="shared" si="9"/>
        <v>#N/A</v>
      </c>
      <c r="AD16" s="491"/>
      <c r="AE16" s="182"/>
      <c r="AF16" s="166"/>
      <c r="AG16" s="166"/>
      <c r="AH16" s="182" t="e">
        <f t="shared" si="10"/>
        <v>#N/A</v>
      </c>
      <c r="AI16" s="491"/>
      <c r="AJ16" s="182"/>
      <c r="AK16" s="166"/>
      <c r="AL16" s="166"/>
      <c r="AM16" s="182" t="e">
        <f t="shared" si="11"/>
        <v>#N/A</v>
      </c>
      <c r="AN16" s="491"/>
      <c r="AO16" s="182"/>
      <c r="AP16" s="166"/>
      <c r="AQ16" s="166"/>
      <c r="AR16" s="182" t="e">
        <f t="shared" si="12"/>
        <v>#N/A</v>
      </c>
      <c r="AS16" s="491"/>
      <c r="AT16" s="182"/>
      <c r="AU16" s="166"/>
      <c r="AV16" s="166"/>
      <c r="AW16" s="182" t="e">
        <f t="shared" si="13"/>
        <v>#N/A</v>
      </c>
      <c r="AX16" s="491"/>
      <c r="AZ16" s="181" t="e">
        <f>RANK(AX16, $K$7:AX$21)</f>
        <v>#N/A</v>
      </c>
      <c r="BB16" s="182" t="e">
        <f t="shared" si="14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460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/>
      <c r="Q17" s="166"/>
      <c r="R17" s="166"/>
      <c r="S17" s="182" t="e">
        <f t="shared" si="7"/>
        <v>#N/A</v>
      </c>
      <c r="T17" s="491"/>
      <c r="U17" s="182"/>
      <c r="V17" s="166"/>
      <c r="W17" s="166"/>
      <c r="X17" s="182" t="e">
        <f t="shared" si="8"/>
        <v>#N/A</v>
      </c>
      <c r="Y17" s="491"/>
      <c r="Z17" s="182"/>
      <c r="AA17" s="166"/>
      <c r="AB17" s="166"/>
      <c r="AC17" s="182" t="e">
        <f t="shared" si="9"/>
        <v>#N/A</v>
      </c>
      <c r="AD17" s="491"/>
      <c r="AE17" s="182"/>
      <c r="AF17" s="166"/>
      <c r="AG17" s="166"/>
      <c r="AH17" s="182" t="e">
        <f t="shared" si="10"/>
        <v>#N/A</v>
      </c>
      <c r="AI17" s="491"/>
      <c r="AJ17" s="182"/>
      <c r="AK17" s="166"/>
      <c r="AL17" s="166"/>
      <c r="AM17" s="182" t="e">
        <f t="shared" si="11"/>
        <v>#N/A</v>
      </c>
      <c r="AN17" s="491"/>
      <c r="AO17" s="182"/>
      <c r="AP17" s="166"/>
      <c r="AQ17" s="166"/>
      <c r="AR17" s="182" t="e">
        <f t="shared" si="12"/>
        <v>#N/A</v>
      </c>
      <c r="AS17" s="491"/>
      <c r="AT17" s="182"/>
      <c r="AU17" s="166"/>
      <c r="AV17" s="166"/>
      <c r="AW17" s="182" t="e">
        <f t="shared" si="13"/>
        <v>#N/A</v>
      </c>
      <c r="AX17" s="491"/>
      <c r="AZ17" s="181" t="e">
        <f>RANK(AX17, $K$7:AX$21)</f>
        <v>#N/A</v>
      </c>
      <c r="BB17" s="182" t="e">
        <f t="shared" si="14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/>
      <c r="Q18" s="166"/>
      <c r="R18" s="166"/>
      <c r="S18" s="182" t="e">
        <f t="shared" si="7"/>
        <v>#N/A</v>
      </c>
      <c r="T18" s="491"/>
      <c r="U18" s="182"/>
      <c r="V18" s="166"/>
      <c r="W18" s="166"/>
      <c r="X18" s="182" t="e">
        <f t="shared" si="8"/>
        <v>#N/A</v>
      </c>
      <c r="Y18" s="491"/>
      <c r="Z18" s="182"/>
      <c r="AA18" s="166"/>
      <c r="AB18" s="166"/>
      <c r="AC18" s="182" t="e">
        <f t="shared" si="9"/>
        <v>#N/A</v>
      </c>
      <c r="AD18" s="491"/>
      <c r="AE18" s="182"/>
      <c r="AF18" s="166"/>
      <c r="AG18" s="166"/>
      <c r="AH18" s="182" t="e">
        <f t="shared" si="10"/>
        <v>#N/A</v>
      </c>
      <c r="AI18" s="491"/>
      <c r="AJ18" s="182"/>
      <c r="AK18" s="166"/>
      <c r="AL18" s="166"/>
      <c r="AM18" s="182" t="e">
        <f t="shared" si="11"/>
        <v>#N/A</v>
      </c>
      <c r="AN18" s="491"/>
      <c r="AO18" s="182"/>
      <c r="AP18" s="166"/>
      <c r="AQ18" s="166"/>
      <c r="AR18" s="182" t="e">
        <f t="shared" si="12"/>
        <v>#N/A</v>
      </c>
      <c r="AS18" s="491"/>
      <c r="AT18" s="182"/>
      <c r="AU18" s="166"/>
      <c r="AV18" s="166"/>
      <c r="AW18" s="182" t="e">
        <f t="shared" si="13"/>
        <v>#N/A</v>
      </c>
      <c r="AX18" s="491"/>
      <c r="AZ18" s="181" t="e">
        <f>RANK(AX18, $K$7:AX$21)</f>
        <v>#N/A</v>
      </c>
      <c r="BB18" s="182" t="e">
        <f t="shared" si="14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/>
      <c r="Q19" s="166"/>
      <c r="R19" s="166"/>
      <c r="S19" s="182" t="e">
        <f t="shared" si="7"/>
        <v>#N/A</v>
      </c>
      <c r="T19" s="491"/>
      <c r="U19" s="182"/>
      <c r="V19" s="166"/>
      <c r="W19" s="166"/>
      <c r="X19" s="182" t="e">
        <f t="shared" si="8"/>
        <v>#N/A</v>
      </c>
      <c r="Y19" s="491"/>
      <c r="Z19" s="182"/>
      <c r="AA19" s="166"/>
      <c r="AB19" s="166"/>
      <c r="AC19" s="182" t="e">
        <f t="shared" si="9"/>
        <v>#N/A</v>
      </c>
      <c r="AD19" s="491"/>
      <c r="AE19" s="182"/>
      <c r="AF19" s="166"/>
      <c r="AG19" s="166"/>
      <c r="AH19" s="182" t="e">
        <f t="shared" si="10"/>
        <v>#N/A</v>
      </c>
      <c r="AI19" s="491"/>
      <c r="AJ19" s="182"/>
      <c r="AK19" s="166"/>
      <c r="AL19" s="166"/>
      <c r="AM19" s="182" t="e">
        <f t="shared" si="11"/>
        <v>#N/A</v>
      </c>
      <c r="AN19" s="491"/>
      <c r="AO19" s="182"/>
      <c r="AP19" s="166"/>
      <c r="AQ19" s="166"/>
      <c r="AR19" s="182" t="e">
        <f t="shared" si="12"/>
        <v>#N/A</v>
      </c>
      <c r="AS19" s="491"/>
      <c r="AT19" s="182"/>
      <c r="AU19" s="166"/>
      <c r="AV19" s="166"/>
      <c r="AW19" s="182" t="e">
        <f t="shared" si="13"/>
        <v>#N/A</v>
      </c>
      <c r="AX19" s="491"/>
      <c r="AZ19" s="181" t="e">
        <f>RANK(AX19, $K$7:AX$21)</f>
        <v>#N/A</v>
      </c>
      <c r="BB19" s="182" t="e">
        <f t="shared" si="14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/>
      <c r="Q20" s="166"/>
      <c r="R20" s="166"/>
      <c r="S20" s="182" t="e">
        <f t="shared" si="7"/>
        <v>#N/A</v>
      </c>
      <c r="T20" s="491"/>
      <c r="U20" s="182"/>
      <c r="V20" s="166"/>
      <c r="W20" s="166"/>
      <c r="X20" s="182" t="e">
        <f t="shared" si="8"/>
        <v>#N/A</v>
      </c>
      <c r="Y20" s="491"/>
      <c r="Z20" s="182"/>
      <c r="AA20" s="166"/>
      <c r="AB20" s="166"/>
      <c r="AC20" s="182" t="e">
        <f t="shared" si="9"/>
        <v>#N/A</v>
      </c>
      <c r="AD20" s="491"/>
      <c r="AE20" s="182"/>
      <c r="AF20" s="166"/>
      <c r="AG20" s="166"/>
      <c r="AH20" s="182" t="e">
        <f t="shared" si="10"/>
        <v>#N/A</v>
      </c>
      <c r="AI20" s="491"/>
      <c r="AJ20" s="182"/>
      <c r="AK20" s="166"/>
      <c r="AL20" s="166"/>
      <c r="AM20" s="182" t="e">
        <f t="shared" si="11"/>
        <v>#N/A</v>
      </c>
      <c r="AN20" s="491"/>
      <c r="AO20" s="182"/>
      <c r="AP20" s="166"/>
      <c r="AQ20" s="166"/>
      <c r="AR20" s="182" t="e">
        <f t="shared" si="12"/>
        <v>#N/A</v>
      </c>
      <c r="AS20" s="491"/>
      <c r="AT20" s="182"/>
      <c r="AU20" s="166"/>
      <c r="AV20" s="166"/>
      <c r="AW20" s="182" t="e">
        <f t="shared" si="13"/>
        <v>#N/A</v>
      </c>
      <c r="AX20" s="491"/>
      <c r="AZ20" s="181" t="e">
        <f>RANK(AX20, $K$7:AX$21)</f>
        <v>#N/A</v>
      </c>
      <c r="BB20" s="182" t="e">
        <f t="shared" si="14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/>
      <c r="Q21" s="166"/>
      <c r="R21" s="166"/>
      <c r="S21" s="182" t="e">
        <f t="shared" si="7"/>
        <v>#N/A</v>
      </c>
      <c r="T21" s="491"/>
      <c r="U21" s="182"/>
      <c r="V21" s="166"/>
      <c r="W21" s="166"/>
      <c r="X21" s="182" t="e">
        <f t="shared" si="8"/>
        <v>#N/A</v>
      </c>
      <c r="Y21" s="491"/>
      <c r="Z21" s="182"/>
      <c r="AA21" s="166"/>
      <c r="AB21" s="166"/>
      <c r="AC21" s="182" t="e">
        <f t="shared" si="9"/>
        <v>#N/A</v>
      </c>
      <c r="AD21" s="491"/>
      <c r="AE21" s="182"/>
      <c r="AF21" s="166"/>
      <c r="AG21" s="166"/>
      <c r="AH21" s="182" t="e">
        <f t="shared" si="10"/>
        <v>#N/A</v>
      </c>
      <c r="AI21" s="491"/>
      <c r="AJ21" s="182"/>
      <c r="AK21" s="166"/>
      <c r="AL21" s="166"/>
      <c r="AM21" s="182" t="e">
        <f t="shared" si="11"/>
        <v>#N/A</v>
      </c>
      <c r="AN21" s="491"/>
      <c r="AO21" s="182"/>
      <c r="AP21" s="166"/>
      <c r="AQ21" s="166"/>
      <c r="AR21" s="182" t="e">
        <f t="shared" si="12"/>
        <v>#N/A</v>
      </c>
      <c r="AS21" s="491"/>
      <c r="AT21" s="182"/>
      <c r="AU21" s="166"/>
      <c r="AV21" s="166"/>
      <c r="AW21" s="182" t="e">
        <f t="shared" si="13"/>
        <v>#N/A</v>
      </c>
      <c r="AX21" s="491"/>
      <c r="AZ21" s="166" t="e">
        <f>RANK(AX21, $K$7:AX$21)</f>
        <v>#N/A</v>
      </c>
      <c r="BB21" s="182" t="e">
        <f t="shared" si="14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511">
        <f>AT2+1</f>
        <v>46393</v>
      </c>
      <c r="Q22" s="512"/>
      <c r="R22" s="512"/>
      <c r="S22" s="512"/>
      <c r="T22" s="512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507" t="s">
        <v>253</v>
      </c>
      <c r="C27" s="182">
        <v>1</v>
      </c>
      <c r="D27" s="182" t="s">
        <v>254</v>
      </c>
      <c r="E27" s="166">
        <f>IFERROR(VLOOKUP($D27,[1]ST總表!$A$2:$D$999,2,0),"")</f>
        <v>10</v>
      </c>
      <c r="F27" s="166">
        <f>IFERROR(VLOOKUP($D27,[1]ST總表!$A$2:$D$999,3,0),"")</f>
        <v>1500</v>
      </c>
      <c r="G27" s="166">
        <f>IFERROR(VLOOKUP($D27,[1]ST總表!$A$2:$D$999,4,0),"")</f>
        <v>150</v>
      </c>
      <c r="H27" s="508">
        <f>AVERAGE(G27:G41)</f>
        <v>167.14285714285714</v>
      </c>
      <c r="I27" s="166">
        <f>AVERAGE(P27,U27,Z27,AE27,AJ27,AO27,AT27)</f>
        <v>10</v>
      </c>
      <c r="J27" s="166">
        <f>AVERAGE(Q27,V27,AA27,AF27,AK27,AP27,AU27)</f>
        <v>1464.1428571428555</v>
      </c>
      <c r="K27" s="180">
        <f>AVERAGE(R27,W27,AB27,AG27,AL27,AQ27,AV27)</f>
        <v>146.41428571428557</v>
      </c>
      <c r="L27" s="459">
        <f>AVERAGE(K27:K41)</f>
        <v>166.64819507597963</v>
      </c>
      <c r="M27" s="181">
        <f>RANK(K27, K$27:$K$41)</f>
        <v>4</v>
      </c>
      <c r="N27" s="462"/>
      <c r="O27" s="462"/>
      <c r="P27" s="182">
        <v>10</v>
      </c>
      <c r="Q27" s="166">
        <v>1382.4000000000003</v>
      </c>
      <c r="R27" s="166">
        <v>138.24000000000004</v>
      </c>
      <c r="S27" s="182">
        <f>RANK(R27, R$27:R$41)</f>
        <v>3</v>
      </c>
      <c r="T27" s="491">
        <f>AVERAGE(R27:R41)</f>
        <v>160.79806637806649</v>
      </c>
      <c r="U27" s="182">
        <v>10</v>
      </c>
      <c r="V27" s="166">
        <v>1480.8000000000004</v>
      </c>
      <c r="W27" s="166">
        <v>148.08000000000004</v>
      </c>
      <c r="X27" s="182">
        <f>RANK(W27, W$27:W$41)</f>
        <v>5</v>
      </c>
      <c r="Y27" s="491">
        <f>AVERAGE(W27:W41)</f>
        <v>175.17603487371963</v>
      </c>
      <c r="Z27" s="182">
        <v>10</v>
      </c>
      <c r="AA27" s="166">
        <v>1360.7999999999961</v>
      </c>
      <c r="AB27" s="166">
        <v>136.07999999999961</v>
      </c>
      <c r="AC27" s="182">
        <f>RANK(AB27, AB$27:AB$41)</f>
        <v>3</v>
      </c>
      <c r="AD27" s="491">
        <f>AVERAGE(AB27:AB41)</f>
        <v>158.07140589569164</v>
      </c>
      <c r="AE27" s="182">
        <v>10</v>
      </c>
      <c r="AF27" s="166">
        <v>1295.9999999999943</v>
      </c>
      <c r="AG27" s="166">
        <v>129.59999999999943</v>
      </c>
      <c r="AH27" s="182">
        <f>RANK(AG27, AG$27:AG$41)</f>
        <v>5</v>
      </c>
      <c r="AI27" s="491">
        <f>AVERAGE(AG27:AG41)</f>
        <v>164.13251700680277</v>
      </c>
      <c r="AJ27" s="182">
        <v>10</v>
      </c>
      <c r="AK27" s="166">
        <v>1528.0000000000055</v>
      </c>
      <c r="AL27" s="166">
        <v>152.80000000000055</v>
      </c>
      <c r="AM27" s="182">
        <f>RANK(AL27, AL$27:AL$41)</f>
        <v>4</v>
      </c>
      <c r="AN27" s="491">
        <f>AVERAGE(AL27:AL41)</f>
        <v>153.51660561660574</v>
      </c>
      <c r="AO27" s="182">
        <v>10</v>
      </c>
      <c r="AP27" s="166">
        <v>1661.9999999999993</v>
      </c>
      <c r="AQ27" s="166">
        <v>166.19999999999993</v>
      </c>
      <c r="AR27" s="182">
        <f>RANK(AQ27, AQ$27:AQ$41)</f>
        <v>3</v>
      </c>
      <c r="AS27" s="491">
        <f>AVERAGE(AQ27:AQ41)</f>
        <v>182.01420634920646</v>
      </c>
      <c r="AT27" s="182">
        <v>10</v>
      </c>
      <c r="AU27" s="166">
        <v>1538.9999999999932</v>
      </c>
      <c r="AV27" s="166">
        <v>153.89999999999932</v>
      </c>
      <c r="AW27" s="182">
        <f>RANK(AV27, AV$27:AV$41)</f>
        <v>3</v>
      </c>
      <c r="AX27" s="491">
        <f>AVERAGE(AV27:AV41)</f>
        <v>172.82852941176475</v>
      </c>
    </row>
    <row r="28" spans="2:54">
      <c r="B28" s="479"/>
      <c r="C28" s="182">
        <v>2</v>
      </c>
      <c r="D28" s="182" t="s">
        <v>255</v>
      </c>
      <c r="E28" s="166">
        <f>IFERROR(VLOOKUP($D28,[1]ST總表!$A$2:$D$999,2,0),"")</f>
        <v>15</v>
      </c>
      <c r="F28" s="166">
        <f>IFERROR(VLOOKUP($D28,[1]ST總表!$A$2:$D$999,3,0),"")</f>
        <v>1800</v>
      </c>
      <c r="G28" s="166">
        <f>IFERROR(VLOOKUP($D28,[1]ST總表!$A$2:$D$999,4,0),"")</f>
        <v>120</v>
      </c>
      <c r="H28" s="509"/>
      <c r="I28" s="166">
        <f t="shared" ref="I28:K33" si="16">AVERAGE(P28,U28,Z28,AE28,AJ28,AO28,AT28)</f>
        <v>12.571428571428571</v>
      </c>
      <c r="J28" s="166">
        <f t="shared" si="16"/>
        <v>1869.4285714285743</v>
      </c>
      <c r="K28" s="180">
        <f t="shared" si="16"/>
        <v>149.4591836734696</v>
      </c>
      <c r="L28" s="460"/>
      <c r="M28" s="181">
        <f>RANK(K28, K$27:$K$41)</f>
        <v>3</v>
      </c>
      <c r="N28" s="462"/>
      <c r="O28" s="462"/>
      <c r="P28" s="182">
        <v>14</v>
      </c>
      <c r="Q28" s="166">
        <v>1822.500000000003</v>
      </c>
      <c r="R28" s="166">
        <v>130.17857142857164</v>
      </c>
      <c r="S28" s="182">
        <f t="shared" ref="S28:S41" si="17">RANK(R28, R$27:R$41)</f>
        <v>5</v>
      </c>
      <c r="T28" s="491"/>
      <c r="U28" s="182">
        <v>12</v>
      </c>
      <c r="V28" s="166">
        <v>1935.000000000003</v>
      </c>
      <c r="W28" s="166">
        <v>161.25000000000026</v>
      </c>
      <c r="X28" s="182">
        <f t="shared" ref="X28:X41" si="18">RANK(W28, W$27:W$41)</f>
        <v>3</v>
      </c>
      <c r="Y28" s="491"/>
      <c r="Z28" s="182">
        <v>14</v>
      </c>
      <c r="AA28" s="166">
        <v>1897.500000000003</v>
      </c>
      <c r="AB28" s="166">
        <v>135.5357142857145</v>
      </c>
      <c r="AC28" s="182">
        <f t="shared" ref="AC28:AC41" si="19">RANK(AB28, AB$27:AB$41)</f>
        <v>4</v>
      </c>
      <c r="AD28" s="491"/>
      <c r="AE28" s="182">
        <v>12</v>
      </c>
      <c r="AF28" s="166">
        <v>1984.0000000000018</v>
      </c>
      <c r="AG28" s="166">
        <v>165.33333333333348</v>
      </c>
      <c r="AH28" s="182">
        <f t="shared" ref="AH28:AH41" si="20">RANK(AG28, AG$27:AG$41)</f>
        <v>3</v>
      </c>
      <c r="AI28" s="491"/>
      <c r="AJ28" s="182">
        <v>12</v>
      </c>
      <c r="AK28" s="166">
        <v>1838.0000000000016</v>
      </c>
      <c r="AL28" s="166">
        <v>153.1666666666668</v>
      </c>
      <c r="AM28" s="182">
        <f t="shared" ref="AM28:AM41" si="21">RANK(AL28, AL$27:AL$41)</f>
        <v>3</v>
      </c>
      <c r="AN28" s="491"/>
      <c r="AO28" s="182">
        <v>12</v>
      </c>
      <c r="AP28" s="166">
        <v>1840.500000000003</v>
      </c>
      <c r="AQ28" s="166">
        <v>153.37500000000026</v>
      </c>
      <c r="AR28" s="182">
        <f t="shared" ref="AR28:AR41" si="22">RANK(AQ28, AQ$27:AQ$41)</f>
        <v>4</v>
      </c>
      <c r="AS28" s="491"/>
      <c r="AT28" s="182">
        <v>12</v>
      </c>
      <c r="AU28" s="166">
        <v>1768.500000000003</v>
      </c>
      <c r="AV28" s="166">
        <v>147.37500000000026</v>
      </c>
      <c r="AW28" s="182">
        <f t="shared" ref="AW28:AW41" si="23">RANK(AV28, AV$27:AV$41)</f>
        <v>4</v>
      </c>
      <c r="AX28" s="491"/>
    </row>
    <row r="29" spans="2:54">
      <c r="B29" s="479"/>
      <c r="C29" s="182">
        <v>3</v>
      </c>
      <c r="D29" s="182" t="s">
        <v>256</v>
      </c>
      <c r="E29" s="166">
        <f>IFERROR(VLOOKUP($D29,[1]ST總表!$A$2:$D$999,2,0),"")</f>
        <v>15</v>
      </c>
      <c r="F29" s="166">
        <f>IFERROR(VLOOKUP($D29,[1]ST總表!$A$2:$D$999,3,0),"")</f>
        <v>1800</v>
      </c>
      <c r="G29" s="166">
        <f>IFERROR(VLOOKUP($D29,[1]ST總表!$A$2:$D$999,4,0),"")</f>
        <v>120</v>
      </c>
      <c r="H29" s="509"/>
      <c r="I29" s="166">
        <f t="shared" si="16"/>
        <v>12.571428571428571</v>
      </c>
      <c r="J29" s="166">
        <f t="shared" si="16"/>
        <v>1564.772108843538</v>
      </c>
      <c r="K29" s="180">
        <f t="shared" si="16"/>
        <v>124.32823129251706</v>
      </c>
      <c r="L29" s="460"/>
      <c r="M29" s="181">
        <f>RANK(K29, K$27:$K$41)</f>
        <v>5</v>
      </c>
      <c r="N29" s="462"/>
      <c r="O29" s="462"/>
      <c r="P29" s="182">
        <v>14</v>
      </c>
      <c r="Q29" s="166">
        <v>1831.5000000000066</v>
      </c>
      <c r="R29" s="166">
        <v>130.82142857142904</v>
      </c>
      <c r="S29" s="182">
        <f t="shared" si="17"/>
        <v>4</v>
      </c>
      <c r="T29" s="491"/>
      <c r="U29" s="182">
        <v>12</v>
      </c>
      <c r="V29" s="166">
        <v>1789.3333333333335</v>
      </c>
      <c r="W29" s="166">
        <v>149.11111111111111</v>
      </c>
      <c r="X29" s="182">
        <f t="shared" si="18"/>
        <v>4</v>
      </c>
      <c r="Y29" s="491"/>
      <c r="Z29" s="182">
        <v>14</v>
      </c>
      <c r="AA29" s="166">
        <v>1737.3333333333333</v>
      </c>
      <c r="AB29" s="166">
        <v>124.09523809523809</v>
      </c>
      <c r="AC29" s="182">
        <f t="shared" si="19"/>
        <v>5</v>
      </c>
      <c r="AD29" s="491"/>
      <c r="AE29" s="182">
        <v>12</v>
      </c>
      <c r="AF29" s="166">
        <v>1700.5714285714268</v>
      </c>
      <c r="AG29" s="166">
        <v>141.71428571428558</v>
      </c>
      <c r="AH29" s="182">
        <f t="shared" si="20"/>
        <v>4</v>
      </c>
      <c r="AI29" s="491"/>
      <c r="AJ29" s="182">
        <v>12</v>
      </c>
      <c r="AK29" s="166">
        <v>613.33333333333326</v>
      </c>
      <c r="AL29" s="166">
        <v>51.111111111111107</v>
      </c>
      <c r="AM29" s="182">
        <f t="shared" si="21"/>
        <v>7</v>
      </c>
      <c r="AN29" s="491"/>
      <c r="AO29" s="182">
        <v>12</v>
      </c>
      <c r="AP29" s="166">
        <v>1685.3333333333333</v>
      </c>
      <c r="AQ29" s="166">
        <v>140.44444444444443</v>
      </c>
      <c r="AR29" s="182">
        <f t="shared" si="22"/>
        <v>6</v>
      </c>
      <c r="AS29" s="491"/>
      <c r="AT29" s="182">
        <v>12</v>
      </c>
      <c r="AU29" s="166">
        <v>1596</v>
      </c>
      <c r="AV29" s="166">
        <v>133</v>
      </c>
      <c r="AW29" s="182">
        <f t="shared" si="23"/>
        <v>6</v>
      </c>
      <c r="AX29" s="491"/>
    </row>
    <row r="30" spans="2:54">
      <c r="B30" s="479"/>
      <c r="C30" s="182">
        <v>4</v>
      </c>
      <c r="D30" s="182" t="s">
        <v>257</v>
      </c>
      <c r="E30" s="166">
        <f>IFERROR(VLOOKUP($D30,[1]ST總表!$A$2:$D$999,2,0),"")</f>
        <v>5</v>
      </c>
      <c r="F30" s="166">
        <f>IFERROR(VLOOKUP($D30,[1]ST總表!$A$2:$D$999,3,0),"")</f>
        <v>1500</v>
      </c>
      <c r="G30" s="166">
        <f>IFERROR(VLOOKUP($D30,[1]ST總表!$A$2:$D$999,4,0),"")</f>
        <v>300</v>
      </c>
      <c r="H30" s="509"/>
      <c r="I30" s="166">
        <f t="shared" si="16"/>
        <v>6</v>
      </c>
      <c r="J30" s="166">
        <f t="shared" si="16"/>
        <v>1546.3823067688625</v>
      </c>
      <c r="K30" s="180">
        <f t="shared" si="16"/>
        <v>257.73038446147706</v>
      </c>
      <c r="L30" s="460"/>
      <c r="M30" s="181">
        <f>RANK(K30, K$27:$K$41)</f>
        <v>2</v>
      </c>
      <c r="N30" s="462"/>
      <c r="O30" s="462"/>
      <c r="P30" s="182">
        <v>6</v>
      </c>
      <c r="Q30" s="166">
        <v>1502.9999999999993</v>
      </c>
      <c r="R30" s="166">
        <v>250.49999999999989</v>
      </c>
      <c r="S30" s="182">
        <f t="shared" si="17"/>
        <v>2</v>
      </c>
      <c r="T30" s="491"/>
      <c r="U30" s="182">
        <v>6</v>
      </c>
      <c r="V30" s="166">
        <v>1542.8571428571454</v>
      </c>
      <c r="W30" s="166">
        <v>257.14285714285757</v>
      </c>
      <c r="X30" s="182">
        <f t="shared" si="18"/>
        <v>2</v>
      </c>
      <c r="Y30" s="491"/>
      <c r="Z30" s="182">
        <v>6</v>
      </c>
      <c r="AA30" s="166">
        <v>1502.9999999999993</v>
      </c>
      <c r="AB30" s="166">
        <v>250.49999999999989</v>
      </c>
      <c r="AC30" s="182">
        <f t="shared" si="19"/>
        <v>2</v>
      </c>
      <c r="AD30" s="491"/>
      <c r="AE30" s="182">
        <v>6</v>
      </c>
      <c r="AF30" s="166">
        <v>1596.0000000000016</v>
      </c>
      <c r="AG30" s="166">
        <v>266.00000000000028</v>
      </c>
      <c r="AH30" s="182">
        <f t="shared" si="20"/>
        <v>2</v>
      </c>
      <c r="AI30" s="491"/>
      <c r="AJ30" s="182">
        <v>6</v>
      </c>
      <c r="AK30" s="166">
        <v>1509.23076923077</v>
      </c>
      <c r="AL30" s="166">
        <v>251.53846153846166</v>
      </c>
      <c r="AM30" s="182">
        <f t="shared" si="21"/>
        <v>2</v>
      </c>
      <c r="AN30" s="491"/>
      <c r="AO30" s="182">
        <v>6</v>
      </c>
      <c r="AP30" s="166">
        <v>1660.0000000000023</v>
      </c>
      <c r="AQ30" s="166">
        <v>276.66666666666703</v>
      </c>
      <c r="AR30" s="182">
        <f t="shared" si="22"/>
        <v>2</v>
      </c>
      <c r="AS30" s="491"/>
      <c r="AT30" s="182">
        <v>6</v>
      </c>
      <c r="AU30" s="166">
        <v>1510.5882352941196</v>
      </c>
      <c r="AV30" s="166">
        <v>251.76470588235327</v>
      </c>
      <c r="AW30" s="182">
        <f t="shared" si="23"/>
        <v>2</v>
      </c>
      <c r="AX30" s="491"/>
    </row>
    <row r="31" spans="2:54">
      <c r="B31" s="479"/>
      <c r="C31" s="182">
        <v>5</v>
      </c>
      <c r="D31" s="182" t="s">
        <v>258</v>
      </c>
      <c r="E31" s="166">
        <f>IFERROR(VLOOKUP($D31,[1]ST總表!$A$2:$D$999,2,0),"")</f>
        <v>5</v>
      </c>
      <c r="F31" s="166">
        <f>IFERROR(VLOOKUP($D31,[1]ST總表!$A$2:$D$999,3,0),"")</f>
        <v>1500</v>
      </c>
      <c r="G31" s="166">
        <f>IFERROR(VLOOKUP($D31,[1]ST總表!$A$2:$D$999,4,0),"")</f>
        <v>300</v>
      </c>
      <c r="H31" s="509"/>
      <c r="I31" s="166">
        <f t="shared" si="16"/>
        <v>5</v>
      </c>
      <c r="J31" s="166">
        <f t="shared" si="16"/>
        <v>1537.8948002189377</v>
      </c>
      <c r="K31" s="180">
        <f t="shared" si="16"/>
        <v>307.57896004378756</v>
      </c>
      <c r="L31" s="460"/>
      <c r="M31" s="181">
        <f>RANK(K31, K$27:$K$41)</f>
        <v>1</v>
      </c>
      <c r="N31" s="462"/>
      <c r="O31" s="462"/>
      <c r="P31" s="182">
        <v>5</v>
      </c>
      <c r="Q31" s="166">
        <v>1477.7777777777787</v>
      </c>
      <c r="R31" s="166">
        <v>295.55555555555577</v>
      </c>
      <c r="S31" s="182">
        <f t="shared" si="17"/>
        <v>1</v>
      </c>
      <c r="T31" s="491"/>
      <c r="U31" s="182">
        <v>5</v>
      </c>
      <c r="V31" s="166">
        <v>1537.241379310344</v>
      </c>
      <c r="W31" s="166">
        <v>307.44827586206878</v>
      </c>
      <c r="X31" s="182">
        <f t="shared" si="18"/>
        <v>1</v>
      </c>
      <c r="Y31" s="491"/>
      <c r="Z31" s="182">
        <v>5</v>
      </c>
      <c r="AA31" s="166">
        <v>1497.7777777777785</v>
      </c>
      <c r="AB31" s="166">
        <v>299.55555555555571</v>
      </c>
      <c r="AC31" s="182">
        <f t="shared" si="19"/>
        <v>1</v>
      </c>
      <c r="AD31" s="491"/>
      <c r="AE31" s="182">
        <v>5</v>
      </c>
      <c r="AF31" s="166">
        <v>1569.0000000000025</v>
      </c>
      <c r="AG31" s="166">
        <v>313.80000000000052</v>
      </c>
      <c r="AH31" s="182">
        <f t="shared" si="20"/>
        <v>1</v>
      </c>
      <c r="AI31" s="491"/>
      <c r="AJ31" s="182">
        <v>5</v>
      </c>
      <c r="AK31" s="166">
        <v>1619.9999999999986</v>
      </c>
      <c r="AL31" s="166">
        <v>323.99999999999972</v>
      </c>
      <c r="AM31" s="182">
        <f t="shared" si="21"/>
        <v>1</v>
      </c>
      <c r="AN31" s="491"/>
      <c r="AO31" s="182">
        <v>5</v>
      </c>
      <c r="AP31" s="166">
        <v>1546.6666666666652</v>
      </c>
      <c r="AQ31" s="166">
        <v>309.33333333333303</v>
      </c>
      <c r="AR31" s="182">
        <f t="shared" si="22"/>
        <v>1</v>
      </c>
      <c r="AS31" s="491"/>
      <c r="AT31" s="182">
        <v>5</v>
      </c>
      <c r="AU31" s="166">
        <v>1516.7999999999981</v>
      </c>
      <c r="AV31" s="166">
        <v>303.35999999999962</v>
      </c>
      <c r="AW31" s="182">
        <f t="shared" si="23"/>
        <v>1</v>
      </c>
      <c r="AX31" s="491"/>
    </row>
    <row r="32" spans="2:54">
      <c r="B32" s="479"/>
      <c r="C32" s="182">
        <v>6</v>
      </c>
      <c r="D32" s="182" t="s">
        <v>259</v>
      </c>
      <c r="E32" s="166">
        <f>IFERROR(VLOOKUP($D32,[1]ST總表!$A$2:$D$999,2,0),"")</f>
        <v>15</v>
      </c>
      <c r="F32" s="166">
        <f>IFERROR(VLOOKUP($D32,[1]ST總表!$A$2:$D$999,3,0),"")</f>
        <v>1200</v>
      </c>
      <c r="G32" s="166">
        <f>IFERROR(VLOOKUP($D32,[1]ST總表!$A$2:$D$999,4,0),"")</f>
        <v>80</v>
      </c>
      <c r="H32" s="509"/>
      <c r="I32" s="166">
        <f t="shared" si="16"/>
        <v>10.285714285714286</v>
      </c>
      <c r="J32" s="166">
        <f t="shared" si="16"/>
        <v>1058.000000000002</v>
      </c>
      <c r="K32" s="180">
        <f t="shared" si="16"/>
        <v>103.33333333333356</v>
      </c>
      <c r="L32" s="460"/>
      <c r="M32" s="181">
        <f>RANK(K32, K$27:$K$41)</f>
        <v>6</v>
      </c>
      <c r="N32" s="462"/>
      <c r="O32" s="462"/>
      <c r="P32" s="182">
        <v>10</v>
      </c>
      <c r="Q32" s="166">
        <v>1015.9999999999981</v>
      </c>
      <c r="R32" s="166">
        <v>101.59999999999981</v>
      </c>
      <c r="S32" s="182">
        <f t="shared" si="17"/>
        <v>6</v>
      </c>
      <c r="T32" s="491"/>
      <c r="U32" s="182">
        <v>10</v>
      </c>
      <c r="V32" s="166">
        <v>1195.999999999998</v>
      </c>
      <c r="W32" s="166">
        <v>119.5999999999998</v>
      </c>
      <c r="X32" s="182">
        <f t="shared" si="18"/>
        <v>6</v>
      </c>
      <c r="Y32" s="491"/>
      <c r="Z32" s="182">
        <v>12</v>
      </c>
      <c r="AA32" s="166">
        <v>1036.0000000000039</v>
      </c>
      <c r="AB32" s="166">
        <v>86.333333333333655</v>
      </c>
      <c r="AC32" s="182">
        <f t="shared" si="19"/>
        <v>6</v>
      </c>
      <c r="AD32" s="491"/>
      <c r="AE32" s="182">
        <v>10</v>
      </c>
      <c r="AF32" s="166">
        <v>600.00000000000216</v>
      </c>
      <c r="AG32" s="166">
        <v>60.000000000000213</v>
      </c>
      <c r="AH32" s="182">
        <f t="shared" si="20"/>
        <v>7</v>
      </c>
      <c r="AI32" s="491"/>
      <c r="AJ32" s="182">
        <v>10</v>
      </c>
      <c r="AK32" s="166">
        <v>756.00000000000261</v>
      </c>
      <c r="AL32" s="166">
        <v>75.600000000000264</v>
      </c>
      <c r="AM32" s="182">
        <f t="shared" si="21"/>
        <v>5</v>
      </c>
      <c r="AN32" s="491"/>
      <c r="AO32" s="182">
        <v>10</v>
      </c>
      <c r="AP32" s="166">
        <v>1428.0000000000052</v>
      </c>
      <c r="AQ32" s="166">
        <v>142.80000000000052</v>
      </c>
      <c r="AR32" s="182">
        <f t="shared" si="22"/>
        <v>5</v>
      </c>
      <c r="AS32" s="491"/>
      <c r="AT32" s="182">
        <v>10</v>
      </c>
      <c r="AU32" s="166">
        <v>1374.0000000000048</v>
      </c>
      <c r="AV32" s="166">
        <v>137.40000000000049</v>
      </c>
      <c r="AW32" s="182">
        <f t="shared" si="23"/>
        <v>5</v>
      </c>
      <c r="AX32" s="491"/>
    </row>
    <row r="33" spans="2:50">
      <c r="B33" s="479"/>
      <c r="C33" s="182">
        <v>7</v>
      </c>
      <c r="D33" s="182" t="s">
        <v>260</v>
      </c>
      <c r="E33" s="166">
        <f>IFERROR(VLOOKUP($D33,[1]ST總表!$A$2:$D$999,2,0),"")</f>
        <v>13</v>
      </c>
      <c r="F33" s="166">
        <f>IFERROR(VLOOKUP($D33,[1]ST總表!$A$2:$D$999,3,0),"")</f>
        <v>1300</v>
      </c>
      <c r="G33" s="166">
        <f>IFERROR(VLOOKUP($D33,[1]ST總表!$A$2:$D$999,4,0),"")</f>
        <v>100</v>
      </c>
      <c r="H33" s="509"/>
      <c r="I33" s="166">
        <f t="shared" si="16"/>
        <v>15</v>
      </c>
      <c r="J33" s="166">
        <f t="shared" si="16"/>
        <v>1165.3948051948059</v>
      </c>
      <c r="K33" s="180">
        <f t="shared" si="16"/>
        <v>77.692987012987061</v>
      </c>
      <c r="L33" s="460"/>
      <c r="M33" s="181">
        <f>RANK(K33, K$27:$K$41)</f>
        <v>7</v>
      </c>
      <c r="N33" s="462"/>
      <c r="O33" s="462"/>
      <c r="P33" s="182">
        <v>15</v>
      </c>
      <c r="Q33" s="166">
        <v>1180.3636363636372</v>
      </c>
      <c r="R33" s="166">
        <v>78.690909090909145</v>
      </c>
      <c r="S33" s="182">
        <f t="shared" si="17"/>
        <v>7</v>
      </c>
      <c r="T33" s="491"/>
      <c r="U33" s="182">
        <v>15</v>
      </c>
      <c r="V33" s="166">
        <v>1254.0000000000011</v>
      </c>
      <c r="W33" s="166">
        <v>83.60000000000008</v>
      </c>
      <c r="X33" s="182">
        <f t="shared" si="18"/>
        <v>7</v>
      </c>
      <c r="Y33" s="491"/>
      <c r="Z33" s="182">
        <v>15</v>
      </c>
      <c r="AA33" s="166">
        <v>1115.9999999999989</v>
      </c>
      <c r="AB33" s="166">
        <v>74.39999999999992</v>
      </c>
      <c r="AC33" s="182">
        <f t="shared" si="19"/>
        <v>7</v>
      </c>
      <c r="AD33" s="491"/>
      <c r="AE33" s="182">
        <v>15</v>
      </c>
      <c r="AF33" s="166">
        <v>1087.2000000000003</v>
      </c>
      <c r="AG33" s="166">
        <v>72.480000000000018</v>
      </c>
      <c r="AH33" s="182">
        <f t="shared" si="20"/>
        <v>6</v>
      </c>
      <c r="AI33" s="491"/>
      <c r="AJ33" s="182">
        <v>15</v>
      </c>
      <c r="AK33" s="166">
        <v>995.99999999999966</v>
      </c>
      <c r="AL33" s="166">
        <v>66.399999999999977</v>
      </c>
      <c r="AM33" s="182">
        <f t="shared" si="21"/>
        <v>6</v>
      </c>
      <c r="AN33" s="491"/>
      <c r="AO33" s="182">
        <v>15</v>
      </c>
      <c r="AP33" s="166">
        <v>1279.2000000000005</v>
      </c>
      <c r="AQ33" s="166">
        <v>85.28000000000003</v>
      </c>
      <c r="AR33" s="182">
        <f t="shared" si="22"/>
        <v>7</v>
      </c>
      <c r="AS33" s="491"/>
      <c r="AT33" s="182">
        <v>15</v>
      </c>
      <c r="AU33" s="166">
        <v>1245.0000000000045</v>
      </c>
      <c r="AV33" s="166">
        <v>83.000000000000298</v>
      </c>
      <c r="AW33" s="182">
        <f t="shared" si="23"/>
        <v>7</v>
      </c>
      <c r="AX33" s="491"/>
    </row>
    <row r="34" spans="2:50">
      <c r="B34" s="479"/>
      <c r="C34" s="182">
        <v>8</v>
      </c>
      <c r="D34" s="182"/>
      <c r="E34" s="166"/>
      <c r="F34" s="166"/>
      <c r="G34" s="166"/>
      <c r="H34" s="509"/>
      <c r="I34" s="166"/>
      <c r="J34" s="166"/>
      <c r="K34" s="180"/>
      <c r="L34" s="460"/>
      <c r="M34" s="181" t="e">
        <f>RANK(K34, K$27:$K$41)</f>
        <v>#N/A</v>
      </c>
      <c r="N34" s="462"/>
      <c r="O34" s="462"/>
      <c r="P34" s="182"/>
      <c r="Q34" s="166"/>
      <c r="R34" s="166"/>
      <c r="S34" s="182" t="e">
        <f t="shared" si="17"/>
        <v>#N/A</v>
      </c>
      <c r="T34" s="491"/>
      <c r="U34" s="182"/>
      <c r="V34" s="166"/>
      <c r="W34" s="166"/>
      <c r="X34" s="182" t="e">
        <f t="shared" si="18"/>
        <v>#N/A</v>
      </c>
      <c r="Y34" s="491"/>
      <c r="Z34" s="182"/>
      <c r="AA34" s="166"/>
      <c r="AB34" s="166"/>
      <c r="AC34" s="182" t="e">
        <f t="shared" si="19"/>
        <v>#N/A</v>
      </c>
      <c r="AD34" s="491"/>
      <c r="AE34" s="182"/>
      <c r="AF34" s="166"/>
      <c r="AG34" s="166"/>
      <c r="AH34" s="182" t="e">
        <f t="shared" si="20"/>
        <v>#N/A</v>
      </c>
      <c r="AI34" s="491"/>
      <c r="AJ34" s="182"/>
      <c r="AK34" s="166"/>
      <c r="AL34" s="166"/>
      <c r="AM34" s="182" t="e">
        <f t="shared" si="21"/>
        <v>#N/A</v>
      </c>
      <c r="AN34" s="491"/>
      <c r="AO34" s="182"/>
      <c r="AP34" s="166"/>
      <c r="AQ34" s="166"/>
      <c r="AR34" s="182" t="e">
        <f t="shared" si="22"/>
        <v>#N/A</v>
      </c>
      <c r="AS34" s="491"/>
      <c r="AT34" s="182"/>
      <c r="AU34" s="166"/>
      <c r="AV34" s="166"/>
      <c r="AW34" s="182" t="e">
        <f t="shared" si="23"/>
        <v>#N/A</v>
      </c>
      <c r="AX34" s="491"/>
    </row>
    <row r="35" spans="2:50">
      <c r="B35" s="479"/>
      <c r="C35" s="182">
        <v>9</v>
      </c>
      <c r="D35" s="182"/>
      <c r="E35" s="182"/>
      <c r="F35" s="182"/>
      <c r="G35" s="182"/>
      <c r="H35" s="509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82"/>
      <c r="R35" s="182"/>
      <c r="S35" s="182" t="e">
        <f t="shared" si="17"/>
        <v>#N/A</v>
      </c>
      <c r="T35" s="491"/>
      <c r="U35" s="182"/>
      <c r="V35" s="182"/>
      <c r="W35" s="182"/>
      <c r="X35" s="182" t="e">
        <f t="shared" si="18"/>
        <v>#N/A</v>
      </c>
      <c r="Y35" s="491"/>
      <c r="Z35" s="182"/>
      <c r="AA35" s="182"/>
      <c r="AB35" s="182"/>
      <c r="AC35" s="182" t="e">
        <f t="shared" si="19"/>
        <v>#N/A</v>
      </c>
      <c r="AD35" s="491"/>
      <c r="AE35" s="182"/>
      <c r="AF35" s="182"/>
      <c r="AG35" s="182"/>
      <c r="AH35" s="182" t="e">
        <f t="shared" si="20"/>
        <v>#N/A</v>
      </c>
      <c r="AI35" s="491"/>
      <c r="AJ35" s="182"/>
      <c r="AK35" s="182"/>
      <c r="AL35" s="182"/>
      <c r="AM35" s="182" t="e">
        <f t="shared" si="21"/>
        <v>#N/A</v>
      </c>
      <c r="AN35" s="491"/>
      <c r="AO35" s="182"/>
      <c r="AP35" s="182"/>
      <c r="AQ35" s="182"/>
      <c r="AR35" s="182" t="e">
        <f t="shared" si="22"/>
        <v>#N/A</v>
      </c>
      <c r="AS35" s="491"/>
      <c r="AT35" s="182"/>
      <c r="AU35" s="182"/>
      <c r="AV35" s="182"/>
      <c r="AW35" s="182" t="e">
        <f t="shared" si="23"/>
        <v>#N/A</v>
      </c>
      <c r="AX35" s="491"/>
    </row>
    <row r="36" spans="2:50">
      <c r="B36" s="479"/>
      <c r="C36" s="182">
        <v>10</v>
      </c>
      <c r="D36" s="182"/>
      <c r="E36" s="182"/>
      <c r="F36" s="182"/>
      <c r="G36" s="182"/>
      <c r="H36" s="509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82"/>
      <c r="R36" s="182"/>
      <c r="S36" s="182" t="e">
        <f t="shared" si="17"/>
        <v>#N/A</v>
      </c>
      <c r="T36" s="491"/>
      <c r="U36" s="182"/>
      <c r="V36" s="182"/>
      <c r="W36" s="182"/>
      <c r="X36" s="182" t="e">
        <f t="shared" si="18"/>
        <v>#N/A</v>
      </c>
      <c r="Y36" s="491"/>
      <c r="Z36" s="182"/>
      <c r="AA36" s="182"/>
      <c r="AB36" s="182"/>
      <c r="AC36" s="182" t="e">
        <f t="shared" si="19"/>
        <v>#N/A</v>
      </c>
      <c r="AD36" s="491"/>
      <c r="AE36" s="182"/>
      <c r="AF36" s="182"/>
      <c r="AG36" s="182"/>
      <c r="AH36" s="182" t="e">
        <f t="shared" si="20"/>
        <v>#N/A</v>
      </c>
      <c r="AI36" s="491"/>
      <c r="AJ36" s="182"/>
      <c r="AK36" s="182"/>
      <c r="AL36" s="182"/>
      <c r="AM36" s="182" t="e">
        <f t="shared" si="21"/>
        <v>#N/A</v>
      </c>
      <c r="AN36" s="491"/>
      <c r="AO36" s="182"/>
      <c r="AP36" s="182"/>
      <c r="AQ36" s="182"/>
      <c r="AR36" s="182" t="e">
        <f t="shared" si="22"/>
        <v>#N/A</v>
      </c>
      <c r="AS36" s="491"/>
      <c r="AT36" s="182"/>
      <c r="AU36" s="182"/>
      <c r="AV36" s="182"/>
      <c r="AW36" s="182" t="e">
        <f t="shared" si="23"/>
        <v>#N/A</v>
      </c>
      <c r="AX36" s="491"/>
    </row>
    <row r="37" spans="2:50">
      <c r="B37" s="479"/>
      <c r="C37" s="182">
        <v>11</v>
      </c>
      <c r="D37" s="182"/>
      <c r="E37" s="182"/>
      <c r="F37" s="182"/>
      <c r="G37" s="182"/>
      <c r="H37" s="509"/>
      <c r="I37" s="182"/>
      <c r="J37" s="182"/>
      <c r="K37" s="182"/>
      <c r="L37" s="460"/>
      <c r="M37" s="181" t="e">
        <f>RANK(K37, K$27:$K$41)</f>
        <v>#N/A</v>
      </c>
      <c r="N37" s="462"/>
      <c r="O37" s="462"/>
      <c r="P37" s="182"/>
      <c r="Q37" s="182"/>
      <c r="R37" s="182"/>
      <c r="S37" s="182" t="e">
        <f t="shared" si="17"/>
        <v>#N/A</v>
      </c>
      <c r="T37" s="491"/>
      <c r="U37" s="182"/>
      <c r="V37" s="182"/>
      <c r="W37" s="182"/>
      <c r="X37" s="182" t="e">
        <f t="shared" si="18"/>
        <v>#N/A</v>
      </c>
      <c r="Y37" s="491"/>
      <c r="Z37" s="182"/>
      <c r="AA37" s="182"/>
      <c r="AB37" s="182"/>
      <c r="AC37" s="182" t="e">
        <f t="shared" si="19"/>
        <v>#N/A</v>
      </c>
      <c r="AD37" s="491"/>
      <c r="AE37" s="182"/>
      <c r="AF37" s="182"/>
      <c r="AG37" s="182"/>
      <c r="AH37" s="182" t="e">
        <f t="shared" si="20"/>
        <v>#N/A</v>
      </c>
      <c r="AI37" s="491"/>
      <c r="AJ37" s="182"/>
      <c r="AK37" s="182"/>
      <c r="AL37" s="182"/>
      <c r="AM37" s="182" t="e">
        <f t="shared" si="21"/>
        <v>#N/A</v>
      </c>
      <c r="AN37" s="491"/>
      <c r="AO37" s="182"/>
      <c r="AP37" s="182"/>
      <c r="AQ37" s="182"/>
      <c r="AR37" s="182" t="e">
        <f t="shared" si="22"/>
        <v>#N/A</v>
      </c>
      <c r="AS37" s="491"/>
      <c r="AT37" s="182"/>
      <c r="AU37" s="182"/>
      <c r="AV37" s="182"/>
      <c r="AW37" s="182" t="e">
        <f t="shared" si="23"/>
        <v>#N/A</v>
      </c>
      <c r="AX37" s="491"/>
    </row>
    <row r="38" spans="2:50">
      <c r="B38" s="479"/>
      <c r="C38" s="182">
        <v>12</v>
      </c>
      <c r="D38" s="182"/>
      <c r="E38" s="182"/>
      <c r="F38" s="182"/>
      <c r="G38" s="182"/>
      <c r="H38" s="509"/>
      <c r="I38" s="182"/>
      <c r="J38" s="182"/>
      <c r="K38" s="182"/>
      <c r="L38" s="460"/>
      <c r="M38" s="181" t="e">
        <f>RANK(K38, K$27:$K$41)</f>
        <v>#N/A</v>
      </c>
      <c r="N38" s="462"/>
      <c r="O38" s="462"/>
      <c r="P38" s="182"/>
      <c r="Q38" s="182"/>
      <c r="R38" s="182"/>
      <c r="S38" s="182" t="e">
        <f t="shared" si="17"/>
        <v>#N/A</v>
      </c>
      <c r="T38" s="491"/>
      <c r="U38" s="182"/>
      <c r="V38" s="182"/>
      <c r="W38" s="182"/>
      <c r="X38" s="182" t="e">
        <f t="shared" si="18"/>
        <v>#N/A</v>
      </c>
      <c r="Y38" s="491"/>
      <c r="Z38" s="182"/>
      <c r="AA38" s="182"/>
      <c r="AB38" s="182"/>
      <c r="AC38" s="182" t="e">
        <f t="shared" si="19"/>
        <v>#N/A</v>
      </c>
      <c r="AD38" s="491"/>
      <c r="AE38" s="182"/>
      <c r="AF38" s="182"/>
      <c r="AG38" s="182"/>
      <c r="AH38" s="182" t="e">
        <f t="shared" si="20"/>
        <v>#N/A</v>
      </c>
      <c r="AI38" s="491"/>
      <c r="AJ38" s="182"/>
      <c r="AK38" s="182"/>
      <c r="AL38" s="182"/>
      <c r="AM38" s="182" t="e">
        <f t="shared" si="21"/>
        <v>#N/A</v>
      </c>
      <c r="AN38" s="491"/>
      <c r="AO38" s="182"/>
      <c r="AP38" s="182"/>
      <c r="AQ38" s="182"/>
      <c r="AR38" s="182" t="e">
        <f t="shared" si="22"/>
        <v>#N/A</v>
      </c>
      <c r="AS38" s="491"/>
      <c r="AT38" s="182"/>
      <c r="AU38" s="182"/>
      <c r="AV38" s="182"/>
      <c r="AW38" s="182" t="e">
        <f t="shared" si="23"/>
        <v>#N/A</v>
      </c>
      <c r="AX38" s="491"/>
    </row>
    <row r="39" spans="2:50">
      <c r="B39" s="479"/>
      <c r="C39" s="182">
        <v>13</v>
      </c>
      <c r="D39" s="182"/>
      <c r="E39" s="182"/>
      <c r="F39" s="182"/>
      <c r="G39" s="182"/>
      <c r="H39" s="509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82"/>
      <c r="R39" s="182"/>
      <c r="S39" s="182" t="e">
        <f t="shared" si="17"/>
        <v>#N/A</v>
      </c>
      <c r="T39" s="491"/>
      <c r="U39" s="182"/>
      <c r="V39" s="182"/>
      <c r="W39" s="182"/>
      <c r="X39" s="182" t="e">
        <f t="shared" si="18"/>
        <v>#N/A</v>
      </c>
      <c r="Y39" s="491"/>
      <c r="Z39" s="182"/>
      <c r="AA39" s="182"/>
      <c r="AB39" s="182"/>
      <c r="AC39" s="182" t="e">
        <f t="shared" si="19"/>
        <v>#N/A</v>
      </c>
      <c r="AD39" s="491"/>
      <c r="AE39" s="182"/>
      <c r="AF39" s="182"/>
      <c r="AG39" s="182"/>
      <c r="AH39" s="182" t="e">
        <f t="shared" si="20"/>
        <v>#N/A</v>
      </c>
      <c r="AI39" s="491"/>
      <c r="AJ39" s="182"/>
      <c r="AK39" s="182"/>
      <c r="AL39" s="182"/>
      <c r="AM39" s="182" t="e">
        <f t="shared" si="21"/>
        <v>#N/A</v>
      </c>
      <c r="AN39" s="491"/>
      <c r="AO39" s="182"/>
      <c r="AP39" s="182"/>
      <c r="AQ39" s="182"/>
      <c r="AR39" s="182" t="e">
        <f t="shared" si="22"/>
        <v>#N/A</v>
      </c>
      <c r="AS39" s="491"/>
      <c r="AT39" s="182"/>
      <c r="AU39" s="182"/>
      <c r="AV39" s="182"/>
      <c r="AW39" s="182" t="e">
        <f t="shared" si="23"/>
        <v>#N/A</v>
      </c>
      <c r="AX39" s="491"/>
    </row>
    <row r="40" spans="2:50">
      <c r="B40" s="479"/>
      <c r="C40" s="182">
        <v>14</v>
      </c>
      <c r="D40" s="182"/>
      <c r="E40" s="182"/>
      <c r="F40" s="182"/>
      <c r="G40" s="182"/>
      <c r="H40" s="509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82"/>
      <c r="R40" s="182"/>
      <c r="S40" s="182" t="e">
        <f t="shared" si="17"/>
        <v>#N/A</v>
      </c>
      <c r="T40" s="491"/>
      <c r="U40" s="182"/>
      <c r="V40" s="182"/>
      <c r="W40" s="182"/>
      <c r="X40" s="182" t="e">
        <f t="shared" si="18"/>
        <v>#N/A</v>
      </c>
      <c r="Y40" s="491"/>
      <c r="Z40" s="182"/>
      <c r="AA40" s="182"/>
      <c r="AB40" s="182"/>
      <c r="AC40" s="182" t="e">
        <f t="shared" si="19"/>
        <v>#N/A</v>
      </c>
      <c r="AD40" s="491"/>
      <c r="AE40" s="182"/>
      <c r="AF40" s="182"/>
      <c r="AG40" s="182"/>
      <c r="AH40" s="182" t="e">
        <f t="shared" si="20"/>
        <v>#N/A</v>
      </c>
      <c r="AI40" s="491"/>
      <c r="AJ40" s="182"/>
      <c r="AK40" s="182"/>
      <c r="AL40" s="182"/>
      <c r="AM40" s="182" t="e">
        <f t="shared" si="21"/>
        <v>#N/A</v>
      </c>
      <c r="AN40" s="491"/>
      <c r="AO40" s="182"/>
      <c r="AP40" s="182"/>
      <c r="AQ40" s="182"/>
      <c r="AR40" s="182" t="e">
        <f t="shared" si="22"/>
        <v>#N/A</v>
      </c>
      <c r="AS40" s="491"/>
      <c r="AT40" s="182"/>
      <c r="AU40" s="182"/>
      <c r="AV40" s="182"/>
      <c r="AW40" s="182" t="e">
        <f t="shared" si="23"/>
        <v>#N/A</v>
      </c>
      <c r="AX40" s="491"/>
    </row>
    <row r="41" spans="2:50">
      <c r="B41" s="479"/>
      <c r="C41" s="182">
        <v>15</v>
      </c>
      <c r="D41" s="182"/>
      <c r="E41" s="182"/>
      <c r="F41" s="182"/>
      <c r="G41" s="182"/>
      <c r="H41" s="510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82"/>
      <c r="R41" s="182"/>
      <c r="S41" s="182" t="e">
        <f t="shared" si="17"/>
        <v>#N/A</v>
      </c>
      <c r="T41" s="491"/>
      <c r="U41" s="182"/>
      <c r="V41" s="182"/>
      <c r="W41" s="182"/>
      <c r="X41" s="182" t="e">
        <f t="shared" si="18"/>
        <v>#N/A</v>
      </c>
      <c r="Y41" s="491"/>
      <c r="Z41" s="182"/>
      <c r="AA41" s="182"/>
      <c r="AB41" s="182"/>
      <c r="AC41" s="182" t="e">
        <f t="shared" si="19"/>
        <v>#N/A</v>
      </c>
      <c r="AD41" s="491"/>
      <c r="AE41" s="182"/>
      <c r="AF41" s="182"/>
      <c r="AG41" s="182"/>
      <c r="AH41" s="182" t="e">
        <f t="shared" si="20"/>
        <v>#N/A</v>
      </c>
      <c r="AI41" s="491"/>
      <c r="AJ41" s="182"/>
      <c r="AK41" s="182"/>
      <c r="AL41" s="182"/>
      <c r="AM41" s="182" t="e">
        <f t="shared" si="21"/>
        <v>#N/A</v>
      </c>
      <c r="AN41" s="491"/>
      <c r="AO41" s="182"/>
      <c r="AP41" s="182"/>
      <c r="AQ41" s="182"/>
      <c r="AR41" s="182" t="e">
        <f t="shared" si="22"/>
        <v>#N/A</v>
      </c>
      <c r="AS41" s="491"/>
      <c r="AT41" s="182"/>
      <c r="AU41" s="182"/>
      <c r="AV41" s="182"/>
      <c r="AW41" s="182" t="e">
        <f t="shared" si="23"/>
        <v>#N/A</v>
      </c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507" t="s">
        <v>253</v>
      </c>
      <c r="C47" s="182">
        <v>1</v>
      </c>
      <c r="D47" s="182" t="s">
        <v>254</v>
      </c>
      <c r="E47" s="182">
        <v>10</v>
      </c>
      <c r="F47" s="182">
        <v>1500</v>
      </c>
      <c r="G47" s="166">
        <v>150</v>
      </c>
      <c r="H47" s="459">
        <f>AVERAGE(G47:G61)</f>
        <v>167.14285714285714</v>
      </c>
      <c r="I47" s="166">
        <f>AVERAGE(P47,U47,Z47,AE47,AJ47,AO47,AT47)</f>
        <v>10</v>
      </c>
      <c r="J47" s="166">
        <f>AVERAGE(Q47,V47,AA47,AF47,AK47,AP47,AU47)</f>
        <v>1537.7142857142874</v>
      </c>
      <c r="K47" s="180">
        <f>AVERAGE(R47,W47,AB47,AG47,AL47,AQ47,AV47)</f>
        <v>153.77142857142871</v>
      </c>
      <c r="L47" s="459">
        <f>IFERROR(AVERAGE(K47:K61),"-")</f>
        <v>170.64700919966984</v>
      </c>
      <c r="M47" s="181">
        <f>RANK(K47, K$47:$K$61)</f>
        <v>4</v>
      </c>
      <c r="N47" s="462"/>
      <c r="O47" s="462"/>
      <c r="P47" s="182">
        <v>10</v>
      </c>
      <c r="Q47" s="166">
        <v>1535.9999999999995</v>
      </c>
      <c r="R47" s="166">
        <v>153.59999999999997</v>
      </c>
      <c r="S47" s="182">
        <f>RANK(R47, R$47:R$61)</f>
        <v>4</v>
      </c>
      <c r="T47" s="491">
        <f>AVERAGE(R47:R61)</f>
        <v>173.26327731092448</v>
      </c>
      <c r="U47" s="182">
        <v>10</v>
      </c>
      <c r="V47" s="166">
        <v>1587.0000000000057</v>
      </c>
      <c r="W47" s="166">
        <v>158.70000000000056</v>
      </c>
      <c r="X47" s="182">
        <f>RANK(W47, W$47:W$61)</f>
        <v>3</v>
      </c>
      <c r="Y47" s="491">
        <f>AVERAGE(W47:W61)</f>
        <v>173.44880952380964</v>
      </c>
      <c r="Z47" s="182">
        <v>10</v>
      </c>
      <c r="AA47" s="166">
        <v>1545.0000000000055</v>
      </c>
      <c r="AB47" s="166">
        <v>154.50000000000054</v>
      </c>
      <c r="AC47" s="182">
        <f>RANK(AB47, AB$47:AB$61)</f>
        <v>3</v>
      </c>
      <c r="AD47" s="491">
        <f>AVERAGE(AB47:AB61)</f>
        <v>168.37848549946301</v>
      </c>
      <c r="AE47" s="182">
        <v>10</v>
      </c>
      <c r="AF47" s="166">
        <v>1503.9999999999975</v>
      </c>
      <c r="AG47" s="166">
        <v>150.39999999999975</v>
      </c>
      <c r="AH47" s="182">
        <f>RANK(AG47, AG$47:AG$61)</f>
        <v>5</v>
      </c>
      <c r="AI47" s="491">
        <f>AVERAGE(AG47:AG61)</f>
        <v>166.27619047619049</v>
      </c>
      <c r="AJ47" s="182">
        <v>10</v>
      </c>
      <c r="AK47" s="166">
        <v>1579.9999999999973</v>
      </c>
      <c r="AL47" s="166">
        <v>157.99999999999972</v>
      </c>
      <c r="AM47" s="182">
        <f>RANK(AL47, AL$47:AL$61)</f>
        <v>3</v>
      </c>
      <c r="AN47" s="491">
        <f>AVERAGE(AL47:AL61)</f>
        <v>171.2293040293039</v>
      </c>
      <c r="AO47" s="182">
        <v>10</v>
      </c>
      <c r="AP47" s="166">
        <v>1589.9999999999993</v>
      </c>
      <c r="AQ47" s="166">
        <v>158.99999999999994</v>
      </c>
      <c r="AR47" s="182">
        <f>RANK(AQ47, AQ$47:AQ$61)</f>
        <v>3</v>
      </c>
      <c r="AS47" s="491">
        <f>AVERAGE(AQ47:AQ61)</f>
        <v>172.75680708180715</v>
      </c>
      <c r="AT47" s="182">
        <v>10</v>
      </c>
      <c r="AU47" s="166">
        <v>1422.000000000005</v>
      </c>
      <c r="AV47" s="166">
        <v>142.2000000000005</v>
      </c>
      <c r="AW47" s="182">
        <f>RANK(AV47, AV$47:AV$61)</f>
        <v>5</v>
      </c>
      <c r="AX47" s="491">
        <f>AVERAGE(AV47:AV61)</f>
        <v>169.1761904761905</v>
      </c>
    </row>
    <row r="48" spans="2:50">
      <c r="B48" s="479"/>
      <c r="C48" s="182">
        <v>2</v>
      </c>
      <c r="D48" s="182" t="s">
        <v>255</v>
      </c>
      <c r="E48" s="182">
        <v>15</v>
      </c>
      <c r="F48" s="182">
        <v>1800</v>
      </c>
      <c r="G48" s="166">
        <v>120</v>
      </c>
      <c r="H48" s="460"/>
      <c r="I48" s="166">
        <f t="shared" ref="I48:I53" si="24">AVERAGE(P48,U48,Z48,AE48,AJ48,AO48,AT48)</f>
        <v>12.285714285714286</v>
      </c>
      <c r="J48" s="166">
        <f t="shared" ref="J48:J53" si="25">AVERAGE(Q48,V48,AA48,AF48,AK48,AP48,AU48)</f>
        <v>1841.3571428571427</v>
      </c>
      <c r="K48" s="180">
        <f t="shared" ref="K48:K53" si="26">AVERAGE(R48,W48,AB48,AG48,AL48,AQ48,AV48)</f>
        <v>150.42346938775509</v>
      </c>
      <c r="L48" s="460"/>
      <c r="M48" s="181">
        <f>RANK(K48, K$47:$K$61)</f>
        <v>5</v>
      </c>
      <c r="N48" s="462"/>
      <c r="O48" s="462"/>
      <c r="P48" s="182">
        <v>12</v>
      </c>
      <c r="Q48" s="166">
        <v>1708.5000000000027</v>
      </c>
      <c r="R48" s="166">
        <v>142.37500000000023</v>
      </c>
      <c r="S48" s="182">
        <f t="shared" ref="S48:S53" si="27">RANK(R48, R$47:R$61)</f>
        <v>5</v>
      </c>
      <c r="T48" s="491"/>
      <c r="U48" s="182">
        <v>12</v>
      </c>
      <c r="V48" s="166">
        <v>1872.000000000003</v>
      </c>
      <c r="W48" s="166">
        <v>156.00000000000026</v>
      </c>
      <c r="X48" s="182">
        <f t="shared" ref="X48:X53" si="28">RANK(W48, W$47:W$61)</f>
        <v>4</v>
      </c>
      <c r="Y48" s="491"/>
      <c r="Z48" s="182">
        <v>14</v>
      </c>
      <c r="AA48" s="166">
        <v>1777.4999999999955</v>
      </c>
      <c r="AB48" s="166">
        <v>126.9642857142854</v>
      </c>
      <c r="AC48" s="182">
        <f t="shared" ref="AC48:AC53" si="29">RANK(AB48, AB$47:AB$61)</f>
        <v>5</v>
      </c>
      <c r="AD48" s="491"/>
      <c r="AE48" s="182">
        <v>12</v>
      </c>
      <c r="AF48" s="166">
        <v>1923.9999999999968</v>
      </c>
      <c r="AG48" s="166">
        <v>160.33333333333306</v>
      </c>
      <c r="AH48" s="182">
        <f t="shared" ref="AH48:AH53" si="30">RANK(AG48, AG$47:AG$61)</f>
        <v>4</v>
      </c>
      <c r="AI48" s="491"/>
      <c r="AJ48" s="182">
        <v>12</v>
      </c>
      <c r="AK48" s="166">
        <v>1862.0000000000018</v>
      </c>
      <c r="AL48" s="166">
        <v>155.16666666666683</v>
      </c>
      <c r="AM48" s="182">
        <f t="shared" ref="AM48:AM53" si="31">RANK(AL48, AL$47:AL$61)</f>
        <v>5</v>
      </c>
      <c r="AN48" s="491"/>
      <c r="AO48" s="182">
        <v>12</v>
      </c>
      <c r="AP48" s="166">
        <v>1801.4999999999955</v>
      </c>
      <c r="AQ48" s="166">
        <v>150.12499999999963</v>
      </c>
      <c r="AR48" s="182">
        <f t="shared" ref="AR48:AR53" si="32">RANK(AQ48, AQ$47:AQ$61)</f>
        <v>4</v>
      </c>
      <c r="AS48" s="491"/>
      <c r="AT48" s="182">
        <v>12</v>
      </c>
      <c r="AU48" s="166">
        <v>1944.0000000000025</v>
      </c>
      <c r="AV48" s="166">
        <v>162.0000000000002</v>
      </c>
      <c r="AW48" s="182">
        <f t="shared" ref="AW48:AW53" si="33">RANK(AV48, AV$47:AV$61)</f>
        <v>3</v>
      </c>
      <c r="AX48" s="491"/>
    </row>
    <row r="49" spans="2:50">
      <c r="B49" s="479"/>
      <c r="C49" s="182">
        <v>3</v>
      </c>
      <c r="D49" s="182" t="s">
        <v>256</v>
      </c>
      <c r="E49" s="182">
        <v>15</v>
      </c>
      <c r="F49" s="182">
        <v>1800</v>
      </c>
      <c r="G49" s="166">
        <v>120</v>
      </c>
      <c r="H49" s="460"/>
      <c r="I49" s="166">
        <f t="shared" si="24"/>
        <v>12.285714285714286</v>
      </c>
      <c r="J49" s="166">
        <f t="shared" si="25"/>
        <v>1893.4761904761906</v>
      </c>
      <c r="K49" s="180">
        <f t="shared" si="26"/>
        <v>154.69274376417232</v>
      </c>
      <c r="L49" s="460"/>
      <c r="M49" s="181">
        <f>RANK(K49, K$47:$K$61)</f>
        <v>3</v>
      </c>
      <c r="N49" s="462"/>
      <c r="O49" s="462"/>
      <c r="P49" s="182">
        <v>12</v>
      </c>
      <c r="Q49" s="166">
        <v>2338.5000000000041</v>
      </c>
      <c r="R49" s="166">
        <v>194.87500000000034</v>
      </c>
      <c r="S49" s="182">
        <f t="shared" si="27"/>
        <v>3</v>
      </c>
      <c r="T49" s="491"/>
      <c r="U49" s="182">
        <v>12</v>
      </c>
      <c r="V49" s="166">
        <v>1858.5000000000032</v>
      </c>
      <c r="W49" s="166">
        <v>154.87500000000026</v>
      </c>
      <c r="X49" s="182">
        <f t="shared" si="28"/>
        <v>5</v>
      </c>
      <c r="Y49" s="491"/>
      <c r="Z49" s="182">
        <v>14</v>
      </c>
      <c r="AA49" s="166">
        <v>1820.9999999999955</v>
      </c>
      <c r="AB49" s="166">
        <v>130.07142857142824</v>
      </c>
      <c r="AC49" s="182">
        <f t="shared" si="29"/>
        <v>4</v>
      </c>
      <c r="AD49" s="491"/>
      <c r="AE49" s="182">
        <v>12</v>
      </c>
      <c r="AF49" s="166">
        <v>1951.9999999999964</v>
      </c>
      <c r="AG49" s="166">
        <v>162.66666666666637</v>
      </c>
      <c r="AH49" s="182">
        <f t="shared" si="30"/>
        <v>3</v>
      </c>
      <c r="AI49" s="491"/>
      <c r="AJ49" s="182">
        <v>12</v>
      </c>
      <c r="AK49" s="166">
        <v>1890.0000000000018</v>
      </c>
      <c r="AL49" s="166">
        <v>157.50000000000014</v>
      </c>
      <c r="AM49" s="182">
        <f t="shared" si="31"/>
        <v>4</v>
      </c>
      <c r="AN49" s="491"/>
      <c r="AO49" s="182">
        <v>12</v>
      </c>
      <c r="AP49" s="166">
        <v>1645.3333333333333</v>
      </c>
      <c r="AQ49" s="166">
        <v>137.11111111111111</v>
      </c>
      <c r="AR49" s="182">
        <f t="shared" si="32"/>
        <v>5</v>
      </c>
      <c r="AS49" s="491"/>
      <c r="AT49" s="182">
        <v>12</v>
      </c>
      <c r="AU49" s="166">
        <v>1748.9999999999993</v>
      </c>
      <c r="AV49" s="166">
        <v>145.74999999999994</v>
      </c>
      <c r="AW49" s="182">
        <f t="shared" si="33"/>
        <v>4</v>
      </c>
      <c r="AX49" s="491"/>
    </row>
    <row r="50" spans="2:50">
      <c r="B50" s="479"/>
      <c r="C50" s="182">
        <v>4</v>
      </c>
      <c r="D50" s="182" t="s">
        <v>257</v>
      </c>
      <c r="E50" s="182">
        <v>5</v>
      </c>
      <c r="F50" s="182">
        <v>1500</v>
      </c>
      <c r="G50" s="166">
        <v>300</v>
      </c>
      <c r="H50" s="460"/>
      <c r="I50" s="166">
        <f t="shared" si="24"/>
        <v>6</v>
      </c>
      <c r="J50" s="166">
        <f t="shared" si="25"/>
        <v>1534.2415030789653</v>
      </c>
      <c r="K50" s="180">
        <f t="shared" si="26"/>
        <v>255.70691717982751</v>
      </c>
      <c r="L50" s="460"/>
      <c r="M50" s="181">
        <f>RANK(K50, K$47:$K$61)</f>
        <v>2</v>
      </c>
      <c r="N50" s="462"/>
      <c r="O50" s="462"/>
      <c r="P50" s="182">
        <v>6</v>
      </c>
      <c r="Q50" s="166">
        <v>1514.1176470588216</v>
      </c>
      <c r="R50" s="166">
        <v>252.35294117647027</v>
      </c>
      <c r="S50" s="182">
        <f t="shared" si="27"/>
        <v>2</v>
      </c>
      <c r="T50" s="491"/>
      <c r="U50" s="182">
        <v>6</v>
      </c>
      <c r="V50" s="166">
        <v>1496.9999999999995</v>
      </c>
      <c r="W50" s="166">
        <v>249.49999999999991</v>
      </c>
      <c r="X50" s="182">
        <f t="shared" si="28"/>
        <v>2</v>
      </c>
      <c r="Y50" s="491"/>
      <c r="Z50" s="182">
        <v>6</v>
      </c>
      <c r="AA50" s="166">
        <v>1556.8421052631602</v>
      </c>
      <c r="AB50" s="166">
        <v>259.4736842105267</v>
      </c>
      <c r="AC50" s="182">
        <f t="shared" si="29"/>
        <v>2</v>
      </c>
      <c r="AD50" s="491"/>
      <c r="AE50" s="182">
        <v>6</v>
      </c>
      <c r="AF50" s="166">
        <v>1460.0000000000014</v>
      </c>
      <c r="AG50" s="166">
        <v>243.33333333333357</v>
      </c>
      <c r="AH50" s="182">
        <f t="shared" si="30"/>
        <v>2</v>
      </c>
      <c r="AI50" s="491"/>
      <c r="AJ50" s="182">
        <v>6</v>
      </c>
      <c r="AK50" s="166">
        <v>1569.23076923077</v>
      </c>
      <c r="AL50" s="166">
        <v>261.53846153846166</v>
      </c>
      <c r="AM50" s="182">
        <f t="shared" si="31"/>
        <v>2</v>
      </c>
      <c r="AN50" s="491"/>
      <c r="AO50" s="182">
        <v>6</v>
      </c>
      <c r="AP50" s="166">
        <v>1590.000000000002</v>
      </c>
      <c r="AQ50" s="166">
        <v>265.00000000000034</v>
      </c>
      <c r="AR50" s="182">
        <f t="shared" si="32"/>
        <v>2</v>
      </c>
      <c r="AS50" s="491"/>
      <c r="AT50" s="182">
        <v>6</v>
      </c>
      <c r="AU50" s="166">
        <v>1552.5000000000018</v>
      </c>
      <c r="AV50" s="166">
        <v>258.75000000000028</v>
      </c>
      <c r="AW50" s="182">
        <f t="shared" si="33"/>
        <v>2</v>
      </c>
      <c r="AX50" s="491"/>
    </row>
    <row r="51" spans="2:50">
      <c r="B51" s="479"/>
      <c r="C51" s="182">
        <v>5</v>
      </c>
      <c r="D51" s="182" t="s">
        <v>258</v>
      </c>
      <c r="E51" s="182">
        <v>5</v>
      </c>
      <c r="F51" s="182">
        <v>1500</v>
      </c>
      <c r="G51" s="166">
        <v>300</v>
      </c>
      <c r="H51" s="460"/>
      <c r="I51" s="166">
        <f t="shared" si="24"/>
        <v>5</v>
      </c>
      <c r="J51" s="166">
        <f t="shared" si="25"/>
        <v>1529.8630036630034</v>
      </c>
      <c r="K51" s="180">
        <f t="shared" si="26"/>
        <v>305.97260073260065</v>
      </c>
      <c r="L51" s="460"/>
      <c r="M51" s="181">
        <f>RANK(K51, K$47:$K$61)</f>
        <v>1</v>
      </c>
      <c r="N51" s="462"/>
      <c r="O51" s="462"/>
      <c r="P51" s="182">
        <v>5</v>
      </c>
      <c r="Q51" s="166">
        <v>1495.2000000000028</v>
      </c>
      <c r="R51" s="166">
        <v>299.04000000000053</v>
      </c>
      <c r="S51" s="182">
        <f t="shared" si="27"/>
        <v>1</v>
      </c>
      <c r="T51" s="491"/>
      <c r="U51" s="182">
        <v>5</v>
      </c>
      <c r="V51" s="166">
        <v>1493.3333333333342</v>
      </c>
      <c r="W51" s="166">
        <v>298.66666666666686</v>
      </c>
      <c r="X51" s="182">
        <f t="shared" si="28"/>
        <v>1</v>
      </c>
      <c r="Y51" s="491"/>
      <c r="Z51" s="182">
        <v>5</v>
      </c>
      <c r="AA51" s="166">
        <v>1543.199999999998</v>
      </c>
      <c r="AB51" s="166">
        <v>308.63999999999959</v>
      </c>
      <c r="AC51" s="182">
        <f t="shared" si="29"/>
        <v>1</v>
      </c>
      <c r="AD51" s="491"/>
      <c r="AE51" s="182">
        <v>5</v>
      </c>
      <c r="AF51" s="166">
        <v>1500.0000000000023</v>
      </c>
      <c r="AG51" s="166">
        <v>300.00000000000045</v>
      </c>
      <c r="AH51" s="182">
        <f t="shared" si="30"/>
        <v>1</v>
      </c>
      <c r="AI51" s="491"/>
      <c r="AJ51" s="182">
        <v>5</v>
      </c>
      <c r="AK51" s="166">
        <v>1629.999999999995</v>
      </c>
      <c r="AL51" s="166">
        <v>325.99999999999898</v>
      </c>
      <c r="AM51" s="182">
        <f t="shared" si="31"/>
        <v>1</v>
      </c>
      <c r="AN51" s="491"/>
      <c r="AO51" s="182">
        <v>5</v>
      </c>
      <c r="AP51" s="166">
        <v>1532.3076923076931</v>
      </c>
      <c r="AQ51" s="166">
        <v>306.46153846153862</v>
      </c>
      <c r="AR51" s="182">
        <f t="shared" si="32"/>
        <v>1</v>
      </c>
      <c r="AS51" s="491"/>
      <c r="AT51" s="182">
        <v>5</v>
      </c>
      <c r="AU51" s="166">
        <v>1514.9999999999977</v>
      </c>
      <c r="AV51" s="166">
        <v>302.99999999999955</v>
      </c>
      <c r="AW51" s="182">
        <f t="shared" si="33"/>
        <v>1</v>
      </c>
      <c r="AX51" s="491"/>
    </row>
    <row r="52" spans="2:50">
      <c r="B52" s="479"/>
      <c r="C52" s="182">
        <v>6</v>
      </c>
      <c r="D52" s="182" t="s">
        <v>259</v>
      </c>
      <c r="E52" s="182">
        <v>15</v>
      </c>
      <c r="F52" s="182">
        <v>1200</v>
      </c>
      <c r="G52" s="166">
        <v>80</v>
      </c>
      <c r="H52" s="460"/>
      <c r="I52" s="166">
        <f t="shared" si="24"/>
        <v>10</v>
      </c>
      <c r="J52" s="166">
        <f t="shared" si="25"/>
        <v>985.14285714285768</v>
      </c>
      <c r="K52" s="180">
        <f t="shared" si="26"/>
        <v>98.514285714285805</v>
      </c>
      <c r="L52" s="460"/>
      <c r="M52" s="181">
        <f>RANK(K52, K$47:$K$61)</f>
        <v>6</v>
      </c>
      <c r="N52" s="462"/>
      <c r="O52" s="462"/>
      <c r="P52" s="182">
        <v>10</v>
      </c>
      <c r="Q52" s="166">
        <v>863.99999999999841</v>
      </c>
      <c r="R52" s="166">
        <v>86.399999999999835</v>
      </c>
      <c r="S52" s="182">
        <f t="shared" si="27"/>
        <v>6</v>
      </c>
      <c r="T52" s="491"/>
      <c r="U52" s="182">
        <v>10</v>
      </c>
      <c r="V52" s="166">
        <v>1147.999999999998</v>
      </c>
      <c r="W52" s="166">
        <v>114.7999999999998</v>
      </c>
      <c r="X52" s="182">
        <f t="shared" si="28"/>
        <v>6</v>
      </c>
      <c r="Y52" s="491"/>
      <c r="Z52" s="182">
        <v>10</v>
      </c>
      <c r="AA52" s="166">
        <v>1248.0000000000045</v>
      </c>
      <c r="AB52" s="166">
        <v>124.80000000000045</v>
      </c>
      <c r="AC52" s="182">
        <f t="shared" si="29"/>
        <v>6</v>
      </c>
      <c r="AD52" s="491"/>
      <c r="AE52" s="182">
        <v>10</v>
      </c>
      <c r="AF52" s="166">
        <v>768.00000000000273</v>
      </c>
      <c r="AG52" s="166">
        <v>76.800000000000267</v>
      </c>
      <c r="AH52" s="182">
        <f t="shared" si="30"/>
        <v>6</v>
      </c>
      <c r="AI52" s="491"/>
      <c r="AJ52" s="182">
        <v>10</v>
      </c>
      <c r="AK52" s="166">
        <v>624.00000000000227</v>
      </c>
      <c r="AL52" s="166">
        <v>62.400000000000226</v>
      </c>
      <c r="AM52" s="182">
        <f t="shared" si="31"/>
        <v>7</v>
      </c>
      <c r="AN52" s="491"/>
      <c r="AO52" s="182">
        <v>10</v>
      </c>
      <c r="AP52" s="166">
        <v>1140.0000000000041</v>
      </c>
      <c r="AQ52" s="166">
        <v>114.00000000000041</v>
      </c>
      <c r="AR52" s="182">
        <f t="shared" si="32"/>
        <v>6</v>
      </c>
      <c r="AS52" s="491"/>
      <c r="AT52" s="182">
        <v>10</v>
      </c>
      <c r="AU52" s="166">
        <v>1103.999999999995</v>
      </c>
      <c r="AV52" s="166">
        <v>110.39999999999949</v>
      </c>
      <c r="AW52" s="182">
        <f t="shared" si="33"/>
        <v>6</v>
      </c>
      <c r="AX52" s="491"/>
    </row>
    <row r="53" spans="2:50">
      <c r="B53" s="479"/>
      <c r="C53" s="182">
        <v>7</v>
      </c>
      <c r="D53" s="182" t="s">
        <v>260</v>
      </c>
      <c r="E53" s="182">
        <v>13</v>
      </c>
      <c r="F53" s="182">
        <v>1300</v>
      </c>
      <c r="G53" s="166">
        <v>100</v>
      </c>
      <c r="H53" s="460"/>
      <c r="I53" s="166">
        <f t="shared" si="24"/>
        <v>15</v>
      </c>
      <c r="J53" s="166">
        <f t="shared" si="25"/>
        <v>1131.7142857142844</v>
      </c>
      <c r="K53" s="180">
        <f t="shared" si="26"/>
        <v>75.447619047618971</v>
      </c>
      <c r="L53" s="460"/>
      <c r="M53" s="181">
        <f>RANK(K53, K$47:$K$61)</f>
        <v>7</v>
      </c>
      <c r="N53" s="462"/>
      <c r="O53" s="462"/>
      <c r="P53" s="182">
        <v>15</v>
      </c>
      <c r="Q53" s="166">
        <v>1262.9999999999995</v>
      </c>
      <c r="R53" s="166">
        <v>84.199999999999974</v>
      </c>
      <c r="S53" s="182">
        <f t="shared" si="27"/>
        <v>7</v>
      </c>
      <c r="T53" s="491"/>
      <c r="U53" s="182">
        <v>15</v>
      </c>
      <c r="V53" s="166">
        <v>1223.9999999999977</v>
      </c>
      <c r="W53" s="166">
        <v>81.599999999999852</v>
      </c>
      <c r="X53" s="182">
        <f t="shared" si="28"/>
        <v>7</v>
      </c>
      <c r="Y53" s="491"/>
      <c r="Z53" s="182">
        <v>15</v>
      </c>
      <c r="AA53" s="166">
        <v>1112.9999999999995</v>
      </c>
      <c r="AB53" s="166">
        <v>74.199999999999974</v>
      </c>
      <c r="AC53" s="182">
        <f t="shared" si="29"/>
        <v>7</v>
      </c>
      <c r="AD53" s="491"/>
      <c r="AE53" s="182">
        <v>15</v>
      </c>
      <c r="AF53" s="166">
        <v>1055.9999999999982</v>
      </c>
      <c r="AG53" s="166">
        <v>70.399999999999878</v>
      </c>
      <c r="AH53" s="182">
        <f t="shared" si="30"/>
        <v>7</v>
      </c>
      <c r="AI53" s="491"/>
      <c r="AJ53" s="182">
        <v>15</v>
      </c>
      <c r="AK53" s="166">
        <v>1169.999999999995</v>
      </c>
      <c r="AL53" s="166">
        <v>77.999999999999673</v>
      </c>
      <c r="AM53" s="182">
        <f t="shared" si="31"/>
        <v>6</v>
      </c>
      <c r="AN53" s="491"/>
      <c r="AO53" s="182">
        <v>15</v>
      </c>
      <c r="AP53" s="166">
        <v>1163.999999999998</v>
      </c>
      <c r="AQ53" s="166">
        <v>77.599999999999866</v>
      </c>
      <c r="AR53" s="182">
        <f t="shared" si="32"/>
        <v>7</v>
      </c>
      <c r="AS53" s="491"/>
      <c r="AT53" s="182">
        <v>15</v>
      </c>
      <c r="AU53" s="166">
        <v>932.0000000000033</v>
      </c>
      <c r="AV53" s="166">
        <v>62.133333333333553</v>
      </c>
      <c r="AW53" s="182">
        <f t="shared" si="33"/>
        <v>7</v>
      </c>
      <c r="AX53" s="491"/>
    </row>
    <row r="54" spans="2:50">
      <c r="B54" s="479"/>
      <c r="C54" s="182">
        <v>8</v>
      </c>
      <c r="D54" s="182"/>
      <c r="E54" s="182"/>
      <c r="F54" s="182"/>
      <c r="G54" s="166"/>
      <c r="H54" s="460"/>
      <c r="I54" s="166"/>
      <c r="J54" s="166"/>
      <c r="K54" s="180"/>
      <c r="L54" s="460"/>
      <c r="M54" s="181" t="e">
        <f>RANK(K54, K$47:$K$61)</f>
        <v>#N/A</v>
      </c>
      <c r="N54" s="462"/>
      <c r="O54" s="462"/>
      <c r="P54" s="182"/>
      <c r="Q54" s="182"/>
      <c r="R54" s="182"/>
      <c r="S54" s="182"/>
      <c r="T54" s="491"/>
      <c r="U54" s="182"/>
      <c r="V54" s="182"/>
      <c r="W54" s="182"/>
      <c r="X54" s="182"/>
      <c r="Y54" s="491"/>
      <c r="Z54" s="182"/>
      <c r="AA54" s="182"/>
      <c r="AB54" s="182"/>
      <c r="AC54" s="182"/>
      <c r="AD54" s="491"/>
      <c r="AE54" s="182"/>
      <c r="AF54" s="182"/>
      <c r="AG54" s="182"/>
      <c r="AH54" s="182"/>
      <c r="AI54" s="491"/>
      <c r="AJ54" s="182"/>
      <c r="AK54" s="182"/>
      <c r="AL54" s="182"/>
      <c r="AM54" s="182"/>
      <c r="AN54" s="491"/>
      <c r="AO54" s="182"/>
      <c r="AP54" s="182"/>
      <c r="AQ54" s="182"/>
      <c r="AR54" s="182"/>
      <c r="AS54" s="491"/>
      <c r="AT54" s="182"/>
      <c r="AU54" s="182"/>
      <c r="AV54" s="182"/>
      <c r="AW54" s="182"/>
      <c r="AX54" s="491"/>
    </row>
    <row r="55" spans="2:50">
      <c r="B55" s="479"/>
      <c r="C55" s="182">
        <v>9</v>
      </c>
      <c r="D55" s="182"/>
      <c r="E55" s="182"/>
      <c r="F55" s="182"/>
      <c r="G55" s="166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/>
      <c r="T55" s="491"/>
      <c r="U55" s="182"/>
      <c r="V55" s="182"/>
      <c r="W55" s="182"/>
      <c r="X55" s="182"/>
      <c r="Y55" s="491"/>
      <c r="Z55" s="182"/>
      <c r="AA55" s="182"/>
      <c r="AB55" s="182"/>
      <c r="AC55" s="182"/>
      <c r="AD55" s="491"/>
      <c r="AE55" s="182"/>
      <c r="AF55" s="182"/>
      <c r="AG55" s="182"/>
      <c r="AH55" s="182"/>
      <c r="AI55" s="491"/>
      <c r="AJ55" s="182"/>
      <c r="AK55" s="182"/>
      <c r="AL55" s="182"/>
      <c r="AM55" s="182"/>
      <c r="AN55" s="491"/>
      <c r="AO55" s="182"/>
      <c r="AP55" s="182"/>
      <c r="AQ55" s="182"/>
      <c r="AR55" s="182"/>
      <c r="AS55" s="491"/>
      <c r="AT55" s="182"/>
      <c r="AU55" s="182"/>
      <c r="AV55" s="182"/>
      <c r="AW55" s="182"/>
      <c r="AX55" s="491"/>
    </row>
    <row r="56" spans="2:50">
      <c r="B56" s="479"/>
      <c r="C56" s="182">
        <v>10</v>
      </c>
      <c r="D56" s="182"/>
      <c r="E56" s="182"/>
      <c r="F56" s="182"/>
      <c r="G56" s="166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/>
      <c r="T56" s="491"/>
      <c r="U56" s="182"/>
      <c r="V56" s="182"/>
      <c r="W56" s="182"/>
      <c r="X56" s="182"/>
      <c r="Y56" s="491"/>
      <c r="Z56" s="182"/>
      <c r="AA56" s="182"/>
      <c r="AB56" s="182"/>
      <c r="AC56" s="182"/>
      <c r="AD56" s="491"/>
      <c r="AE56" s="182"/>
      <c r="AF56" s="182"/>
      <c r="AG56" s="182"/>
      <c r="AH56" s="182"/>
      <c r="AI56" s="491"/>
      <c r="AJ56" s="182"/>
      <c r="AK56" s="182"/>
      <c r="AL56" s="182"/>
      <c r="AM56" s="182"/>
      <c r="AN56" s="491"/>
      <c r="AO56" s="182"/>
      <c r="AP56" s="182"/>
      <c r="AQ56" s="182"/>
      <c r="AR56" s="182"/>
      <c r="AS56" s="491"/>
      <c r="AT56" s="182"/>
      <c r="AU56" s="182"/>
      <c r="AV56" s="182"/>
      <c r="AW56" s="182"/>
      <c r="AX56" s="491"/>
    </row>
    <row r="57" spans="2:50">
      <c r="B57" s="479"/>
      <c r="C57" s="182">
        <v>11</v>
      </c>
      <c r="D57" s="182"/>
      <c r="E57" s="182"/>
      <c r="F57" s="182"/>
      <c r="G57" s="166"/>
      <c r="H57" s="460"/>
      <c r="I57" s="182"/>
      <c r="J57" s="182"/>
      <c r="K57" s="182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/>
      <c r="T57" s="491"/>
      <c r="U57" s="182"/>
      <c r="V57" s="182"/>
      <c r="W57" s="182"/>
      <c r="X57" s="182"/>
      <c r="Y57" s="491"/>
      <c r="Z57" s="182"/>
      <c r="AA57" s="182"/>
      <c r="AB57" s="182"/>
      <c r="AC57" s="182"/>
      <c r="AD57" s="491"/>
      <c r="AE57" s="182"/>
      <c r="AF57" s="182"/>
      <c r="AG57" s="182"/>
      <c r="AH57" s="182"/>
      <c r="AI57" s="491"/>
      <c r="AJ57" s="182"/>
      <c r="AK57" s="182"/>
      <c r="AL57" s="182"/>
      <c r="AM57" s="182"/>
      <c r="AN57" s="491"/>
      <c r="AO57" s="182"/>
      <c r="AP57" s="182"/>
      <c r="AQ57" s="182"/>
      <c r="AR57" s="182"/>
      <c r="AS57" s="491"/>
      <c r="AT57" s="182"/>
      <c r="AU57" s="182"/>
      <c r="AV57" s="182"/>
      <c r="AW57" s="182"/>
      <c r="AX57" s="491"/>
    </row>
    <row r="58" spans="2:50">
      <c r="B58" s="479"/>
      <c r="C58" s="182">
        <v>12</v>
      </c>
      <c r="D58" s="182"/>
      <c r="E58" s="182"/>
      <c r="F58" s="182"/>
      <c r="G58" s="166"/>
      <c r="H58" s="460"/>
      <c r="I58" s="182"/>
      <c r="J58" s="182"/>
      <c r="K58" s="182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/>
      <c r="T58" s="491"/>
      <c r="U58" s="182"/>
      <c r="V58" s="182"/>
      <c r="W58" s="182"/>
      <c r="X58" s="182"/>
      <c r="Y58" s="491"/>
      <c r="Z58" s="182"/>
      <c r="AA58" s="182"/>
      <c r="AB58" s="182"/>
      <c r="AC58" s="182"/>
      <c r="AD58" s="491"/>
      <c r="AE58" s="182"/>
      <c r="AF58" s="182"/>
      <c r="AG58" s="182"/>
      <c r="AH58" s="182"/>
      <c r="AI58" s="491"/>
      <c r="AJ58" s="182"/>
      <c r="AK58" s="182"/>
      <c r="AL58" s="182"/>
      <c r="AM58" s="182"/>
      <c r="AN58" s="491"/>
      <c r="AO58" s="182"/>
      <c r="AP58" s="182"/>
      <c r="AQ58" s="182"/>
      <c r="AR58" s="182"/>
      <c r="AS58" s="491"/>
      <c r="AT58" s="182"/>
      <c r="AU58" s="182"/>
      <c r="AV58" s="182"/>
      <c r="AW58" s="182"/>
      <c r="AX58" s="491"/>
    </row>
    <row r="59" spans="2:50">
      <c r="B59" s="479"/>
      <c r="C59" s="182">
        <v>13</v>
      </c>
      <c r="D59" s="182"/>
      <c r="E59" s="182"/>
      <c r="F59" s="182"/>
      <c r="G59" s="166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/>
      <c r="T59" s="491"/>
      <c r="U59" s="182"/>
      <c r="V59" s="182"/>
      <c r="W59" s="182"/>
      <c r="X59" s="182"/>
      <c r="Y59" s="491"/>
      <c r="Z59" s="182"/>
      <c r="AA59" s="182"/>
      <c r="AB59" s="182"/>
      <c r="AC59" s="182"/>
      <c r="AD59" s="491"/>
      <c r="AE59" s="182"/>
      <c r="AF59" s="182"/>
      <c r="AG59" s="182"/>
      <c r="AH59" s="182"/>
      <c r="AI59" s="491"/>
      <c r="AJ59" s="182"/>
      <c r="AK59" s="182"/>
      <c r="AL59" s="182"/>
      <c r="AM59" s="182"/>
      <c r="AN59" s="491"/>
      <c r="AO59" s="182"/>
      <c r="AP59" s="182"/>
      <c r="AQ59" s="182"/>
      <c r="AR59" s="182"/>
      <c r="AS59" s="491"/>
      <c r="AT59" s="182"/>
      <c r="AU59" s="182"/>
      <c r="AV59" s="182"/>
      <c r="AW59" s="182"/>
      <c r="AX59" s="491"/>
    </row>
    <row r="60" spans="2:50">
      <c r="B60" s="479"/>
      <c r="C60" s="182">
        <v>14</v>
      </c>
      <c r="D60" s="182"/>
      <c r="E60" s="182"/>
      <c r="F60" s="182"/>
      <c r="G60" s="166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/>
      <c r="T60" s="491"/>
      <c r="U60" s="182"/>
      <c r="V60" s="182"/>
      <c r="W60" s="182"/>
      <c r="X60" s="182"/>
      <c r="Y60" s="491"/>
      <c r="Z60" s="182"/>
      <c r="AA60" s="182"/>
      <c r="AB60" s="182"/>
      <c r="AC60" s="182"/>
      <c r="AD60" s="491"/>
      <c r="AE60" s="182"/>
      <c r="AF60" s="182"/>
      <c r="AG60" s="182"/>
      <c r="AH60" s="182"/>
      <c r="AI60" s="491"/>
      <c r="AJ60" s="182"/>
      <c r="AK60" s="182"/>
      <c r="AL60" s="182"/>
      <c r="AM60" s="182"/>
      <c r="AN60" s="491"/>
      <c r="AO60" s="182"/>
      <c r="AP60" s="182"/>
      <c r="AQ60" s="182"/>
      <c r="AR60" s="182"/>
      <c r="AS60" s="491"/>
      <c r="AT60" s="182"/>
      <c r="AU60" s="182"/>
      <c r="AV60" s="182"/>
      <c r="AW60" s="182"/>
      <c r="AX60" s="491"/>
    </row>
    <row r="61" spans="2:50">
      <c r="B61" s="479"/>
      <c r="C61" s="182">
        <v>15</v>
      </c>
      <c r="D61" s="182"/>
      <c r="E61" s="182"/>
      <c r="F61" s="182"/>
      <c r="G61" s="182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/>
      <c r="T61" s="491"/>
      <c r="U61" s="182"/>
      <c r="V61" s="182"/>
      <c r="W61" s="182"/>
      <c r="X61" s="182"/>
      <c r="Y61" s="491"/>
      <c r="Z61" s="182"/>
      <c r="AA61" s="182"/>
      <c r="AB61" s="182"/>
      <c r="AC61" s="182"/>
      <c r="AD61" s="491"/>
      <c r="AE61" s="182"/>
      <c r="AF61" s="182"/>
      <c r="AG61" s="182"/>
      <c r="AH61" s="182"/>
      <c r="AI61" s="491"/>
      <c r="AJ61" s="182"/>
      <c r="AK61" s="182"/>
      <c r="AL61" s="182"/>
      <c r="AM61" s="182"/>
      <c r="AN61" s="491"/>
      <c r="AO61" s="182"/>
      <c r="AP61" s="182"/>
      <c r="AQ61" s="182"/>
      <c r="AR61" s="182"/>
      <c r="AS61" s="491"/>
      <c r="AT61" s="182"/>
      <c r="AU61" s="182"/>
      <c r="AV61" s="182"/>
      <c r="AW61" s="182"/>
      <c r="AX61" s="491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507" t="s">
        <v>253</v>
      </c>
      <c r="C67" s="182">
        <v>1</v>
      </c>
      <c r="D67" s="182" t="s">
        <v>254</v>
      </c>
      <c r="E67" s="182">
        <v>10</v>
      </c>
      <c r="F67" s="182">
        <v>1500</v>
      </c>
      <c r="G67" s="166">
        <v>150</v>
      </c>
      <c r="H67" s="459">
        <f>AVERAGE(G67:G81)</f>
        <v>167.14285714285714</v>
      </c>
      <c r="I67" s="166">
        <f>AVERAGE(P67,U67,Z67,AE67,AJ67,AO67,AT67)</f>
        <v>10</v>
      </c>
      <c r="J67" s="166">
        <f>AVERAGE(Q67,V67,AA67,AF67,AK67,AP67,AU67)</f>
        <v>1440.3428571428578</v>
      </c>
      <c r="K67" s="180">
        <f>AVERAGE(R67,W67,AB67,AG67,AL67,AQ67,AV67)</f>
        <v>144.0342857142858</v>
      </c>
      <c r="L67" s="459">
        <f>IFERROR(AVERAGE(K67:K81),"-")</f>
        <v>163.6170043223533</v>
      </c>
      <c r="M67" s="181">
        <f>RANK(K67, K$67:$K$81)</f>
        <v>4</v>
      </c>
      <c r="N67" s="462"/>
      <c r="O67" s="462"/>
      <c r="P67" s="166">
        <v>10</v>
      </c>
      <c r="Q67" s="166">
        <v>1615.2000000000005</v>
      </c>
      <c r="R67" s="180">
        <v>161.52000000000004</v>
      </c>
      <c r="S67" s="182">
        <f>RANK(R67, R$67:R$81)</f>
        <v>3</v>
      </c>
      <c r="T67" s="491">
        <f>AVERAGE(R67:R81)</f>
        <v>170.12281179138327</v>
      </c>
      <c r="U67" s="166">
        <v>10</v>
      </c>
      <c r="V67" s="166">
        <v>1615.2000000000005</v>
      </c>
      <c r="W67" s="180">
        <v>161.52000000000004</v>
      </c>
      <c r="X67" s="182">
        <f t="shared" ref="X67:X81" si="34">RANK(W67, W$67:W$81)</f>
        <v>3</v>
      </c>
      <c r="Y67" s="491">
        <f t="shared" ref="Y67" si="35">AVERAGE(W67:W81)</f>
        <v>187.23216931216939</v>
      </c>
      <c r="Z67" s="166">
        <v>10</v>
      </c>
      <c r="AA67" s="166">
        <v>1490.4000000000003</v>
      </c>
      <c r="AB67" s="180">
        <v>149.04000000000002</v>
      </c>
      <c r="AC67" s="182">
        <f t="shared" ref="AC67:AC81" si="36">RANK(AB67, AB$67:AB$81)</f>
        <v>3</v>
      </c>
      <c r="AD67" s="491">
        <f t="shared" ref="AD67" si="37">AVERAGE(AB67:AB81)</f>
        <v>172.57214285714301</v>
      </c>
      <c r="AE67" s="166">
        <v>10</v>
      </c>
      <c r="AF67" s="166">
        <v>1317.0000000000045</v>
      </c>
      <c r="AG67" s="180">
        <v>131.70000000000044</v>
      </c>
      <c r="AH67" s="182">
        <f t="shared" ref="AH67:AH81" si="38">RANK(AG67, AG$67:AG$81)</f>
        <v>5</v>
      </c>
      <c r="AI67" s="491">
        <f t="shared" ref="AI67" si="39">AVERAGE(AG67:AG81)</f>
        <v>174.01280193236735</v>
      </c>
      <c r="AJ67" s="166">
        <v>10</v>
      </c>
      <c r="AK67" s="166">
        <v>1238.9999999999995</v>
      </c>
      <c r="AL67" s="180">
        <v>123.89999999999995</v>
      </c>
      <c r="AM67" s="182">
        <f t="shared" ref="AM67:AM81" si="40">RANK(AL67, AL$67:AL$81)</f>
        <v>5</v>
      </c>
      <c r="AN67" s="491">
        <f t="shared" ref="AN67" si="41">AVERAGE(AL67:AL81)</f>
        <v>178.53888888888898</v>
      </c>
      <c r="AO67" s="166">
        <v>10</v>
      </c>
      <c r="AP67" s="166">
        <v>1437.6000000000004</v>
      </c>
      <c r="AQ67" s="180">
        <v>143.76000000000005</v>
      </c>
      <c r="AR67" s="182">
        <f t="shared" ref="AR67:AR81" si="42">RANK(AQ67, AQ$67:AQ$81)</f>
        <v>5</v>
      </c>
      <c r="AS67" s="491">
        <f t="shared" ref="AS67" si="43">AVERAGE(AQ67:AQ81)</f>
        <v>182.45198717948719</v>
      </c>
      <c r="AT67" s="166">
        <v>10</v>
      </c>
      <c r="AU67" s="166">
        <v>1368.0000000000005</v>
      </c>
      <c r="AV67" s="180">
        <v>136.80000000000004</v>
      </c>
      <c r="AW67" s="182">
        <f t="shared" ref="AW67:AW81" si="44">RANK(AV67, AV$67:AV$81)</f>
        <v>5</v>
      </c>
      <c r="AX67" s="491">
        <f t="shared" ref="AX67" si="45">AVERAGE(AV67:AV81)</f>
        <v>175.45426470588242</v>
      </c>
    </row>
    <row r="68" spans="2:50">
      <c r="B68" s="479"/>
      <c r="C68" s="182">
        <v>2</v>
      </c>
      <c r="D68" s="182" t="s">
        <v>255</v>
      </c>
      <c r="E68" s="182">
        <v>15</v>
      </c>
      <c r="F68" s="182">
        <v>1800</v>
      </c>
      <c r="G68" s="166">
        <v>120</v>
      </c>
      <c r="H68" s="460"/>
      <c r="I68" s="166">
        <f t="shared" ref="I68:I72" si="46">AVERAGE(P68,U68,Z68,AE68,AJ68,AO68,AT68)</f>
        <v>12.285714285714286</v>
      </c>
      <c r="J68" s="166">
        <f t="shared" ref="J68:J72" si="47">AVERAGE(Q68,V68,AA68,AF68,AK68,AP68,AU68)</f>
        <v>1756.3571428571449</v>
      </c>
      <c r="K68" s="180">
        <f t="shared" ref="K68:K72" si="48">AVERAGE(R68,W68,AB68,AG68,AL68,AQ68,AV68)</f>
        <v>143.21003401360556</v>
      </c>
      <c r="L68" s="460"/>
      <c r="M68" s="181">
        <f>RANK(K68, K$67:$K$81)</f>
        <v>5</v>
      </c>
      <c r="N68" s="462"/>
      <c r="O68" s="462"/>
      <c r="P68" s="182">
        <v>12</v>
      </c>
      <c r="Q68" s="166">
        <v>1684</v>
      </c>
      <c r="R68" s="180">
        <v>140.33333333333334</v>
      </c>
      <c r="S68" s="182">
        <f t="shared" ref="S68:S81" si="49">RANK(R68, R$67:R$81)</f>
        <v>5</v>
      </c>
      <c r="T68" s="491"/>
      <c r="U68" s="182">
        <v>12</v>
      </c>
      <c r="V68" s="166">
        <v>1684</v>
      </c>
      <c r="W68" s="180">
        <v>140.33333333333334</v>
      </c>
      <c r="X68" s="182">
        <f t="shared" si="34"/>
        <v>5</v>
      </c>
      <c r="Y68" s="491"/>
      <c r="Z68" s="182">
        <v>14</v>
      </c>
      <c r="AA68" s="166">
        <v>1854.000000000003</v>
      </c>
      <c r="AB68" s="180">
        <v>132.42857142857164</v>
      </c>
      <c r="AC68" s="182">
        <f t="shared" si="36"/>
        <v>5</v>
      </c>
      <c r="AD68" s="491"/>
      <c r="AE68" s="182">
        <v>12</v>
      </c>
      <c r="AF68" s="166">
        <v>1884.0000000000018</v>
      </c>
      <c r="AG68" s="180">
        <v>157.00000000000014</v>
      </c>
      <c r="AH68" s="182">
        <f t="shared" si="38"/>
        <v>4</v>
      </c>
      <c r="AI68" s="491"/>
      <c r="AJ68" s="182">
        <v>12</v>
      </c>
      <c r="AK68" s="166">
        <v>1770.0000000000018</v>
      </c>
      <c r="AL68" s="180">
        <v>147.50000000000014</v>
      </c>
      <c r="AM68" s="182">
        <f t="shared" si="40"/>
        <v>4</v>
      </c>
      <c r="AN68" s="491"/>
      <c r="AO68" s="182">
        <v>12</v>
      </c>
      <c r="AP68" s="166">
        <v>1734.0000000000027</v>
      </c>
      <c r="AQ68" s="180">
        <v>144.50000000000023</v>
      </c>
      <c r="AR68" s="182">
        <f t="shared" si="42"/>
        <v>4</v>
      </c>
      <c r="AS68" s="491"/>
      <c r="AT68" s="182">
        <v>12</v>
      </c>
      <c r="AU68" s="166">
        <v>1684.5000000000027</v>
      </c>
      <c r="AV68" s="180">
        <v>140.37500000000023</v>
      </c>
      <c r="AW68" s="182">
        <f t="shared" si="44"/>
        <v>4</v>
      </c>
      <c r="AX68" s="491"/>
    </row>
    <row r="69" spans="2:50">
      <c r="B69" s="479"/>
      <c r="C69" s="182">
        <v>3</v>
      </c>
      <c r="D69" s="182" t="s">
        <v>256</v>
      </c>
      <c r="E69" s="182">
        <v>15</v>
      </c>
      <c r="F69" s="182">
        <v>1800</v>
      </c>
      <c r="G69" s="166">
        <v>120</v>
      </c>
      <c r="H69" s="460"/>
      <c r="I69" s="166">
        <f t="shared" si="46"/>
        <v>12.285714285714286</v>
      </c>
      <c r="J69" s="166">
        <f t="shared" si="47"/>
        <v>1793.0952380952392</v>
      </c>
      <c r="K69" s="180">
        <f t="shared" si="48"/>
        <v>146.21286848072572</v>
      </c>
      <c r="L69" s="460"/>
      <c r="M69" s="181">
        <f>RANK(K69, K$67:$K$81)</f>
        <v>3</v>
      </c>
      <c r="N69" s="462"/>
      <c r="O69" s="462"/>
      <c r="P69" s="182">
        <v>12</v>
      </c>
      <c r="Q69" s="166">
        <v>1729.3333333333335</v>
      </c>
      <c r="R69" s="180">
        <v>144.11111111111111</v>
      </c>
      <c r="S69" s="182">
        <f t="shared" si="49"/>
        <v>4</v>
      </c>
      <c r="T69" s="491"/>
      <c r="U69" s="182">
        <v>12</v>
      </c>
      <c r="V69" s="166">
        <v>1729.3333333333335</v>
      </c>
      <c r="W69" s="180">
        <v>144.11111111111111</v>
      </c>
      <c r="X69" s="182">
        <f t="shared" si="34"/>
        <v>4</v>
      </c>
      <c r="Y69" s="491"/>
      <c r="Z69" s="182">
        <v>14</v>
      </c>
      <c r="AA69" s="166">
        <v>1888.5000000000032</v>
      </c>
      <c r="AB69" s="180">
        <v>134.89285714285737</v>
      </c>
      <c r="AC69" s="182">
        <f t="shared" si="36"/>
        <v>4</v>
      </c>
      <c r="AD69" s="491"/>
      <c r="AE69" s="182">
        <v>12</v>
      </c>
      <c r="AF69" s="166">
        <v>1910.0000000000018</v>
      </c>
      <c r="AG69" s="180">
        <v>159.16666666666683</v>
      </c>
      <c r="AH69" s="182">
        <f t="shared" si="38"/>
        <v>3</v>
      </c>
      <c r="AI69" s="491"/>
      <c r="AJ69" s="182">
        <v>12</v>
      </c>
      <c r="AK69" s="166">
        <v>1773.9999999999968</v>
      </c>
      <c r="AL69" s="180">
        <v>147.83333333333306</v>
      </c>
      <c r="AM69" s="182">
        <f t="shared" si="40"/>
        <v>3</v>
      </c>
      <c r="AN69" s="491"/>
      <c r="AO69" s="182">
        <v>12</v>
      </c>
      <c r="AP69" s="166">
        <v>1792.5000000000027</v>
      </c>
      <c r="AQ69" s="180">
        <v>149.37500000000023</v>
      </c>
      <c r="AR69" s="182">
        <f t="shared" si="42"/>
        <v>3</v>
      </c>
      <c r="AS69" s="491"/>
      <c r="AT69" s="182">
        <v>12</v>
      </c>
      <c r="AU69" s="166">
        <v>1728.0000000000027</v>
      </c>
      <c r="AV69" s="180">
        <v>144.00000000000023</v>
      </c>
      <c r="AW69" s="182">
        <f t="shared" si="44"/>
        <v>3</v>
      </c>
      <c r="AX69" s="491"/>
    </row>
    <row r="70" spans="2:50">
      <c r="B70" s="479"/>
      <c r="C70" s="182">
        <v>4</v>
      </c>
      <c r="D70" s="182" t="s">
        <v>257</v>
      </c>
      <c r="E70" s="182">
        <v>5</v>
      </c>
      <c r="F70" s="182">
        <v>1500</v>
      </c>
      <c r="G70" s="166">
        <v>300</v>
      </c>
      <c r="H70" s="460"/>
      <c r="I70" s="166">
        <f t="shared" si="46"/>
        <v>6</v>
      </c>
      <c r="J70" s="166">
        <f t="shared" si="47"/>
        <v>1516.8319327731099</v>
      </c>
      <c r="K70" s="180">
        <f t="shared" si="48"/>
        <v>252.80532212885166</v>
      </c>
      <c r="L70" s="460"/>
      <c r="M70" s="181">
        <f>RANK(K70, K$67:$K$81)</f>
        <v>2</v>
      </c>
      <c r="N70" s="462"/>
      <c r="O70" s="462"/>
      <c r="P70" s="182">
        <v>6</v>
      </c>
      <c r="Q70" s="166">
        <v>1530.0000000000023</v>
      </c>
      <c r="R70" s="180">
        <v>255.00000000000037</v>
      </c>
      <c r="S70" s="182">
        <f t="shared" si="49"/>
        <v>2</v>
      </c>
      <c r="T70" s="491"/>
      <c r="U70" s="182">
        <v>6</v>
      </c>
      <c r="V70" s="166">
        <v>1530.0000000000023</v>
      </c>
      <c r="W70" s="180">
        <v>255.00000000000037</v>
      </c>
      <c r="X70" s="182">
        <f t="shared" si="34"/>
        <v>2</v>
      </c>
      <c r="Y70" s="491"/>
      <c r="Z70" s="182">
        <v>6</v>
      </c>
      <c r="AA70" s="166">
        <v>1445.9999999999995</v>
      </c>
      <c r="AB70" s="180">
        <v>240.99999999999991</v>
      </c>
      <c r="AC70" s="182">
        <f t="shared" si="36"/>
        <v>2</v>
      </c>
      <c r="AD70" s="491"/>
      <c r="AE70" s="182">
        <v>6</v>
      </c>
      <c r="AF70" s="166">
        <v>1468.0000000000014</v>
      </c>
      <c r="AG70" s="180">
        <v>244.66666666666688</v>
      </c>
      <c r="AH70" s="182">
        <f t="shared" si="38"/>
        <v>2</v>
      </c>
      <c r="AI70" s="491"/>
      <c r="AJ70" s="182">
        <v>6</v>
      </c>
      <c r="AK70" s="166">
        <v>1605.0000000000005</v>
      </c>
      <c r="AL70" s="180">
        <v>267.50000000000006</v>
      </c>
      <c r="AM70" s="182">
        <f t="shared" si="40"/>
        <v>2</v>
      </c>
      <c r="AN70" s="491"/>
      <c r="AO70" s="182">
        <v>6</v>
      </c>
      <c r="AP70" s="166">
        <v>1560.0000000000018</v>
      </c>
      <c r="AQ70" s="180">
        <v>260.00000000000028</v>
      </c>
      <c r="AR70" s="182">
        <f t="shared" si="42"/>
        <v>2</v>
      </c>
      <c r="AS70" s="491"/>
      <c r="AT70" s="182">
        <v>6</v>
      </c>
      <c r="AU70" s="166">
        <v>1478.8235294117628</v>
      </c>
      <c r="AV70" s="180">
        <v>246.4705882352938</v>
      </c>
      <c r="AW70" s="182">
        <f t="shared" si="44"/>
        <v>2</v>
      </c>
      <c r="AX70" s="491"/>
    </row>
    <row r="71" spans="2:50">
      <c r="B71" s="479"/>
      <c r="C71" s="182">
        <v>5</v>
      </c>
      <c r="D71" s="182" t="s">
        <v>258</v>
      </c>
      <c r="E71" s="182">
        <v>5</v>
      </c>
      <c r="F71" s="182">
        <v>1500</v>
      </c>
      <c r="G71" s="166">
        <v>300</v>
      </c>
      <c r="H71" s="460"/>
      <c r="I71" s="166">
        <f t="shared" si="46"/>
        <v>5</v>
      </c>
      <c r="J71" s="166">
        <f t="shared" si="47"/>
        <v>1534.0206948331179</v>
      </c>
      <c r="K71" s="180">
        <f t="shared" si="48"/>
        <v>306.80413896662361</v>
      </c>
      <c r="L71" s="460"/>
      <c r="M71" s="181">
        <f>RANK(K71, K$67:$K$81)</f>
        <v>1</v>
      </c>
      <c r="N71" s="462"/>
      <c r="O71" s="462"/>
      <c r="P71" s="182">
        <v>5</v>
      </c>
      <c r="Q71" s="166">
        <v>1577.142857142856</v>
      </c>
      <c r="R71" s="180">
        <v>315.42857142857122</v>
      </c>
      <c r="S71" s="182">
        <f t="shared" si="49"/>
        <v>1</v>
      </c>
      <c r="T71" s="491"/>
      <c r="U71" s="182">
        <v>5</v>
      </c>
      <c r="V71" s="166">
        <v>1577.142857142856</v>
      </c>
      <c r="W71" s="180">
        <v>315.42857142857122</v>
      </c>
      <c r="X71" s="182">
        <f t="shared" si="34"/>
        <v>1</v>
      </c>
      <c r="Y71" s="491"/>
      <c r="Z71" s="182">
        <v>5</v>
      </c>
      <c r="AA71" s="166">
        <v>1452.857142857144</v>
      </c>
      <c r="AB71" s="180">
        <v>290.57142857142878</v>
      </c>
      <c r="AC71" s="182">
        <f t="shared" si="36"/>
        <v>1</v>
      </c>
      <c r="AD71" s="491"/>
      <c r="AE71" s="182">
        <v>5</v>
      </c>
      <c r="AF71" s="166">
        <v>1445.2173913043505</v>
      </c>
      <c r="AG71" s="180">
        <v>289.04347826087007</v>
      </c>
      <c r="AH71" s="182">
        <f t="shared" si="38"/>
        <v>1</v>
      </c>
      <c r="AI71" s="491"/>
      <c r="AJ71" s="182">
        <v>5</v>
      </c>
      <c r="AK71" s="166">
        <v>1640.0000000000023</v>
      </c>
      <c r="AL71" s="180">
        <v>328.00000000000045</v>
      </c>
      <c r="AM71" s="182">
        <f t="shared" si="40"/>
        <v>1</v>
      </c>
      <c r="AN71" s="491"/>
      <c r="AO71" s="182">
        <v>5</v>
      </c>
      <c r="AP71" s="166">
        <v>1555.3846153846137</v>
      </c>
      <c r="AQ71" s="180">
        <v>311.07692307692275</v>
      </c>
      <c r="AR71" s="182">
        <f t="shared" si="42"/>
        <v>1</v>
      </c>
      <c r="AS71" s="491"/>
      <c r="AT71" s="182">
        <v>5</v>
      </c>
      <c r="AU71" s="166">
        <v>1490.400000000003</v>
      </c>
      <c r="AV71" s="180">
        <v>298.08000000000061</v>
      </c>
      <c r="AW71" s="182">
        <f t="shared" si="44"/>
        <v>1</v>
      </c>
      <c r="AX71" s="491"/>
    </row>
    <row r="72" spans="2:50">
      <c r="B72" s="479"/>
      <c r="C72" s="182">
        <v>6</v>
      </c>
      <c r="D72" s="271" t="s">
        <v>261</v>
      </c>
      <c r="E72" s="182">
        <v>15</v>
      </c>
      <c r="F72" s="182">
        <v>1200</v>
      </c>
      <c r="G72" s="166">
        <v>80</v>
      </c>
      <c r="H72" s="460"/>
      <c r="I72" s="166">
        <f t="shared" si="46"/>
        <v>12</v>
      </c>
      <c r="J72" s="166">
        <f t="shared" si="47"/>
        <v>1017.4285714285718</v>
      </c>
      <c r="K72" s="180">
        <f t="shared" si="48"/>
        <v>84.78571428571432</v>
      </c>
      <c r="L72" s="460"/>
      <c r="M72" s="181">
        <f>RANK(K72, K$67:$K$81)</f>
        <v>6</v>
      </c>
      <c r="N72" s="462"/>
      <c r="O72" s="462"/>
      <c r="P72" s="182">
        <v>12</v>
      </c>
      <c r="Q72" s="166">
        <v>1284.0000000000045</v>
      </c>
      <c r="R72" s="180">
        <v>107.00000000000038</v>
      </c>
      <c r="S72" s="182">
        <f t="shared" si="49"/>
        <v>6</v>
      </c>
      <c r="T72" s="491"/>
      <c r="U72" s="182">
        <v>12</v>
      </c>
      <c r="V72" s="166">
        <v>1284.0000000000045</v>
      </c>
      <c r="W72" s="180">
        <v>107.00000000000038</v>
      </c>
      <c r="X72" s="182">
        <f t="shared" si="34"/>
        <v>6</v>
      </c>
      <c r="Y72" s="491"/>
      <c r="Z72" s="182">
        <v>12</v>
      </c>
      <c r="AA72" s="166">
        <v>1050.0000000000039</v>
      </c>
      <c r="AB72" s="180">
        <v>87.500000000000327</v>
      </c>
      <c r="AC72" s="182">
        <f t="shared" si="36"/>
        <v>6</v>
      </c>
      <c r="AD72" s="491"/>
      <c r="AE72" s="182">
        <v>12</v>
      </c>
      <c r="AF72" s="166">
        <v>749.9999999999967</v>
      </c>
      <c r="AG72" s="180">
        <v>62.499999999999723</v>
      </c>
      <c r="AH72" s="182">
        <f t="shared" si="38"/>
        <v>6</v>
      </c>
      <c r="AI72" s="491"/>
      <c r="AJ72" s="182">
        <v>12</v>
      </c>
      <c r="AK72" s="166">
        <v>678.00000000000239</v>
      </c>
      <c r="AL72" s="180">
        <v>56.500000000000199</v>
      </c>
      <c r="AM72" s="182">
        <f t="shared" si="40"/>
        <v>6</v>
      </c>
      <c r="AN72" s="491"/>
      <c r="AO72" s="182">
        <v>12</v>
      </c>
      <c r="AP72" s="166">
        <v>1031.9999999999955</v>
      </c>
      <c r="AQ72" s="180">
        <v>85.999999999999616</v>
      </c>
      <c r="AR72" s="182">
        <f t="shared" si="42"/>
        <v>6</v>
      </c>
      <c r="AS72" s="491"/>
      <c r="AT72" s="182">
        <v>12</v>
      </c>
      <c r="AU72" s="166">
        <v>1043.9999999999955</v>
      </c>
      <c r="AV72" s="180">
        <v>86.999999999999616</v>
      </c>
      <c r="AW72" s="182">
        <f t="shared" si="44"/>
        <v>6</v>
      </c>
      <c r="AX72" s="491"/>
    </row>
    <row r="73" spans="2:50">
      <c r="B73" s="479"/>
      <c r="C73" s="182">
        <v>7</v>
      </c>
      <c r="D73" s="182" t="s">
        <v>260</v>
      </c>
      <c r="E73" s="182">
        <v>13</v>
      </c>
      <c r="F73" s="182">
        <v>1300</v>
      </c>
      <c r="G73" s="166">
        <v>100</v>
      </c>
      <c r="H73" s="460"/>
      <c r="I73" s="166">
        <f t="shared" ref="I73" si="50">AVERAGE(P73,U73,Z73,AE73,AJ73,AO73,AT73)</f>
        <v>15</v>
      </c>
      <c r="J73" s="166">
        <f t="shared" ref="J73" si="51">AVERAGE(Q73,V73,AA73,AF73,AK73,AP73,AU73)</f>
        <v>1011.9999999999981</v>
      </c>
      <c r="K73" s="180">
        <f t="shared" ref="K73" si="52">AVERAGE(R73,W73,AB73,AG73,AL73,AQ73,AV73)</f>
        <v>67.466666666666541</v>
      </c>
      <c r="L73" s="460"/>
      <c r="M73" s="181">
        <f>RANK(K73, K$67:$K$81)</f>
        <v>7</v>
      </c>
      <c r="N73" s="462"/>
      <c r="O73" s="462"/>
      <c r="P73" s="182">
        <v>15</v>
      </c>
      <c r="Q73" s="166">
        <v>1011.9999999999981</v>
      </c>
      <c r="R73" s="180">
        <v>67.466666666666541</v>
      </c>
      <c r="S73" s="182">
        <f t="shared" si="49"/>
        <v>7</v>
      </c>
      <c r="T73" s="491"/>
      <c r="U73" s="182"/>
      <c r="V73" s="166"/>
      <c r="W73" s="180"/>
      <c r="X73" s="182" t="e">
        <f t="shared" si="34"/>
        <v>#N/A</v>
      </c>
      <c r="Y73" s="491"/>
      <c r="Z73" s="182"/>
      <c r="AA73" s="166"/>
      <c r="AB73" s="180"/>
      <c r="AC73" s="182" t="e">
        <f t="shared" si="36"/>
        <v>#N/A</v>
      </c>
      <c r="AD73" s="491"/>
      <c r="AE73" s="182"/>
      <c r="AF73" s="166"/>
      <c r="AG73" s="180"/>
      <c r="AH73" s="182" t="e">
        <f t="shared" si="38"/>
        <v>#N/A</v>
      </c>
      <c r="AI73" s="491"/>
      <c r="AJ73" s="182"/>
      <c r="AK73" s="166"/>
      <c r="AL73" s="180"/>
      <c r="AM73" s="182" t="e">
        <f t="shared" si="40"/>
        <v>#N/A</v>
      </c>
      <c r="AN73" s="491"/>
      <c r="AO73" s="182"/>
      <c r="AP73" s="166"/>
      <c r="AQ73" s="180"/>
      <c r="AR73" s="182" t="e">
        <f t="shared" si="42"/>
        <v>#N/A</v>
      </c>
      <c r="AS73" s="491"/>
      <c r="AT73" s="182"/>
      <c r="AU73" s="166"/>
      <c r="AV73" s="180"/>
      <c r="AW73" s="182" t="e">
        <f t="shared" si="44"/>
        <v>#N/A</v>
      </c>
      <c r="AX73" s="491"/>
    </row>
    <row r="74" spans="2:50">
      <c r="B74" s="479"/>
      <c r="C74" s="182">
        <v>8</v>
      </c>
      <c r="D74" s="182"/>
      <c r="E74" s="182"/>
      <c r="F74" s="182"/>
      <c r="G74" s="166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80"/>
      <c r="S74" s="182" t="e">
        <f t="shared" si="49"/>
        <v>#N/A</v>
      </c>
      <c r="T74" s="491"/>
      <c r="U74" s="182"/>
      <c r="V74" s="166"/>
      <c r="W74" s="180"/>
      <c r="X74" s="182" t="e">
        <f t="shared" si="34"/>
        <v>#N/A</v>
      </c>
      <c r="Y74" s="491"/>
      <c r="Z74" s="182"/>
      <c r="AA74" s="166"/>
      <c r="AB74" s="180"/>
      <c r="AC74" s="182" t="e">
        <f t="shared" si="36"/>
        <v>#N/A</v>
      </c>
      <c r="AD74" s="491"/>
      <c r="AE74" s="182"/>
      <c r="AF74" s="166"/>
      <c r="AG74" s="180"/>
      <c r="AH74" s="182" t="e">
        <f t="shared" si="38"/>
        <v>#N/A</v>
      </c>
      <c r="AI74" s="491"/>
      <c r="AJ74" s="182"/>
      <c r="AK74" s="166"/>
      <c r="AL74" s="180"/>
      <c r="AM74" s="182" t="e">
        <f t="shared" si="40"/>
        <v>#N/A</v>
      </c>
      <c r="AN74" s="491"/>
      <c r="AO74" s="182"/>
      <c r="AP74" s="166"/>
      <c r="AQ74" s="180"/>
      <c r="AR74" s="182" t="e">
        <f t="shared" si="42"/>
        <v>#N/A</v>
      </c>
      <c r="AS74" s="491"/>
      <c r="AT74" s="182"/>
      <c r="AU74" s="166"/>
      <c r="AV74" s="180"/>
      <c r="AW74" s="182" t="e">
        <f t="shared" si="44"/>
        <v>#N/A</v>
      </c>
      <c r="AX74" s="491"/>
    </row>
    <row r="75" spans="2:50">
      <c r="B75" s="479"/>
      <c r="C75" s="182">
        <v>9</v>
      </c>
      <c r="D75" s="182"/>
      <c r="E75" s="182"/>
      <c r="F75" s="182"/>
      <c r="G75" s="166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80"/>
      <c r="S75" s="182" t="e">
        <f t="shared" si="49"/>
        <v>#N/A</v>
      </c>
      <c r="T75" s="491"/>
      <c r="U75" s="182"/>
      <c r="V75" s="166"/>
      <c r="W75" s="180"/>
      <c r="X75" s="182" t="e">
        <f t="shared" si="34"/>
        <v>#N/A</v>
      </c>
      <c r="Y75" s="491"/>
      <c r="Z75" s="182"/>
      <c r="AA75" s="166"/>
      <c r="AB75" s="180"/>
      <c r="AC75" s="182" t="e">
        <f t="shared" si="36"/>
        <v>#N/A</v>
      </c>
      <c r="AD75" s="491"/>
      <c r="AE75" s="182"/>
      <c r="AF75" s="166"/>
      <c r="AG75" s="180"/>
      <c r="AH75" s="182" t="e">
        <f t="shared" si="38"/>
        <v>#N/A</v>
      </c>
      <c r="AI75" s="491"/>
      <c r="AJ75" s="182"/>
      <c r="AK75" s="166"/>
      <c r="AL75" s="180"/>
      <c r="AM75" s="182" t="e">
        <f t="shared" si="40"/>
        <v>#N/A</v>
      </c>
      <c r="AN75" s="491"/>
      <c r="AO75" s="182"/>
      <c r="AP75" s="166"/>
      <c r="AQ75" s="180"/>
      <c r="AR75" s="182" t="e">
        <f t="shared" si="42"/>
        <v>#N/A</v>
      </c>
      <c r="AS75" s="491"/>
      <c r="AT75" s="182"/>
      <c r="AU75" s="166"/>
      <c r="AV75" s="180"/>
      <c r="AW75" s="182" t="e">
        <f t="shared" si="44"/>
        <v>#N/A</v>
      </c>
      <c r="AX75" s="491"/>
    </row>
    <row r="76" spans="2:50">
      <c r="B76" s="479"/>
      <c r="C76" s="182">
        <v>10</v>
      </c>
      <c r="D76" s="182"/>
      <c r="E76" s="182"/>
      <c r="F76" s="182"/>
      <c r="G76" s="166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80"/>
      <c r="S76" s="182" t="e">
        <f t="shared" si="49"/>
        <v>#N/A</v>
      </c>
      <c r="T76" s="491"/>
      <c r="U76" s="182"/>
      <c r="V76" s="166"/>
      <c r="W76" s="180"/>
      <c r="X76" s="182" t="e">
        <f t="shared" si="34"/>
        <v>#N/A</v>
      </c>
      <c r="Y76" s="491"/>
      <c r="Z76" s="182"/>
      <c r="AA76" s="166"/>
      <c r="AB76" s="180"/>
      <c r="AC76" s="182" t="e">
        <f t="shared" si="36"/>
        <v>#N/A</v>
      </c>
      <c r="AD76" s="491"/>
      <c r="AE76" s="182"/>
      <c r="AF76" s="166"/>
      <c r="AG76" s="180"/>
      <c r="AH76" s="182" t="e">
        <f t="shared" si="38"/>
        <v>#N/A</v>
      </c>
      <c r="AI76" s="491"/>
      <c r="AJ76" s="182"/>
      <c r="AK76" s="166"/>
      <c r="AL76" s="180"/>
      <c r="AM76" s="182" t="e">
        <f t="shared" si="40"/>
        <v>#N/A</v>
      </c>
      <c r="AN76" s="491"/>
      <c r="AO76" s="182"/>
      <c r="AP76" s="166"/>
      <c r="AQ76" s="180"/>
      <c r="AR76" s="182" t="e">
        <f t="shared" si="42"/>
        <v>#N/A</v>
      </c>
      <c r="AS76" s="491"/>
      <c r="AT76" s="182"/>
      <c r="AU76" s="166"/>
      <c r="AV76" s="180"/>
      <c r="AW76" s="182" t="e">
        <f t="shared" si="44"/>
        <v>#N/A</v>
      </c>
      <c r="AX76" s="491"/>
    </row>
    <row r="77" spans="2:50">
      <c r="B77" s="479"/>
      <c r="C77" s="182">
        <v>11</v>
      </c>
      <c r="D77" s="182"/>
      <c r="E77" s="182"/>
      <c r="F77" s="182"/>
      <c r="G77" s="166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82"/>
      <c r="R77" s="182"/>
      <c r="S77" s="182" t="e">
        <f t="shared" si="49"/>
        <v>#N/A</v>
      </c>
      <c r="T77" s="491"/>
      <c r="U77" s="182"/>
      <c r="V77" s="182"/>
      <c r="W77" s="182"/>
      <c r="X77" s="182" t="e">
        <f t="shared" si="34"/>
        <v>#N/A</v>
      </c>
      <c r="Y77" s="491"/>
      <c r="Z77" s="182"/>
      <c r="AA77" s="182"/>
      <c r="AB77" s="182"/>
      <c r="AC77" s="182" t="e">
        <f t="shared" si="36"/>
        <v>#N/A</v>
      </c>
      <c r="AD77" s="491"/>
      <c r="AE77" s="182"/>
      <c r="AF77" s="182"/>
      <c r="AG77" s="182"/>
      <c r="AH77" s="182" t="e">
        <f t="shared" si="38"/>
        <v>#N/A</v>
      </c>
      <c r="AI77" s="491"/>
      <c r="AJ77" s="182"/>
      <c r="AK77" s="182"/>
      <c r="AL77" s="182"/>
      <c r="AM77" s="182" t="e">
        <f t="shared" si="40"/>
        <v>#N/A</v>
      </c>
      <c r="AN77" s="491"/>
      <c r="AO77" s="182"/>
      <c r="AP77" s="182"/>
      <c r="AQ77" s="182"/>
      <c r="AR77" s="182" t="e">
        <f t="shared" si="42"/>
        <v>#N/A</v>
      </c>
      <c r="AS77" s="491"/>
      <c r="AT77" s="182"/>
      <c r="AU77" s="182"/>
      <c r="AV77" s="182"/>
      <c r="AW77" s="182" t="e">
        <f t="shared" si="44"/>
        <v>#N/A</v>
      </c>
      <c r="AX77" s="491"/>
    </row>
    <row r="78" spans="2:50">
      <c r="B78" s="479"/>
      <c r="C78" s="182">
        <v>12</v>
      </c>
      <c r="D78" s="182"/>
      <c r="E78" s="182"/>
      <c r="F78" s="182"/>
      <c r="G78" s="166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82"/>
      <c r="R78" s="182"/>
      <c r="S78" s="182" t="e">
        <f t="shared" si="49"/>
        <v>#N/A</v>
      </c>
      <c r="T78" s="491"/>
      <c r="U78" s="182"/>
      <c r="V78" s="182"/>
      <c r="W78" s="182"/>
      <c r="X78" s="182" t="e">
        <f t="shared" si="34"/>
        <v>#N/A</v>
      </c>
      <c r="Y78" s="491"/>
      <c r="Z78" s="182"/>
      <c r="AA78" s="182"/>
      <c r="AB78" s="182"/>
      <c r="AC78" s="182" t="e">
        <f t="shared" si="36"/>
        <v>#N/A</v>
      </c>
      <c r="AD78" s="491"/>
      <c r="AE78" s="182"/>
      <c r="AF78" s="182"/>
      <c r="AG78" s="182"/>
      <c r="AH78" s="182" t="e">
        <f t="shared" si="38"/>
        <v>#N/A</v>
      </c>
      <c r="AI78" s="491"/>
      <c r="AJ78" s="182"/>
      <c r="AK78" s="182"/>
      <c r="AL78" s="182"/>
      <c r="AM78" s="182" t="e">
        <f t="shared" si="40"/>
        <v>#N/A</v>
      </c>
      <c r="AN78" s="491"/>
      <c r="AO78" s="182"/>
      <c r="AP78" s="182"/>
      <c r="AQ78" s="182"/>
      <c r="AR78" s="182" t="e">
        <f t="shared" si="42"/>
        <v>#N/A</v>
      </c>
      <c r="AS78" s="491"/>
      <c r="AT78" s="182"/>
      <c r="AU78" s="182"/>
      <c r="AV78" s="182"/>
      <c r="AW78" s="182" t="e">
        <f t="shared" si="44"/>
        <v>#N/A</v>
      </c>
      <c r="AX78" s="491"/>
    </row>
    <row r="79" spans="2:50">
      <c r="B79" s="479"/>
      <c r="C79" s="182">
        <v>13</v>
      </c>
      <c r="D79" s="182"/>
      <c r="E79" s="182"/>
      <c r="F79" s="182"/>
      <c r="G79" s="166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82"/>
      <c r="R79" s="182"/>
      <c r="S79" s="182" t="e">
        <f t="shared" si="49"/>
        <v>#N/A</v>
      </c>
      <c r="T79" s="491"/>
      <c r="U79" s="182"/>
      <c r="V79" s="182"/>
      <c r="W79" s="182"/>
      <c r="X79" s="182" t="e">
        <f t="shared" si="34"/>
        <v>#N/A</v>
      </c>
      <c r="Y79" s="491"/>
      <c r="Z79" s="182"/>
      <c r="AA79" s="182"/>
      <c r="AB79" s="182"/>
      <c r="AC79" s="182" t="e">
        <f t="shared" si="36"/>
        <v>#N/A</v>
      </c>
      <c r="AD79" s="491"/>
      <c r="AE79" s="182"/>
      <c r="AF79" s="182"/>
      <c r="AG79" s="182"/>
      <c r="AH79" s="182" t="e">
        <f t="shared" si="38"/>
        <v>#N/A</v>
      </c>
      <c r="AI79" s="491"/>
      <c r="AJ79" s="182"/>
      <c r="AK79" s="182"/>
      <c r="AL79" s="182"/>
      <c r="AM79" s="182" t="e">
        <f t="shared" si="40"/>
        <v>#N/A</v>
      </c>
      <c r="AN79" s="491"/>
      <c r="AO79" s="182"/>
      <c r="AP79" s="182"/>
      <c r="AQ79" s="182"/>
      <c r="AR79" s="182" t="e">
        <f t="shared" si="42"/>
        <v>#N/A</v>
      </c>
      <c r="AS79" s="491"/>
      <c r="AT79" s="182"/>
      <c r="AU79" s="182"/>
      <c r="AV79" s="182"/>
      <c r="AW79" s="182" t="e">
        <f t="shared" si="44"/>
        <v>#N/A</v>
      </c>
      <c r="AX79" s="491"/>
    </row>
    <row r="80" spans="2:50">
      <c r="B80" s="479"/>
      <c r="C80" s="182">
        <v>14</v>
      </c>
      <c r="D80" s="182"/>
      <c r="E80" s="182"/>
      <c r="F80" s="182"/>
      <c r="G80" s="166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82"/>
      <c r="R80" s="182"/>
      <c r="S80" s="182" t="e">
        <f t="shared" si="49"/>
        <v>#N/A</v>
      </c>
      <c r="T80" s="491"/>
      <c r="U80" s="182"/>
      <c r="V80" s="182"/>
      <c r="W80" s="182"/>
      <c r="X80" s="182" t="e">
        <f t="shared" si="34"/>
        <v>#N/A</v>
      </c>
      <c r="Y80" s="491"/>
      <c r="Z80" s="182"/>
      <c r="AA80" s="182"/>
      <c r="AB80" s="182"/>
      <c r="AC80" s="182" t="e">
        <f t="shared" si="36"/>
        <v>#N/A</v>
      </c>
      <c r="AD80" s="491"/>
      <c r="AE80" s="182"/>
      <c r="AF80" s="182"/>
      <c r="AG80" s="182"/>
      <c r="AH80" s="182" t="e">
        <f t="shared" si="38"/>
        <v>#N/A</v>
      </c>
      <c r="AI80" s="491"/>
      <c r="AJ80" s="182"/>
      <c r="AK80" s="182"/>
      <c r="AL80" s="182"/>
      <c r="AM80" s="182" t="e">
        <f t="shared" si="40"/>
        <v>#N/A</v>
      </c>
      <c r="AN80" s="491"/>
      <c r="AO80" s="182"/>
      <c r="AP80" s="182"/>
      <c r="AQ80" s="182"/>
      <c r="AR80" s="182" t="e">
        <f t="shared" si="42"/>
        <v>#N/A</v>
      </c>
      <c r="AS80" s="491"/>
      <c r="AT80" s="182"/>
      <c r="AU80" s="182"/>
      <c r="AV80" s="182"/>
      <c r="AW80" s="182" t="e">
        <f t="shared" si="44"/>
        <v>#N/A</v>
      </c>
      <c r="AX80" s="491"/>
    </row>
    <row r="81" spans="2:50">
      <c r="B81" s="479"/>
      <c r="C81" s="182">
        <v>15</v>
      </c>
      <c r="D81" s="182"/>
      <c r="E81" s="182"/>
      <c r="F81" s="182"/>
      <c r="G81" s="182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82"/>
      <c r="R81" s="182"/>
      <c r="S81" s="182" t="e">
        <f t="shared" si="49"/>
        <v>#N/A</v>
      </c>
      <c r="T81" s="491"/>
      <c r="U81" s="182"/>
      <c r="V81" s="182"/>
      <c r="W81" s="182"/>
      <c r="X81" s="182" t="e">
        <f t="shared" si="34"/>
        <v>#N/A</v>
      </c>
      <c r="Y81" s="491"/>
      <c r="Z81" s="182"/>
      <c r="AA81" s="182"/>
      <c r="AB81" s="182"/>
      <c r="AC81" s="182" t="e">
        <f t="shared" si="36"/>
        <v>#N/A</v>
      </c>
      <c r="AD81" s="491"/>
      <c r="AE81" s="182"/>
      <c r="AF81" s="182"/>
      <c r="AG81" s="182"/>
      <c r="AH81" s="182" t="e">
        <f t="shared" si="38"/>
        <v>#N/A</v>
      </c>
      <c r="AI81" s="491"/>
      <c r="AJ81" s="182"/>
      <c r="AK81" s="182"/>
      <c r="AL81" s="182"/>
      <c r="AM81" s="182" t="e">
        <f t="shared" si="40"/>
        <v>#N/A</v>
      </c>
      <c r="AN81" s="491"/>
      <c r="AO81" s="182"/>
      <c r="AP81" s="182"/>
      <c r="AQ81" s="182"/>
      <c r="AR81" s="182" t="e">
        <f t="shared" si="42"/>
        <v>#N/A</v>
      </c>
      <c r="AS81" s="491"/>
      <c r="AT81" s="182"/>
      <c r="AU81" s="182"/>
      <c r="AV81" s="182"/>
      <c r="AW81" s="182" t="e">
        <f t="shared" si="44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507" t="s">
        <v>253</v>
      </c>
      <c r="C87" s="182">
        <v>1</v>
      </c>
      <c r="D87" s="182"/>
      <c r="E87" s="182"/>
      <c r="F87" s="182"/>
      <c r="G87" s="166"/>
      <c r="H87" s="459" t="e">
        <f>AVERAGE(G87:G101)</f>
        <v>#DIV/0!</v>
      </c>
      <c r="I87" s="166" t="e">
        <f>AVERAGE(P87,U87,Z87,AE87,AJ87,AO87,AT87)</f>
        <v>#DIV/0!</v>
      </c>
      <c r="J87" s="166" t="e">
        <f>AVERAGE(Q87,V87,AA87,AF87,AK87,AP87,AU87)</f>
        <v>#DIV/0!</v>
      </c>
      <c r="K87" s="180" t="e">
        <f>AVERAGE(R87,W87,AB87,AG87,AL87,AQ87,AV87)</f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66"/>
      <c r="Q87" s="166"/>
      <c r="R87" s="180"/>
      <c r="S87" s="182" t="e">
        <f>RANK(R87, R$87:R$101)</f>
        <v>#N/A</v>
      </c>
      <c r="T87" s="491" t="e">
        <f>AVERAGE(R87:R101)</f>
        <v>#DIV/0!</v>
      </c>
      <c r="U87" s="166"/>
      <c r="V87" s="166"/>
      <c r="W87" s="180"/>
      <c r="X87" s="182" t="e">
        <f t="shared" ref="X87:X101" si="53">RANK(W87, W$87:W$101)</f>
        <v>#N/A</v>
      </c>
      <c r="Y87" s="491" t="e">
        <f t="shared" ref="Y87" si="54">AVERAGE(W87:W101)</f>
        <v>#DIV/0!</v>
      </c>
      <c r="Z87" s="166"/>
      <c r="AA87" s="166"/>
      <c r="AB87" s="180"/>
      <c r="AC87" s="182" t="e">
        <f t="shared" ref="AC87:AC101" si="55">RANK(AB87, AB$87:AB$101)</f>
        <v>#N/A</v>
      </c>
      <c r="AD87" s="491" t="e">
        <f t="shared" ref="AD87" si="56">AVERAGE(AB87:AB101)</f>
        <v>#DIV/0!</v>
      </c>
      <c r="AE87" s="166"/>
      <c r="AF87" s="166"/>
      <c r="AG87" s="180"/>
      <c r="AH87" s="182" t="e">
        <f t="shared" ref="AH87:AH101" si="57">RANK(AG87, AG$87:AG$101)</f>
        <v>#N/A</v>
      </c>
      <c r="AI87" s="491" t="e">
        <f t="shared" ref="AI87" si="58">AVERAGE(AG87:AG101)</f>
        <v>#DIV/0!</v>
      </c>
      <c r="AJ87" s="166"/>
      <c r="AK87" s="166"/>
      <c r="AL87" s="180"/>
      <c r="AM87" s="182" t="e">
        <f t="shared" ref="AM87:AM101" si="59">RANK(AL87, AL$87:AL$101)</f>
        <v>#N/A</v>
      </c>
      <c r="AN87" s="491" t="e">
        <f t="shared" ref="AN87" si="60">AVERAGE(AL87:AL101)</f>
        <v>#DIV/0!</v>
      </c>
      <c r="AO87" s="166"/>
      <c r="AP87" s="166"/>
      <c r="AQ87" s="180"/>
      <c r="AR87" s="182" t="e">
        <f t="shared" ref="AR87:AR101" si="61">RANK(AQ87, AQ$87:AQ$101)</f>
        <v>#N/A</v>
      </c>
      <c r="AS87" s="491" t="e">
        <f t="shared" ref="AS87" si="62">AVERAGE(AQ87:AQ101)</f>
        <v>#DIV/0!</v>
      </c>
      <c r="AT87" s="166"/>
      <c r="AU87" s="166"/>
      <c r="AV87" s="180"/>
      <c r="AW87" s="182" t="e">
        <f t="shared" ref="AW87:AW101" si="63">RANK(AV87, AV$87:AV$101)</f>
        <v>#N/A</v>
      </c>
      <c r="AX87" s="491" t="e">
        <f t="shared" ref="AX87" si="64">AVERAGE(AV87:AV101)</f>
        <v>#DIV/0!</v>
      </c>
    </row>
    <row r="88" spans="2:50">
      <c r="B88" s="479"/>
      <c r="C88" s="182">
        <v>2</v>
      </c>
      <c r="D88" s="182"/>
      <c r="E88" s="182"/>
      <c r="F88" s="182"/>
      <c r="G88" s="166"/>
      <c r="H88" s="460"/>
      <c r="I88" s="166" t="e">
        <f t="shared" ref="I88:I93" si="65">AVERAGE(P88,U88,Z88,AE88,AJ88,AO88,AT88)</f>
        <v>#DIV/0!</v>
      </c>
      <c r="J88" s="166" t="e">
        <f t="shared" ref="J88:J93" si="66">AVERAGE(Q88,V88,AA88,AF88,AK88,AP88,AU88)</f>
        <v>#DIV/0!</v>
      </c>
      <c r="K88" s="180" t="e">
        <f t="shared" ref="K88:K93" si="67">AVERAGE(R88,W88,AB88,AG88,AL88,AQ88,AV88)</f>
        <v>#DIV/0!</v>
      </c>
      <c r="L88" s="460"/>
      <c r="M88" s="181" t="e">
        <f>RANK(K88, K$87:$K$101)</f>
        <v>#DIV/0!</v>
      </c>
      <c r="N88" s="462"/>
      <c r="O88" s="462"/>
      <c r="P88" s="182"/>
      <c r="Q88" s="166"/>
      <c r="R88" s="180"/>
      <c r="S88" s="182" t="e">
        <f t="shared" ref="S88:S101" si="68">RANK(R88, R$87:R$101)</f>
        <v>#N/A</v>
      </c>
      <c r="T88" s="491"/>
      <c r="U88" s="182"/>
      <c r="V88" s="166"/>
      <c r="W88" s="180"/>
      <c r="X88" s="182" t="e">
        <f t="shared" si="53"/>
        <v>#N/A</v>
      </c>
      <c r="Y88" s="491"/>
      <c r="Z88" s="182"/>
      <c r="AA88" s="166"/>
      <c r="AB88" s="180"/>
      <c r="AC88" s="182" t="e">
        <f t="shared" si="55"/>
        <v>#N/A</v>
      </c>
      <c r="AD88" s="491"/>
      <c r="AE88" s="182"/>
      <c r="AF88" s="166"/>
      <c r="AG88" s="180"/>
      <c r="AH88" s="182" t="e">
        <f t="shared" si="57"/>
        <v>#N/A</v>
      </c>
      <c r="AI88" s="491"/>
      <c r="AJ88" s="182"/>
      <c r="AK88" s="166"/>
      <c r="AL88" s="180"/>
      <c r="AM88" s="182" t="e">
        <f t="shared" si="59"/>
        <v>#N/A</v>
      </c>
      <c r="AN88" s="491"/>
      <c r="AO88" s="182"/>
      <c r="AP88" s="166"/>
      <c r="AQ88" s="180"/>
      <c r="AR88" s="182" t="e">
        <f t="shared" si="61"/>
        <v>#N/A</v>
      </c>
      <c r="AS88" s="491"/>
      <c r="AT88" s="182"/>
      <c r="AU88" s="166"/>
      <c r="AV88" s="180"/>
      <c r="AW88" s="182" t="e">
        <f t="shared" si="63"/>
        <v>#N/A</v>
      </c>
      <c r="AX88" s="491"/>
    </row>
    <row r="89" spans="2:50">
      <c r="B89" s="479"/>
      <c r="C89" s="182">
        <v>3</v>
      </c>
      <c r="D89" s="182"/>
      <c r="E89" s="182"/>
      <c r="F89" s="182"/>
      <c r="G89" s="166"/>
      <c r="H89" s="460"/>
      <c r="I89" s="166" t="e">
        <f t="shared" si="65"/>
        <v>#DIV/0!</v>
      </c>
      <c r="J89" s="166" t="e">
        <f t="shared" si="66"/>
        <v>#DIV/0!</v>
      </c>
      <c r="K89" s="180" t="e">
        <f t="shared" si="67"/>
        <v>#DIV/0!</v>
      </c>
      <c r="L89" s="460"/>
      <c r="M89" s="181" t="e">
        <f>RANK(K89, K$87:$K$101)</f>
        <v>#DIV/0!</v>
      </c>
      <c r="N89" s="462"/>
      <c r="O89" s="462"/>
      <c r="P89" s="182"/>
      <c r="Q89" s="166"/>
      <c r="R89" s="180"/>
      <c r="S89" s="182" t="e">
        <f t="shared" si="68"/>
        <v>#N/A</v>
      </c>
      <c r="T89" s="491"/>
      <c r="U89" s="182"/>
      <c r="V89" s="166"/>
      <c r="W89" s="180"/>
      <c r="X89" s="182" t="e">
        <f t="shared" si="53"/>
        <v>#N/A</v>
      </c>
      <c r="Y89" s="491"/>
      <c r="Z89" s="182"/>
      <c r="AA89" s="166"/>
      <c r="AB89" s="180"/>
      <c r="AC89" s="182" t="e">
        <f t="shared" si="55"/>
        <v>#N/A</v>
      </c>
      <c r="AD89" s="491"/>
      <c r="AE89" s="182"/>
      <c r="AF89" s="166"/>
      <c r="AG89" s="180"/>
      <c r="AH89" s="182" t="e">
        <f t="shared" si="57"/>
        <v>#N/A</v>
      </c>
      <c r="AI89" s="491"/>
      <c r="AJ89" s="182"/>
      <c r="AK89" s="166"/>
      <c r="AL89" s="180"/>
      <c r="AM89" s="182" t="e">
        <f t="shared" si="59"/>
        <v>#N/A</v>
      </c>
      <c r="AN89" s="491"/>
      <c r="AO89" s="182"/>
      <c r="AP89" s="166"/>
      <c r="AQ89" s="180"/>
      <c r="AR89" s="182" t="e">
        <f t="shared" si="61"/>
        <v>#N/A</v>
      </c>
      <c r="AS89" s="491"/>
      <c r="AT89" s="182"/>
      <c r="AU89" s="166"/>
      <c r="AV89" s="180"/>
      <c r="AW89" s="182" t="e">
        <f t="shared" si="63"/>
        <v>#N/A</v>
      </c>
      <c r="AX89" s="491"/>
    </row>
    <row r="90" spans="2:50">
      <c r="B90" s="479"/>
      <c r="C90" s="182">
        <v>4</v>
      </c>
      <c r="D90" s="182"/>
      <c r="E90" s="182"/>
      <c r="F90" s="182"/>
      <c r="G90" s="166"/>
      <c r="H90" s="460"/>
      <c r="I90" s="166" t="e">
        <f t="shared" si="65"/>
        <v>#DIV/0!</v>
      </c>
      <c r="J90" s="166" t="e">
        <f t="shared" si="66"/>
        <v>#DIV/0!</v>
      </c>
      <c r="K90" s="180" t="e">
        <f t="shared" si="67"/>
        <v>#DIV/0!</v>
      </c>
      <c r="L90" s="460"/>
      <c r="M90" s="181" t="e">
        <f>RANK(K90, K$87:$K$101)</f>
        <v>#DIV/0!</v>
      </c>
      <c r="N90" s="462"/>
      <c r="O90" s="462"/>
      <c r="P90" s="182"/>
      <c r="Q90" s="166"/>
      <c r="R90" s="180"/>
      <c r="S90" s="182" t="e">
        <f t="shared" si="68"/>
        <v>#N/A</v>
      </c>
      <c r="T90" s="491"/>
      <c r="U90" s="182"/>
      <c r="V90" s="166"/>
      <c r="W90" s="180"/>
      <c r="X90" s="182" t="e">
        <f t="shared" si="53"/>
        <v>#N/A</v>
      </c>
      <c r="Y90" s="491"/>
      <c r="Z90" s="182"/>
      <c r="AA90" s="166"/>
      <c r="AB90" s="180"/>
      <c r="AC90" s="182" t="e">
        <f t="shared" si="55"/>
        <v>#N/A</v>
      </c>
      <c r="AD90" s="491"/>
      <c r="AE90" s="182"/>
      <c r="AF90" s="166"/>
      <c r="AG90" s="180"/>
      <c r="AH90" s="182" t="e">
        <f t="shared" si="57"/>
        <v>#N/A</v>
      </c>
      <c r="AI90" s="491"/>
      <c r="AJ90" s="182"/>
      <c r="AK90" s="166"/>
      <c r="AL90" s="180"/>
      <c r="AM90" s="182" t="e">
        <f t="shared" si="59"/>
        <v>#N/A</v>
      </c>
      <c r="AN90" s="491"/>
      <c r="AO90" s="182"/>
      <c r="AP90" s="166"/>
      <c r="AQ90" s="180"/>
      <c r="AR90" s="182" t="e">
        <f t="shared" si="61"/>
        <v>#N/A</v>
      </c>
      <c r="AS90" s="491"/>
      <c r="AT90" s="182"/>
      <c r="AU90" s="166"/>
      <c r="AV90" s="180"/>
      <c r="AW90" s="182" t="e">
        <f t="shared" si="63"/>
        <v>#N/A</v>
      </c>
      <c r="AX90" s="491"/>
    </row>
    <row r="91" spans="2:50">
      <c r="B91" s="479"/>
      <c r="C91" s="182">
        <v>5</v>
      </c>
      <c r="D91" s="182"/>
      <c r="E91" s="182"/>
      <c r="F91" s="182"/>
      <c r="G91" s="166"/>
      <c r="H91" s="460"/>
      <c r="I91" s="166" t="e">
        <f t="shared" si="65"/>
        <v>#DIV/0!</v>
      </c>
      <c r="J91" s="166" t="e">
        <f t="shared" si="66"/>
        <v>#DIV/0!</v>
      </c>
      <c r="K91" s="180" t="e">
        <f t="shared" si="67"/>
        <v>#DIV/0!</v>
      </c>
      <c r="L91" s="460"/>
      <c r="M91" s="181" t="e">
        <f>RANK(K91, K$87:$K$101)</f>
        <v>#DIV/0!</v>
      </c>
      <c r="N91" s="462"/>
      <c r="O91" s="462"/>
      <c r="P91" s="182"/>
      <c r="Q91" s="166"/>
      <c r="R91" s="180"/>
      <c r="S91" s="182" t="e">
        <f t="shared" si="68"/>
        <v>#N/A</v>
      </c>
      <c r="T91" s="491"/>
      <c r="U91" s="182"/>
      <c r="V91" s="166"/>
      <c r="W91" s="180"/>
      <c r="X91" s="182" t="e">
        <f t="shared" si="53"/>
        <v>#N/A</v>
      </c>
      <c r="Y91" s="491"/>
      <c r="Z91" s="182"/>
      <c r="AA91" s="166"/>
      <c r="AB91" s="180"/>
      <c r="AC91" s="182" t="e">
        <f t="shared" si="55"/>
        <v>#N/A</v>
      </c>
      <c r="AD91" s="491"/>
      <c r="AE91" s="182"/>
      <c r="AF91" s="166"/>
      <c r="AG91" s="180"/>
      <c r="AH91" s="182" t="e">
        <f t="shared" si="57"/>
        <v>#N/A</v>
      </c>
      <c r="AI91" s="491"/>
      <c r="AJ91" s="182"/>
      <c r="AK91" s="166"/>
      <c r="AL91" s="180"/>
      <c r="AM91" s="182" t="e">
        <f t="shared" si="59"/>
        <v>#N/A</v>
      </c>
      <c r="AN91" s="491"/>
      <c r="AO91" s="182"/>
      <c r="AP91" s="166"/>
      <c r="AQ91" s="180"/>
      <c r="AR91" s="182" t="e">
        <f t="shared" si="61"/>
        <v>#N/A</v>
      </c>
      <c r="AS91" s="491"/>
      <c r="AT91" s="182"/>
      <c r="AU91" s="166"/>
      <c r="AV91" s="180"/>
      <c r="AW91" s="182" t="e">
        <f t="shared" si="63"/>
        <v>#N/A</v>
      </c>
      <c r="AX91" s="491"/>
    </row>
    <row r="92" spans="2:50">
      <c r="B92" s="479"/>
      <c r="C92" s="182">
        <v>6</v>
      </c>
      <c r="D92" s="182"/>
      <c r="E92" s="182"/>
      <c r="F92" s="182"/>
      <c r="G92" s="166"/>
      <c r="H92" s="460"/>
      <c r="I92" s="166" t="e">
        <f t="shared" si="65"/>
        <v>#DIV/0!</v>
      </c>
      <c r="J92" s="166" t="e">
        <f t="shared" si="66"/>
        <v>#DIV/0!</v>
      </c>
      <c r="K92" s="180" t="e">
        <f t="shared" si="67"/>
        <v>#DIV/0!</v>
      </c>
      <c r="L92" s="460"/>
      <c r="M92" s="181" t="e">
        <f>RANK(K92, K$87:$K$101)</f>
        <v>#DIV/0!</v>
      </c>
      <c r="N92" s="462"/>
      <c r="O92" s="462"/>
      <c r="P92" s="182"/>
      <c r="Q92" s="166"/>
      <c r="R92" s="180"/>
      <c r="S92" s="182" t="e">
        <f t="shared" si="68"/>
        <v>#N/A</v>
      </c>
      <c r="T92" s="491"/>
      <c r="U92" s="182"/>
      <c r="V92" s="166"/>
      <c r="W92" s="180"/>
      <c r="X92" s="182" t="e">
        <f t="shared" si="53"/>
        <v>#N/A</v>
      </c>
      <c r="Y92" s="491"/>
      <c r="Z92" s="182"/>
      <c r="AA92" s="166"/>
      <c r="AB92" s="180"/>
      <c r="AC92" s="182" t="e">
        <f t="shared" si="55"/>
        <v>#N/A</v>
      </c>
      <c r="AD92" s="491"/>
      <c r="AE92" s="182"/>
      <c r="AF92" s="166"/>
      <c r="AG92" s="180"/>
      <c r="AH92" s="182" t="e">
        <f t="shared" si="57"/>
        <v>#N/A</v>
      </c>
      <c r="AI92" s="491"/>
      <c r="AJ92" s="182"/>
      <c r="AK92" s="166"/>
      <c r="AL92" s="180"/>
      <c r="AM92" s="182" t="e">
        <f t="shared" si="59"/>
        <v>#N/A</v>
      </c>
      <c r="AN92" s="491"/>
      <c r="AO92" s="182"/>
      <c r="AP92" s="166"/>
      <c r="AQ92" s="180"/>
      <c r="AR92" s="182" t="e">
        <f t="shared" si="61"/>
        <v>#N/A</v>
      </c>
      <c r="AS92" s="491"/>
      <c r="AT92" s="182"/>
      <c r="AU92" s="166"/>
      <c r="AV92" s="180"/>
      <c r="AW92" s="182" t="e">
        <f t="shared" si="63"/>
        <v>#N/A</v>
      </c>
      <c r="AX92" s="491"/>
    </row>
    <row r="93" spans="2:50">
      <c r="B93" s="479"/>
      <c r="C93" s="182">
        <v>7</v>
      </c>
      <c r="D93" s="182"/>
      <c r="E93" s="182"/>
      <c r="F93" s="182"/>
      <c r="G93" s="166"/>
      <c r="H93" s="460"/>
      <c r="I93" s="166" t="e">
        <f t="shared" si="65"/>
        <v>#DIV/0!</v>
      </c>
      <c r="J93" s="166" t="e">
        <f t="shared" si="66"/>
        <v>#DIV/0!</v>
      </c>
      <c r="K93" s="180" t="e">
        <f t="shared" si="67"/>
        <v>#DIV/0!</v>
      </c>
      <c r="L93" s="460"/>
      <c r="M93" s="181" t="e">
        <f>RANK(K93, K$87:$K$101)</f>
        <v>#DIV/0!</v>
      </c>
      <c r="N93" s="462"/>
      <c r="O93" s="462"/>
      <c r="P93" s="182"/>
      <c r="Q93" s="166"/>
      <c r="R93" s="180"/>
      <c r="S93" s="182" t="e">
        <f t="shared" si="68"/>
        <v>#N/A</v>
      </c>
      <c r="T93" s="491"/>
      <c r="U93" s="182"/>
      <c r="V93" s="166"/>
      <c r="W93" s="180"/>
      <c r="X93" s="182" t="e">
        <f t="shared" si="53"/>
        <v>#N/A</v>
      </c>
      <c r="Y93" s="491"/>
      <c r="Z93" s="182"/>
      <c r="AA93" s="166"/>
      <c r="AB93" s="180"/>
      <c r="AC93" s="182" t="e">
        <f t="shared" si="55"/>
        <v>#N/A</v>
      </c>
      <c r="AD93" s="491"/>
      <c r="AE93" s="182"/>
      <c r="AF93" s="166"/>
      <c r="AG93" s="180"/>
      <c r="AH93" s="182" t="e">
        <f t="shared" si="57"/>
        <v>#N/A</v>
      </c>
      <c r="AI93" s="491"/>
      <c r="AJ93" s="182"/>
      <c r="AK93" s="166"/>
      <c r="AL93" s="180"/>
      <c r="AM93" s="182" t="e">
        <f t="shared" si="59"/>
        <v>#N/A</v>
      </c>
      <c r="AN93" s="491"/>
      <c r="AO93" s="182"/>
      <c r="AP93" s="166"/>
      <c r="AQ93" s="180"/>
      <c r="AR93" s="182" t="e">
        <f t="shared" si="61"/>
        <v>#N/A</v>
      </c>
      <c r="AS93" s="491"/>
      <c r="AT93" s="182"/>
      <c r="AU93" s="166"/>
      <c r="AV93" s="180"/>
      <c r="AW93" s="182" t="e">
        <f t="shared" si="63"/>
        <v>#N/A</v>
      </c>
      <c r="AX93" s="491"/>
    </row>
    <row r="94" spans="2:50">
      <c r="B94" s="479"/>
      <c r="C94" s="182">
        <v>8</v>
      </c>
      <c r="D94" s="182"/>
      <c r="E94" s="182"/>
      <c r="F94" s="182"/>
      <c r="G94" s="166"/>
      <c r="H94" s="460"/>
      <c r="I94" s="166"/>
      <c r="J94" s="166"/>
      <c r="K94" s="180"/>
      <c r="L94" s="460"/>
      <c r="M94" s="181" t="e">
        <f>RANK(K94, K$87:$K$101)</f>
        <v>#DIV/0!</v>
      </c>
      <c r="N94" s="462"/>
      <c r="O94" s="462"/>
      <c r="P94" s="182"/>
      <c r="Q94" s="166"/>
      <c r="R94" s="180"/>
      <c r="S94" s="182" t="e">
        <f t="shared" si="68"/>
        <v>#N/A</v>
      </c>
      <c r="T94" s="491"/>
      <c r="U94" s="182"/>
      <c r="V94" s="166"/>
      <c r="W94" s="180"/>
      <c r="X94" s="182" t="e">
        <f t="shared" si="53"/>
        <v>#N/A</v>
      </c>
      <c r="Y94" s="491"/>
      <c r="Z94" s="182"/>
      <c r="AA94" s="166"/>
      <c r="AB94" s="180"/>
      <c r="AC94" s="182" t="e">
        <f t="shared" si="55"/>
        <v>#N/A</v>
      </c>
      <c r="AD94" s="491"/>
      <c r="AE94" s="182"/>
      <c r="AF94" s="166"/>
      <c r="AG94" s="180"/>
      <c r="AH94" s="182" t="e">
        <f t="shared" si="57"/>
        <v>#N/A</v>
      </c>
      <c r="AI94" s="491"/>
      <c r="AJ94" s="182"/>
      <c r="AK94" s="166"/>
      <c r="AL94" s="180"/>
      <c r="AM94" s="182" t="e">
        <f t="shared" si="59"/>
        <v>#N/A</v>
      </c>
      <c r="AN94" s="491"/>
      <c r="AO94" s="182"/>
      <c r="AP94" s="166"/>
      <c r="AQ94" s="180"/>
      <c r="AR94" s="182" t="e">
        <f t="shared" si="61"/>
        <v>#N/A</v>
      </c>
      <c r="AS94" s="491"/>
      <c r="AT94" s="182"/>
      <c r="AU94" s="166"/>
      <c r="AV94" s="180"/>
      <c r="AW94" s="182" t="e">
        <f t="shared" si="63"/>
        <v>#N/A</v>
      </c>
      <c r="AX94" s="491"/>
    </row>
    <row r="95" spans="2:50">
      <c r="B95" s="479"/>
      <c r="C95" s="182">
        <v>9</v>
      </c>
      <c r="D95" s="182"/>
      <c r="E95" s="182"/>
      <c r="F95" s="182"/>
      <c r="G95" s="166"/>
      <c r="H95" s="460"/>
      <c r="I95" s="166"/>
      <c r="J95" s="166"/>
      <c r="K95" s="180"/>
      <c r="L95" s="460"/>
      <c r="M95" s="181" t="e">
        <f>RANK(K95, K$87:$K$101)</f>
        <v>#DIV/0!</v>
      </c>
      <c r="N95" s="462"/>
      <c r="O95" s="462"/>
      <c r="P95" s="182"/>
      <c r="Q95" s="166"/>
      <c r="R95" s="180"/>
      <c r="S95" s="182" t="e">
        <f t="shared" si="68"/>
        <v>#N/A</v>
      </c>
      <c r="T95" s="491"/>
      <c r="U95" s="182"/>
      <c r="V95" s="166"/>
      <c r="W95" s="180"/>
      <c r="X95" s="182" t="e">
        <f t="shared" si="53"/>
        <v>#N/A</v>
      </c>
      <c r="Y95" s="491"/>
      <c r="Z95" s="182"/>
      <c r="AA95" s="166"/>
      <c r="AB95" s="180"/>
      <c r="AC95" s="182" t="e">
        <f t="shared" si="55"/>
        <v>#N/A</v>
      </c>
      <c r="AD95" s="491"/>
      <c r="AE95" s="182"/>
      <c r="AF95" s="166"/>
      <c r="AG95" s="180"/>
      <c r="AH95" s="182" t="e">
        <f t="shared" si="57"/>
        <v>#N/A</v>
      </c>
      <c r="AI95" s="491"/>
      <c r="AJ95" s="182"/>
      <c r="AK95" s="166"/>
      <c r="AL95" s="180"/>
      <c r="AM95" s="182" t="e">
        <f t="shared" si="59"/>
        <v>#N/A</v>
      </c>
      <c r="AN95" s="491"/>
      <c r="AO95" s="182"/>
      <c r="AP95" s="166"/>
      <c r="AQ95" s="180"/>
      <c r="AR95" s="182" t="e">
        <f t="shared" si="61"/>
        <v>#N/A</v>
      </c>
      <c r="AS95" s="491"/>
      <c r="AT95" s="182"/>
      <c r="AU95" s="166"/>
      <c r="AV95" s="180"/>
      <c r="AW95" s="182" t="e">
        <f t="shared" si="63"/>
        <v>#N/A</v>
      </c>
      <c r="AX95" s="491"/>
    </row>
    <row r="96" spans="2:50">
      <c r="B96" s="479"/>
      <c r="C96" s="182">
        <v>10</v>
      </c>
      <c r="D96" s="182"/>
      <c r="E96" s="182"/>
      <c r="F96" s="182"/>
      <c r="G96" s="166"/>
      <c r="H96" s="460"/>
      <c r="I96" s="166"/>
      <c r="J96" s="166"/>
      <c r="K96" s="180"/>
      <c r="L96" s="460"/>
      <c r="M96" s="181" t="e">
        <f>RANK(K96, K$87:$K$101)</f>
        <v>#DIV/0!</v>
      </c>
      <c r="N96" s="462"/>
      <c r="O96" s="462"/>
      <c r="P96" s="182"/>
      <c r="Q96" s="166"/>
      <c r="R96" s="180"/>
      <c r="S96" s="182" t="e">
        <f t="shared" si="68"/>
        <v>#N/A</v>
      </c>
      <c r="T96" s="491"/>
      <c r="U96" s="182"/>
      <c r="V96" s="166"/>
      <c r="W96" s="180"/>
      <c r="X96" s="182" t="e">
        <f t="shared" si="53"/>
        <v>#N/A</v>
      </c>
      <c r="Y96" s="491"/>
      <c r="Z96" s="182"/>
      <c r="AA96" s="166"/>
      <c r="AB96" s="180"/>
      <c r="AC96" s="182" t="e">
        <f t="shared" si="55"/>
        <v>#N/A</v>
      </c>
      <c r="AD96" s="491"/>
      <c r="AE96" s="182"/>
      <c r="AF96" s="166"/>
      <c r="AG96" s="180"/>
      <c r="AH96" s="182" t="e">
        <f t="shared" si="57"/>
        <v>#N/A</v>
      </c>
      <c r="AI96" s="491"/>
      <c r="AJ96" s="182"/>
      <c r="AK96" s="166"/>
      <c r="AL96" s="180"/>
      <c r="AM96" s="182" t="e">
        <f t="shared" si="59"/>
        <v>#N/A</v>
      </c>
      <c r="AN96" s="491"/>
      <c r="AO96" s="182"/>
      <c r="AP96" s="166"/>
      <c r="AQ96" s="180"/>
      <c r="AR96" s="182" t="e">
        <f t="shared" si="61"/>
        <v>#N/A</v>
      </c>
      <c r="AS96" s="491"/>
      <c r="AT96" s="182"/>
      <c r="AU96" s="166"/>
      <c r="AV96" s="180"/>
      <c r="AW96" s="182" t="e">
        <f t="shared" si="63"/>
        <v>#N/A</v>
      </c>
      <c r="AX96" s="491"/>
    </row>
    <row r="97" spans="2:50">
      <c r="B97" s="479"/>
      <c r="C97" s="182">
        <v>11</v>
      </c>
      <c r="D97" s="182"/>
      <c r="E97" s="182"/>
      <c r="F97" s="182"/>
      <c r="G97" s="166"/>
      <c r="H97" s="460"/>
      <c r="I97" s="182"/>
      <c r="J97" s="182"/>
      <c r="K97" s="182"/>
      <c r="L97" s="460"/>
      <c r="M97" s="181" t="e">
        <f>RANK(K97, K$87:$K$101)</f>
        <v>#DIV/0!</v>
      </c>
      <c r="N97" s="462"/>
      <c r="O97" s="462"/>
      <c r="P97" s="182"/>
      <c r="Q97" s="182"/>
      <c r="R97" s="182"/>
      <c r="S97" s="182" t="e">
        <f t="shared" si="68"/>
        <v>#N/A</v>
      </c>
      <c r="T97" s="491"/>
      <c r="U97" s="182"/>
      <c r="V97" s="182"/>
      <c r="W97" s="182"/>
      <c r="X97" s="182" t="e">
        <f t="shared" si="53"/>
        <v>#N/A</v>
      </c>
      <c r="Y97" s="491"/>
      <c r="Z97" s="182"/>
      <c r="AA97" s="182"/>
      <c r="AB97" s="182"/>
      <c r="AC97" s="182" t="e">
        <f t="shared" si="55"/>
        <v>#N/A</v>
      </c>
      <c r="AD97" s="491"/>
      <c r="AE97" s="182"/>
      <c r="AF97" s="182"/>
      <c r="AG97" s="182"/>
      <c r="AH97" s="182" t="e">
        <f t="shared" si="57"/>
        <v>#N/A</v>
      </c>
      <c r="AI97" s="491"/>
      <c r="AJ97" s="182"/>
      <c r="AK97" s="182"/>
      <c r="AL97" s="182"/>
      <c r="AM97" s="182" t="e">
        <f t="shared" si="59"/>
        <v>#N/A</v>
      </c>
      <c r="AN97" s="491"/>
      <c r="AO97" s="182"/>
      <c r="AP97" s="182"/>
      <c r="AQ97" s="182"/>
      <c r="AR97" s="182" t="e">
        <f t="shared" si="61"/>
        <v>#N/A</v>
      </c>
      <c r="AS97" s="491"/>
      <c r="AT97" s="182"/>
      <c r="AU97" s="182"/>
      <c r="AV97" s="182"/>
      <c r="AW97" s="182" t="e">
        <f t="shared" si="63"/>
        <v>#N/A</v>
      </c>
      <c r="AX97" s="491"/>
    </row>
    <row r="98" spans="2:50">
      <c r="B98" s="479"/>
      <c r="C98" s="182">
        <v>12</v>
      </c>
      <c r="D98" s="182"/>
      <c r="E98" s="182"/>
      <c r="F98" s="182"/>
      <c r="G98" s="166"/>
      <c r="H98" s="460"/>
      <c r="I98" s="182"/>
      <c r="J98" s="182"/>
      <c r="K98" s="182"/>
      <c r="L98" s="460"/>
      <c r="M98" s="181" t="e">
        <f>RANK(K98, K$87:$K$101)</f>
        <v>#DIV/0!</v>
      </c>
      <c r="N98" s="462"/>
      <c r="O98" s="462"/>
      <c r="P98" s="182"/>
      <c r="Q98" s="182"/>
      <c r="R98" s="182"/>
      <c r="S98" s="182" t="e">
        <f t="shared" si="68"/>
        <v>#N/A</v>
      </c>
      <c r="T98" s="491"/>
      <c r="U98" s="182"/>
      <c r="V98" s="182"/>
      <c r="W98" s="182"/>
      <c r="X98" s="182" t="e">
        <f t="shared" si="53"/>
        <v>#N/A</v>
      </c>
      <c r="Y98" s="491"/>
      <c r="Z98" s="182"/>
      <c r="AA98" s="182"/>
      <c r="AB98" s="182"/>
      <c r="AC98" s="182" t="e">
        <f t="shared" si="55"/>
        <v>#N/A</v>
      </c>
      <c r="AD98" s="491"/>
      <c r="AE98" s="182"/>
      <c r="AF98" s="182"/>
      <c r="AG98" s="182"/>
      <c r="AH98" s="182" t="e">
        <f t="shared" si="57"/>
        <v>#N/A</v>
      </c>
      <c r="AI98" s="491"/>
      <c r="AJ98" s="182"/>
      <c r="AK98" s="182"/>
      <c r="AL98" s="182"/>
      <c r="AM98" s="182" t="e">
        <f t="shared" si="59"/>
        <v>#N/A</v>
      </c>
      <c r="AN98" s="491"/>
      <c r="AO98" s="182"/>
      <c r="AP98" s="182"/>
      <c r="AQ98" s="182"/>
      <c r="AR98" s="182" t="e">
        <f t="shared" si="61"/>
        <v>#N/A</v>
      </c>
      <c r="AS98" s="491"/>
      <c r="AT98" s="182"/>
      <c r="AU98" s="182"/>
      <c r="AV98" s="182"/>
      <c r="AW98" s="182" t="e">
        <f t="shared" si="63"/>
        <v>#N/A</v>
      </c>
      <c r="AX98" s="491"/>
    </row>
    <row r="99" spans="2:50">
      <c r="B99" s="479"/>
      <c r="C99" s="182">
        <v>13</v>
      </c>
      <c r="D99" s="182"/>
      <c r="E99" s="182"/>
      <c r="F99" s="182"/>
      <c r="G99" s="166"/>
      <c r="H99" s="460"/>
      <c r="I99" s="182"/>
      <c r="J99" s="182"/>
      <c r="K99" s="182"/>
      <c r="L99" s="460"/>
      <c r="M99" s="181" t="e">
        <f>RANK(K99, K$87:$K$101)</f>
        <v>#DIV/0!</v>
      </c>
      <c r="N99" s="462"/>
      <c r="O99" s="462"/>
      <c r="P99" s="182"/>
      <c r="Q99" s="182"/>
      <c r="R99" s="182"/>
      <c r="S99" s="182" t="e">
        <f t="shared" si="68"/>
        <v>#N/A</v>
      </c>
      <c r="T99" s="491"/>
      <c r="U99" s="182"/>
      <c r="V99" s="182"/>
      <c r="W99" s="182"/>
      <c r="X99" s="182" t="e">
        <f t="shared" si="53"/>
        <v>#N/A</v>
      </c>
      <c r="Y99" s="491"/>
      <c r="Z99" s="182"/>
      <c r="AA99" s="182"/>
      <c r="AB99" s="182"/>
      <c r="AC99" s="182" t="e">
        <f t="shared" si="55"/>
        <v>#N/A</v>
      </c>
      <c r="AD99" s="491"/>
      <c r="AE99" s="182"/>
      <c r="AF99" s="182"/>
      <c r="AG99" s="182"/>
      <c r="AH99" s="182" t="e">
        <f t="shared" si="57"/>
        <v>#N/A</v>
      </c>
      <c r="AI99" s="491"/>
      <c r="AJ99" s="182"/>
      <c r="AK99" s="182"/>
      <c r="AL99" s="182"/>
      <c r="AM99" s="182" t="e">
        <f t="shared" si="59"/>
        <v>#N/A</v>
      </c>
      <c r="AN99" s="491"/>
      <c r="AO99" s="182"/>
      <c r="AP99" s="182"/>
      <c r="AQ99" s="182"/>
      <c r="AR99" s="182" t="e">
        <f t="shared" si="61"/>
        <v>#N/A</v>
      </c>
      <c r="AS99" s="491"/>
      <c r="AT99" s="182"/>
      <c r="AU99" s="182"/>
      <c r="AV99" s="182"/>
      <c r="AW99" s="182" t="e">
        <f t="shared" si="63"/>
        <v>#N/A</v>
      </c>
      <c r="AX99" s="491"/>
    </row>
    <row r="100" spans="2:50">
      <c r="B100" s="479"/>
      <c r="C100" s="182">
        <v>14</v>
      </c>
      <c r="D100" s="182"/>
      <c r="E100" s="182"/>
      <c r="F100" s="182"/>
      <c r="G100" s="166"/>
      <c r="H100" s="460"/>
      <c r="I100" s="182"/>
      <c r="J100" s="182"/>
      <c r="K100" s="182"/>
      <c r="L100" s="460"/>
      <c r="M100" s="181" t="e">
        <f>RANK(K100, K$87:$K$101)</f>
        <v>#DIV/0!</v>
      </c>
      <c r="N100" s="462"/>
      <c r="O100" s="462"/>
      <c r="P100" s="182"/>
      <c r="Q100" s="182"/>
      <c r="R100" s="182"/>
      <c r="S100" s="182" t="e">
        <f t="shared" si="68"/>
        <v>#N/A</v>
      </c>
      <c r="T100" s="491"/>
      <c r="U100" s="182"/>
      <c r="V100" s="182"/>
      <c r="W100" s="182"/>
      <c r="X100" s="182" t="e">
        <f t="shared" si="53"/>
        <v>#N/A</v>
      </c>
      <c r="Y100" s="491"/>
      <c r="Z100" s="182"/>
      <c r="AA100" s="182"/>
      <c r="AB100" s="182"/>
      <c r="AC100" s="182" t="e">
        <f t="shared" si="55"/>
        <v>#N/A</v>
      </c>
      <c r="AD100" s="491"/>
      <c r="AE100" s="182"/>
      <c r="AF100" s="182"/>
      <c r="AG100" s="182"/>
      <c r="AH100" s="182" t="e">
        <f t="shared" si="57"/>
        <v>#N/A</v>
      </c>
      <c r="AI100" s="491"/>
      <c r="AJ100" s="182"/>
      <c r="AK100" s="182"/>
      <c r="AL100" s="182"/>
      <c r="AM100" s="182" t="e">
        <f t="shared" si="59"/>
        <v>#N/A</v>
      </c>
      <c r="AN100" s="491"/>
      <c r="AO100" s="182"/>
      <c r="AP100" s="182"/>
      <c r="AQ100" s="182"/>
      <c r="AR100" s="182" t="e">
        <f t="shared" si="61"/>
        <v>#N/A</v>
      </c>
      <c r="AS100" s="491"/>
      <c r="AT100" s="182"/>
      <c r="AU100" s="182"/>
      <c r="AV100" s="182"/>
      <c r="AW100" s="182" t="e">
        <f t="shared" si="63"/>
        <v>#N/A</v>
      </c>
      <c r="AX100" s="491"/>
    </row>
    <row r="101" spans="2:50">
      <c r="B101" s="479"/>
      <c r="C101" s="182">
        <v>15</v>
      </c>
      <c r="D101" s="182"/>
      <c r="E101" s="182"/>
      <c r="F101" s="182"/>
      <c r="G101" s="182"/>
      <c r="H101" s="461"/>
      <c r="I101" s="182"/>
      <c r="J101" s="182"/>
      <c r="K101" s="182"/>
      <c r="L101" s="461"/>
      <c r="M101" s="166" t="e">
        <f>RANK(K101, K$87:$K$101)</f>
        <v>#DIV/0!</v>
      </c>
      <c r="N101" s="462"/>
      <c r="O101" s="462"/>
      <c r="P101" s="182"/>
      <c r="Q101" s="182"/>
      <c r="R101" s="182"/>
      <c r="S101" s="182" t="e">
        <f t="shared" si="68"/>
        <v>#N/A</v>
      </c>
      <c r="T101" s="491"/>
      <c r="U101" s="182"/>
      <c r="V101" s="182"/>
      <c r="W101" s="182"/>
      <c r="X101" s="182" t="e">
        <f t="shared" si="53"/>
        <v>#N/A</v>
      </c>
      <c r="Y101" s="491"/>
      <c r="Z101" s="182"/>
      <c r="AA101" s="182"/>
      <c r="AB101" s="182"/>
      <c r="AC101" s="182" t="e">
        <f t="shared" si="55"/>
        <v>#N/A</v>
      </c>
      <c r="AD101" s="491"/>
      <c r="AE101" s="182"/>
      <c r="AF101" s="182"/>
      <c r="AG101" s="182"/>
      <c r="AH101" s="182" t="e">
        <f t="shared" si="57"/>
        <v>#N/A</v>
      </c>
      <c r="AI101" s="491"/>
      <c r="AJ101" s="182"/>
      <c r="AK101" s="182"/>
      <c r="AL101" s="182"/>
      <c r="AM101" s="182" t="e">
        <f t="shared" si="59"/>
        <v>#N/A</v>
      </c>
      <c r="AN101" s="491"/>
      <c r="AO101" s="182"/>
      <c r="AP101" s="182"/>
      <c r="AQ101" s="182"/>
      <c r="AR101" s="182" t="e">
        <f t="shared" si="61"/>
        <v>#N/A</v>
      </c>
      <c r="AS101" s="491"/>
      <c r="AT101" s="182"/>
      <c r="AU101" s="182"/>
      <c r="AV101" s="182"/>
      <c r="AW101" s="182" t="e">
        <f t="shared" si="63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507" t="s">
        <v>253</v>
      </c>
      <c r="C107" s="182">
        <v>1</v>
      </c>
      <c r="D107" s="182"/>
      <c r="E107" s="182"/>
      <c r="F107" s="182"/>
      <c r="G107" s="166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K$107:$K$121)</f>
        <v>#DIV/0!</v>
      </c>
      <c r="N107" s="462"/>
      <c r="O107" s="462"/>
      <c r="P107" s="166"/>
      <c r="Q107" s="166"/>
      <c r="R107" s="180"/>
      <c r="S107" s="182" t="e">
        <f>RANK(R107, R$67:R$81)</f>
        <v>#N/A</v>
      </c>
      <c r="T107" s="491" t="e">
        <f>AVERAGE(R107:R121)</f>
        <v>#DIV/0!</v>
      </c>
      <c r="U107" s="166"/>
      <c r="V107" s="166"/>
      <c r="W107" s="180"/>
      <c r="X107" s="182" t="e">
        <f t="shared" ref="X107:AM121" si="69">RANK(W107, W$67:W$81)</f>
        <v>#N/A</v>
      </c>
      <c r="Y107" s="491" t="e">
        <f t="shared" ref="Y107" si="70">AVERAGE(W107:W121)</f>
        <v>#DIV/0!</v>
      </c>
      <c r="Z107" s="166"/>
      <c r="AA107" s="166"/>
      <c r="AB107" s="180"/>
      <c r="AC107" s="182" t="e">
        <f t="shared" ref="AC107" si="71">RANK(AB107, AB$67:AB$81)</f>
        <v>#N/A</v>
      </c>
      <c r="AD107" s="491" t="e">
        <f t="shared" ref="AD107" si="72">AVERAGE(AB107:AB121)</f>
        <v>#DIV/0!</v>
      </c>
      <c r="AE107" s="166"/>
      <c r="AF107" s="166"/>
      <c r="AG107" s="180"/>
      <c r="AH107" s="182" t="e">
        <f t="shared" ref="AH107" si="73">RANK(AG107, AG$67:AG$81)</f>
        <v>#N/A</v>
      </c>
      <c r="AI107" s="491" t="e">
        <f t="shared" ref="AI107" si="74">AVERAGE(AG107:AG121)</f>
        <v>#DIV/0!</v>
      </c>
      <c r="AJ107" s="166"/>
      <c r="AK107" s="166"/>
      <c r="AL107" s="180"/>
      <c r="AM107" s="182" t="e">
        <f t="shared" ref="AM107" si="75">RANK(AL107, AL$67:AL$81)</f>
        <v>#N/A</v>
      </c>
      <c r="AN107" s="491" t="e">
        <f t="shared" ref="AN107" si="76">AVERAGE(AL107:AL121)</f>
        <v>#DIV/0!</v>
      </c>
      <c r="AO107" s="166"/>
      <c r="AP107" s="166"/>
      <c r="AQ107" s="180"/>
      <c r="AR107" s="182" t="e">
        <f t="shared" ref="AR107:AW121" si="77">RANK(AQ107, AQ$67:AQ$81)</f>
        <v>#N/A</v>
      </c>
      <c r="AS107" s="491" t="e">
        <f t="shared" ref="AS107" si="78">AVERAGE(AQ107:AQ121)</f>
        <v>#DIV/0!</v>
      </c>
      <c r="AT107" s="166"/>
      <c r="AU107" s="166"/>
      <c r="AV107" s="180"/>
      <c r="AW107" s="182" t="e">
        <f t="shared" ref="AW107" si="79">RANK(AV107, AV$67:AV$81)</f>
        <v>#N/A</v>
      </c>
      <c r="AX107" s="491" t="e">
        <f t="shared" ref="AX107" si="80">AVERAGE(AV107:AV121)</f>
        <v>#DIV/0!</v>
      </c>
    </row>
    <row r="108" spans="2:50">
      <c r="B108" s="479"/>
      <c r="C108" s="182">
        <v>2</v>
      </c>
      <c r="D108" s="182"/>
      <c r="E108" s="182"/>
      <c r="F108" s="182"/>
      <c r="G108" s="166"/>
      <c r="H108" s="460"/>
      <c r="I108" s="166" t="e">
        <f t="shared" ref="I108:K110" si="81">AVERAGE(P108,U108,Z108,AE108,AJ108,AO108,AT108)</f>
        <v>#DIV/0!</v>
      </c>
      <c r="J108" s="166" t="e">
        <f t="shared" si="81"/>
        <v>#DIV/0!</v>
      </c>
      <c r="K108" s="180" t="e">
        <f t="shared" si="81"/>
        <v>#DIV/0!</v>
      </c>
      <c r="L108" s="460"/>
      <c r="M108" s="166" t="e">
        <f>RANK(K108, K$107:$K$121)</f>
        <v>#DIV/0!</v>
      </c>
      <c r="N108" s="462"/>
      <c r="O108" s="462"/>
      <c r="P108" s="182"/>
      <c r="Q108" s="166"/>
      <c r="R108" s="180"/>
      <c r="S108" s="182" t="e">
        <f t="shared" ref="S108:S121" si="82">RANK(R108, R$67:R$81)</f>
        <v>#N/A</v>
      </c>
      <c r="T108" s="491"/>
      <c r="U108" s="182"/>
      <c r="V108" s="166"/>
      <c r="W108" s="180"/>
      <c r="X108" s="182" t="e">
        <f t="shared" si="69"/>
        <v>#N/A</v>
      </c>
      <c r="Y108" s="491"/>
      <c r="Z108" s="182"/>
      <c r="AA108" s="166"/>
      <c r="AB108" s="180"/>
      <c r="AC108" s="182" t="e">
        <f t="shared" si="69"/>
        <v>#N/A</v>
      </c>
      <c r="AD108" s="491"/>
      <c r="AE108" s="182"/>
      <c r="AF108" s="166"/>
      <c r="AG108" s="180"/>
      <c r="AH108" s="182" t="e">
        <f t="shared" si="69"/>
        <v>#N/A</v>
      </c>
      <c r="AI108" s="491"/>
      <c r="AJ108" s="182"/>
      <c r="AK108" s="166"/>
      <c r="AL108" s="180"/>
      <c r="AM108" s="182" t="e">
        <f t="shared" si="69"/>
        <v>#N/A</v>
      </c>
      <c r="AN108" s="491"/>
      <c r="AO108" s="182"/>
      <c r="AP108" s="166"/>
      <c r="AQ108" s="180"/>
      <c r="AR108" s="182" t="e">
        <f t="shared" si="77"/>
        <v>#N/A</v>
      </c>
      <c r="AS108" s="491"/>
      <c r="AT108" s="182"/>
      <c r="AU108" s="166"/>
      <c r="AV108" s="180"/>
      <c r="AW108" s="182" t="e">
        <f t="shared" si="77"/>
        <v>#N/A</v>
      </c>
      <c r="AX108" s="491"/>
    </row>
    <row r="109" spans="2:50">
      <c r="B109" s="479"/>
      <c r="C109" s="182">
        <v>3</v>
      </c>
      <c r="D109" s="182"/>
      <c r="E109" s="182"/>
      <c r="F109" s="182"/>
      <c r="G109" s="166"/>
      <c r="H109" s="460"/>
      <c r="I109" s="166" t="e">
        <f t="shared" si="81"/>
        <v>#DIV/0!</v>
      </c>
      <c r="J109" s="166" t="e">
        <f t="shared" si="81"/>
        <v>#DIV/0!</v>
      </c>
      <c r="K109" s="180" t="e">
        <f t="shared" si="81"/>
        <v>#DIV/0!</v>
      </c>
      <c r="L109" s="460"/>
      <c r="M109" s="166" t="e">
        <f>RANK(K109, K$107:$K$121)</f>
        <v>#DIV/0!</v>
      </c>
      <c r="N109" s="462"/>
      <c r="O109" s="462"/>
      <c r="P109" s="182"/>
      <c r="Q109" s="166"/>
      <c r="R109" s="180"/>
      <c r="S109" s="182" t="e">
        <f t="shared" si="82"/>
        <v>#N/A</v>
      </c>
      <c r="T109" s="491"/>
      <c r="U109" s="182"/>
      <c r="V109" s="166"/>
      <c r="W109" s="180"/>
      <c r="X109" s="182" t="e">
        <f t="shared" si="69"/>
        <v>#N/A</v>
      </c>
      <c r="Y109" s="491"/>
      <c r="Z109" s="182"/>
      <c r="AA109" s="166"/>
      <c r="AB109" s="180"/>
      <c r="AC109" s="182" t="e">
        <f t="shared" si="69"/>
        <v>#N/A</v>
      </c>
      <c r="AD109" s="491"/>
      <c r="AE109" s="182"/>
      <c r="AF109" s="166"/>
      <c r="AG109" s="180"/>
      <c r="AH109" s="182" t="e">
        <f t="shared" si="69"/>
        <v>#N/A</v>
      </c>
      <c r="AI109" s="491"/>
      <c r="AJ109" s="182"/>
      <c r="AK109" s="166"/>
      <c r="AL109" s="180"/>
      <c r="AM109" s="182" t="e">
        <f t="shared" si="69"/>
        <v>#N/A</v>
      </c>
      <c r="AN109" s="491"/>
      <c r="AO109" s="182"/>
      <c r="AP109" s="166"/>
      <c r="AQ109" s="180"/>
      <c r="AR109" s="182" t="e">
        <f t="shared" si="77"/>
        <v>#N/A</v>
      </c>
      <c r="AS109" s="491"/>
      <c r="AT109" s="182"/>
      <c r="AU109" s="166"/>
      <c r="AV109" s="180"/>
      <c r="AW109" s="182" t="e">
        <f t="shared" si="77"/>
        <v>#N/A</v>
      </c>
      <c r="AX109" s="491"/>
    </row>
    <row r="110" spans="2:50">
      <c r="B110" s="479"/>
      <c r="C110" s="182">
        <v>4</v>
      </c>
      <c r="D110" s="182"/>
      <c r="E110" s="182"/>
      <c r="F110" s="182"/>
      <c r="G110" s="166"/>
      <c r="H110" s="460"/>
      <c r="I110" s="166" t="e">
        <f t="shared" si="81"/>
        <v>#DIV/0!</v>
      </c>
      <c r="J110" s="166" t="e">
        <f t="shared" si="81"/>
        <v>#DIV/0!</v>
      </c>
      <c r="K110" s="180" t="e">
        <f t="shared" si="81"/>
        <v>#DIV/0!</v>
      </c>
      <c r="L110" s="460"/>
      <c r="M110" s="166" t="e">
        <f>RANK(K110, K$107:$K$121)</f>
        <v>#DIV/0!</v>
      </c>
      <c r="N110" s="462"/>
      <c r="O110" s="462"/>
      <c r="P110" s="182"/>
      <c r="Q110" s="166"/>
      <c r="R110" s="180"/>
      <c r="S110" s="182" t="e">
        <f t="shared" si="82"/>
        <v>#N/A</v>
      </c>
      <c r="T110" s="491"/>
      <c r="U110" s="182"/>
      <c r="V110" s="166"/>
      <c r="W110" s="180"/>
      <c r="X110" s="182" t="e">
        <f t="shared" si="69"/>
        <v>#N/A</v>
      </c>
      <c r="Y110" s="491"/>
      <c r="Z110" s="182"/>
      <c r="AA110" s="166"/>
      <c r="AB110" s="180"/>
      <c r="AC110" s="182" t="e">
        <f t="shared" si="69"/>
        <v>#N/A</v>
      </c>
      <c r="AD110" s="491"/>
      <c r="AE110" s="182"/>
      <c r="AF110" s="166"/>
      <c r="AG110" s="180"/>
      <c r="AH110" s="182" t="e">
        <f t="shared" si="69"/>
        <v>#N/A</v>
      </c>
      <c r="AI110" s="491"/>
      <c r="AJ110" s="182"/>
      <c r="AK110" s="166"/>
      <c r="AL110" s="180"/>
      <c r="AM110" s="182" t="e">
        <f t="shared" si="69"/>
        <v>#N/A</v>
      </c>
      <c r="AN110" s="491"/>
      <c r="AO110" s="182"/>
      <c r="AP110" s="166"/>
      <c r="AQ110" s="180"/>
      <c r="AR110" s="182" t="e">
        <f t="shared" si="77"/>
        <v>#N/A</v>
      </c>
      <c r="AS110" s="491"/>
      <c r="AT110" s="182"/>
      <c r="AU110" s="166"/>
      <c r="AV110" s="180"/>
      <c r="AW110" s="182" t="e">
        <f t="shared" si="77"/>
        <v>#N/A</v>
      </c>
      <c r="AX110" s="491"/>
    </row>
    <row r="111" spans="2:50">
      <c r="B111" s="479"/>
      <c r="C111" s="182">
        <v>5</v>
      </c>
      <c r="D111" s="182"/>
      <c r="E111" s="182"/>
      <c r="F111" s="182"/>
      <c r="G111" s="166"/>
      <c r="H111" s="460"/>
      <c r="I111" s="166" t="e">
        <f>AVERAGE(P111,U111,Z111,AE111,AJ111,AO111,AT111)</f>
        <v>#DIV/0!</v>
      </c>
      <c r="J111" s="166" t="e">
        <f>AVERAGE(Q111,V111,AA111,AF111,AK111,AP111,AU111)</f>
        <v>#DIV/0!</v>
      </c>
      <c r="K111" s="180" t="e">
        <f>AVERAGE(R111,W111,AB111,AG111,AL111,AQ111,AV111)</f>
        <v>#DIV/0!</v>
      </c>
      <c r="L111" s="460"/>
      <c r="M111" s="166" t="e">
        <f>RANK(K111, K$107:$K$121)</f>
        <v>#DIV/0!</v>
      </c>
      <c r="N111" s="462"/>
      <c r="O111" s="462"/>
      <c r="P111" s="182"/>
      <c r="Q111" s="166"/>
      <c r="R111" s="180"/>
      <c r="S111" s="182" t="e">
        <f t="shared" si="82"/>
        <v>#N/A</v>
      </c>
      <c r="T111" s="491"/>
      <c r="U111" s="182"/>
      <c r="V111" s="166"/>
      <c r="W111" s="180"/>
      <c r="X111" s="182" t="e">
        <f t="shared" si="69"/>
        <v>#N/A</v>
      </c>
      <c r="Y111" s="491"/>
      <c r="Z111" s="182"/>
      <c r="AA111" s="166"/>
      <c r="AB111" s="180"/>
      <c r="AC111" s="182" t="e">
        <f t="shared" si="69"/>
        <v>#N/A</v>
      </c>
      <c r="AD111" s="491"/>
      <c r="AE111" s="182"/>
      <c r="AF111" s="166"/>
      <c r="AG111" s="180"/>
      <c r="AH111" s="182" t="e">
        <f t="shared" si="69"/>
        <v>#N/A</v>
      </c>
      <c r="AI111" s="491"/>
      <c r="AJ111" s="182"/>
      <c r="AK111" s="166"/>
      <c r="AL111" s="180"/>
      <c r="AM111" s="182" t="e">
        <f t="shared" si="69"/>
        <v>#N/A</v>
      </c>
      <c r="AN111" s="491"/>
      <c r="AO111" s="182"/>
      <c r="AP111" s="166"/>
      <c r="AQ111" s="180"/>
      <c r="AR111" s="182" t="e">
        <f t="shared" si="77"/>
        <v>#N/A</v>
      </c>
      <c r="AS111" s="491"/>
      <c r="AT111" s="182"/>
      <c r="AU111" s="166"/>
      <c r="AV111" s="180"/>
      <c r="AW111" s="182" t="e">
        <f t="shared" si="77"/>
        <v>#N/A</v>
      </c>
      <c r="AX111" s="491"/>
    </row>
    <row r="112" spans="2:50">
      <c r="B112" s="479"/>
      <c r="C112" s="182">
        <v>6</v>
      </c>
      <c r="D112" s="182"/>
      <c r="E112" s="182"/>
      <c r="F112" s="182"/>
      <c r="G112" s="166"/>
      <c r="H112" s="460"/>
      <c r="I112" s="166" t="e">
        <f t="shared" ref="I112:K113" si="83">AVERAGE(P112,U112,Z112,AE112,AJ112,AO112,AT112)</f>
        <v>#DIV/0!</v>
      </c>
      <c r="J112" s="166" t="e">
        <f t="shared" si="83"/>
        <v>#DIV/0!</v>
      </c>
      <c r="K112" s="180" t="e">
        <f t="shared" si="83"/>
        <v>#DIV/0!</v>
      </c>
      <c r="L112" s="460"/>
      <c r="M112" s="166" t="e">
        <f>RANK(K112, K$107:$K$121)</f>
        <v>#DIV/0!</v>
      </c>
      <c r="N112" s="462"/>
      <c r="O112" s="462"/>
      <c r="P112" s="182"/>
      <c r="Q112" s="166"/>
      <c r="R112" s="180"/>
      <c r="S112" s="182" t="e">
        <f t="shared" si="82"/>
        <v>#N/A</v>
      </c>
      <c r="T112" s="491"/>
      <c r="U112" s="182"/>
      <c r="V112" s="166"/>
      <c r="W112" s="180"/>
      <c r="X112" s="182" t="e">
        <f t="shared" si="69"/>
        <v>#N/A</v>
      </c>
      <c r="Y112" s="491"/>
      <c r="Z112" s="182"/>
      <c r="AA112" s="166"/>
      <c r="AB112" s="180"/>
      <c r="AC112" s="182" t="e">
        <f t="shared" si="69"/>
        <v>#N/A</v>
      </c>
      <c r="AD112" s="491"/>
      <c r="AE112" s="182"/>
      <c r="AF112" s="166"/>
      <c r="AG112" s="180"/>
      <c r="AH112" s="182" t="e">
        <f t="shared" si="69"/>
        <v>#N/A</v>
      </c>
      <c r="AI112" s="491"/>
      <c r="AJ112" s="182"/>
      <c r="AK112" s="166"/>
      <c r="AL112" s="180"/>
      <c r="AM112" s="182" t="e">
        <f t="shared" si="69"/>
        <v>#N/A</v>
      </c>
      <c r="AN112" s="491"/>
      <c r="AO112" s="182"/>
      <c r="AP112" s="166"/>
      <c r="AQ112" s="180"/>
      <c r="AR112" s="182" t="e">
        <f t="shared" si="77"/>
        <v>#N/A</v>
      </c>
      <c r="AS112" s="491"/>
      <c r="AT112" s="182"/>
      <c r="AU112" s="166"/>
      <c r="AV112" s="180"/>
      <c r="AW112" s="182" t="e">
        <f t="shared" si="77"/>
        <v>#N/A</v>
      </c>
      <c r="AX112" s="491"/>
    </row>
    <row r="113" spans="2:50">
      <c r="B113" s="479"/>
      <c r="C113" s="182">
        <v>7</v>
      </c>
      <c r="D113" s="182"/>
      <c r="E113" s="182"/>
      <c r="F113" s="182"/>
      <c r="G113" s="166"/>
      <c r="H113" s="460"/>
      <c r="I113" s="166" t="e">
        <f t="shared" si="83"/>
        <v>#DIV/0!</v>
      </c>
      <c r="J113" s="166" t="e">
        <f t="shared" si="83"/>
        <v>#DIV/0!</v>
      </c>
      <c r="K113" s="180" t="e">
        <f t="shared" si="83"/>
        <v>#DIV/0!</v>
      </c>
      <c r="L113" s="460"/>
      <c r="M113" s="166" t="e">
        <f>RANK(K113, K$107:$K$121)</f>
        <v>#DIV/0!</v>
      </c>
      <c r="N113" s="462"/>
      <c r="O113" s="462"/>
      <c r="P113" s="182"/>
      <c r="Q113" s="166"/>
      <c r="R113" s="180"/>
      <c r="S113" s="182" t="e">
        <f t="shared" si="82"/>
        <v>#N/A</v>
      </c>
      <c r="T113" s="491"/>
      <c r="U113" s="182"/>
      <c r="V113" s="166"/>
      <c r="W113" s="180"/>
      <c r="X113" s="182" t="e">
        <f t="shared" si="69"/>
        <v>#N/A</v>
      </c>
      <c r="Y113" s="491"/>
      <c r="Z113" s="182"/>
      <c r="AA113" s="166"/>
      <c r="AB113" s="180"/>
      <c r="AC113" s="182" t="e">
        <f t="shared" si="69"/>
        <v>#N/A</v>
      </c>
      <c r="AD113" s="491"/>
      <c r="AE113" s="182"/>
      <c r="AF113" s="166"/>
      <c r="AG113" s="180"/>
      <c r="AH113" s="182" t="e">
        <f t="shared" si="69"/>
        <v>#N/A</v>
      </c>
      <c r="AI113" s="491"/>
      <c r="AJ113" s="182"/>
      <c r="AK113" s="166"/>
      <c r="AL113" s="180"/>
      <c r="AM113" s="182" t="e">
        <f t="shared" si="69"/>
        <v>#N/A</v>
      </c>
      <c r="AN113" s="491"/>
      <c r="AO113" s="182"/>
      <c r="AP113" s="166"/>
      <c r="AQ113" s="180"/>
      <c r="AR113" s="182" t="e">
        <f t="shared" si="77"/>
        <v>#N/A</v>
      </c>
      <c r="AS113" s="491"/>
      <c r="AT113" s="182"/>
      <c r="AU113" s="166"/>
      <c r="AV113" s="180"/>
      <c r="AW113" s="182" t="e">
        <f t="shared" si="77"/>
        <v>#N/A</v>
      </c>
      <c r="AX113" s="491"/>
    </row>
    <row r="114" spans="2:50">
      <c r="B114" s="479"/>
      <c r="C114" s="182">
        <v>8</v>
      </c>
      <c r="D114" s="182"/>
      <c r="E114" s="182"/>
      <c r="F114" s="182"/>
      <c r="G114" s="166"/>
      <c r="H114" s="460"/>
      <c r="I114" s="166"/>
      <c r="J114" s="166"/>
      <c r="K114" s="180"/>
      <c r="L114" s="460"/>
      <c r="M114" s="166" t="e">
        <f>RANK(K114, K$107:$K$121)</f>
        <v>#DIV/0!</v>
      </c>
      <c r="N114" s="462"/>
      <c r="O114" s="462"/>
      <c r="P114" s="182"/>
      <c r="Q114" s="166"/>
      <c r="R114" s="180"/>
      <c r="S114" s="182" t="e">
        <f t="shared" si="82"/>
        <v>#N/A</v>
      </c>
      <c r="T114" s="491"/>
      <c r="U114" s="182"/>
      <c r="V114" s="166"/>
      <c r="W114" s="180"/>
      <c r="X114" s="182" t="e">
        <f t="shared" si="69"/>
        <v>#N/A</v>
      </c>
      <c r="Y114" s="491"/>
      <c r="Z114" s="182"/>
      <c r="AA114" s="166"/>
      <c r="AB114" s="180"/>
      <c r="AC114" s="182" t="e">
        <f t="shared" si="69"/>
        <v>#N/A</v>
      </c>
      <c r="AD114" s="491"/>
      <c r="AE114" s="182"/>
      <c r="AF114" s="166"/>
      <c r="AG114" s="180"/>
      <c r="AH114" s="182" t="e">
        <f t="shared" si="69"/>
        <v>#N/A</v>
      </c>
      <c r="AI114" s="491"/>
      <c r="AJ114" s="182"/>
      <c r="AK114" s="166"/>
      <c r="AL114" s="180"/>
      <c r="AM114" s="182" t="e">
        <f t="shared" si="69"/>
        <v>#N/A</v>
      </c>
      <c r="AN114" s="491"/>
      <c r="AO114" s="182"/>
      <c r="AP114" s="166"/>
      <c r="AQ114" s="180"/>
      <c r="AR114" s="182" t="e">
        <f t="shared" si="77"/>
        <v>#N/A</v>
      </c>
      <c r="AS114" s="491"/>
      <c r="AT114" s="182"/>
      <c r="AU114" s="166"/>
      <c r="AV114" s="180"/>
      <c r="AW114" s="182" t="e">
        <f t="shared" si="77"/>
        <v>#N/A</v>
      </c>
      <c r="AX114" s="491"/>
    </row>
    <row r="115" spans="2:50">
      <c r="B115" s="479"/>
      <c r="C115" s="182">
        <v>9</v>
      </c>
      <c r="D115" s="182"/>
      <c r="E115" s="182"/>
      <c r="F115" s="182"/>
      <c r="G115" s="166"/>
      <c r="H115" s="460"/>
      <c r="I115" s="166"/>
      <c r="J115" s="166"/>
      <c r="K115" s="180"/>
      <c r="L115" s="460"/>
      <c r="M115" s="166" t="e">
        <f>RANK(K115, K$107:$K$121)</f>
        <v>#DIV/0!</v>
      </c>
      <c r="N115" s="462"/>
      <c r="O115" s="462"/>
      <c r="P115" s="182"/>
      <c r="Q115" s="166"/>
      <c r="R115" s="180"/>
      <c r="S115" s="182" t="e">
        <f t="shared" si="82"/>
        <v>#N/A</v>
      </c>
      <c r="T115" s="491"/>
      <c r="U115" s="182"/>
      <c r="V115" s="166"/>
      <c r="W115" s="180"/>
      <c r="X115" s="182" t="e">
        <f t="shared" si="69"/>
        <v>#N/A</v>
      </c>
      <c r="Y115" s="491"/>
      <c r="Z115" s="182"/>
      <c r="AA115" s="166"/>
      <c r="AB115" s="180"/>
      <c r="AC115" s="182" t="e">
        <f t="shared" si="69"/>
        <v>#N/A</v>
      </c>
      <c r="AD115" s="491"/>
      <c r="AE115" s="182"/>
      <c r="AF115" s="166"/>
      <c r="AG115" s="180"/>
      <c r="AH115" s="182" t="e">
        <f t="shared" si="69"/>
        <v>#N/A</v>
      </c>
      <c r="AI115" s="491"/>
      <c r="AJ115" s="182"/>
      <c r="AK115" s="166"/>
      <c r="AL115" s="180"/>
      <c r="AM115" s="182" t="e">
        <f t="shared" si="69"/>
        <v>#N/A</v>
      </c>
      <c r="AN115" s="491"/>
      <c r="AO115" s="182"/>
      <c r="AP115" s="166"/>
      <c r="AQ115" s="180"/>
      <c r="AR115" s="182" t="e">
        <f t="shared" si="77"/>
        <v>#N/A</v>
      </c>
      <c r="AS115" s="491"/>
      <c r="AT115" s="182"/>
      <c r="AU115" s="166"/>
      <c r="AV115" s="180"/>
      <c r="AW115" s="182" t="e">
        <f t="shared" si="77"/>
        <v>#N/A</v>
      </c>
      <c r="AX115" s="491"/>
    </row>
    <row r="116" spans="2:50">
      <c r="B116" s="479"/>
      <c r="C116" s="182">
        <v>10</v>
      </c>
      <c r="D116" s="182"/>
      <c r="E116" s="182"/>
      <c r="F116" s="182"/>
      <c r="G116" s="166"/>
      <c r="H116" s="460"/>
      <c r="I116" s="166"/>
      <c r="J116" s="166"/>
      <c r="K116" s="180"/>
      <c r="L116" s="460"/>
      <c r="M116" s="166" t="e">
        <f>RANK(K116, K$107:$K$121)</f>
        <v>#DIV/0!</v>
      </c>
      <c r="N116" s="462"/>
      <c r="O116" s="462"/>
      <c r="P116" s="182"/>
      <c r="Q116" s="166"/>
      <c r="R116" s="180"/>
      <c r="S116" s="182" t="e">
        <f t="shared" si="82"/>
        <v>#N/A</v>
      </c>
      <c r="T116" s="491"/>
      <c r="U116" s="182"/>
      <c r="V116" s="166"/>
      <c r="W116" s="180"/>
      <c r="X116" s="182" t="e">
        <f t="shared" si="69"/>
        <v>#N/A</v>
      </c>
      <c r="Y116" s="491"/>
      <c r="Z116" s="182"/>
      <c r="AA116" s="166"/>
      <c r="AB116" s="180"/>
      <c r="AC116" s="182" t="e">
        <f t="shared" si="69"/>
        <v>#N/A</v>
      </c>
      <c r="AD116" s="491"/>
      <c r="AE116" s="182"/>
      <c r="AF116" s="166"/>
      <c r="AG116" s="180"/>
      <c r="AH116" s="182" t="e">
        <f t="shared" si="69"/>
        <v>#N/A</v>
      </c>
      <c r="AI116" s="491"/>
      <c r="AJ116" s="182"/>
      <c r="AK116" s="166"/>
      <c r="AL116" s="180"/>
      <c r="AM116" s="182" t="e">
        <f t="shared" si="69"/>
        <v>#N/A</v>
      </c>
      <c r="AN116" s="491"/>
      <c r="AO116" s="182"/>
      <c r="AP116" s="166"/>
      <c r="AQ116" s="180"/>
      <c r="AR116" s="182" t="e">
        <f t="shared" si="77"/>
        <v>#N/A</v>
      </c>
      <c r="AS116" s="491"/>
      <c r="AT116" s="182"/>
      <c r="AU116" s="166"/>
      <c r="AV116" s="180"/>
      <c r="AW116" s="182" t="e">
        <f t="shared" si="77"/>
        <v>#N/A</v>
      </c>
      <c r="AX116" s="491"/>
    </row>
    <row r="117" spans="2:50">
      <c r="B117" s="479"/>
      <c r="C117" s="182">
        <v>11</v>
      </c>
      <c r="D117" s="182"/>
      <c r="E117" s="182"/>
      <c r="F117" s="182"/>
      <c r="G117" s="166"/>
      <c r="H117" s="460"/>
      <c r="I117" s="182"/>
      <c r="J117" s="182"/>
      <c r="K117" s="182"/>
      <c r="L117" s="460"/>
      <c r="M117" s="166" t="e">
        <f>RANK(K117, K$107:$K$121)</f>
        <v>#DIV/0!</v>
      </c>
      <c r="N117" s="462"/>
      <c r="O117" s="462"/>
      <c r="P117" s="182"/>
      <c r="Q117" s="182"/>
      <c r="R117" s="182"/>
      <c r="S117" s="182" t="e">
        <f t="shared" si="82"/>
        <v>#N/A</v>
      </c>
      <c r="T117" s="491"/>
      <c r="U117" s="182"/>
      <c r="V117" s="182"/>
      <c r="W117" s="182"/>
      <c r="X117" s="182" t="e">
        <f t="shared" si="69"/>
        <v>#N/A</v>
      </c>
      <c r="Y117" s="491"/>
      <c r="Z117" s="182"/>
      <c r="AA117" s="182"/>
      <c r="AB117" s="182"/>
      <c r="AC117" s="182" t="e">
        <f t="shared" si="69"/>
        <v>#N/A</v>
      </c>
      <c r="AD117" s="491"/>
      <c r="AE117" s="182"/>
      <c r="AF117" s="182"/>
      <c r="AG117" s="182"/>
      <c r="AH117" s="182" t="e">
        <f t="shared" si="69"/>
        <v>#N/A</v>
      </c>
      <c r="AI117" s="491"/>
      <c r="AJ117" s="182"/>
      <c r="AK117" s="182"/>
      <c r="AL117" s="182"/>
      <c r="AM117" s="182" t="e">
        <f t="shared" si="69"/>
        <v>#N/A</v>
      </c>
      <c r="AN117" s="491"/>
      <c r="AO117" s="182"/>
      <c r="AP117" s="182"/>
      <c r="AQ117" s="182"/>
      <c r="AR117" s="182" t="e">
        <f t="shared" si="77"/>
        <v>#N/A</v>
      </c>
      <c r="AS117" s="491"/>
      <c r="AT117" s="182"/>
      <c r="AU117" s="182"/>
      <c r="AV117" s="182"/>
      <c r="AW117" s="182" t="e">
        <f t="shared" si="77"/>
        <v>#N/A</v>
      </c>
      <c r="AX117" s="491"/>
    </row>
    <row r="118" spans="2:50">
      <c r="B118" s="479"/>
      <c r="C118" s="182">
        <v>12</v>
      </c>
      <c r="D118" s="182"/>
      <c r="E118" s="182"/>
      <c r="F118" s="182"/>
      <c r="G118" s="166"/>
      <c r="H118" s="460"/>
      <c r="I118" s="182"/>
      <c r="J118" s="182"/>
      <c r="K118" s="182"/>
      <c r="L118" s="460"/>
      <c r="M118" s="166" t="e">
        <f>RANK(K118, K$107:$K$121)</f>
        <v>#DIV/0!</v>
      </c>
      <c r="N118" s="462"/>
      <c r="O118" s="462"/>
      <c r="P118" s="182"/>
      <c r="Q118" s="182"/>
      <c r="R118" s="182"/>
      <c r="S118" s="182" t="e">
        <f t="shared" si="82"/>
        <v>#N/A</v>
      </c>
      <c r="T118" s="491"/>
      <c r="U118" s="182"/>
      <c r="V118" s="182"/>
      <c r="W118" s="182"/>
      <c r="X118" s="182" t="e">
        <f t="shared" si="69"/>
        <v>#N/A</v>
      </c>
      <c r="Y118" s="491"/>
      <c r="Z118" s="182"/>
      <c r="AA118" s="182"/>
      <c r="AB118" s="182"/>
      <c r="AC118" s="182" t="e">
        <f t="shared" si="69"/>
        <v>#N/A</v>
      </c>
      <c r="AD118" s="491"/>
      <c r="AE118" s="182"/>
      <c r="AF118" s="182"/>
      <c r="AG118" s="182"/>
      <c r="AH118" s="182" t="e">
        <f t="shared" si="69"/>
        <v>#N/A</v>
      </c>
      <c r="AI118" s="491"/>
      <c r="AJ118" s="182"/>
      <c r="AK118" s="182"/>
      <c r="AL118" s="182"/>
      <c r="AM118" s="182" t="e">
        <f t="shared" si="69"/>
        <v>#N/A</v>
      </c>
      <c r="AN118" s="491"/>
      <c r="AO118" s="182"/>
      <c r="AP118" s="182"/>
      <c r="AQ118" s="182"/>
      <c r="AR118" s="182" t="e">
        <f t="shared" si="77"/>
        <v>#N/A</v>
      </c>
      <c r="AS118" s="491"/>
      <c r="AT118" s="182"/>
      <c r="AU118" s="182"/>
      <c r="AV118" s="182"/>
      <c r="AW118" s="182" t="e">
        <f t="shared" si="77"/>
        <v>#N/A</v>
      </c>
      <c r="AX118" s="491"/>
    </row>
    <row r="119" spans="2:50">
      <c r="B119" s="479"/>
      <c r="C119" s="182">
        <v>13</v>
      </c>
      <c r="D119" s="182"/>
      <c r="E119" s="182"/>
      <c r="F119" s="182"/>
      <c r="G119" s="166"/>
      <c r="H119" s="460"/>
      <c r="I119" s="182"/>
      <c r="J119" s="182"/>
      <c r="K119" s="182"/>
      <c r="L119" s="460"/>
      <c r="M119" s="166" t="e">
        <f>RANK(K119, K$107:$K$121)</f>
        <v>#DIV/0!</v>
      </c>
      <c r="N119" s="462"/>
      <c r="O119" s="462"/>
      <c r="P119" s="182"/>
      <c r="Q119" s="182"/>
      <c r="R119" s="182"/>
      <c r="S119" s="182" t="e">
        <f t="shared" si="82"/>
        <v>#N/A</v>
      </c>
      <c r="T119" s="491"/>
      <c r="U119" s="182"/>
      <c r="V119" s="182"/>
      <c r="W119" s="182"/>
      <c r="X119" s="182" t="e">
        <f t="shared" si="69"/>
        <v>#N/A</v>
      </c>
      <c r="Y119" s="491"/>
      <c r="Z119" s="182"/>
      <c r="AA119" s="182"/>
      <c r="AB119" s="182"/>
      <c r="AC119" s="182" t="e">
        <f t="shared" si="69"/>
        <v>#N/A</v>
      </c>
      <c r="AD119" s="491"/>
      <c r="AE119" s="182"/>
      <c r="AF119" s="182"/>
      <c r="AG119" s="182"/>
      <c r="AH119" s="182" t="e">
        <f t="shared" si="69"/>
        <v>#N/A</v>
      </c>
      <c r="AI119" s="491"/>
      <c r="AJ119" s="182"/>
      <c r="AK119" s="182"/>
      <c r="AL119" s="182"/>
      <c r="AM119" s="182" t="e">
        <f t="shared" si="69"/>
        <v>#N/A</v>
      </c>
      <c r="AN119" s="491"/>
      <c r="AO119" s="182"/>
      <c r="AP119" s="182"/>
      <c r="AQ119" s="182"/>
      <c r="AR119" s="182" t="e">
        <f t="shared" si="77"/>
        <v>#N/A</v>
      </c>
      <c r="AS119" s="491"/>
      <c r="AT119" s="182"/>
      <c r="AU119" s="182"/>
      <c r="AV119" s="182"/>
      <c r="AW119" s="182" t="e">
        <f t="shared" si="77"/>
        <v>#N/A</v>
      </c>
      <c r="AX119" s="491"/>
    </row>
    <row r="120" spans="2:50">
      <c r="B120" s="479"/>
      <c r="C120" s="182">
        <v>14</v>
      </c>
      <c r="D120" s="182"/>
      <c r="E120" s="182"/>
      <c r="F120" s="182"/>
      <c r="G120" s="166"/>
      <c r="H120" s="460"/>
      <c r="I120" s="182"/>
      <c r="J120" s="182"/>
      <c r="K120" s="182"/>
      <c r="L120" s="460"/>
      <c r="M120" s="166" t="e">
        <f>RANK(K120, K$107:$K$121)</f>
        <v>#DIV/0!</v>
      </c>
      <c r="N120" s="462"/>
      <c r="O120" s="462"/>
      <c r="P120" s="182"/>
      <c r="Q120" s="182"/>
      <c r="R120" s="182"/>
      <c r="S120" s="182" t="e">
        <f t="shared" si="82"/>
        <v>#N/A</v>
      </c>
      <c r="T120" s="491"/>
      <c r="U120" s="182"/>
      <c r="V120" s="182"/>
      <c r="W120" s="182"/>
      <c r="X120" s="182" t="e">
        <f t="shared" si="69"/>
        <v>#N/A</v>
      </c>
      <c r="Y120" s="491"/>
      <c r="Z120" s="182"/>
      <c r="AA120" s="182"/>
      <c r="AB120" s="182"/>
      <c r="AC120" s="182" t="e">
        <f t="shared" si="69"/>
        <v>#N/A</v>
      </c>
      <c r="AD120" s="491"/>
      <c r="AE120" s="182"/>
      <c r="AF120" s="182"/>
      <c r="AG120" s="182"/>
      <c r="AH120" s="182" t="e">
        <f t="shared" si="69"/>
        <v>#N/A</v>
      </c>
      <c r="AI120" s="491"/>
      <c r="AJ120" s="182"/>
      <c r="AK120" s="182"/>
      <c r="AL120" s="182"/>
      <c r="AM120" s="182" t="e">
        <f t="shared" si="69"/>
        <v>#N/A</v>
      </c>
      <c r="AN120" s="491"/>
      <c r="AO120" s="182"/>
      <c r="AP120" s="182"/>
      <c r="AQ120" s="182"/>
      <c r="AR120" s="182" t="e">
        <f t="shared" si="77"/>
        <v>#N/A</v>
      </c>
      <c r="AS120" s="491"/>
      <c r="AT120" s="182"/>
      <c r="AU120" s="182"/>
      <c r="AV120" s="182"/>
      <c r="AW120" s="182" t="e">
        <f t="shared" si="77"/>
        <v>#N/A</v>
      </c>
      <c r="AX120" s="491"/>
    </row>
    <row r="121" spans="2:50">
      <c r="B121" s="479"/>
      <c r="C121" s="182">
        <v>15</v>
      </c>
      <c r="D121" s="182"/>
      <c r="E121" s="182"/>
      <c r="F121" s="182"/>
      <c r="G121" s="182"/>
      <c r="H121" s="461"/>
      <c r="I121" s="182"/>
      <c r="J121" s="182"/>
      <c r="K121" s="182"/>
      <c r="L121" s="461"/>
      <c r="M121" s="166" t="e">
        <f>RANK(K121, K$107:$K$121)</f>
        <v>#DIV/0!</v>
      </c>
      <c r="N121" s="462"/>
      <c r="O121" s="462"/>
      <c r="P121" s="182"/>
      <c r="Q121" s="166"/>
      <c r="R121" s="166"/>
      <c r="S121" s="182" t="e">
        <f t="shared" si="82"/>
        <v>#N/A</v>
      </c>
      <c r="T121" s="491"/>
      <c r="U121" s="182"/>
      <c r="V121" s="166"/>
      <c r="W121" s="166"/>
      <c r="X121" s="182" t="e">
        <f t="shared" si="69"/>
        <v>#N/A</v>
      </c>
      <c r="Y121" s="491"/>
      <c r="Z121" s="182"/>
      <c r="AA121" s="166"/>
      <c r="AB121" s="166"/>
      <c r="AC121" s="182" t="e">
        <f t="shared" si="69"/>
        <v>#N/A</v>
      </c>
      <c r="AD121" s="491"/>
      <c r="AE121" s="182"/>
      <c r="AF121" s="166"/>
      <c r="AG121" s="166"/>
      <c r="AH121" s="182" t="e">
        <f t="shared" si="69"/>
        <v>#N/A</v>
      </c>
      <c r="AI121" s="491"/>
      <c r="AJ121" s="182"/>
      <c r="AK121" s="166"/>
      <c r="AL121" s="166"/>
      <c r="AM121" s="182" t="e">
        <f t="shared" si="69"/>
        <v>#N/A</v>
      </c>
      <c r="AN121" s="491"/>
      <c r="AO121" s="182"/>
      <c r="AP121" s="166"/>
      <c r="AQ121" s="166"/>
      <c r="AR121" s="182" t="e">
        <f t="shared" si="77"/>
        <v>#N/A</v>
      </c>
      <c r="AS121" s="491"/>
      <c r="AT121" s="182"/>
      <c r="AU121" s="166"/>
      <c r="AV121" s="166"/>
      <c r="AW121" s="182" t="e">
        <f t="shared" si="77"/>
        <v>#N/A</v>
      </c>
      <c r="AX121" s="491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507" t="s">
        <v>253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K134" si="84">AVERAGEIF($D$7:$D$121,$D128,I$7:I$121)</f>
        <v>#DIV/0!</v>
      </c>
      <c r="J128" s="166" t="e">
        <f t="shared" si="84"/>
        <v>#DIV/0!</v>
      </c>
      <c r="K128" s="166" t="e">
        <f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84"/>
        <v>#DIV/0!</v>
      </c>
      <c r="J129" s="166" t="e">
        <f t="shared" si="84"/>
        <v>#DIV/0!</v>
      </c>
      <c r="K129" s="166" t="e">
        <f t="shared" si="84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84"/>
        <v>#DIV/0!</v>
      </c>
      <c r="J130" s="166" t="e">
        <f t="shared" si="84"/>
        <v>#DIV/0!</v>
      </c>
      <c r="K130" s="166" t="e">
        <f t="shared" si="84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84"/>
        <v>#DIV/0!</v>
      </c>
      <c r="J131" s="166" t="e">
        <f t="shared" si="84"/>
        <v>#DIV/0!</v>
      </c>
      <c r="K131" s="166" t="e">
        <f t="shared" si="84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84"/>
        <v>#DIV/0!</v>
      </c>
      <c r="J132" s="166" t="e">
        <f t="shared" si="84"/>
        <v>#DIV/0!</v>
      </c>
      <c r="K132" s="166" t="e">
        <f t="shared" si="84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84"/>
        <v>#DIV/0!</v>
      </c>
      <c r="J133" s="166" t="e">
        <f t="shared" si="84"/>
        <v>#DIV/0!</v>
      </c>
      <c r="K133" s="166" t="e">
        <f t="shared" si="84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84"/>
        <v>#DIV/0!</v>
      </c>
      <c r="J134" s="166" t="e">
        <f t="shared" si="84"/>
        <v>#DIV/0!</v>
      </c>
      <c r="K134" s="166" t="e">
        <f t="shared" si="84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6" zoomScale="55" zoomScaleNormal="55" workbookViewId="0">
      <pane xSplit="15" topLeftCell="Z1" activePane="topRight" state="frozen"/>
      <selection activeCell="J18" sqref="J18"/>
      <selection pane="topRight" activeCell="L107" sqref="L107:L12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255.61005308528962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507" t="s">
        <v>262</v>
      </c>
      <c r="C7" s="182">
        <v>1</v>
      </c>
      <c r="D7" s="203" t="s">
        <v>263</v>
      </c>
      <c r="E7" s="166">
        <v>4</v>
      </c>
      <c r="F7" s="166">
        <v>2000</v>
      </c>
      <c r="G7" s="166">
        <v>500</v>
      </c>
      <c r="H7" s="459">
        <f>AVERAGE(G7:G21)</f>
        <v>272.17979797979797</v>
      </c>
      <c r="I7" s="166">
        <f>AVERAGE(P7,U7,Z7,AE7,AJ7,AO7,AT7)</f>
        <v>5</v>
      </c>
      <c r="J7" s="166">
        <f>AVERAGE(Q7,V7,AA7,AF7,AK7,AP7,AU7)</f>
        <v>2153.0265339323014</v>
      </c>
      <c r="K7" s="180">
        <f>AVERAGE(R7,W7,AB7,AG7,AL7,AQ7,AV7)</f>
        <v>430.60530678646029</v>
      </c>
      <c r="L7" s="459">
        <f>AVERAGE(K7:K21)</f>
        <v>244.51428400728017</v>
      </c>
      <c r="M7" s="166">
        <f>RANK(K7, K$7:$K$21)</f>
        <v>2</v>
      </c>
      <c r="N7" s="462"/>
      <c r="O7" s="462"/>
      <c r="P7" s="182">
        <v>5</v>
      </c>
      <c r="Q7" s="166">
        <v>2195.8333333333326</v>
      </c>
      <c r="R7" s="166">
        <v>439.16666666666652</v>
      </c>
      <c r="S7" s="182">
        <f>RANK(R7, R$7:R$21)</f>
        <v>1</v>
      </c>
      <c r="T7" s="491">
        <f>AVERAGE(R7:R21)</f>
        <v>248.79683856605413</v>
      </c>
      <c r="U7" s="182">
        <v>5</v>
      </c>
      <c r="V7" s="166">
        <v>2100.0000000000005</v>
      </c>
      <c r="W7" s="166">
        <v>420.00000000000011</v>
      </c>
      <c r="X7" s="182">
        <f>RANK(W7, W$7:W$21)</f>
        <v>2</v>
      </c>
      <c r="Y7" s="491">
        <f t="shared" ref="Y7" si="0">AVERAGE(W7:W21)</f>
        <v>241.44846106602128</v>
      </c>
      <c r="Z7" s="182">
        <v>5</v>
      </c>
      <c r="AA7" s="166">
        <v>2138.6301369863013</v>
      </c>
      <c r="AB7" s="166">
        <v>427.72602739726028</v>
      </c>
      <c r="AC7" s="182">
        <f>RANK(AB7, AB$7:AB$21)</f>
        <v>1</v>
      </c>
      <c r="AD7" s="491">
        <f t="shared" ref="AD7" si="1">AVERAGE(AB7:AB21)</f>
        <v>247.31782427365658</v>
      </c>
      <c r="AE7" s="182">
        <v>5</v>
      </c>
      <c r="AF7" s="166">
        <v>2173.1999999999989</v>
      </c>
      <c r="AG7" s="166">
        <v>434.63999999999976</v>
      </c>
      <c r="AH7" s="182">
        <f>RANK(AG7, AG$7:AG$21)</f>
        <v>2</v>
      </c>
      <c r="AI7" s="491">
        <f t="shared" ref="AI7" si="2">AVERAGE(AG7:AG21)</f>
        <v>240.55513969473998</v>
      </c>
      <c r="AJ7" s="182">
        <v>5</v>
      </c>
      <c r="AK7" s="166">
        <v>2160.0000000000005</v>
      </c>
      <c r="AL7" s="166">
        <v>432.00000000000011</v>
      </c>
      <c r="AM7" s="182">
        <f>RANK(AL7, AL$7:AL$21)</f>
        <v>1</v>
      </c>
      <c r="AN7" s="491">
        <f t="shared" ref="AN7" si="3">AVERAGE(AL7:AL21)</f>
        <v>242.07671828975847</v>
      </c>
      <c r="AO7" s="182">
        <v>5</v>
      </c>
      <c r="AP7" s="166">
        <v>2186.1538461538462</v>
      </c>
      <c r="AQ7" s="166">
        <v>437.23076923076923</v>
      </c>
      <c r="AR7" s="182">
        <f>RANK(AQ7, AQ$7:AQ$21)</f>
        <v>2</v>
      </c>
      <c r="AS7" s="491">
        <f t="shared" ref="AS7" si="4">AVERAGE(AQ7:AQ21)</f>
        <v>244.44000598435252</v>
      </c>
      <c r="AT7" s="182">
        <v>5</v>
      </c>
      <c r="AU7" s="166">
        <v>2117.3684210526312</v>
      </c>
      <c r="AV7" s="166">
        <v>423.47368421052624</v>
      </c>
      <c r="AW7" s="182">
        <f>RANK(AV7, AV$7:AV$21)</f>
        <v>2</v>
      </c>
      <c r="AX7" s="491">
        <f t="shared" ref="AX7" si="5">AVERAGE(AV7:AV21)</f>
        <v>246.965000176378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264</v>
      </c>
      <c r="E8" s="166">
        <v>4</v>
      </c>
      <c r="F8" s="166">
        <v>2000</v>
      </c>
      <c r="G8" s="166">
        <v>500</v>
      </c>
      <c r="H8" s="460"/>
      <c r="I8" s="166">
        <f t="shared" ref="I8:I17" si="6">AVERAGE(P8,U8,Z8,AE8,AJ8,AO8,AT8)</f>
        <v>5</v>
      </c>
      <c r="J8" s="166">
        <f t="shared" ref="J8:J17" si="7">AVERAGE(Q8,V8,AA8,AF8,AK8,AP8,AU8)</f>
        <v>2158.6690950303569</v>
      </c>
      <c r="K8" s="180">
        <f t="shared" ref="K8:K17" si="8">AVERAGE(R8,W8,AB8,AG8,AL8,AQ8,AV8)</f>
        <v>431.73381900607137</v>
      </c>
      <c r="L8" s="460"/>
      <c r="M8" s="166">
        <f>RANK(K8, K$7:$K$21)</f>
        <v>1</v>
      </c>
      <c r="N8" s="462"/>
      <c r="O8" s="462"/>
      <c r="P8" s="182">
        <v>5</v>
      </c>
      <c r="Q8" s="166">
        <v>2114.5454545454545</v>
      </c>
      <c r="R8" s="166">
        <v>422.90909090909088</v>
      </c>
      <c r="S8" s="182">
        <f t="shared" ref="S8:S21" si="9">RANK(R8, R$7:R$21)</f>
        <v>3</v>
      </c>
      <c r="T8" s="491"/>
      <c r="U8" s="182">
        <v>5</v>
      </c>
      <c r="V8" s="166">
        <v>2140.0000000000009</v>
      </c>
      <c r="W8" s="166">
        <v>428.00000000000017</v>
      </c>
      <c r="X8" s="182">
        <f t="shared" ref="X8:X21" si="10">RANK(W8, W$7:W$21)</f>
        <v>1</v>
      </c>
      <c r="Y8" s="491"/>
      <c r="Z8" s="182">
        <v>5</v>
      </c>
      <c r="AA8" s="166">
        <v>2126.363636363636</v>
      </c>
      <c r="AB8" s="166">
        <v>425.2727272727272</v>
      </c>
      <c r="AC8" s="182">
        <f t="shared" ref="AC8:AC21" si="11">RANK(AB8, AB$7:AB$21)</f>
        <v>2</v>
      </c>
      <c r="AD8" s="491"/>
      <c r="AE8" s="182">
        <v>5</v>
      </c>
      <c r="AF8" s="166">
        <v>2187.5000000000005</v>
      </c>
      <c r="AG8" s="166">
        <v>437.50000000000011</v>
      </c>
      <c r="AH8" s="182">
        <f t="shared" ref="AH8:AH21" si="12">RANK(AG8, AG$7:AG$21)</f>
        <v>1</v>
      </c>
      <c r="AI8" s="491"/>
      <c r="AJ8" s="182">
        <v>5</v>
      </c>
      <c r="AK8" s="166">
        <v>2138.9473684210511</v>
      </c>
      <c r="AL8" s="166">
        <v>427.78947368421024</v>
      </c>
      <c r="AM8" s="182">
        <f t="shared" ref="AM8:AM21" si="13">RANK(AL8, AL$7:AL$21)</f>
        <v>2</v>
      </c>
      <c r="AN8" s="491"/>
      <c r="AO8" s="182">
        <v>5</v>
      </c>
      <c r="AP8" s="166">
        <v>2191.7647058823532</v>
      </c>
      <c r="AQ8" s="166">
        <v>438.35294117647061</v>
      </c>
      <c r="AR8" s="182">
        <f t="shared" ref="AR8:AR21" si="14">RANK(AQ8, AQ$7:AQ$21)</f>
        <v>1</v>
      </c>
      <c r="AS8" s="491"/>
      <c r="AT8" s="182">
        <v>5</v>
      </c>
      <c r="AU8" s="166">
        <v>2211.5624999999995</v>
      </c>
      <c r="AV8" s="166">
        <v>442.31249999999989</v>
      </c>
      <c r="AW8" s="182">
        <f t="shared" ref="AW8:AW21" si="15">RANK(AV8, AV$7:AV$21)</f>
        <v>1</v>
      </c>
      <c r="AX8" s="491"/>
      <c r="AZ8" s="181" t="e">
        <f>RANK(AX8, $K$7:AX$21)</f>
        <v>#N/A</v>
      </c>
      <c r="BB8" s="182" t="e">
        <f t="shared" ref="BB8:BB21" si="16">RANK(BA8, BA$7:BA$21)</f>
        <v>#N/A</v>
      </c>
    </row>
    <row r="9" spans="1:54">
      <c r="A9" s="79"/>
      <c r="B9" s="479"/>
      <c r="C9" s="182">
        <v>3</v>
      </c>
      <c r="D9" s="203" t="s">
        <v>265</v>
      </c>
      <c r="E9" s="166">
        <v>14</v>
      </c>
      <c r="F9" s="166">
        <v>2118</v>
      </c>
      <c r="G9" s="166">
        <v>151.30000000000001</v>
      </c>
      <c r="H9" s="460"/>
      <c r="I9" s="166">
        <f t="shared" si="6"/>
        <v>14</v>
      </c>
      <c r="J9" s="166">
        <f t="shared" si="7"/>
        <v>1991.0031801063437</v>
      </c>
      <c r="K9" s="180">
        <f t="shared" si="8"/>
        <v>142.21451286473885</v>
      </c>
      <c r="L9" s="460"/>
      <c r="M9" s="166">
        <f>RANK(K9, K$7:$K$21)</f>
        <v>10</v>
      </c>
      <c r="N9" s="462"/>
      <c r="O9" s="462"/>
      <c r="P9" s="182">
        <v>14</v>
      </c>
      <c r="Q9" s="166">
        <v>1976.0655737704924</v>
      </c>
      <c r="R9" s="166">
        <v>141.1475409836066</v>
      </c>
      <c r="S9" s="182">
        <f t="shared" si="9"/>
        <v>10</v>
      </c>
      <c r="T9" s="491"/>
      <c r="U9" s="182">
        <v>14</v>
      </c>
      <c r="V9" s="166">
        <v>1950.6382978723409</v>
      </c>
      <c r="W9" s="166">
        <v>139.3313069908815</v>
      </c>
      <c r="X9" s="182">
        <f t="shared" si="10"/>
        <v>10</v>
      </c>
      <c r="Y9" s="491"/>
      <c r="Z9" s="182">
        <v>14</v>
      </c>
      <c r="AA9" s="166">
        <v>2013.5593220338988</v>
      </c>
      <c r="AB9" s="166">
        <v>143.8256658595642</v>
      </c>
      <c r="AC9" s="182">
        <f t="shared" si="11"/>
        <v>10</v>
      </c>
      <c r="AD9" s="491"/>
      <c r="AE9" s="182">
        <v>14</v>
      </c>
      <c r="AF9" s="166">
        <v>1974.8936170212771</v>
      </c>
      <c r="AG9" s="166">
        <v>141.06382978723408</v>
      </c>
      <c r="AH9" s="182">
        <f t="shared" si="12"/>
        <v>10</v>
      </c>
      <c r="AI9" s="491"/>
      <c r="AJ9" s="182">
        <v>14</v>
      </c>
      <c r="AK9" s="166">
        <v>1995.8490566037731</v>
      </c>
      <c r="AL9" s="166">
        <v>142.56064690026952</v>
      </c>
      <c r="AM9" s="182">
        <f t="shared" si="13"/>
        <v>10</v>
      </c>
      <c r="AN9" s="491"/>
      <c r="AO9" s="182">
        <v>14</v>
      </c>
      <c r="AP9" s="166">
        <v>1979.0163934426234</v>
      </c>
      <c r="AQ9" s="166">
        <v>141.35831381733024</v>
      </c>
      <c r="AR9" s="182">
        <f t="shared" si="14"/>
        <v>10</v>
      </c>
      <c r="AS9" s="491"/>
      <c r="AT9" s="182">
        <v>14</v>
      </c>
      <c r="AU9" s="166">
        <v>2047.0000000000005</v>
      </c>
      <c r="AV9" s="166">
        <v>146.21428571428575</v>
      </c>
      <c r="AW9" s="182">
        <f t="shared" si="15"/>
        <v>10</v>
      </c>
      <c r="AX9" s="491"/>
      <c r="AZ9" s="181" t="e">
        <f>RANK(AX9, $K$7:AX$21)</f>
        <v>#N/A</v>
      </c>
      <c r="BB9" s="182" t="e">
        <f t="shared" si="16"/>
        <v>#N/A</v>
      </c>
    </row>
    <row r="10" spans="1:54">
      <c r="A10" s="79"/>
      <c r="B10" s="479"/>
      <c r="C10" s="182">
        <v>4</v>
      </c>
      <c r="D10" s="203" t="s">
        <v>266</v>
      </c>
      <c r="E10" s="166">
        <v>13</v>
      </c>
      <c r="F10" s="166">
        <v>2118</v>
      </c>
      <c r="G10" s="166">
        <v>162.9</v>
      </c>
      <c r="H10" s="460"/>
      <c r="I10" s="166">
        <f t="shared" si="6"/>
        <v>13</v>
      </c>
      <c r="J10" s="166">
        <f t="shared" si="7"/>
        <v>2013.1802558386921</v>
      </c>
      <c r="K10" s="180">
        <f t="shared" si="8"/>
        <v>154.86001967989938</v>
      </c>
      <c r="L10" s="460"/>
      <c r="M10" s="166">
        <f>RANK(K10, K$7:$K$21)</f>
        <v>9</v>
      </c>
      <c r="N10" s="462"/>
      <c r="O10" s="462"/>
      <c r="P10" s="182">
        <v>13</v>
      </c>
      <c r="Q10" s="166">
        <v>1979.1780821917805</v>
      </c>
      <c r="R10" s="166">
        <v>152.24446786090618</v>
      </c>
      <c r="S10" s="182">
        <f t="shared" si="9"/>
        <v>9</v>
      </c>
      <c r="T10" s="491"/>
      <c r="U10" s="182">
        <v>13</v>
      </c>
      <c r="V10" s="166">
        <v>1993.7704918032791</v>
      </c>
      <c r="W10" s="166">
        <v>153.36696090794456</v>
      </c>
      <c r="X10" s="182">
        <f t="shared" si="10"/>
        <v>9</v>
      </c>
      <c r="Y10" s="491"/>
      <c r="Z10" s="182">
        <v>13</v>
      </c>
      <c r="AA10" s="166">
        <v>2010.4225352112669</v>
      </c>
      <c r="AB10" s="166">
        <v>154.64788732394362</v>
      </c>
      <c r="AC10" s="182">
        <f t="shared" si="11"/>
        <v>9</v>
      </c>
      <c r="AD10" s="491"/>
      <c r="AE10" s="182">
        <v>13</v>
      </c>
      <c r="AF10" s="166">
        <v>1995.5172413793105</v>
      </c>
      <c r="AG10" s="166">
        <v>153.50132625994695</v>
      </c>
      <c r="AH10" s="182">
        <f t="shared" si="12"/>
        <v>9</v>
      </c>
      <c r="AI10" s="491"/>
      <c r="AJ10" s="182">
        <v>13</v>
      </c>
      <c r="AK10" s="166">
        <v>1986.3636363636374</v>
      </c>
      <c r="AL10" s="166">
        <v>152.79720279720289</v>
      </c>
      <c r="AM10" s="182">
        <f t="shared" si="13"/>
        <v>9</v>
      </c>
      <c r="AN10" s="491"/>
      <c r="AO10" s="182">
        <v>13</v>
      </c>
      <c r="AP10" s="166">
        <v>2020.8333333333339</v>
      </c>
      <c r="AQ10" s="166">
        <v>155.44871794871798</v>
      </c>
      <c r="AR10" s="182">
        <f t="shared" si="14"/>
        <v>9</v>
      </c>
      <c r="AS10" s="491"/>
      <c r="AT10" s="182">
        <v>13</v>
      </c>
      <c r="AU10" s="166">
        <v>2106.1764705882365</v>
      </c>
      <c r="AV10" s="166">
        <v>162.01357466063357</v>
      </c>
      <c r="AW10" s="182">
        <f t="shared" si="15"/>
        <v>9</v>
      </c>
      <c r="AX10" s="491"/>
      <c r="AZ10" s="181" t="e">
        <f>RANK(AX10, $K$7:AX$21)</f>
        <v>#N/A</v>
      </c>
      <c r="BB10" s="182" t="e">
        <f t="shared" si="16"/>
        <v>#N/A</v>
      </c>
    </row>
    <row r="11" spans="1:54">
      <c r="A11" s="79"/>
      <c r="B11" s="479"/>
      <c r="C11" s="182">
        <v>5</v>
      </c>
      <c r="D11" s="203" t="s">
        <v>267</v>
      </c>
      <c r="E11" s="166">
        <v>11</v>
      </c>
      <c r="F11" s="166">
        <v>2250</v>
      </c>
      <c r="G11" s="166">
        <v>204.5</v>
      </c>
      <c r="H11" s="460"/>
      <c r="I11" s="166">
        <f t="shared" si="6"/>
        <v>11</v>
      </c>
      <c r="J11" s="166">
        <f t="shared" si="7"/>
        <v>2201.4592843409891</v>
      </c>
      <c r="K11" s="180">
        <f t="shared" si="8"/>
        <v>200.13266221281719</v>
      </c>
      <c r="L11" s="460"/>
      <c r="M11" s="166">
        <f>RANK(K11, K$7:$K$21)</f>
        <v>6</v>
      </c>
      <c r="N11" s="462"/>
      <c r="O11" s="462"/>
      <c r="P11" s="182">
        <v>11</v>
      </c>
      <c r="Q11" s="166">
        <v>2184.6575342465749</v>
      </c>
      <c r="R11" s="166">
        <v>198.60523038605226</v>
      </c>
      <c r="S11" s="182">
        <f t="shared" si="9"/>
        <v>6</v>
      </c>
      <c r="T11" s="491"/>
      <c r="U11" s="182">
        <v>11</v>
      </c>
      <c r="V11" s="166">
        <v>2186.3157894736842</v>
      </c>
      <c r="W11" s="166">
        <v>198.75598086124401</v>
      </c>
      <c r="X11" s="182">
        <f t="shared" si="10"/>
        <v>6</v>
      </c>
      <c r="Y11" s="491"/>
      <c r="Z11" s="182">
        <v>11</v>
      </c>
      <c r="AA11" s="166">
        <v>2175.8333333333321</v>
      </c>
      <c r="AB11" s="166">
        <v>197.8030303030302</v>
      </c>
      <c r="AC11" s="182">
        <f t="shared" si="11"/>
        <v>6</v>
      </c>
      <c r="AD11" s="491"/>
      <c r="AE11" s="182">
        <v>11</v>
      </c>
      <c r="AF11" s="166">
        <v>2177.0000000000005</v>
      </c>
      <c r="AG11" s="166">
        <v>197.90909090909096</v>
      </c>
      <c r="AH11" s="182">
        <f t="shared" si="12"/>
        <v>6</v>
      </c>
      <c r="AI11" s="491"/>
      <c r="AJ11" s="182">
        <v>11</v>
      </c>
      <c r="AK11" s="166">
        <v>2251.8749999999995</v>
      </c>
      <c r="AL11" s="166">
        <v>204.71590909090904</v>
      </c>
      <c r="AM11" s="182">
        <f t="shared" si="13"/>
        <v>6</v>
      </c>
      <c r="AN11" s="491"/>
      <c r="AO11" s="182">
        <v>11</v>
      </c>
      <c r="AP11" s="166">
        <v>2191.1999999999998</v>
      </c>
      <c r="AQ11" s="166">
        <v>199.2</v>
      </c>
      <c r="AR11" s="182">
        <f t="shared" si="14"/>
        <v>6</v>
      </c>
      <c r="AS11" s="491"/>
      <c r="AT11" s="182">
        <v>11</v>
      </c>
      <c r="AU11" s="166">
        <v>2243.3333333333321</v>
      </c>
      <c r="AV11" s="166">
        <v>203.93939393939382</v>
      </c>
      <c r="AW11" s="182">
        <f t="shared" si="15"/>
        <v>5</v>
      </c>
      <c r="AX11" s="491"/>
      <c r="AZ11" s="181" t="e">
        <f>RANK(AX11, $K$7:AX$21)</f>
        <v>#N/A</v>
      </c>
      <c r="BB11" s="182" t="e">
        <f t="shared" si="16"/>
        <v>#N/A</v>
      </c>
    </row>
    <row r="12" spans="1:54">
      <c r="A12" s="79"/>
      <c r="B12" s="479"/>
      <c r="C12" s="182">
        <v>6</v>
      </c>
      <c r="D12" s="203" t="s">
        <v>268</v>
      </c>
      <c r="E12" s="166">
        <v>12</v>
      </c>
      <c r="F12" s="166">
        <v>2250</v>
      </c>
      <c r="G12" s="166">
        <v>187.5</v>
      </c>
      <c r="H12" s="460"/>
      <c r="I12" s="166">
        <f t="shared" si="6"/>
        <v>12</v>
      </c>
      <c r="J12" s="166">
        <f t="shared" si="7"/>
        <v>2168.7270807811269</v>
      </c>
      <c r="K12" s="180">
        <f t="shared" si="8"/>
        <v>180.7272567317606</v>
      </c>
      <c r="L12" s="460"/>
      <c r="M12" s="166">
        <f>RANK(K12, K$7:$K$21)</f>
        <v>8</v>
      </c>
      <c r="N12" s="462"/>
      <c r="O12" s="462"/>
      <c r="P12" s="182">
        <v>12</v>
      </c>
      <c r="Q12" s="166">
        <v>2131.9565217391305</v>
      </c>
      <c r="R12" s="166">
        <v>177.66304347826087</v>
      </c>
      <c r="S12" s="182">
        <f t="shared" si="9"/>
        <v>8</v>
      </c>
      <c r="T12" s="491"/>
      <c r="U12" s="182">
        <v>12</v>
      </c>
      <c r="V12" s="166">
        <v>2182.8947368421059</v>
      </c>
      <c r="W12" s="166">
        <v>181.90789473684217</v>
      </c>
      <c r="X12" s="182">
        <f t="shared" si="10"/>
        <v>8</v>
      </c>
      <c r="Y12" s="491"/>
      <c r="Z12" s="182">
        <v>12</v>
      </c>
      <c r="AA12" s="166">
        <v>2183.8554216867465</v>
      </c>
      <c r="AB12" s="166">
        <v>181.98795180722888</v>
      </c>
      <c r="AC12" s="182">
        <f t="shared" si="11"/>
        <v>7</v>
      </c>
      <c r="AD12" s="491"/>
      <c r="AE12" s="182">
        <v>12</v>
      </c>
      <c r="AF12" s="166">
        <v>2127.6923076923067</v>
      </c>
      <c r="AG12" s="166">
        <v>177.30769230769224</v>
      </c>
      <c r="AH12" s="182">
        <f t="shared" si="12"/>
        <v>8</v>
      </c>
      <c r="AI12" s="491"/>
      <c r="AJ12" s="182">
        <v>12</v>
      </c>
      <c r="AK12" s="166">
        <v>2208.5714285714289</v>
      </c>
      <c r="AL12" s="166">
        <v>184.04761904761907</v>
      </c>
      <c r="AM12" s="182">
        <f t="shared" si="13"/>
        <v>7</v>
      </c>
      <c r="AN12" s="491"/>
      <c r="AO12" s="182">
        <v>12</v>
      </c>
      <c r="AP12" s="166">
        <v>2140.7999999999993</v>
      </c>
      <c r="AQ12" s="166">
        <v>178.39999999999995</v>
      </c>
      <c r="AR12" s="182">
        <f t="shared" si="14"/>
        <v>8</v>
      </c>
      <c r="AS12" s="491"/>
      <c r="AT12" s="182">
        <v>12</v>
      </c>
      <c r="AU12" s="166">
        <v>2205.3191489361698</v>
      </c>
      <c r="AV12" s="166">
        <v>183.7765957446808</v>
      </c>
      <c r="AW12" s="182">
        <f t="shared" si="15"/>
        <v>8</v>
      </c>
      <c r="AX12" s="491"/>
      <c r="AZ12" s="181" t="e">
        <f>RANK(AX12, $K$7:AX$21)</f>
        <v>#N/A</v>
      </c>
      <c r="BB12" s="182" t="e">
        <f t="shared" si="16"/>
        <v>#N/A</v>
      </c>
    </row>
    <row r="13" spans="1:54">
      <c r="A13" s="79"/>
      <c r="B13" s="479"/>
      <c r="C13" s="182">
        <v>7</v>
      </c>
      <c r="D13" s="203" t="s">
        <v>269</v>
      </c>
      <c r="E13" s="166">
        <v>11</v>
      </c>
      <c r="F13" s="166">
        <v>2118</v>
      </c>
      <c r="G13" s="166">
        <v>192.5</v>
      </c>
      <c r="H13" s="460"/>
      <c r="I13" s="166">
        <f t="shared" si="6"/>
        <v>11</v>
      </c>
      <c r="J13" s="166">
        <f t="shared" si="7"/>
        <v>2006.709584685043</v>
      </c>
      <c r="K13" s="180">
        <f t="shared" si="8"/>
        <v>182.42814406227663</v>
      </c>
      <c r="L13" s="460"/>
      <c r="M13" s="166">
        <f>RANK(K13, K$7:$K$21)</f>
        <v>7</v>
      </c>
      <c r="N13" s="462"/>
      <c r="O13" s="462"/>
      <c r="P13" s="182">
        <v>11</v>
      </c>
      <c r="Q13" s="166">
        <v>1955.2959183673474</v>
      </c>
      <c r="R13" s="166">
        <v>177.75417439703159</v>
      </c>
      <c r="S13" s="182">
        <f t="shared" si="9"/>
        <v>7</v>
      </c>
      <c r="T13" s="491"/>
      <c r="U13" s="182">
        <v>11</v>
      </c>
      <c r="V13" s="166">
        <v>2039.9638554216863</v>
      </c>
      <c r="W13" s="166">
        <v>185.45125958378966</v>
      </c>
      <c r="X13" s="182">
        <f t="shared" si="10"/>
        <v>7</v>
      </c>
      <c r="Y13" s="491"/>
      <c r="Z13" s="182">
        <v>11</v>
      </c>
      <c r="AA13" s="166">
        <v>1978.0312500000005</v>
      </c>
      <c r="AB13" s="166">
        <v>179.82102272727278</v>
      </c>
      <c r="AC13" s="182">
        <f t="shared" si="11"/>
        <v>8</v>
      </c>
      <c r="AD13" s="491"/>
      <c r="AE13" s="182">
        <v>11</v>
      </c>
      <c r="AF13" s="166">
        <v>1971.9204545454547</v>
      </c>
      <c r="AG13" s="166">
        <v>179.26549586776861</v>
      </c>
      <c r="AH13" s="182">
        <f t="shared" si="12"/>
        <v>7</v>
      </c>
      <c r="AI13" s="491"/>
      <c r="AJ13" s="182">
        <v>11</v>
      </c>
      <c r="AK13" s="166">
        <v>1977.9587628865986</v>
      </c>
      <c r="AL13" s="166">
        <v>179.81443298969077</v>
      </c>
      <c r="AM13" s="182">
        <f t="shared" si="13"/>
        <v>8</v>
      </c>
      <c r="AN13" s="491"/>
      <c r="AO13" s="182">
        <v>11</v>
      </c>
      <c r="AP13" s="166">
        <v>2013.3620689655177</v>
      </c>
      <c r="AQ13" s="166">
        <v>183.03291536050162</v>
      </c>
      <c r="AR13" s="182">
        <f t="shared" si="14"/>
        <v>7</v>
      </c>
      <c r="AS13" s="491"/>
      <c r="AT13" s="182">
        <v>11</v>
      </c>
      <c r="AU13" s="166">
        <v>2110.4347826086955</v>
      </c>
      <c r="AV13" s="166">
        <v>191.85770750988141</v>
      </c>
      <c r="AW13" s="182">
        <f t="shared" si="15"/>
        <v>7</v>
      </c>
      <c r="AX13" s="491"/>
      <c r="AZ13" s="181" t="e">
        <f>RANK(AX13, $K$7:AX$21)</f>
        <v>#N/A</v>
      </c>
      <c r="BB13" s="182" t="e">
        <f t="shared" si="16"/>
        <v>#N/A</v>
      </c>
    </row>
    <row r="14" spans="1:54">
      <c r="A14" s="79"/>
      <c r="B14" s="479"/>
      <c r="C14" s="182">
        <v>8</v>
      </c>
      <c r="D14" s="203" t="s">
        <v>270</v>
      </c>
      <c r="E14" s="166">
        <v>18</v>
      </c>
      <c r="F14" s="166">
        <v>1250</v>
      </c>
      <c r="G14" s="166">
        <v>69.444444444444443</v>
      </c>
      <c r="H14" s="460"/>
      <c r="I14" s="166">
        <f t="shared" si="6"/>
        <v>13.142857142857142</v>
      </c>
      <c r="J14" s="166">
        <f t="shared" si="7"/>
        <v>1260.2097649586156</v>
      </c>
      <c r="K14" s="180">
        <f t="shared" si="8"/>
        <v>95.973472546913527</v>
      </c>
      <c r="L14" s="460"/>
      <c r="M14" s="166">
        <f>RANK(K14, K$7:$K$21)</f>
        <v>11</v>
      </c>
      <c r="N14" s="462"/>
      <c r="O14" s="462"/>
      <c r="P14" s="182">
        <v>13</v>
      </c>
      <c r="Q14" s="166">
        <v>1264.8000000000004</v>
      </c>
      <c r="R14" s="166">
        <v>97.29230769230773</v>
      </c>
      <c r="S14" s="182">
        <f t="shared" si="9"/>
        <v>11</v>
      </c>
      <c r="T14" s="491"/>
      <c r="U14" s="182">
        <v>13</v>
      </c>
      <c r="V14" s="166">
        <v>1293.7500000000007</v>
      </c>
      <c r="W14" s="166">
        <v>99.519230769230816</v>
      </c>
      <c r="X14" s="182">
        <f t="shared" si="10"/>
        <v>11</v>
      </c>
      <c r="Y14" s="491"/>
      <c r="Z14" s="182">
        <v>13</v>
      </c>
      <c r="AA14" s="166">
        <v>1242.3157894736844</v>
      </c>
      <c r="AB14" s="166">
        <v>95.562753036437257</v>
      </c>
      <c r="AC14" s="182">
        <f t="shared" si="11"/>
        <v>11</v>
      </c>
      <c r="AD14" s="491"/>
      <c r="AE14" s="182">
        <v>13</v>
      </c>
      <c r="AF14" s="166">
        <v>1254.4000000000003</v>
      </c>
      <c r="AG14" s="166">
        <v>96.492307692307719</v>
      </c>
      <c r="AH14" s="182">
        <f t="shared" si="12"/>
        <v>11</v>
      </c>
      <c r="AI14" s="491"/>
      <c r="AJ14" s="182">
        <v>14</v>
      </c>
      <c r="AK14" s="166">
        <v>1230.3529411764714</v>
      </c>
      <c r="AL14" s="166">
        <v>87.882352941176535</v>
      </c>
      <c r="AM14" s="182">
        <f t="shared" si="13"/>
        <v>11</v>
      </c>
      <c r="AN14" s="491"/>
      <c r="AO14" s="182">
        <v>13</v>
      </c>
      <c r="AP14" s="166">
        <v>1259.4285714285716</v>
      </c>
      <c r="AQ14" s="166">
        <v>96.87912087912089</v>
      </c>
      <c r="AR14" s="182">
        <f t="shared" si="14"/>
        <v>11</v>
      </c>
      <c r="AS14" s="491"/>
      <c r="AT14" s="182">
        <v>13</v>
      </c>
      <c r="AU14" s="166">
        <v>1276.4210526315792</v>
      </c>
      <c r="AV14" s="166">
        <v>98.186234817813784</v>
      </c>
      <c r="AW14" s="182">
        <f t="shared" si="15"/>
        <v>11</v>
      </c>
      <c r="AX14" s="491"/>
      <c r="AZ14" s="181" t="e">
        <f>RANK(AX14, $K$7:AX$21)</f>
        <v>#N/A</v>
      </c>
      <c r="BB14" s="182" t="e">
        <f t="shared" si="16"/>
        <v>#N/A</v>
      </c>
    </row>
    <row r="15" spans="1:54">
      <c r="A15" s="79"/>
      <c r="B15" s="479"/>
      <c r="C15" s="182">
        <v>9</v>
      </c>
      <c r="D15" s="203" t="s">
        <v>271</v>
      </c>
      <c r="E15" s="166">
        <v>6</v>
      </c>
      <c r="F15" s="166">
        <v>2000</v>
      </c>
      <c r="G15" s="166">
        <v>333.33333333333331</v>
      </c>
      <c r="H15" s="460"/>
      <c r="I15" s="166">
        <f t="shared" si="6"/>
        <v>7</v>
      </c>
      <c r="J15" s="166">
        <f t="shared" si="7"/>
        <v>1710.8783760880672</v>
      </c>
      <c r="K15" s="180">
        <f t="shared" si="8"/>
        <v>244.41119658400956</v>
      </c>
      <c r="L15" s="460"/>
      <c r="M15" s="166">
        <f>RANK(K15, K$7:$K$21)</f>
        <v>4</v>
      </c>
      <c r="N15" s="462"/>
      <c r="O15" s="462"/>
      <c r="P15" s="182">
        <v>7</v>
      </c>
      <c r="Q15" s="166">
        <v>1745.2941176470611</v>
      </c>
      <c r="R15" s="166">
        <v>249.32773109243729</v>
      </c>
      <c r="S15" s="182">
        <f t="shared" si="9"/>
        <v>4</v>
      </c>
      <c r="T15" s="491"/>
      <c r="U15" s="182">
        <v>7</v>
      </c>
      <c r="V15" s="166">
        <v>1733.7931034482772</v>
      </c>
      <c r="W15" s="166">
        <v>247.6847290640396</v>
      </c>
      <c r="X15" s="182">
        <f t="shared" si="10"/>
        <v>4</v>
      </c>
      <c r="Y15" s="491"/>
      <c r="Z15" s="182">
        <v>7</v>
      </c>
      <c r="AA15" s="166">
        <v>1717.058823529414</v>
      </c>
      <c r="AB15" s="166">
        <v>245.29411764705915</v>
      </c>
      <c r="AC15" s="182">
        <f t="shared" si="11"/>
        <v>4</v>
      </c>
      <c r="AD15" s="491"/>
      <c r="AE15" s="182">
        <v>7</v>
      </c>
      <c r="AF15" s="166">
        <v>1484.3478260869565</v>
      </c>
      <c r="AG15" s="166">
        <v>212.04968944099377</v>
      </c>
      <c r="AH15" s="182">
        <f t="shared" si="12"/>
        <v>5</v>
      </c>
      <c r="AI15" s="491"/>
      <c r="AJ15" s="182">
        <v>7</v>
      </c>
      <c r="AK15" s="166">
        <v>1713.3333333333344</v>
      </c>
      <c r="AL15" s="166">
        <v>244.7619047619049</v>
      </c>
      <c r="AM15" s="182">
        <f t="shared" si="13"/>
        <v>4</v>
      </c>
      <c r="AN15" s="491"/>
      <c r="AO15" s="182">
        <v>7</v>
      </c>
      <c r="AP15" s="166">
        <v>1718.5714285714298</v>
      </c>
      <c r="AQ15" s="166">
        <v>245.51020408163282</v>
      </c>
      <c r="AR15" s="182">
        <f t="shared" si="14"/>
        <v>5</v>
      </c>
      <c r="AS15" s="491"/>
      <c r="AT15" s="182">
        <v>7</v>
      </c>
      <c r="AU15" s="166">
        <v>1863.7499999999975</v>
      </c>
      <c r="AV15" s="166">
        <v>266.24999999999966</v>
      </c>
      <c r="AW15" s="182">
        <f t="shared" si="15"/>
        <v>4</v>
      </c>
      <c r="AX15" s="491"/>
      <c r="AZ15" s="181" t="e">
        <f>RANK(AX15, $K$7:AX$21)</f>
        <v>#N/A</v>
      </c>
      <c r="BB15" s="182" t="e">
        <f t="shared" si="16"/>
        <v>#N/A</v>
      </c>
    </row>
    <row r="16" spans="1:54">
      <c r="A16" s="79"/>
      <c r="B16" s="479"/>
      <c r="C16" s="182">
        <v>10</v>
      </c>
      <c r="D16" s="203" t="s">
        <v>272</v>
      </c>
      <c r="E16" s="166">
        <v>4</v>
      </c>
      <c r="F16" s="166">
        <v>2000</v>
      </c>
      <c r="G16" s="166">
        <v>500</v>
      </c>
      <c r="H16" s="460"/>
      <c r="I16" s="166">
        <f t="shared" si="6"/>
        <v>5</v>
      </c>
      <c r="J16" s="166">
        <f t="shared" si="7"/>
        <v>1941.2570028011257</v>
      </c>
      <c r="K16" s="180">
        <f t="shared" si="8"/>
        <v>388.25140056022514</v>
      </c>
      <c r="L16" s="460"/>
      <c r="M16" s="166">
        <f>RANK(K16, K$7:$K$21)</f>
        <v>3</v>
      </c>
      <c r="N16" s="462"/>
      <c r="O16" s="462"/>
      <c r="P16" s="182">
        <v>5</v>
      </c>
      <c r="Q16" s="166">
        <v>2160.0000000000077</v>
      </c>
      <c r="R16" s="166">
        <v>432.00000000000153</v>
      </c>
      <c r="S16" s="182">
        <f t="shared" si="9"/>
        <v>2</v>
      </c>
      <c r="T16" s="491"/>
      <c r="U16" s="182">
        <v>5</v>
      </c>
      <c r="V16" s="166">
        <v>1800.0000000000064</v>
      </c>
      <c r="W16" s="166">
        <v>360.00000000000125</v>
      </c>
      <c r="X16" s="182">
        <f t="shared" si="10"/>
        <v>3</v>
      </c>
      <c r="Y16" s="491"/>
      <c r="Z16" s="182">
        <v>5</v>
      </c>
      <c r="AA16" s="166">
        <v>2124.7058823529487</v>
      </c>
      <c r="AB16" s="166">
        <v>424.94117647058977</v>
      </c>
      <c r="AC16" s="182">
        <f t="shared" si="11"/>
        <v>3</v>
      </c>
      <c r="AD16" s="491"/>
      <c r="AE16" s="182">
        <v>5</v>
      </c>
      <c r="AF16" s="166">
        <v>1860.0000000000066</v>
      </c>
      <c r="AG16" s="166">
        <v>372.00000000000131</v>
      </c>
      <c r="AH16" s="182">
        <f t="shared" si="12"/>
        <v>3</v>
      </c>
      <c r="AI16" s="491"/>
      <c r="AJ16" s="182">
        <v>5</v>
      </c>
      <c r="AK16" s="166">
        <v>1816.6666666666731</v>
      </c>
      <c r="AL16" s="166">
        <v>363.33333333333462</v>
      </c>
      <c r="AM16" s="182">
        <f t="shared" si="13"/>
        <v>3</v>
      </c>
      <c r="AN16" s="491"/>
      <c r="AO16" s="182">
        <v>5</v>
      </c>
      <c r="AP16" s="166">
        <v>1826.2500000000064</v>
      </c>
      <c r="AQ16" s="166">
        <v>365.25000000000125</v>
      </c>
      <c r="AR16" s="182">
        <f t="shared" si="14"/>
        <v>3</v>
      </c>
      <c r="AS16" s="491"/>
      <c r="AT16" s="182">
        <v>5</v>
      </c>
      <c r="AU16" s="166">
        <v>2001.1764705882326</v>
      </c>
      <c r="AV16" s="166">
        <v>400.2352941176465</v>
      </c>
      <c r="AW16" s="182">
        <f t="shared" si="15"/>
        <v>3</v>
      </c>
      <c r="AX16" s="491"/>
      <c r="AZ16" s="181" t="e">
        <f>RANK(AX16, $K$7:AX$21)</f>
        <v>#N/A</v>
      </c>
      <c r="BB16" s="182" t="e">
        <f t="shared" si="16"/>
        <v>#N/A</v>
      </c>
    </row>
    <row r="17" spans="2:54">
      <c r="B17" s="479"/>
      <c r="C17" s="182">
        <v>11</v>
      </c>
      <c r="D17" s="203" t="s">
        <v>273</v>
      </c>
      <c r="E17" s="166">
        <v>11</v>
      </c>
      <c r="F17" s="166">
        <v>2250</v>
      </c>
      <c r="G17" s="166">
        <v>192.5</v>
      </c>
      <c r="H17" s="460"/>
      <c r="I17" s="166">
        <f t="shared" si="6"/>
        <v>9.2857142857142865</v>
      </c>
      <c r="J17" s="166">
        <f t="shared" si="7"/>
        <v>2201.5470634685521</v>
      </c>
      <c r="K17" s="180">
        <f t="shared" si="8"/>
        <v>238.31933304490903</v>
      </c>
      <c r="L17" s="460"/>
      <c r="M17" s="166">
        <f>RANK(K17, K$7:$K$21)</f>
        <v>5</v>
      </c>
      <c r="N17" s="462"/>
      <c r="O17" s="462"/>
      <c r="P17" s="182">
        <v>9</v>
      </c>
      <c r="Q17" s="166">
        <v>2237.8947368421041</v>
      </c>
      <c r="R17" s="166">
        <v>248.65497076023379</v>
      </c>
      <c r="S17" s="182">
        <f t="shared" si="9"/>
        <v>5</v>
      </c>
      <c r="T17" s="491"/>
      <c r="U17" s="182">
        <v>9</v>
      </c>
      <c r="V17" s="166">
        <v>2177.2413793103447</v>
      </c>
      <c r="W17" s="166">
        <v>241.9157088122605</v>
      </c>
      <c r="X17" s="182">
        <f t="shared" si="10"/>
        <v>5</v>
      </c>
      <c r="Y17" s="491"/>
      <c r="Z17" s="182">
        <v>9</v>
      </c>
      <c r="AA17" s="166">
        <v>2192.5233644859823</v>
      </c>
      <c r="AB17" s="166">
        <v>243.61370716510913</v>
      </c>
      <c r="AC17" s="182">
        <f t="shared" si="11"/>
        <v>5</v>
      </c>
      <c r="AD17" s="491"/>
      <c r="AE17" s="182">
        <v>9</v>
      </c>
      <c r="AF17" s="166">
        <v>2199.3939393939386</v>
      </c>
      <c r="AG17" s="166">
        <v>244.37710437710427</v>
      </c>
      <c r="AH17" s="182">
        <f t="shared" si="12"/>
        <v>4</v>
      </c>
      <c r="AI17" s="491"/>
      <c r="AJ17" s="182">
        <v>9</v>
      </c>
      <c r="AK17" s="166">
        <v>2188.2692307692305</v>
      </c>
      <c r="AL17" s="166">
        <v>243.14102564102561</v>
      </c>
      <c r="AM17" s="182">
        <f t="shared" si="13"/>
        <v>5</v>
      </c>
      <c r="AN17" s="491"/>
      <c r="AO17" s="182">
        <v>9</v>
      </c>
      <c r="AP17" s="166">
        <v>2233.5937500000009</v>
      </c>
      <c r="AQ17" s="166">
        <v>248.17708333333343</v>
      </c>
      <c r="AR17" s="182">
        <f t="shared" si="14"/>
        <v>4</v>
      </c>
      <c r="AS17" s="491"/>
      <c r="AT17" s="182">
        <v>11</v>
      </c>
      <c r="AU17" s="166">
        <v>2181.9130434782614</v>
      </c>
      <c r="AV17" s="166">
        <v>198.35573122529649</v>
      </c>
      <c r="AW17" s="182">
        <f t="shared" si="15"/>
        <v>6</v>
      </c>
      <c r="AX17" s="491"/>
      <c r="AZ17" s="181" t="e">
        <f>RANK(AX17, $K$7:AX$21)</f>
        <v>#N/A</v>
      </c>
      <c r="BB17" s="182" t="e">
        <f t="shared" si="16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66"/>
      <c r="J18" s="166"/>
      <c r="K18" s="180"/>
      <c r="L18" s="460"/>
      <c r="M18" s="166" t="e">
        <f>RANK(K18, K$7:$K$21)</f>
        <v>#N/A</v>
      </c>
      <c r="N18" s="462"/>
      <c r="O18" s="462"/>
      <c r="P18" s="182"/>
      <c r="Q18" s="166"/>
      <c r="R18" s="166"/>
      <c r="S18" s="182" t="e">
        <f t="shared" si="9"/>
        <v>#N/A</v>
      </c>
      <c r="T18" s="491"/>
      <c r="U18" s="182"/>
      <c r="V18" s="166"/>
      <c r="W18" s="166"/>
      <c r="X18" s="182" t="e">
        <f t="shared" si="10"/>
        <v>#N/A</v>
      </c>
      <c r="Y18" s="491"/>
      <c r="Z18" s="182"/>
      <c r="AA18" s="166"/>
      <c r="AB18" s="166"/>
      <c r="AC18" s="182" t="e">
        <f t="shared" si="11"/>
        <v>#N/A</v>
      </c>
      <c r="AD18" s="491"/>
      <c r="AE18" s="182"/>
      <c r="AF18" s="166"/>
      <c r="AG18" s="166"/>
      <c r="AH18" s="182" t="e">
        <f t="shared" si="12"/>
        <v>#N/A</v>
      </c>
      <c r="AI18" s="491"/>
      <c r="AJ18" s="182"/>
      <c r="AK18" s="166"/>
      <c r="AL18" s="166"/>
      <c r="AM18" s="182" t="e">
        <f t="shared" si="13"/>
        <v>#N/A</v>
      </c>
      <c r="AN18" s="491"/>
      <c r="AO18" s="182"/>
      <c r="AP18" s="166"/>
      <c r="AQ18" s="166"/>
      <c r="AR18" s="182" t="e">
        <f t="shared" si="14"/>
        <v>#N/A</v>
      </c>
      <c r="AS18" s="491"/>
      <c r="AT18" s="182"/>
      <c r="AU18" s="166"/>
      <c r="AV18" s="166"/>
      <c r="AW18" s="182" t="e">
        <f t="shared" si="15"/>
        <v>#N/A</v>
      </c>
      <c r="AX18" s="491"/>
      <c r="AZ18" s="181" t="e">
        <f>RANK(AX18, $K$7:AX$21)</f>
        <v>#N/A</v>
      </c>
      <c r="BB18" s="182" t="e">
        <f t="shared" si="16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66"/>
      <c r="J19" s="166"/>
      <c r="K19" s="180"/>
      <c r="L19" s="460"/>
      <c r="M19" s="166" t="e">
        <f>RANK(K19, K$7:$K$21)</f>
        <v>#N/A</v>
      </c>
      <c r="N19" s="462"/>
      <c r="O19" s="462"/>
      <c r="P19" s="182"/>
      <c r="Q19" s="166"/>
      <c r="R19" s="166"/>
      <c r="S19" s="182" t="e">
        <f t="shared" si="9"/>
        <v>#N/A</v>
      </c>
      <c r="T19" s="491"/>
      <c r="U19" s="182"/>
      <c r="V19" s="166"/>
      <c r="W19" s="166"/>
      <c r="X19" s="182" t="e">
        <f t="shared" si="10"/>
        <v>#N/A</v>
      </c>
      <c r="Y19" s="491"/>
      <c r="Z19" s="182"/>
      <c r="AA19" s="166"/>
      <c r="AB19" s="166"/>
      <c r="AC19" s="182" t="e">
        <f t="shared" si="11"/>
        <v>#N/A</v>
      </c>
      <c r="AD19" s="491"/>
      <c r="AE19" s="182"/>
      <c r="AF19" s="166"/>
      <c r="AG19" s="166"/>
      <c r="AH19" s="182" t="e">
        <f t="shared" si="12"/>
        <v>#N/A</v>
      </c>
      <c r="AI19" s="491"/>
      <c r="AJ19" s="182"/>
      <c r="AK19" s="166"/>
      <c r="AL19" s="166"/>
      <c r="AM19" s="182" t="e">
        <f t="shared" si="13"/>
        <v>#N/A</v>
      </c>
      <c r="AN19" s="491"/>
      <c r="AO19" s="182"/>
      <c r="AP19" s="166"/>
      <c r="AQ19" s="166"/>
      <c r="AR19" s="182" t="e">
        <f t="shared" si="14"/>
        <v>#N/A</v>
      </c>
      <c r="AS19" s="491"/>
      <c r="AT19" s="182"/>
      <c r="AU19" s="166"/>
      <c r="AV19" s="166"/>
      <c r="AW19" s="182" t="e">
        <f t="shared" si="15"/>
        <v>#N/A</v>
      </c>
      <c r="AX19" s="491"/>
      <c r="AZ19" s="181" t="e">
        <f>RANK(AX19, $K$7:AX$21)</f>
        <v>#N/A</v>
      </c>
      <c r="BB19" s="182" t="e">
        <f t="shared" si="16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66"/>
      <c r="J20" s="166"/>
      <c r="K20" s="180"/>
      <c r="L20" s="460"/>
      <c r="M20" s="166" t="e">
        <f>RANK(K20, K$7:$K$21)</f>
        <v>#N/A</v>
      </c>
      <c r="N20" s="462"/>
      <c r="O20" s="462"/>
      <c r="P20" s="182"/>
      <c r="Q20" s="166"/>
      <c r="R20" s="166"/>
      <c r="S20" s="182" t="e">
        <f t="shared" si="9"/>
        <v>#N/A</v>
      </c>
      <c r="T20" s="491"/>
      <c r="U20" s="182"/>
      <c r="V20" s="166"/>
      <c r="W20" s="166"/>
      <c r="X20" s="182" t="e">
        <f t="shared" si="10"/>
        <v>#N/A</v>
      </c>
      <c r="Y20" s="491"/>
      <c r="Z20" s="182"/>
      <c r="AA20" s="166"/>
      <c r="AB20" s="166"/>
      <c r="AC20" s="182" t="e">
        <f t="shared" si="11"/>
        <v>#N/A</v>
      </c>
      <c r="AD20" s="491"/>
      <c r="AE20" s="182"/>
      <c r="AF20" s="166"/>
      <c r="AG20" s="166"/>
      <c r="AH20" s="182" t="e">
        <f t="shared" si="12"/>
        <v>#N/A</v>
      </c>
      <c r="AI20" s="491"/>
      <c r="AJ20" s="182"/>
      <c r="AK20" s="166"/>
      <c r="AL20" s="166"/>
      <c r="AM20" s="182" t="e">
        <f t="shared" si="13"/>
        <v>#N/A</v>
      </c>
      <c r="AN20" s="491"/>
      <c r="AO20" s="182"/>
      <c r="AP20" s="166"/>
      <c r="AQ20" s="166"/>
      <c r="AR20" s="182" t="e">
        <f t="shared" si="14"/>
        <v>#N/A</v>
      </c>
      <c r="AS20" s="491"/>
      <c r="AT20" s="182"/>
      <c r="AU20" s="166"/>
      <c r="AV20" s="166"/>
      <c r="AW20" s="182" t="e">
        <f t="shared" si="15"/>
        <v>#N/A</v>
      </c>
      <c r="AX20" s="491"/>
      <c r="AZ20" s="181" t="e">
        <f>RANK(AX20, $K$7:AX$21)</f>
        <v>#N/A</v>
      </c>
      <c r="BB20" s="182" t="e">
        <f t="shared" si="16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66"/>
      <c r="J21" s="166"/>
      <c r="K21" s="180"/>
      <c r="L21" s="461"/>
      <c r="M21" s="166" t="e">
        <f>RANK(K21, K$7:$K$21)</f>
        <v>#N/A</v>
      </c>
      <c r="N21" s="462"/>
      <c r="O21" s="462"/>
      <c r="P21" s="182"/>
      <c r="Q21" s="166"/>
      <c r="R21" s="166"/>
      <c r="S21" s="182" t="e">
        <f t="shared" si="9"/>
        <v>#N/A</v>
      </c>
      <c r="T21" s="491"/>
      <c r="U21" s="182"/>
      <c r="V21" s="166"/>
      <c r="W21" s="166"/>
      <c r="X21" s="182" t="e">
        <f t="shared" si="10"/>
        <v>#N/A</v>
      </c>
      <c r="Y21" s="491"/>
      <c r="Z21" s="182"/>
      <c r="AA21" s="166"/>
      <c r="AB21" s="166"/>
      <c r="AC21" s="182" t="e">
        <f t="shared" si="11"/>
        <v>#N/A</v>
      </c>
      <c r="AD21" s="491"/>
      <c r="AE21" s="182"/>
      <c r="AF21" s="166"/>
      <c r="AG21" s="166"/>
      <c r="AH21" s="182" t="e">
        <f t="shared" si="12"/>
        <v>#N/A</v>
      </c>
      <c r="AI21" s="491"/>
      <c r="AJ21" s="182"/>
      <c r="AK21" s="166"/>
      <c r="AL21" s="166"/>
      <c r="AM21" s="182" t="e">
        <f t="shared" si="13"/>
        <v>#N/A</v>
      </c>
      <c r="AN21" s="491"/>
      <c r="AO21" s="182"/>
      <c r="AP21" s="166"/>
      <c r="AQ21" s="166"/>
      <c r="AR21" s="182" t="e">
        <f t="shared" si="14"/>
        <v>#N/A</v>
      </c>
      <c r="AS21" s="491"/>
      <c r="AT21" s="182"/>
      <c r="AU21" s="166"/>
      <c r="AV21" s="166"/>
      <c r="AW21" s="182" t="e">
        <f t="shared" si="15"/>
        <v>#N/A</v>
      </c>
      <c r="AX21" s="491"/>
      <c r="AZ21" s="166" t="e">
        <f>RANK(AX21, $K$7:AX$21)</f>
        <v>#N/A</v>
      </c>
      <c r="BB21" s="182" t="e">
        <f t="shared" si="16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P2+7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507" t="s">
        <v>262</v>
      </c>
      <c r="C27" s="182">
        <v>1</v>
      </c>
      <c r="D27" s="203" t="s">
        <v>263</v>
      </c>
      <c r="E27" s="166">
        <v>4</v>
      </c>
      <c r="F27" s="182">
        <v>2000</v>
      </c>
      <c r="G27" s="180">
        <v>500</v>
      </c>
      <c r="H27" s="459">
        <f>AVERAGE(G27:G41)</f>
        <v>291.1648148148148</v>
      </c>
      <c r="I27" s="166">
        <f>AVERAGE(P27,U27,Z27,AE27,AJ27,AO27,AT27)</f>
        <v>4.8571428571428568</v>
      </c>
      <c r="J27" s="166">
        <f>AVERAGE(Q27,V27,AA27,AF27,AK27,AP27,AU27)</f>
        <v>2153.8012156598038</v>
      </c>
      <c r="K27" s="180">
        <f>AVERAGE(R27,W27,AB27,AG27,AL27,AQ27,AV27)</f>
        <v>446.46680683852446</v>
      </c>
      <c r="L27" s="459">
        <f>IFERROR(AVERAGE(K27:K41),"-")</f>
        <v>263.08341366807707</v>
      </c>
      <c r="M27" s="181">
        <f>RANK(K27, K$27:$K$41)</f>
        <v>1</v>
      </c>
      <c r="N27" s="462"/>
      <c r="O27" s="462"/>
      <c r="P27" s="182">
        <v>5</v>
      </c>
      <c r="Q27" s="166">
        <v>2132.8767123287666</v>
      </c>
      <c r="R27" s="166">
        <v>426.57534246575335</v>
      </c>
      <c r="S27" s="182">
        <f>RANK(R27, R$27:R$41)</f>
        <v>1</v>
      </c>
      <c r="T27" s="491">
        <f>AVERAGE(R27:R41)</f>
        <v>256.99341693688717</v>
      </c>
      <c r="U27" s="182">
        <v>5</v>
      </c>
      <c r="V27" s="166">
        <v>2144.5454545454545</v>
      </c>
      <c r="W27" s="166">
        <v>428.90909090909088</v>
      </c>
      <c r="X27" s="182">
        <f>RANK(W27, W$27:W$41)</f>
        <v>1</v>
      </c>
      <c r="Y27" s="491">
        <f>AVERAGE(W27:W41)</f>
        <v>258.36938733287593</v>
      </c>
      <c r="Z27" s="166">
        <v>5</v>
      </c>
      <c r="AA27" s="166">
        <v>2116.5217391304345</v>
      </c>
      <c r="AB27" s="166">
        <v>423.30434782608688</v>
      </c>
      <c r="AC27" s="182">
        <f>RANK(AB27, AB$27:AB$41)</f>
        <v>2</v>
      </c>
      <c r="AD27" s="491">
        <f>AVERAGE(AB27:AB41)</f>
        <v>258.45286244443531</v>
      </c>
      <c r="AE27" s="166">
        <v>5</v>
      </c>
      <c r="AF27" s="166">
        <v>2153.454545454545</v>
      </c>
      <c r="AG27" s="166">
        <v>430.69090909090903</v>
      </c>
      <c r="AH27" s="182">
        <f>RANK(AG27, AG$27:AG$41)</f>
        <v>1</v>
      </c>
      <c r="AI27" s="491">
        <f>AVERAGE(AG27:AG41)</f>
        <v>255.94359500477472</v>
      </c>
      <c r="AJ27" s="166">
        <v>5</v>
      </c>
      <c r="AK27" s="166">
        <v>2187.0000000000005</v>
      </c>
      <c r="AL27" s="166">
        <v>437.40000000000009</v>
      </c>
      <c r="AM27" s="182">
        <f>RANK(AL27, AL$27:AL$41)</f>
        <v>2</v>
      </c>
      <c r="AN27" s="491">
        <f>AVERAGE(AL27:AL41)</f>
        <v>261.09064094857308</v>
      </c>
      <c r="AO27" s="182">
        <v>5</v>
      </c>
      <c r="AP27" s="166">
        <v>2143.2911392405063</v>
      </c>
      <c r="AQ27" s="166">
        <v>428.65822784810126</v>
      </c>
      <c r="AR27" s="182"/>
      <c r="AS27" s="491">
        <f>AVERAGE(AQ27:AQ41)</f>
        <v>260.3029137121228</v>
      </c>
      <c r="AT27" s="182">
        <v>4</v>
      </c>
      <c r="AU27" s="166">
        <v>2198.9189189189183</v>
      </c>
      <c r="AV27" s="166">
        <v>549.72972972972957</v>
      </c>
      <c r="AW27" s="182"/>
      <c r="AX27" s="491">
        <f>AVERAGE(AV27:AV41)</f>
        <v>290.43107929687028</v>
      </c>
    </row>
    <row r="28" spans="2:54">
      <c r="B28" s="479"/>
      <c r="C28" s="182">
        <v>2</v>
      </c>
      <c r="D28" s="203" t="s">
        <v>264</v>
      </c>
      <c r="E28" s="166">
        <v>4</v>
      </c>
      <c r="F28" s="182">
        <v>2000</v>
      </c>
      <c r="G28" s="180">
        <v>500</v>
      </c>
      <c r="H28" s="460"/>
      <c r="I28" s="166">
        <f t="shared" ref="I28:I36" si="17">AVERAGE(P28,U28,Z28,AE28,AJ28,AO28,AT28)</f>
        <v>4.8571428571428568</v>
      </c>
      <c r="J28" s="166">
        <f t="shared" ref="J28:J36" si="18">AVERAGE(Q28,V28,AA28,AF28,AK28,AP28,AU28)</f>
        <v>2152.0884267840911</v>
      </c>
      <c r="K28" s="180">
        <f t="shared" ref="K28:K36" si="19">AVERAGE(R28,W28,AB28,AG28,AL28,AQ28,AV28)</f>
        <v>445.68634207323618</v>
      </c>
      <c r="L28" s="460"/>
      <c r="M28" s="181">
        <f>RANK(K28, K$27:$K$41)</f>
        <v>2</v>
      </c>
      <c r="N28" s="462"/>
      <c r="O28" s="462"/>
      <c r="P28" s="182">
        <v>5</v>
      </c>
      <c r="Q28" s="166">
        <v>2111.0769230769224</v>
      </c>
      <c r="R28" s="166">
        <v>422.21538461538449</v>
      </c>
      <c r="S28" s="182">
        <f t="shared" ref="S28:S41" si="20">RANK(R28, R$27:R$41)</f>
        <v>2</v>
      </c>
      <c r="T28" s="491"/>
      <c r="U28" s="182">
        <v>5</v>
      </c>
      <c r="V28" s="166">
        <v>2135.4098360655744</v>
      </c>
      <c r="W28" s="166">
        <v>427.08196721311486</v>
      </c>
      <c r="X28" s="182">
        <f t="shared" ref="X28:X40" si="21">RANK(W28, W$27:W$41)</f>
        <v>2</v>
      </c>
      <c r="Y28" s="491"/>
      <c r="Z28" s="166">
        <v>5</v>
      </c>
      <c r="AA28" s="166">
        <v>2168.5714285714294</v>
      </c>
      <c r="AB28" s="166">
        <v>433.71428571428589</v>
      </c>
      <c r="AC28" s="182">
        <f t="shared" ref="AC28:AC40" si="22">RANK(AB28, AB$27:AB$41)</f>
        <v>1</v>
      </c>
      <c r="AD28" s="491"/>
      <c r="AE28" s="166">
        <v>5</v>
      </c>
      <c r="AF28" s="166">
        <v>2150.4000000000005</v>
      </c>
      <c r="AG28" s="166">
        <v>430.0800000000001</v>
      </c>
      <c r="AH28" s="182">
        <f t="shared" ref="AH28:AH40" si="23">RANK(AG28, AG$27:AG$41)</f>
        <v>2</v>
      </c>
      <c r="AI28" s="491"/>
      <c r="AJ28" s="182">
        <v>5</v>
      </c>
      <c r="AK28" s="166">
        <v>2191.6981132075466</v>
      </c>
      <c r="AL28" s="166">
        <v>438.33962264150932</v>
      </c>
      <c r="AM28" s="182">
        <f t="shared" ref="AM28:AM40" si="24">RANK(AL28, AL$27:AL$41)</f>
        <v>1</v>
      </c>
      <c r="AN28" s="491"/>
      <c r="AO28" s="182">
        <v>5</v>
      </c>
      <c r="AP28" s="166">
        <v>2169.8507462686566</v>
      </c>
      <c r="AQ28" s="166">
        <v>433.97014925373134</v>
      </c>
      <c r="AR28" s="182"/>
      <c r="AS28" s="491"/>
      <c r="AT28" s="182">
        <v>4</v>
      </c>
      <c r="AU28" s="166">
        <v>2137.6119402985073</v>
      </c>
      <c r="AV28" s="166">
        <v>534.40298507462683</v>
      </c>
      <c r="AW28" s="182"/>
      <c r="AX28" s="491"/>
    </row>
    <row r="29" spans="2:54">
      <c r="B29" s="479"/>
      <c r="C29" s="182">
        <v>3</v>
      </c>
      <c r="D29" s="203" t="s">
        <v>265</v>
      </c>
      <c r="E29" s="166">
        <v>14</v>
      </c>
      <c r="F29" s="182">
        <v>2118</v>
      </c>
      <c r="G29" s="180">
        <v>151.30000000000001</v>
      </c>
      <c r="H29" s="460"/>
      <c r="I29" s="166">
        <f t="shared" si="17"/>
        <v>14</v>
      </c>
      <c r="J29" s="166">
        <f t="shared" si="18"/>
        <v>2130.527208510422</v>
      </c>
      <c r="K29" s="180">
        <f t="shared" si="19"/>
        <v>152.18051489360161</v>
      </c>
      <c r="L29" s="460"/>
      <c r="M29" s="181">
        <f>RANK(K29, K$27:$K$41)</f>
        <v>11</v>
      </c>
      <c r="N29" s="462"/>
      <c r="O29" s="462"/>
      <c r="P29" s="182">
        <v>14</v>
      </c>
      <c r="Q29" s="166">
        <v>2130.5454545454545</v>
      </c>
      <c r="R29" s="166">
        <v>152.18181818181819</v>
      </c>
      <c r="S29" s="182">
        <f t="shared" si="20"/>
        <v>11</v>
      </c>
      <c r="T29" s="491"/>
      <c r="U29" s="182">
        <v>14</v>
      </c>
      <c r="V29" s="166">
        <v>2095.4716981132069</v>
      </c>
      <c r="W29" s="166">
        <v>149.67654986522908</v>
      </c>
      <c r="X29" s="182">
        <f t="shared" si="21"/>
        <v>11</v>
      </c>
      <c r="Y29" s="491"/>
      <c r="Z29" s="166">
        <v>14</v>
      </c>
      <c r="AA29" s="166">
        <v>2134.9090909090905</v>
      </c>
      <c r="AB29" s="166">
        <v>152.49350649350646</v>
      </c>
      <c r="AC29" s="182">
        <f t="shared" si="22"/>
        <v>11</v>
      </c>
      <c r="AD29" s="491"/>
      <c r="AE29" s="182">
        <v>14</v>
      </c>
      <c r="AF29" s="166">
        <v>2115</v>
      </c>
      <c r="AG29" s="166">
        <v>151.07142857142858</v>
      </c>
      <c r="AH29" s="182">
        <f t="shared" si="23"/>
        <v>11</v>
      </c>
      <c r="AI29" s="491"/>
      <c r="AJ29" s="182">
        <v>14</v>
      </c>
      <c r="AK29" s="166">
        <v>2122.7999999999993</v>
      </c>
      <c r="AL29" s="166">
        <v>151.62857142857138</v>
      </c>
      <c r="AM29" s="182">
        <f t="shared" si="24"/>
        <v>11</v>
      </c>
      <c r="AN29" s="491"/>
      <c r="AO29" s="182">
        <v>14</v>
      </c>
      <c r="AP29" s="166">
        <v>2173.584905660377</v>
      </c>
      <c r="AQ29" s="166">
        <v>155.25606469002693</v>
      </c>
      <c r="AR29" s="182"/>
      <c r="AS29" s="491"/>
      <c r="AT29" s="182">
        <v>14</v>
      </c>
      <c r="AU29" s="166">
        <v>2141.3793103448279</v>
      </c>
      <c r="AV29" s="166">
        <v>152.95566502463058</v>
      </c>
      <c r="AW29" s="182"/>
      <c r="AX29" s="491"/>
    </row>
    <row r="30" spans="2:54">
      <c r="B30" s="479"/>
      <c r="C30" s="182">
        <v>4</v>
      </c>
      <c r="D30" s="203" t="s">
        <v>266</v>
      </c>
      <c r="E30" s="166">
        <v>13</v>
      </c>
      <c r="F30" s="182">
        <v>2118</v>
      </c>
      <c r="G30" s="180">
        <v>162.9</v>
      </c>
      <c r="H30" s="460"/>
      <c r="I30" s="166">
        <f t="shared" si="17"/>
        <v>13</v>
      </c>
      <c r="J30" s="166">
        <f t="shared" si="18"/>
        <v>2121.9929543989533</v>
      </c>
      <c r="K30" s="180">
        <f t="shared" si="19"/>
        <v>163.23022726145797</v>
      </c>
      <c r="L30" s="460"/>
      <c r="M30" s="181">
        <f>RANK(K30, K$27:$K$41)</f>
        <v>10</v>
      </c>
      <c r="N30" s="462"/>
      <c r="O30" s="462"/>
      <c r="P30" s="182">
        <v>13</v>
      </c>
      <c r="Q30" s="166">
        <v>2088.1818181818189</v>
      </c>
      <c r="R30" s="166">
        <v>160.6293706293707</v>
      </c>
      <c r="S30" s="182">
        <f t="shared" si="20"/>
        <v>10</v>
      </c>
      <c r="T30" s="491"/>
      <c r="U30" s="182">
        <v>13</v>
      </c>
      <c r="V30" s="166">
        <v>2133.4426229508204</v>
      </c>
      <c r="W30" s="166">
        <v>164.11097099621696</v>
      </c>
      <c r="X30" s="182">
        <f t="shared" si="21"/>
        <v>10</v>
      </c>
      <c r="Y30" s="491"/>
      <c r="Z30" s="166">
        <v>13</v>
      </c>
      <c r="AA30" s="166">
        <v>2121.2903225806458</v>
      </c>
      <c r="AB30" s="166">
        <v>163.17617866004969</v>
      </c>
      <c r="AC30" s="182">
        <f t="shared" si="22"/>
        <v>10</v>
      </c>
      <c r="AD30" s="491"/>
      <c r="AE30" s="182">
        <v>13</v>
      </c>
      <c r="AF30" s="166">
        <v>2163.1034482758623</v>
      </c>
      <c r="AG30" s="166">
        <v>166.39257294429711</v>
      </c>
      <c r="AH30" s="182">
        <f t="shared" si="23"/>
        <v>10</v>
      </c>
      <c r="AI30" s="491"/>
      <c r="AJ30" s="182">
        <v>13</v>
      </c>
      <c r="AK30" s="166">
        <v>2085.245901639345</v>
      </c>
      <c r="AL30" s="166">
        <v>160.40353089533423</v>
      </c>
      <c r="AM30" s="182">
        <f t="shared" si="24"/>
        <v>10</v>
      </c>
      <c r="AN30" s="491"/>
      <c r="AO30" s="182">
        <v>13</v>
      </c>
      <c r="AP30" s="166">
        <v>2124.1791044776132</v>
      </c>
      <c r="AQ30" s="166">
        <v>163.3983926521241</v>
      </c>
      <c r="AR30" s="182"/>
      <c r="AS30" s="491"/>
      <c r="AT30" s="182">
        <v>13</v>
      </c>
      <c r="AU30" s="166">
        <v>2138.5074626865685</v>
      </c>
      <c r="AV30" s="166">
        <v>164.50057405281296</v>
      </c>
      <c r="AW30" s="182"/>
      <c r="AX30" s="491"/>
    </row>
    <row r="31" spans="2:54">
      <c r="B31" s="479"/>
      <c r="C31" s="182">
        <v>5</v>
      </c>
      <c r="D31" s="203" t="s">
        <v>267</v>
      </c>
      <c r="E31" s="166">
        <v>11</v>
      </c>
      <c r="F31" s="182">
        <v>2250</v>
      </c>
      <c r="G31" s="180">
        <v>204.5</v>
      </c>
      <c r="H31" s="460"/>
      <c r="I31" s="166">
        <f t="shared" si="17"/>
        <v>11</v>
      </c>
      <c r="J31" s="166">
        <f t="shared" si="18"/>
        <v>2211.0582022954964</v>
      </c>
      <c r="K31" s="180">
        <f t="shared" si="19"/>
        <v>201.00529111777237</v>
      </c>
      <c r="L31" s="460"/>
      <c r="M31" s="181">
        <f>RANK(K31, K$27:$K$41)</f>
        <v>6</v>
      </c>
      <c r="N31" s="462"/>
      <c r="O31" s="462"/>
      <c r="P31" s="182">
        <v>11</v>
      </c>
      <c r="Q31" s="166">
        <v>2247.8873239436625</v>
      </c>
      <c r="R31" s="166">
        <v>204.3533930857875</v>
      </c>
      <c r="S31" s="182">
        <f t="shared" si="20"/>
        <v>6</v>
      </c>
      <c r="T31" s="491"/>
      <c r="U31" s="182">
        <v>11</v>
      </c>
      <c r="V31" s="166">
        <v>2208.7499999999995</v>
      </c>
      <c r="W31" s="166">
        <v>200.7954545454545</v>
      </c>
      <c r="X31" s="182">
        <f t="shared" si="21"/>
        <v>6</v>
      </c>
      <c r="Y31" s="491"/>
      <c r="Z31" s="182">
        <v>11</v>
      </c>
      <c r="AA31" s="166">
        <v>2207.8260869565215</v>
      </c>
      <c r="AB31" s="166">
        <v>200.71146245059288</v>
      </c>
      <c r="AC31" s="182">
        <f t="shared" si="22"/>
        <v>6</v>
      </c>
      <c r="AD31" s="491"/>
      <c r="AE31" s="182">
        <v>11</v>
      </c>
      <c r="AF31" s="166">
        <v>2241.6393442622953</v>
      </c>
      <c r="AG31" s="166">
        <v>203.78539493293593</v>
      </c>
      <c r="AH31" s="182">
        <f t="shared" si="23"/>
        <v>7</v>
      </c>
      <c r="AI31" s="491"/>
      <c r="AJ31" s="182">
        <v>11</v>
      </c>
      <c r="AK31" s="166">
        <v>2157.313432835821</v>
      </c>
      <c r="AL31" s="166">
        <v>196.11940298507463</v>
      </c>
      <c r="AM31" s="182">
        <f t="shared" si="24"/>
        <v>7</v>
      </c>
      <c r="AN31" s="491"/>
      <c r="AO31" s="182">
        <v>11</v>
      </c>
      <c r="AP31" s="166">
        <v>2235.8333333333321</v>
      </c>
      <c r="AQ31" s="166">
        <v>203.25757575757564</v>
      </c>
      <c r="AR31" s="182"/>
      <c r="AS31" s="491"/>
      <c r="AT31" s="182">
        <v>11</v>
      </c>
      <c r="AU31" s="166">
        <v>2178.1578947368416</v>
      </c>
      <c r="AV31" s="166">
        <v>198.01435406698559</v>
      </c>
      <c r="AW31" s="182"/>
      <c r="AX31" s="491"/>
    </row>
    <row r="32" spans="2:54">
      <c r="B32" s="479"/>
      <c r="C32" s="182">
        <v>6</v>
      </c>
      <c r="D32" s="203" t="s">
        <v>268</v>
      </c>
      <c r="E32" s="166">
        <v>12</v>
      </c>
      <c r="F32" s="182">
        <v>2250</v>
      </c>
      <c r="G32" s="180">
        <v>187.5</v>
      </c>
      <c r="H32" s="460"/>
      <c r="I32" s="166">
        <f t="shared" si="17"/>
        <v>12</v>
      </c>
      <c r="J32" s="166">
        <f t="shared" si="18"/>
        <v>2146.7592274501999</v>
      </c>
      <c r="K32" s="180">
        <f t="shared" si="19"/>
        <v>178.89660228751669</v>
      </c>
      <c r="L32" s="460"/>
      <c r="M32" s="181">
        <f>RANK(K32, K$27:$K$41)</f>
        <v>9</v>
      </c>
      <c r="N32" s="462"/>
      <c r="O32" s="462"/>
      <c r="P32" s="182">
        <v>12</v>
      </c>
      <c r="Q32" s="166">
        <v>2134.1935483870971</v>
      </c>
      <c r="R32" s="166">
        <v>177.84946236559142</v>
      </c>
      <c r="S32" s="182">
        <f t="shared" si="20"/>
        <v>9</v>
      </c>
      <c r="T32" s="491"/>
      <c r="U32" s="182">
        <v>12</v>
      </c>
      <c r="V32" s="166">
        <v>2162.8915662650593</v>
      </c>
      <c r="W32" s="166">
        <v>180.2409638554216</v>
      </c>
      <c r="X32" s="182">
        <f t="shared" si="21"/>
        <v>9</v>
      </c>
      <c r="Y32" s="491"/>
      <c r="Z32" s="182">
        <v>12</v>
      </c>
      <c r="AA32" s="166">
        <v>2129.2857142857138</v>
      </c>
      <c r="AB32" s="166">
        <v>177.44047619047615</v>
      </c>
      <c r="AC32" s="182">
        <f t="shared" si="22"/>
        <v>9</v>
      </c>
      <c r="AD32" s="491"/>
      <c r="AE32" s="182">
        <v>12</v>
      </c>
      <c r="AF32" s="166">
        <v>2146.666666666667</v>
      </c>
      <c r="AG32" s="166">
        <v>178.88888888888891</v>
      </c>
      <c r="AH32" s="182">
        <f t="shared" si="23"/>
        <v>9</v>
      </c>
      <c r="AI32" s="491"/>
      <c r="AJ32" s="182">
        <v>12</v>
      </c>
      <c r="AK32" s="166">
        <v>2122.3255813953483</v>
      </c>
      <c r="AL32" s="166">
        <v>176.86046511627902</v>
      </c>
      <c r="AM32" s="182">
        <f t="shared" si="24"/>
        <v>9</v>
      </c>
      <c r="AN32" s="491"/>
      <c r="AO32" s="182">
        <v>12</v>
      </c>
      <c r="AP32" s="166">
        <v>2176.8000000000002</v>
      </c>
      <c r="AQ32" s="166">
        <v>181.4</v>
      </c>
      <c r="AR32" s="182"/>
      <c r="AS32" s="491"/>
      <c r="AT32" s="182">
        <v>12</v>
      </c>
      <c r="AU32" s="166">
        <v>2155.151515151515</v>
      </c>
      <c r="AV32" s="166">
        <v>179.59595959595958</v>
      </c>
      <c r="AW32" s="182"/>
      <c r="AX32" s="491"/>
    </row>
    <row r="33" spans="2:50">
      <c r="B33" s="479"/>
      <c r="C33" s="182">
        <v>7</v>
      </c>
      <c r="D33" s="203" t="s">
        <v>269</v>
      </c>
      <c r="E33" s="166">
        <v>11</v>
      </c>
      <c r="F33" s="182">
        <v>2118</v>
      </c>
      <c r="G33" s="180">
        <v>192.5</v>
      </c>
      <c r="H33" s="460"/>
      <c r="I33" s="166">
        <f t="shared" si="17"/>
        <v>11</v>
      </c>
      <c r="J33" s="166">
        <f t="shared" si="18"/>
        <v>2138.949081384058</v>
      </c>
      <c r="K33" s="180">
        <f t="shared" si="19"/>
        <v>194.44991648945984</v>
      </c>
      <c r="L33" s="460"/>
      <c r="M33" s="181">
        <f>RANK(K33, K$27:$K$41)</f>
        <v>8</v>
      </c>
      <c r="N33" s="462"/>
      <c r="O33" s="462"/>
      <c r="P33" s="182">
        <v>11</v>
      </c>
      <c r="Q33" s="166">
        <v>2156.1230769230765</v>
      </c>
      <c r="R33" s="166">
        <v>196.01118881118876</v>
      </c>
      <c r="S33" s="182">
        <f t="shared" si="20"/>
        <v>8</v>
      </c>
      <c r="T33" s="491"/>
      <c r="U33" s="182">
        <v>11</v>
      </c>
      <c r="V33" s="166">
        <v>2106.7200000000007</v>
      </c>
      <c r="W33" s="166">
        <v>191.52000000000007</v>
      </c>
      <c r="X33" s="182">
        <f t="shared" si="21"/>
        <v>8</v>
      </c>
      <c r="Y33" s="491"/>
      <c r="Z33" s="182">
        <v>11</v>
      </c>
      <c r="AA33" s="166">
        <v>2167.2857142857138</v>
      </c>
      <c r="AB33" s="166">
        <v>197.02597402597397</v>
      </c>
      <c r="AC33" s="182">
        <f t="shared" si="22"/>
        <v>8</v>
      </c>
      <c r="AD33" s="491"/>
      <c r="AE33" s="182">
        <v>11</v>
      </c>
      <c r="AF33" s="166">
        <v>2175.5769230769242</v>
      </c>
      <c r="AG33" s="166">
        <v>197.77972027972038</v>
      </c>
      <c r="AH33" s="182">
        <f t="shared" si="23"/>
        <v>8</v>
      </c>
      <c r="AI33" s="491"/>
      <c r="AJ33" s="182">
        <v>11</v>
      </c>
      <c r="AK33" s="166">
        <v>2142.1682242990651</v>
      </c>
      <c r="AL33" s="166">
        <v>194.74256584536954</v>
      </c>
      <c r="AM33" s="182">
        <f t="shared" si="24"/>
        <v>8</v>
      </c>
      <c r="AN33" s="491"/>
      <c r="AO33" s="182">
        <v>11</v>
      </c>
      <c r="AP33" s="166">
        <v>2124.258992805755</v>
      </c>
      <c r="AQ33" s="166">
        <v>193.11445389143228</v>
      </c>
      <c r="AR33" s="182"/>
      <c r="AS33" s="491"/>
      <c r="AT33" s="182">
        <v>11</v>
      </c>
      <c r="AU33" s="166">
        <v>2100.5106382978729</v>
      </c>
      <c r="AV33" s="166">
        <v>190.95551257253391</v>
      </c>
      <c r="AW33" s="182"/>
      <c r="AX33" s="491"/>
    </row>
    <row r="34" spans="2:50">
      <c r="B34" s="479"/>
      <c r="C34" s="182">
        <v>8</v>
      </c>
      <c r="D34" s="203" t="s">
        <v>270</v>
      </c>
      <c r="E34" s="166">
        <v>18</v>
      </c>
      <c r="F34" s="182">
        <v>1250</v>
      </c>
      <c r="G34" s="180">
        <v>69.444444444444443</v>
      </c>
      <c r="H34" s="460"/>
      <c r="I34" s="166">
        <f t="shared" si="17"/>
        <v>13.285714285714286</v>
      </c>
      <c r="J34" s="166">
        <f t="shared" si="18"/>
        <v>1247.8483740864772</v>
      </c>
      <c r="K34" s="180">
        <f t="shared" si="19"/>
        <v>94.065639616170373</v>
      </c>
      <c r="L34" s="460"/>
      <c r="M34" s="181">
        <f>RANK(K34, K$27:$K$41)</f>
        <v>12</v>
      </c>
      <c r="N34" s="462"/>
      <c r="O34" s="462"/>
      <c r="P34" s="182">
        <v>14</v>
      </c>
      <c r="Q34" s="166">
        <v>1231.2000000000005</v>
      </c>
      <c r="R34" s="166">
        <v>87.942857142857179</v>
      </c>
      <c r="S34" s="182">
        <f t="shared" si="20"/>
        <v>12</v>
      </c>
      <c r="T34" s="491"/>
      <c r="U34" s="182">
        <v>13</v>
      </c>
      <c r="V34" s="166">
        <v>1233.3333333333335</v>
      </c>
      <c r="W34" s="166">
        <v>94.87179487179489</v>
      </c>
      <c r="X34" s="182">
        <f t="shared" si="21"/>
        <v>12</v>
      </c>
      <c r="Y34" s="491"/>
      <c r="Z34" s="182">
        <v>14</v>
      </c>
      <c r="AA34" s="166">
        <v>1218.3157894736844</v>
      </c>
      <c r="AB34" s="166">
        <v>87.022556390977456</v>
      </c>
      <c r="AC34" s="182">
        <f t="shared" si="22"/>
        <v>12</v>
      </c>
      <c r="AD34" s="491"/>
      <c r="AE34" s="182">
        <v>13</v>
      </c>
      <c r="AF34" s="166">
        <v>1273.6000000000004</v>
      </c>
      <c r="AG34" s="166">
        <v>97.969230769230791</v>
      </c>
      <c r="AH34" s="182">
        <f t="shared" si="23"/>
        <v>12</v>
      </c>
      <c r="AI34" s="491"/>
      <c r="AJ34" s="182">
        <v>13</v>
      </c>
      <c r="AK34" s="166">
        <v>1245.7500000000007</v>
      </c>
      <c r="AL34" s="166">
        <v>95.826923076923123</v>
      </c>
      <c r="AM34" s="182">
        <f t="shared" si="24"/>
        <v>12</v>
      </c>
      <c r="AN34" s="491"/>
      <c r="AO34" s="182">
        <v>13</v>
      </c>
      <c r="AP34" s="166">
        <v>1262.8571428571431</v>
      </c>
      <c r="AQ34" s="166">
        <v>97.142857142857167</v>
      </c>
      <c r="AR34" s="182"/>
      <c r="AS34" s="491"/>
      <c r="AT34" s="182">
        <v>13</v>
      </c>
      <c r="AU34" s="166">
        <v>1269.8823529411773</v>
      </c>
      <c r="AV34" s="166">
        <v>97.683257918552101</v>
      </c>
      <c r="AW34" s="182"/>
      <c r="AX34" s="491"/>
    </row>
    <row r="35" spans="2:50">
      <c r="B35" s="479"/>
      <c r="C35" s="182">
        <v>9</v>
      </c>
      <c r="D35" s="203" t="s">
        <v>271</v>
      </c>
      <c r="E35" s="166">
        <v>6</v>
      </c>
      <c r="F35" s="182">
        <v>2000</v>
      </c>
      <c r="G35" s="180">
        <v>333.33333333333331</v>
      </c>
      <c r="H35" s="460"/>
      <c r="I35" s="166">
        <f t="shared" si="17"/>
        <v>6.8571428571428568</v>
      </c>
      <c r="J35" s="166">
        <f t="shared" si="18"/>
        <v>2070.2426013883801</v>
      </c>
      <c r="K35" s="180">
        <f t="shared" si="19"/>
        <v>302.81194216817141</v>
      </c>
      <c r="L35" s="460"/>
      <c r="M35" s="181">
        <f>RANK(K35, K$27:$K$41)</f>
        <v>5</v>
      </c>
      <c r="N35" s="462"/>
      <c r="O35" s="462"/>
      <c r="P35" s="182">
        <v>7</v>
      </c>
      <c r="Q35" s="166">
        <v>2093.9999999999991</v>
      </c>
      <c r="R35" s="166">
        <v>299.142857142857</v>
      </c>
      <c r="S35" s="182">
        <f t="shared" si="20"/>
        <v>5</v>
      </c>
      <c r="T35" s="491"/>
      <c r="U35" s="182">
        <v>7</v>
      </c>
      <c r="V35" s="166">
        <v>2130</v>
      </c>
      <c r="W35" s="166">
        <v>304.28571428571428</v>
      </c>
      <c r="X35" s="182">
        <f t="shared" si="21"/>
        <v>5</v>
      </c>
      <c r="Y35" s="491"/>
      <c r="Z35" s="182">
        <v>7</v>
      </c>
      <c r="AA35" s="166">
        <v>2154.2857142857133</v>
      </c>
      <c r="AB35" s="166">
        <v>307.75510204081621</v>
      </c>
      <c r="AC35" s="182">
        <f t="shared" si="22"/>
        <v>5</v>
      </c>
      <c r="AD35" s="491"/>
      <c r="AE35" s="182">
        <v>7</v>
      </c>
      <c r="AF35" s="166">
        <v>1829.9999999999959</v>
      </c>
      <c r="AG35" s="166">
        <v>261.42857142857082</v>
      </c>
      <c r="AH35" s="182">
        <f t="shared" si="23"/>
        <v>5</v>
      </c>
      <c r="AI35" s="491"/>
      <c r="AJ35" s="182">
        <v>7</v>
      </c>
      <c r="AK35" s="166">
        <v>2085.7142857142853</v>
      </c>
      <c r="AL35" s="166">
        <v>297.95918367346934</v>
      </c>
      <c r="AM35" s="182">
        <f t="shared" si="24"/>
        <v>5</v>
      </c>
      <c r="AN35" s="491"/>
      <c r="AO35" s="182">
        <v>7</v>
      </c>
      <c r="AP35" s="166">
        <v>2121.1764705882329</v>
      </c>
      <c r="AQ35" s="166">
        <v>303.02521008403329</v>
      </c>
      <c r="AR35" s="182"/>
      <c r="AS35" s="491"/>
      <c r="AT35" s="182">
        <v>6</v>
      </c>
      <c r="AU35" s="166">
        <v>2076.521739130435</v>
      </c>
      <c r="AV35" s="166">
        <v>346.08695652173918</v>
      </c>
      <c r="AW35" s="182"/>
      <c r="AX35" s="491"/>
    </row>
    <row r="36" spans="2:50">
      <c r="B36" s="479"/>
      <c r="C36" s="182">
        <v>10</v>
      </c>
      <c r="D36" s="203" t="s">
        <v>272</v>
      </c>
      <c r="E36" s="166">
        <v>4</v>
      </c>
      <c r="F36" s="182">
        <v>2000</v>
      </c>
      <c r="G36" s="180">
        <v>500</v>
      </c>
      <c r="H36" s="460"/>
      <c r="I36" s="166">
        <f t="shared" si="17"/>
        <v>4.8571428571428568</v>
      </c>
      <c r="J36" s="166">
        <f t="shared" si="18"/>
        <v>1780.7773109243669</v>
      </c>
      <c r="K36" s="180">
        <f t="shared" si="19"/>
        <v>368.93224789915905</v>
      </c>
      <c r="L36" s="460"/>
      <c r="M36" s="181">
        <f>RANK(K36, K$27:$K$41)</f>
        <v>4</v>
      </c>
      <c r="N36" s="462"/>
      <c r="O36" s="462"/>
      <c r="P36" s="182">
        <v>5</v>
      </c>
      <c r="Q36" s="166">
        <v>1788.7499999999977</v>
      </c>
      <c r="R36" s="166">
        <v>357.74999999999955</v>
      </c>
      <c r="S36" s="182">
        <f t="shared" si="20"/>
        <v>4</v>
      </c>
      <c r="T36" s="491"/>
      <c r="U36" s="182">
        <v>5</v>
      </c>
      <c r="V36" s="166">
        <v>1792.941176470586</v>
      </c>
      <c r="W36" s="166">
        <v>358.58823529411723</v>
      </c>
      <c r="X36" s="182">
        <f t="shared" si="21"/>
        <v>4</v>
      </c>
      <c r="Y36" s="491"/>
      <c r="Z36" s="182">
        <v>5</v>
      </c>
      <c r="AA36" s="166">
        <v>1796.2499999999977</v>
      </c>
      <c r="AB36" s="166">
        <v>359.24999999999955</v>
      </c>
      <c r="AC36" s="182">
        <f t="shared" si="22"/>
        <v>4</v>
      </c>
      <c r="AD36" s="491"/>
      <c r="AE36" s="182">
        <v>5</v>
      </c>
      <c r="AF36" s="166">
        <v>1744.6153846153802</v>
      </c>
      <c r="AG36" s="166">
        <v>348.92307692307605</v>
      </c>
      <c r="AH36" s="182">
        <f t="shared" si="23"/>
        <v>4</v>
      </c>
      <c r="AI36" s="491"/>
      <c r="AJ36" s="182">
        <v>5</v>
      </c>
      <c r="AK36" s="166">
        <v>1818.7499999999977</v>
      </c>
      <c r="AL36" s="166">
        <v>363.74999999999955</v>
      </c>
      <c r="AM36" s="182">
        <f t="shared" si="24"/>
        <v>4</v>
      </c>
      <c r="AN36" s="491"/>
      <c r="AO36" s="182">
        <v>5</v>
      </c>
      <c r="AP36" s="166">
        <v>1735.3846153846109</v>
      </c>
      <c r="AQ36" s="166">
        <v>347.07692307692218</v>
      </c>
      <c r="AR36" s="182"/>
      <c r="AS36" s="491"/>
      <c r="AT36" s="182">
        <v>4</v>
      </c>
      <c r="AU36" s="166">
        <v>1788.7499999999977</v>
      </c>
      <c r="AV36" s="166">
        <v>447.18749999999943</v>
      </c>
      <c r="AW36" s="182"/>
      <c r="AX36" s="491"/>
    </row>
    <row r="37" spans="2:50">
      <c r="B37" s="479"/>
      <c r="C37" s="182">
        <v>11</v>
      </c>
      <c r="D37" s="203" t="s">
        <v>273</v>
      </c>
      <c r="E37" s="166">
        <v>11</v>
      </c>
      <c r="F37" s="182">
        <v>2250</v>
      </c>
      <c r="G37" s="180">
        <v>192.5</v>
      </c>
      <c r="H37" s="460"/>
      <c r="I37" s="166">
        <f t="shared" ref="I37:I38" si="25">AVERAGE(P37,U37,Z37,AE37,AJ37,AO37,AT37)</f>
        <v>11</v>
      </c>
      <c r="J37" s="166">
        <f t="shared" ref="J37:J38" si="26">AVERAGE(Q37,V37,AA37,AF37,AK37,AP37,AU37)</f>
        <v>2203.355362040063</v>
      </c>
      <c r="K37" s="180">
        <f t="shared" ref="K37:K38" si="27">AVERAGE(R37,W37,AB37,AG37,AL37,AQ37,AV37)</f>
        <v>200.305032912733</v>
      </c>
      <c r="L37" s="460"/>
      <c r="M37" s="181">
        <f>RANK(K37, K$27:$K$41)</f>
        <v>7</v>
      </c>
      <c r="N37" s="462"/>
      <c r="O37" s="462"/>
      <c r="P37" s="182">
        <v>11</v>
      </c>
      <c r="Q37" s="166">
        <v>2191.9626168224295</v>
      </c>
      <c r="R37" s="166">
        <v>199.26932880203904</v>
      </c>
      <c r="S37" s="182">
        <f t="shared" si="20"/>
        <v>7</v>
      </c>
      <c r="T37" s="491"/>
      <c r="U37" s="182">
        <v>11</v>
      </c>
      <c r="V37" s="166">
        <v>2203.8709677419356</v>
      </c>
      <c r="W37" s="166">
        <v>200.35190615835779</v>
      </c>
      <c r="X37" s="182">
        <f t="shared" si="21"/>
        <v>7</v>
      </c>
      <c r="Y37" s="491"/>
      <c r="Z37" s="182">
        <v>11</v>
      </c>
      <c r="AA37" s="166">
        <v>2194.9450549450548</v>
      </c>
      <c r="AB37" s="166">
        <v>199.54045954045952</v>
      </c>
      <c r="AC37" s="182">
        <f t="shared" si="22"/>
        <v>7</v>
      </c>
      <c r="AD37" s="491"/>
      <c r="AE37" s="182">
        <v>11</v>
      </c>
      <c r="AF37" s="166">
        <v>2247.4468085106387</v>
      </c>
      <c r="AG37" s="166">
        <v>204.31334622823988</v>
      </c>
      <c r="AH37" s="182">
        <f t="shared" si="23"/>
        <v>6</v>
      </c>
      <c r="AI37" s="491"/>
      <c r="AJ37" s="182">
        <v>11</v>
      </c>
      <c r="AK37" s="166">
        <v>2226.7415730337079</v>
      </c>
      <c r="AL37" s="166">
        <v>202.43105209397345</v>
      </c>
      <c r="AM37" s="182">
        <f t="shared" si="24"/>
        <v>6</v>
      </c>
      <c r="AN37" s="491"/>
      <c r="AO37" s="182">
        <v>11</v>
      </c>
      <c r="AP37" s="166">
        <v>2167.118644067797</v>
      </c>
      <c r="AQ37" s="166">
        <v>197.01078582434519</v>
      </c>
      <c r="AR37" s="182"/>
      <c r="AS37" s="491"/>
      <c r="AT37" s="182">
        <v>11</v>
      </c>
      <c r="AU37" s="166">
        <v>2191.4018691588781</v>
      </c>
      <c r="AV37" s="166">
        <v>199.21835174171619</v>
      </c>
      <c r="AW37" s="182"/>
      <c r="AX37" s="491"/>
    </row>
    <row r="38" spans="2:50">
      <c r="B38" s="479"/>
      <c r="C38" s="182">
        <v>12</v>
      </c>
      <c r="D38" s="203" t="s">
        <v>274</v>
      </c>
      <c r="E38" s="166">
        <v>4</v>
      </c>
      <c r="F38" s="182">
        <v>2000</v>
      </c>
      <c r="G38" s="180">
        <v>500</v>
      </c>
      <c r="H38" s="460"/>
      <c r="I38" s="166">
        <f t="shared" si="25"/>
        <v>5</v>
      </c>
      <c r="J38" s="166">
        <f t="shared" si="26"/>
        <v>2044.8520022956088</v>
      </c>
      <c r="K38" s="180">
        <f t="shared" si="27"/>
        <v>408.97040045912172</v>
      </c>
      <c r="L38" s="460"/>
      <c r="M38" s="181">
        <f>RANK(K38, K$27:$K$41)</f>
        <v>3</v>
      </c>
      <c r="N38" s="462"/>
      <c r="O38" s="462"/>
      <c r="P38" s="182">
        <v>5</v>
      </c>
      <c r="Q38" s="166">
        <v>1999.9999999999964</v>
      </c>
      <c r="R38" s="166">
        <v>399.99999999999926</v>
      </c>
      <c r="S38" s="182">
        <f t="shared" si="20"/>
        <v>3</v>
      </c>
      <c r="T38" s="491"/>
      <c r="U38" s="182">
        <v>5</v>
      </c>
      <c r="V38" s="166">
        <v>1999.9999999999964</v>
      </c>
      <c r="W38" s="166">
        <v>399.99999999999926</v>
      </c>
      <c r="X38" s="182">
        <f t="shared" si="21"/>
        <v>3</v>
      </c>
      <c r="Y38" s="491"/>
      <c r="Z38" s="182">
        <v>5</v>
      </c>
      <c r="AA38" s="166">
        <v>1999.9999999999964</v>
      </c>
      <c r="AB38" s="166">
        <v>399.99999999999926</v>
      </c>
      <c r="AC38" s="182">
        <f t="shared" si="22"/>
        <v>3</v>
      </c>
      <c r="AD38" s="491"/>
      <c r="AE38" s="182">
        <v>5</v>
      </c>
      <c r="AF38" s="166">
        <v>1999.9999999999964</v>
      </c>
      <c r="AG38" s="166">
        <v>399.99999999999926</v>
      </c>
      <c r="AH38" s="182">
        <f t="shared" si="23"/>
        <v>3</v>
      </c>
      <c r="AI38" s="491"/>
      <c r="AJ38" s="182">
        <v>5</v>
      </c>
      <c r="AK38" s="166">
        <v>2088.131868131868</v>
      </c>
      <c r="AL38" s="166">
        <v>417.62637362637361</v>
      </c>
      <c r="AM38" s="182">
        <f t="shared" si="24"/>
        <v>3</v>
      </c>
      <c r="AN38" s="491"/>
      <c r="AO38" s="182">
        <v>5</v>
      </c>
      <c r="AP38" s="166">
        <v>2101.6216216216203</v>
      </c>
      <c r="AQ38" s="166">
        <v>420.32432432432404</v>
      </c>
      <c r="AR38" s="182"/>
      <c r="AS38" s="491"/>
      <c r="AT38" s="182">
        <v>5</v>
      </c>
      <c r="AU38" s="166">
        <v>2124.2105263157882</v>
      </c>
      <c r="AV38" s="166">
        <v>424.84210526315763</v>
      </c>
      <c r="AW38" s="182"/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20"/>
        <v>#N/A</v>
      </c>
      <c r="T39" s="491"/>
      <c r="U39" s="182"/>
      <c r="V39" s="166"/>
      <c r="W39" s="166"/>
      <c r="X39" s="182" t="e">
        <f t="shared" si="21"/>
        <v>#N/A</v>
      </c>
      <c r="Y39" s="491"/>
      <c r="Z39" s="182"/>
      <c r="AA39" s="166"/>
      <c r="AB39" s="166"/>
      <c r="AC39" s="182" t="e">
        <f t="shared" si="22"/>
        <v>#N/A</v>
      </c>
      <c r="AD39" s="491"/>
      <c r="AE39" s="182"/>
      <c r="AF39" s="166"/>
      <c r="AG39" s="166"/>
      <c r="AH39" s="182" t="e">
        <f t="shared" si="23"/>
        <v>#N/A</v>
      </c>
      <c r="AI39" s="491"/>
      <c r="AJ39" s="182"/>
      <c r="AK39" s="166"/>
      <c r="AL39" s="166"/>
      <c r="AM39" s="182" t="e">
        <f t="shared" si="24"/>
        <v>#N/A</v>
      </c>
      <c r="AN39" s="491"/>
      <c r="AO39" s="182"/>
      <c r="AP39" s="166"/>
      <c r="AQ39" s="166"/>
      <c r="AR39" s="182"/>
      <c r="AS39" s="491"/>
      <c r="AT39" s="182"/>
      <c r="AU39" s="166"/>
      <c r="AV39" s="166"/>
      <c r="AW39" s="182"/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20"/>
        <v>#N/A</v>
      </c>
      <c r="T40" s="491"/>
      <c r="U40" s="182"/>
      <c r="V40" s="166"/>
      <c r="W40" s="166"/>
      <c r="X40" s="182" t="e">
        <f t="shared" si="21"/>
        <v>#N/A</v>
      </c>
      <c r="Y40" s="491"/>
      <c r="Z40" s="182"/>
      <c r="AA40" s="166"/>
      <c r="AB40" s="166"/>
      <c r="AC40" s="182" t="e">
        <f t="shared" si="22"/>
        <v>#N/A</v>
      </c>
      <c r="AD40" s="491"/>
      <c r="AE40" s="182"/>
      <c r="AF40" s="166"/>
      <c r="AG40" s="166"/>
      <c r="AH40" s="182" t="e">
        <f t="shared" si="23"/>
        <v>#N/A</v>
      </c>
      <c r="AI40" s="491"/>
      <c r="AJ40" s="182"/>
      <c r="AK40" s="166"/>
      <c r="AL40" s="166"/>
      <c r="AM40" s="182" t="e">
        <f t="shared" si="24"/>
        <v>#N/A</v>
      </c>
      <c r="AN40" s="491"/>
      <c r="AO40" s="182"/>
      <c r="AP40" s="166"/>
      <c r="AQ40" s="166"/>
      <c r="AR40" s="182"/>
      <c r="AS40" s="491"/>
      <c r="AT40" s="182"/>
      <c r="AU40" s="166"/>
      <c r="AV40" s="166"/>
      <c r="AW40" s="182"/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20"/>
        <v>#N/A</v>
      </c>
      <c r="T41" s="491"/>
      <c r="U41" s="182"/>
      <c r="V41" s="166"/>
      <c r="W41" s="166"/>
      <c r="X41" s="182"/>
      <c r="Y41" s="491"/>
      <c r="Z41" s="182"/>
      <c r="AA41" s="166"/>
      <c r="AB41" s="166"/>
      <c r="AC41" s="182"/>
      <c r="AD41" s="491"/>
      <c r="AE41" s="182"/>
      <c r="AF41" s="166"/>
      <c r="AG41" s="166"/>
      <c r="AH41" s="182"/>
      <c r="AI41" s="491"/>
      <c r="AJ41" s="182"/>
      <c r="AK41" s="166"/>
      <c r="AL41" s="166"/>
      <c r="AM41" s="182"/>
      <c r="AN41" s="491"/>
      <c r="AO41" s="182"/>
      <c r="AP41" s="166"/>
      <c r="AQ41" s="166"/>
      <c r="AR41" s="182"/>
      <c r="AS41" s="491"/>
      <c r="AT41" s="182"/>
      <c r="AU41" s="166"/>
      <c r="AV41" s="166"/>
      <c r="AW41" s="182"/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507" t="s">
        <v>262</v>
      </c>
      <c r="C47" s="182">
        <v>1</v>
      </c>
      <c r="D47" s="203" t="s">
        <v>263</v>
      </c>
      <c r="E47" s="166">
        <v>4</v>
      </c>
      <c r="F47" s="182">
        <v>2000</v>
      </c>
      <c r="G47" s="180">
        <v>500</v>
      </c>
      <c r="H47" s="459">
        <f>AVERAGE(G47:G61)</f>
        <v>291.1648148148148</v>
      </c>
      <c r="I47" s="166">
        <f>AVERAGE(P47,U47,Z47,AE47,AJ47,AO47,AT47)</f>
        <v>5</v>
      </c>
      <c r="J47" s="166">
        <f>AVERAGE(Q47,V47,AA47,AF47,AK47,AP47,AU47)</f>
        <v>2087.826317039327</v>
      </c>
      <c r="K47" s="180">
        <f>AVERAGE(R47,W47,AB47,AG47,AL47,AQ47,AV47)</f>
        <v>417.56526340786547</v>
      </c>
      <c r="L47" s="459">
        <f>IFERROR(AVERAGE(K47:K61),"-")</f>
        <v>253.37110103454836</v>
      </c>
      <c r="M47" s="181">
        <f>RANK(K47, K$47:$K$61)</f>
        <v>1</v>
      </c>
      <c r="N47" s="462"/>
      <c r="O47" s="462"/>
      <c r="P47" s="182">
        <v>5</v>
      </c>
      <c r="Q47" s="166">
        <v>2109.565217391304</v>
      </c>
      <c r="R47" s="166">
        <v>421.91304347826082</v>
      </c>
      <c r="S47" s="182">
        <f>RANK(R47, R$47:R$61)</f>
        <v>2</v>
      </c>
      <c r="T47" s="491">
        <f>AVERAGE(R47:R61)</f>
        <v>260.68487399675661</v>
      </c>
      <c r="U47" s="182">
        <v>5</v>
      </c>
      <c r="V47" s="166">
        <v>2045.2941176470588</v>
      </c>
      <c r="W47" s="166">
        <v>409.05882352941177</v>
      </c>
      <c r="X47" s="182">
        <f>RANK(W47, W$47:W$61)</f>
        <v>3</v>
      </c>
      <c r="Y47" s="491">
        <f>AVERAGE(W47:W61)</f>
        <v>253.26121377642892</v>
      </c>
      <c r="Z47" s="182">
        <v>5</v>
      </c>
      <c r="AA47" s="166">
        <v>2083.1249999999995</v>
      </c>
      <c r="AB47" s="166">
        <v>416.62499999999989</v>
      </c>
      <c r="AC47" s="182">
        <f>RANK(AB47, AB$47:AB$61)</f>
        <v>1</v>
      </c>
      <c r="AD47" s="491">
        <f>AVERAGE(AB47:AB61)</f>
        <v>253.94433124217801</v>
      </c>
      <c r="AE47" s="182">
        <v>5</v>
      </c>
      <c r="AF47" s="166">
        <v>2091.599999999999</v>
      </c>
      <c r="AG47" s="166">
        <v>418.31999999999982</v>
      </c>
      <c r="AH47" s="182">
        <f>RANK(AG47, AG$47:AG$61)</f>
        <v>1</v>
      </c>
      <c r="AI47" s="491">
        <f>AVERAGE(AG47:AG61)</f>
        <v>249.97703454167092</v>
      </c>
      <c r="AJ47" s="182">
        <v>5</v>
      </c>
      <c r="AK47" s="166">
        <v>2057.0000000000005</v>
      </c>
      <c r="AL47" s="166">
        <v>411.40000000000009</v>
      </c>
      <c r="AM47" s="182">
        <f>RANK(AL47, AL$47:AL$61)</f>
        <v>3</v>
      </c>
      <c r="AN47" s="491">
        <f>AVERAGE(AL47:AL61)</f>
        <v>251.20224956113222</v>
      </c>
      <c r="AO47" s="182">
        <v>5</v>
      </c>
      <c r="AP47" s="166">
        <v>2118.9041095890407</v>
      </c>
      <c r="AQ47" s="166">
        <v>423.78082191780811</v>
      </c>
      <c r="AR47" s="182">
        <f>RANK(AQ47, AQ$47:AQ$61)</f>
        <v>1</v>
      </c>
      <c r="AS47" s="491">
        <f>AVERAGE(AQ47:AQ61)</f>
        <v>252.91300480492211</v>
      </c>
      <c r="AT47" s="182">
        <v>5</v>
      </c>
      <c r="AU47" s="166">
        <v>2109.2957746478878</v>
      </c>
      <c r="AV47" s="166">
        <v>421.85915492957758</v>
      </c>
      <c r="AW47" s="182">
        <f>RANK(AV47, AV$47:AV$61)</f>
        <v>1</v>
      </c>
      <c r="AX47" s="491">
        <f>AVERAGE(AV47:AV61)</f>
        <v>251.61499931874957</v>
      </c>
    </row>
    <row r="48" spans="2:50">
      <c r="B48" s="479"/>
      <c r="C48" s="182">
        <v>2</v>
      </c>
      <c r="D48" s="203" t="s">
        <v>264</v>
      </c>
      <c r="E48" s="166">
        <v>4</v>
      </c>
      <c r="F48" s="182">
        <v>2000</v>
      </c>
      <c r="G48" s="180">
        <v>500</v>
      </c>
      <c r="H48" s="460"/>
      <c r="I48" s="166">
        <f t="shared" ref="I48:I56" si="28">AVERAGE(P48,U48,Z48,AE48,AJ48,AO48,AT48)</f>
        <v>5</v>
      </c>
      <c r="J48" s="166">
        <f t="shared" ref="J48:J56" si="29">AVERAGE(Q48,V48,AA48,AF48,AK48,AP48,AU48)</f>
        <v>2077.2763199497058</v>
      </c>
      <c r="K48" s="180">
        <f t="shared" ref="K48:K56" si="30">AVERAGE(R48,W48,AB48,AG48,AL48,AQ48,AV48)</f>
        <v>415.45526398994116</v>
      </c>
      <c r="L48" s="460"/>
      <c r="M48" s="181">
        <f>RANK(K48, K$47:$K$61)</f>
        <v>3</v>
      </c>
      <c r="N48" s="462"/>
      <c r="O48" s="462"/>
      <c r="P48" s="182">
        <v>5</v>
      </c>
      <c r="Q48" s="166">
        <v>2100.0000000000009</v>
      </c>
      <c r="R48" s="166">
        <v>420.00000000000017</v>
      </c>
      <c r="S48" s="182">
        <f t="shared" ref="S48:S61" si="31">RANK(R48, R$47:R$61)</f>
        <v>3</v>
      </c>
      <c r="T48" s="491"/>
      <c r="U48" s="182">
        <v>5</v>
      </c>
      <c r="V48" s="166">
        <v>2094.0000000000005</v>
      </c>
      <c r="W48" s="166">
        <v>418.80000000000007</v>
      </c>
      <c r="X48" s="182">
        <f t="shared" ref="X48:X61" si="32">RANK(W48, W$47:W$61)</f>
        <v>1</v>
      </c>
      <c r="Y48" s="491"/>
      <c r="Z48" s="182">
        <v>5</v>
      </c>
      <c r="AA48" s="166">
        <v>2054.7540983606559</v>
      </c>
      <c r="AB48" s="166">
        <v>410.95081967213116</v>
      </c>
      <c r="AC48" s="182">
        <f t="shared" ref="AC48:AC61" si="33">RANK(AB48, AB$47:AB$61)</f>
        <v>3</v>
      </c>
      <c r="AD48" s="491"/>
      <c r="AE48" s="182">
        <v>5</v>
      </c>
      <c r="AF48" s="166">
        <v>2071.836734693878</v>
      </c>
      <c r="AG48" s="166">
        <v>414.3673469387756</v>
      </c>
      <c r="AH48" s="182">
        <f t="shared" ref="AH48:AH61" si="34">RANK(AG48, AG$47:AG$61)</f>
        <v>2</v>
      </c>
      <c r="AI48" s="491"/>
      <c r="AJ48" s="182">
        <v>5</v>
      </c>
      <c r="AK48" s="166">
        <v>2081.7857142857129</v>
      </c>
      <c r="AL48" s="166">
        <v>416.35714285714255</v>
      </c>
      <c r="AM48" s="182">
        <f t="shared" ref="AM48:AM61" si="35">RANK(AL48, AL$47:AL$61)</f>
        <v>2</v>
      </c>
      <c r="AN48" s="491"/>
      <c r="AO48" s="182">
        <v>5</v>
      </c>
      <c r="AP48" s="166">
        <v>2072.3076923076919</v>
      </c>
      <c r="AQ48" s="166">
        <v>414.4615384615384</v>
      </c>
      <c r="AR48" s="182">
        <f t="shared" ref="AR48:AR61" si="36">RANK(AQ48, AQ$47:AQ$61)</f>
        <v>3</v>
      </c>
      <c r="AS48" s="491"/>
      <c r="AT48" s="182">
        <v>5</v>
      </c>
      <c r="AU48" s="166">
        <v>2066.2500000000009</v>
      </c>
      <c r="AV48" s="166">
        <v>413.25000000000017</v>
      </c>
      <c r="AW48" s="182">
        <f t="shared" ref="AW48:AW61" si="37">RANK(AV48, AV$47:AV$61)</f>
        <v>3</v>
      </c>
      <c r="AX48" s="491"/>
    </row>
    <row r="49" spans="2:50">
      <c r="B49" s="479"/>
      <c r="C49" s="182">
        <v>3</v>
      </c>
      <c r="D49" s="203" t="s">
        <v>265</v>
      </c>
      <c r="E49" s="166">
        <v>14</v>
      </c>
      <c r="F49" s="182">
        <v>2118</v>
      </c>
      <c r="G49" s="180">
        <v>151.30000000000001</v>
      </c>
      <c r="H49" s="460"/>
      <c r="I49" s="166">
        <f t="shared" si="28"/>
        <v>14</v>
      </c>
      <c r="J49" s="166">
        <f t="shared" si="29"/>
        <v>2108.4214783277057</v>
      </c>
      <c r="K49" s="180">
        <f t="shared" si="30"/>
        <v>150.60153416626468</v>
      </c>
      <c r="L49" s="460"/>
      <c r="M49" s="181">
        <f>RANK(K49, K$47:$K$61)</f>
        <v>11</v>
      </c>
      <c r="N49" s="462"/>
      <c r="O49" s="462"/>
      <c r="P49" s="182">
        <v>14</v>
      </c>
      <c r="Q49" s="166">
        <v>2173.584905660377</v>
      </c>
      <c r="R49" s="166">
        <v>155.25606469002693</v>
      </c>
      <c r="S49" s="182">
        <f t="shared" si="31"/>
        <v>11</v>
      </c>
      <c r="T49" s="491"/>
      <c r="U49" s="182">
        <v>14</v>
      </c>
      <c r="V49" s="166">
        <v>2087.5471698113201</v>
      </c>
      <c r="W49" s="166">
        <v>149.11051212938</v>
      </c>
      <c r="X49" s="182">
        <f t="shared" si="32"/>
        <v>11</v>
      </c>
      <c r="Y49" s="491"/>
      <c r="Z49" s="182">
        <v>14</v>
      </c>
      <c r="AA49" s="166">
        <v>2122.6415094339618</v>
      </c>
      <c r="AB49" s="166">
        <v>151.61725067385441</v>
      </c>
      <c r="AC49" s="182">
        <f t="shared" si="33"/>
        <v>11</v>
      </c>
      <c r="AD49" s="491"/>
      <c r="AE49" s="182">
        <v>14</v>
      </c>
      <c r="AF49" s="166">
        <v>2114.6341463414628</v>
      </c>
      <c r="AG49" s="166">
        <v>151.04529616724736</v>
      </c>
      <c r="AH49" s="182">
        <f t="shared" si="34"/>
        <v>11</v>
      </c>
      <c r="AI49" s="491"/>
      <c r="AJ49" s="182">
        <v>14</v>
      </c>
      <c r="AK49" s="166">
        <v>2131.836734693878</v>
      </c>
      <c r="AL49" s="166">
        <v>152.27405247813414</v>
      </c>
      <c r="AM49" s="182">
        <f t="shared" si="35"/>
        <v>11</v>
      </c>
      <c r="AN49" s="491"/>
      <c r="AO49" s="182">
        <v>14</v>
      </c>
      <c r="AP49" s="166">
        <v>2144.7058823529401</v>
      </c>
      <c r="AQ49" s="166">
        <v>153.19327731092429</v>
      </c>
      <c r="AR49" s="182">
        <f t="shared" si="36"/>
        <v>11</v>
      </c>
      <c r="AS49" s="491"/>
      <c r="AT49" s="182">
        <v>14</v>
      </c>
      <c r="AU49" s="166">
        <v>1984.0000000000007</v>
      </c>
      <c r="AV49" s="166">
        <v>141.71428571428575</v>
      </c>
      <c r="AW49" s="182">
        <f t="shared" si="37"/>
        <v>11</v>
      </c>
      <c r="AX49" s="491"/>
    </row>
    <row r="50" spans="2:50">
      <c r="B50" s="479"/>
      <c r="C50" s="182">
        <v>4</v>
      </c>
      <c r="D50" s="203" t="s">
        <v>266</v>
      </c>
      <c r="E50" s="166">
        <v>13</v>
      </c>
      <c r="F50" s="182">
        <v>2118</v>
      </c>
      <c r="G50" s="180">
        <v>162.9</v>
      </c>
      <c r="H50" s="460"/>
      <c r="I50" s="166">
        <f t="shared" si="28"/>
        <v>13</v>
      </c>
      <c r="J50" s="166">
        <f t="shared" si="29"/>
        <v>2118.4883426370857</v>
      </c>
      <c r="K50" s="180">
        <f t="shared" si="30"/>
        <v>162.9606417413143</v>
      </c>
      <c r="L50" s="460"/>
      <c r="M50" s="181">
        <f>RANK(K50, K$47:$K$61)</f>
        <v>10</v>
      </c>
      <c r="N50" s="462"/>
      <c r="O50" s="462"/>
      <c r="P50" s="182">
        <v>13</v>
      </c>
      <c r="Q50" s="166">
        <v>2143.1250000000009</v>
      </c>
      <c r="R50" s="166">
        <v>164.85576923076931</v>
      </c>
      <c r="S50" s="182">
        <f t="shared" si="31"/>
        <v>10</v>
      </c>
      <c r="T50" s="491"/>
      <c r="U50" s="182">
        <v>13</v>
      </c>
      <c r="V50" s="166">
        <v>2149.354838709678</v>
      </c>
      <c r="W50" s="166">
        <v>165.33498759305215</v>
      </c>
      <c r="X50" s="182">
        <f t="shared" si="32"/>
        <v>10</v>
      </c>
      <c r="Y50" s="491"/>
      <c r="Z50" s="182">
        <v>13</v>
      </c>
      <c r="AA50" s="166">
        <v>2138.0000000000005</v>
      </c>
      <c r="AB50" s="166">
        <v>164.46153846153851</v>
      </c>
      <c r="AC50" s="182">
        <f t="shared" si="33"/>
        <v>10</v>
      </c>
      <c r="AD50" s="491"/>
      <c r="AE50" s="182">
        <v>13</v>
      </c>
      <c r="AF50" s="166">
        <v>2129.4117647058833</v>
      </c>
      <c r="AG50" s="166">
        <v>163.80090497737564</v>
      </c>
      <c r="AH50" s="182">
        <f t="shared" si="34"/>
        <v>10</v>
      </c>
      <c r="AI50" s="491"/>
      <c r="AJ50" s="182">
        <v>13</v>
      </c>
      <c r="AK50" s="166">
        <v>2139.3103448275865</v>
      </c>
      <c r="AL50" s="166">
        <v>164.56233421750665</v>
      </c>
      <c r="AM50" s="182">
        <f t="shared" si="35"/>
        <v>10</v>
      </c>
      <c r="AN50" s="491"/>
      <c r="AO50" s="182">
        <v>13</v>
      </c>
      <c r="AP50" s="166">
        <v>2084.7619047619055</v>
      </c>
      <c r="AQ50" s="166">
        <v>160.36630036630044</v>
      </c>
      <c r="AR50" s="182">
        <f t="shared" si="36"/>
        <v>10</v>
      </c>
      <c r="AS50" s="491"/>
      <c r="AT50" s="182">
        <v>13</v>
      </c>
      <c r="AU50" s="166">
        <v>2045.4545454545464</v>
      </c>
      <c r="AV50" s="166">
        <v>157.34265734265742</v>
      </c>
      <c r="AW50" s="182">
        <f t="shared" si="37"/>
        <v>10</v>
      </c>
      <c r="AX50" s="491"/>
    </row>
    <row r="51" spans="2:50">
      <c r="B51" s="479"/>
      <c r="C51" s="182">
        <v>5</v>
      </c>
      <c r="D51" s="203" t="s">
        <v>267</v>
      </c>
      <c r="E51" s="166">
        <v>11</v>
      </c>
      <c r="F51" s="182">
        <v>2250</v>
      </c>
      <c r="G51" s="180">
        <v>204.5</v>
      </c>
      <c r="H51" s="460"/>
      <c r="I51" s="166">
        <f t="shared" si="28"/>
        <v>11</v>
      </c>
      <c r="J51" s="166">
        <f t="shared" si="29"/>
        <v>2115.9263498647165</v>
      </c>
      <c r="K51" s="180">
        <f t="shared" si="30"/>
        <v>192.35694089679242</v>
      </c>
      <c r="L51" s="460"/>
      <c r="M51" s="181">
        <f>RANK(K51, K$47:$K$61)</f>
        <v>7</v>
      </c>
      <c r="N51" s="462"/>
      <c r="O51" s="462"/>
      <c r="P51" s="182">
        <v>11</v>
      </c>
      <c r="Q51" s="166">
        <v>2101.5999999999995</v>
      </c>
      <c r="R51" s="166">
        <v>191.0545454545454</v>
      </c>
      <c r="S51" s="182">
        <f t="shared" si="31"/>
        <v>7</v>
      </c>
      <c r="T51" s="491"/>
      <c r="U51" s="182">
        <v>11</v>
      </c>
      <c r="V51" s="166">
        <v>2100.0000000000005</v>
      </c>
      <c r="W51" s="166">
        <v>190.90909090909096</v>
      </c>
      <c r="X51" s="182">
        <f t="shared" si="32"/>
        <v>8</v>
      </c>
      <c r="Y51" s="491"/>
      <c r="Z51" s="182">
        <v>11</v>
      </c>
      <c r="AA51" s="166">
        <v>2134.0298507462689</v>
      </c>
      <c r="AB51" s="166">
        <v>194.00271370420626</v>
      </c>
      <c r="AC51" s="182">
        <f t="shared" si="33"/>
        <v>6</v>
      </c>
      <c r="AD51" s="491"/>
      <c r="AE51" s="182">
        <v>11</v>
      </c>
      <c r="AF51" s="166">
        <v>2143.4482758620688</v>
      </c>
      <c r="AG51" s="166">
        <v>194.858934169279</v>
      </c>
      <c r="AH51" s="182">
        <f t="shared" si="34"/>
        <v>6</v>
      </c>
      <c r="AI51" s="491"/>
      <c r="AJ51" s="182">
        <v>11</v>
      </c>
      <c r="AK51" s="166">
        <v>2156.3076923076919</v>
      </c>
      <c r="AL51" s="166">
        <v>196.027972027972</v>
      </c>
      <c r="AM51" s="182">
        <f t="shared" si="35"/>
        <v>7</v>
      </c>
      <c r="AN51" s="491"/>
      <c r="AO51" s="182">
        <v>11</v>
      </c>
      <c r="AP51" s="166">
        <v>2133.6986301369857</v>
      </c>
      <c r="AQ51" s="166">
        <v>193.97260273972597</v>
      </c>
      <c r="AR51" s="182">
        <f t="shared" si="36"/>
        <v>7</v>
      </c>
      <c r="AS51" s="491"/>
      <c r="AT51" s="182">
        <v>11</v>
      </c>
      <c r="AU51" s="166">
        <v>2042.3999999999996</v>
      </c>
      <c r="AV51" s="166">
        <v>185.67272727272723</v>
      </c>
      <c r="AW51" s="182">
        <f t="shared" si="37"/>
        <v>6</v>
      </c>
      <c r="AX51" s="491"/>
    </row>
    <row r="52" spans="2:50">
      <c r="B52" s="479"/>
      <c r="C52" s="182">
        <v>6</v>
      </c>
      <c r="D52" s="203" t="s">
        <v>268</v>
      </c>
      <c r="E52" s="166">
        <v>12</v>
      </c>
      <c r="F52" s="182">
        <v>2250</v>
      </c>
      <c r="G52" s="180">
        <v>187.5</v>
      </c>
      <c r="H52" s="460"/>
      <c r="I52" s="166">
        <f t="shared" si="28"/>
        <v>12</v>
      </c>
      <c r="J52" s="166">
        <f t="shared" si="29"/>
        <v>2054.2006435289877</v>
      </c>
      <c r="K52" s="180">
        <f t="shared" si="30"/>
        <v>171.18338696074898</v>
      </c>
      <c r="L52" s="460"/>
      <c r="M52" s="181">
        <f>RANK(K52, K$47:$K$61)</f>
        <v>9</v>
      </c>
      <c r="N52" s="462"/>
      <c r="O52" s="462"/>
      <c r="P52" s="182">
        <v>12</v>
      </c>
      <c r="Q52" s="166">
        <v>2071.3513513513503</v>
      </c>
      <c r="R52" s="166">
        <v>172.61261261261254</v>
      </c>
      <c r="S52" s="182">
        <f t="shared" si="31"/>
        <v>9</v>
      </c>
      <c r="T52" s="491"/>
      <c r="U52" s="182">
        <v>12</v>
      </c>
      <c r="V52" s="166">
        <v>2049.2307692307704</v>
      </c>
      <c r="W52" s="166">
        <v>170.76923076923086</v>
      </c>
      <c r="X52" s="182">
        <f t="shared" si="32"/>
        <v>9</v>
      </c>
      <c r="Y52" s="491"/>
      <c r="Z52" s="182">
        <v>12</v>
      </c>
      <c r="AA52" s="166">
        <v>2045.6074766355139</v>
      </c>
      <c r="AB52" s="166">
        <v>170.46728971962617</v>
      </c>
      <c r="AC52" s="182">
        <f t="shared" si="33"/>
        <v>9</v>
      </c>
      <c r="AD52" s="491"/>
      <c r="AE52" s="182">
        <v>12</v>
      </c>
      <c r="AF52" s="166">
        <v>2069.5999999999995</v>
      </c>
      <c r="AG52" s="166">
        <v>172.46666666666661</v>
      </c>
      <c r="AH52" s="182">
        <f t="shared" si="34"/>
        <v>9</v>
      </c>
      <c r="AI52" s="491"/>
      <c r="AJ52" s="182">
        <v>12</v>
      </c>
      <c r="AK52" s="166">
        <v>2089.024390243902</v>
      </c>
      <c r="AL52" s="166">
        <v>174.08536585365849</v>
      </c>
      <c r="AM52" s="182">
        <f t="shared" si="35"/>
        <v>9</v>
      </c>
      <c r="AN52" s="491"/>
      <c r="AO52" s="182">
        <v>12</v>
      </c>
      <c r="AP52" s="166">
        <v>2075.6250000000005</v>
      </c>
      <c r="AQ52" s="166">
        <v>172.96875000000003</v>
      </c>
      <c r="AR52" s="182">
        <f t="shared" si="36"/>
        <v>9</v>
      </c>
      <c r="AS52" s="491"/>
      <c r="AT52" s="182">
        <v>12</v>
      </c>
      <c r="AU52" s="166">
        <v>1978.9655172413786</v>
      </c>
      <c r="AV52" s="166">
        <v>164.91379310344823</v>
      </c>
      <c r="AW52" s="182">
        <f t="shared" si="37"/>
        <v>9</v>
      </c>
      <c r="AX52" s="491"/>
    </row>
    <row r="53" spans="2:50">
      <c r="B53" s="479"/>
      <c r="C53" s="182">
        <v>7</v>
      </c>
      <c r="D53" s="203" t="s">
        <v>269</v>
      </c>
      <c r="E53" s="166">
        <v>11</v>
      </c>
      <c r="F53" s="182">
        <v>2118</v>
      </c>
      <c r="G53" s="180">
        <v>192.5</v>
      </c>
      <c r="H53" s="460"/>
      <c r="I53" s="166">
        <f t="shared" si="28"/>
        <v>11</v>
      </c>
      <c r="J53" s="166">
        <f t="shared" si="29"/>
        <v>2096.3488426709109</v>
      </c>
      <c r="K53" s="180">
        <f t="shared" si="30"/>
        <v>190.57716751553735</v>
      </c>
      <c r="L53" s="460"/>
      <c r="M53" s="181">
        <f>RANK(K53, K$47:$K$61)</f>
        <v>8</v>
      </c>
      <c r="N53" s="462"/>
      <c r="O53" s="462"/>
      <c r="P53" s="182">
        <v>11</v>
      </c>
      <c r="Q53" s="166">
        <v>2097.3076923076937</v>
      </c>
      <c r="R53" s="166">
        <v>190.66433566433579</v>
      </c>
      <c r="S53" s="182">
        <f t="shared" si="31"/>
        <v>8</v>
      </c>
      <c r="T53" s="491"/>
      <c r="U53" s="182">
        <v>11</v>
      </c>
      <c r="V53" s="166">
        <v>2109.1304347826085</v>
      </c>
      <c r="W53" s="166">
        <v>191.7391304347826</v>
      </c>
      <c r="X53" s="182">
        <f t="shared" si="32"/>
        <v>7</v>
      </c>
      <c r="Y53" s="491"/>
      <c r="Z53" s="182">
        <v>11</v>
      </c>
      <c r="AA53" s="166">
        <v>2099.6769230769223</v>
      </c>
      <c r="AB53" s="166">
        <v>190.8797202797202</v>
      </c>
      <c r="AC53" s="182">
        <f t="shared" si="33"/>
        <v>7</v>
      </c>
      <c r="AD53" s="491"/>
      <c r="AE53" s="182">
        <v>11</v>
      </c>
      <c r="AF53" s="166">
        <v>2115.8421052631593</v>
      </c>
      <c r="AG53" s="166">
        <v>192.34928229665084</v>
      </c>
      <c r="AH53" s="182">
        <f t="shared" si="34"/>
        <v>8</v>
      </c>
      <c r="AI53" s="491"/>
      <c r="AJ53" s="182">
        <v>11</v>
      </c>
      <c r="AK53" s="166">
        <v>2107.2187499999995</v>
      </c>
      <c r="AL53" s="166">
        <v>191.56534090909088</v>
      </c>
      <c r="AM53" s="182">
        <f t="shared" si="35"/>
        <v>8</v>
      </c>
      <c r="AN53" s="491"/>
      <c r="AO53" s="182">
        <v>11</v>
      </c>
      <c r="AP53" s="166">
        <v>2103.6296296296287</v>
      </c>
      <c r="AQ53" s="166">
        <v>191.23905723905716</v>
      </c>
      <c r="AR53" s="182">
        <f t="shared" si="36"/>
        <v>8</v>
      </c>
      <c r="AS53" s="491"/>
      <c r="AT53" s="182">
        <v>11</v>
      </c>
      <c r="AU53" s="166">
        <v>2041.6363636363635</v>
      </c>
      <c r="AV53" s="166">
        <v>185.60330578512395</v>
      </c>
      <c r="AW53" s="182">
        <f t="shared" si="37"/>
        <v>7</v>
      </c>
      <c r="AX53" s="491"/>
    </row>
    <row r="54" spans="2:50">
      <c r="B54" s="479"/>
      <c r="C54" s="182">
        <v>8</v>
      </c>
      <c r="D54" s="203" t="s">
        <v>270</v>
      </c>
      <c r="E54" s="166">
        <v>18</v>
      </c>
      <c r="F54" s="182">
        <v>1250</v>
      </c>
      <c r="G54" s="180">
        <v>69.444444444444443</v>
      </c>
      <c r="H54" s="460"/>
      <c r="I54" s="166">
        <f t="shared" si="28"/>
        <v>13.142857142857142</v>
      </c>
      <c r="J54" s="166">
        <f t="shared" si="29"/>
        <v>1251.1349939975994</v>
      </c>
      <c r="K54" s="180">
        <f t="shared" si="30"/>
        <v>95.265747837596592</v>
      </c>
      <c r="L54" s="460"/>
      <c r="M54" s="181">
        <f>RANK(K54, K$47:$K$61)</f>
        <v>12</v>
      </c>
      <c r="N54" s="462"/>
      <c r="O54" s="462"/>
      <c r="P54" s="182">
        <v>13</v>
      </c>
      <c r="Q54" s="166">
        <v>1220.5714285714287</v>
      </c>
      <c r="R54" s="166">
        <v>93.890109890109898</v>
      </c>
      <c r="S54" s="182">
        <f t="shared" si="31"/>
        <v>12</v>
      </c>
      <c r="T54" s="491"/>
      <c r="U54" s="182">
        <v>13</v>
      </c>
      <c r="V54" s="166">
        <v>1286.8235294117655</v>
      </c>
      <c r="W54" s="166">
        <v>98.986425339366576</v>
      </c>
      <c r="X54" s="182">
        <f t="shared" si="32"/>
        <v>12</v>
      </c>
      <c r="Y54" s="491"/>
      <c r="Z54" s="182">
        <v>14</v>
      </c>
      <c r="AA54" s="166">
        <v>1242.6666666666667</v>
      </c>
      <c r="AB54" s="166">
        <v>88.761904761904773</v>
      </c>
      <c r="AC54" s="182">
        <f t="shared" si="33"/>
        <v>12</v>
      </c>
      <c r="AD54" s="491"/>
      <c r="AE54" s="182">
        <v>13</v>
      </c>
      <c r="AF54" s="166">
        <v>1257.7500000000007</v>
      </c>
      <c r="AG54" s="166">
        <v>96.750000000000057</v>
      </c>
      <c r="AH54" s="182">
        <f t="shared" si="34"/>
        <v>12</v>
      </c>
      <c r="AI54" s="491"/>
      <c r="AJ54" s="182">
        <v>13</v>
      </c>
      <c r="AK54" s="166">
        <v>1233.0000000000007</v>
      </c>
      <c r="AL54" s="166">
        <v>94.846153846153896</v>
      </c>
      <c r="AM54" s="182">
        <f t="shared" si="35"/>
        <v>12</v>
      </c>
      <c r="AN54" s="491"/>
      <c r="AO54" s="182">
        <v>13</v>
      </c>
      <c r="AP54" s="166">
        <v>1267.8000000000004</v>
      </c>
      <c r="AQ54" s="166">
        <v>97.523076923076957</v>
      </c>
      <c r="AR54" s="182">
        <f t="shared" si="36"/>
        <v>12</v>
      </c>
      <c r="AS54" s="491"/>
      <c r="AT54" s="182">
        <v>13</v>
      </c>
      <c r="AU54" s="166">
        <v>1249.3333333333335</v>
      </c>
      <c r="AV54" s="166">
        <v>96.102564102564116</v>
      </c>
      <c r="AW54" s="182">
        <f t="shared" si="37"/>
        <v>12</v>
      </c>
      <c r="AX54" s="491"/>
    </row>
    <row r="55" spans="2:50">
      <c r="B55" s="479"/>
      <c r="C55" s="182">
        <v>9</v>
      </c>
      <c r="D55" s="203" t="s">
        <v>271</v>
      </c>
      <c r="E55" s="166">
        <v>6</v>
      </c>
      <c r="F55" s="182">
        <v>2000</v>
      </c>
      <c r="G55" s="180">
        <v>333.33333333333331</v>
      </c>
      <c r="H55" s="460"/>
      <c r="I55" s="166">
        <f t="shared" si="28"/>
        <v>7</v>
      </c>
      <c r="J55" s="166">
        <f t="shared" si="29"/>
        <v>1912.8317565892737</v>
      </c>
      <c r="K55" s="180">
        <f t="shared" si="30"/>
        <v>273.26167951275335</v>
      </c>
      <c r="L55" s="460"/>
      <c r="M55" s="181">
        <f>RANK(K55, K$47:$K$61)</f>
        <v>5</v>
      </c>
      <c r="N55" s="462"/>
      <c r="O55" s="462"/>
      <c r="P55" s="182">
        <v>7</v>
      </c>
      <c r="Q55" s="166">
        <v>2043.1578947368405</v>
      </c>
      <c r="R55" s="166">
        <v>291.87969924812006</v>
      </c>
      <c r="S55" s="182">
        <f t="shared" si="31"/>
        <v>5</v>
      </c>
      <c r="T55" s="491"/>
      <c r="U55" s="182">
        <v>7</v>
      </c>
      <c r="V55" s="166">
        <v>2011.4285714285706</v>
      </c>
      <c r="W55" s="166">
        <v>287.34693877551007</v>
      </c>
      <c r="X55" s="182">
        <f t="shared" si="32"/>
        <v>5</v>
      </c>
      <c r="Y55" s="491"/>
      <c r="Z55" s="182">
        <v>7</v>
      </c>
      <c r="AA55" s="166">
        <v>2079.9999999999982</v>
      </c>
      <c r="AB55" s="166">
        <v>297.14285714285688</v>
      </c>
      <c r="AC55" s="182">
        <f t="shared" si="33"/>
        <v>5</v>
      </c>
      <c r="AD55" s="491"/>
      <c r="AE55" s="182">
        <v>7</v>
      </c>
      <c r="AF55" s="166">
        <v>1721.5384615384571</v>
      </c>
      <c r="AG55" s="166">
        <v>245.9340659340653</v>
      </c>
      <c r="AH55" s="182">
        <f t="shared" si="34"/>
        <v>5</v>
      </c>
      <c r="AI55" s="491"/>
      <c r="AJ55" s="182">
        <v>7</v>
      </c>
      <c r="AK55" s="166">
        <v>1730.9999999999995</v>
      </c>
      <c r="AL55" s="166">
        <v>247.28571428571422</v>
      </c>
      <c r="AM55" s="182">
        <f t="shared" si="35"/>
        <v>5</v>
      </c>
      <c r="AN55" s="491"/>
      <c r="AO55" s="182">
        <v>7</v>
      </c>
      <c r="AP55" s="166">
        <v>1743.7499999999977</v>
      </c>
      <c r="AQ55" s="166">
        <v>249.10714285714252</v>
      </c>
      <c r="AR55" s="182">
        <f t="shared" si="36"/>
        <v>5</v>
      </c>
      <c r="AS55" s="491"/>
      <c r="AT55" s="182">
        <v>7</v>
      </c>
      <c r="AU55" s="166">
        <v>2058.9473684210511</v>
      </c>
      <c r="AV55" s="166">
        <v>294.13533834586445</v>
      </c>
      <c r="AW55" s="182">
        <f t="shared" si="37"/>
        <v>5</v>
      </c>
      <c r="AX55" s="491"/>
    </row>
    <row r="56" spans="2:50">
      <c r="B56" s="479"/>
      <c r="C56" s="182">
        <v>10</v>
      </c>
      <c r="D56" s="203" t="s">
        <v>272</v>
      </c>
      <c r="E56" s="166">
        <v>4</v>
      </c>
      <c r="F56" s="182">
        <v>2000</v>
      </c>
      <c r="G56" s="180">
        <v>500</v>
      </c>
      <c r="H56" s="460"/>
      <c r="I56" s="166">
        <f t="shared" si="28"/>
        <v>5</v>
      </c>
      <c r="J56" s="166">
        <f t="shared" si="29"/>
        <v>1808.1438561438554</v>
      </c>
      <c r="K56" s="180">
        <f t="shared" si="30"/>
        <v>361.62877122877114</v>
      </c>
      <c r="L56" s="460"/>
      <c r="M56" s="181">
        <f>RANK(K56, K$47:$K$61)</f>
        <v>4</v>
      </c>
      <c r="N56" s="462"/>
      <c r="O56" s="462"/>
      <c r="P56" s="182">
        <v>5</v>
      </c>
      <c r="Q56" s="166">
        <v>2058.4615384614954</v>
      </c>
      <c r="R56" s="166">
        <v>411.6923076922991</v>
      </c>
      <c r="S56" s="182">
        <f t="shared" si="31"/>
        <v>4</v>
      </c>
      <c r="T56" s="491"/>
      <c r="U56" s="182">
        <v>5</v>
      </c>
      <c r="V56" s="166">
        <v>1732.0000000000061</v>
      </c>
      <c r="W56" s="166">
        <v>346.40000000000123</v>
      </c>
      <c r="X56" s="182">
        <f t="shared" si="32"/>
        <v>4</v>
      </c>
      <c r="Y56" s="491"/>
      <c r="Z56" s="182">
        <v>5</v>
      </c>
      <c r="AA56" s="166">
        <v>1780.0000000000064</v>
      </c>
      <c r="AB56" s="166">
        <v>356.00000000000125</v>
      </c>
      <c r="AC56" s="182">
        <f t="shared" si="33"/>
        <v>4</v>
      </c>
      <c r="AD56" s="491"/>
      <c r="AE56" s="182">
        <v>5</v>
      </c>
      <c r="AF56" s="166">
        <v>1729.0909090909151</v>
      </c>
      <c r="AG56" s="166">
        <v>345.81818181818301</v>
      </c>
      <c r="AH56" s="182">
        <f t="shared" si="34"/>
        <v>4</v>
      </c>
      <c r="AI56" s="491"/>
      <c r="AJ56" s="182">
        <v>5</v>
      </c>
      <c r="AK56" s="166">
        <v>1760.0000000000064</v>
      </c>
      <c r="AL56" s="166">
        <v>352.00000000000125</v>
      </c>
      <c r="AM56" s="182">
        <f t="shared" si="35"/>
        <v>4</v>
      </c>
      <c r="AN56" s="491"/>
      <c r="AO56" s="182">
        <v>5</v>
      </c>
      <c r="AP56" s="166">
        <v>1805.4545454545519</v>
      </c>
      <c r="AQ56" s="166">
        <v>361.09090909091037</v>
      </c>
      <c r="AR56" s="182">
        <f t="shared" si="36"/>
        <v>4</v>
      </c>
      <c r="AS56" s="491"/>
      <c r="AT56" s="182">
        <v>5</v>
      </c>
      <c r="AU56" s="166">
        <v>1792.0000000000064</v>
      </c>
      <c r="AV56" s="166">
        <v>358.40000000000128</v>
      </c>
      <c r="AW56" s="182">
        <f t="shared" si="37"/>
        <v>4</v>
      </c>
      <c r="AX56" s="491"/>
    </row>
    <row r="57" spans="2:50">
      <c r="B57" s="479"/>
      <c r="C57" s="182">
        <v>11</v>
      </c>
      <c r="D57" s="203" t="s">
        <v>273</v>
      </c>
      <c r="E57" s="166">
        <v>11</v>
      </c>
      <c r="F57" s="182">
        <v>2250</v>
      </c>
      <c r="G57" s="180">
        <v>192.5</v>
      </c>
      <c r="H57" s="460"/>
      <c r="I57" s="166">
        <f t="shared" ref="I57" si="38">AVERAGE(P57,U57,Z57,AE57,AJ57,AO57,AT57)</f>
        <v>11</v>
      </c>
      <c r="J57" s="166">
        <f t="shared" ref="J57" si="39">AVERAGE(Q57,V57,AA57,AF57,AK57,AP57,AU57)</f>
        <v>2121.7994253111219</v>
      </c>
      <c r="K57" s="180">
        <f t="shared" ref="K57" si="40">AVERAGE(R57,W57,AB57,AG57,AL57,AQ57,AV57)</f>
        <v>192.89085684646562</v>
      </c>
      <c r="L57" s="460"/>
      <c r="M57" s="181">
        <f>RANK(K57, K$47:$K$61)</f>
        <v>6</v>
      </c>
      <c r="N57" s="462"/>
      <c r="O57" s="462"/>
      <c r="P57" s="182">
        <v>11</v>
      </c>
      <c r="Q57" s="166">
        <v>2111.9999999999991</v>
      </c>
      <c r="R57" s="166">
        <v>191.99999999999991</v>
      </c>
      <c r="S57" s="182">
        <f t="shared" si="31"/>
        <v>6</v>
      </c>
      <c r="T57" s="491"/>
      <c r="U57" s="182">
        <v>11</v>
      </c>
      <c r="V57" s="166">
        <v>2160.0000000000005</v>
      </c>
      <c r="W57" s="166">
        <v>196.3636363636364</v>
      </c>
      <c r="X57" s="182">
        <f t="shared" si="32"/>
        <v>6</v>
      </c>
      <c r="Y57" s="491"/>
      <c r="Z57" s="182">
        <v>11</v>
      </c>
      <c r="AA57" s="166">
        <v>2098.6516853932585</v>
      </c>
      <c r="AB57" s="166">
        <v>190.7865168539326</v>
      </c>
      <c r="AC57" s="182">
        <f t="shared" si="33"/>
        <v>8</v>
      </c>
      <c r="AD57" s="491"/>
      <c r="AE57" s="182">
        <v>11</v>
      </c>
      <c r="AF57" s="166">
        <v>2138.3132530120474</v>
      </c>
      <c r="AG57" s="166">
        <v>194.39211391018614</v>
      </c>
      <c r="AH57" s="182">
        <f t="shared" si="34"/>
        <v>7</v>
      </c>
      <c r="AI57" s="491"/>
      <c r="AJ57" s="182">
        <v>11</v>
      </c>
      <c r="AK57" s="166">
        <v>2161.4285714285706</v>
      </c>
      <c r="AL57" s="166">
        <v>196.49350649350643</v>
      </c>
      <c r="AM57" s="182">
        <f t="shared" si="35"/>
        <v>6</v>
      </c>
      <c r="AN57" s="491"/>
      <c r="AO57" s="182">
        <v>11</v>
      </c>
      <c r="AP57" s="166">
        <v>2146.7307692307704</v>
      </c>
      <c r="AQ57" s="166">
        <v>195.15734265734275</v>
      </c>
      <c r="AR57" s="182">
        <f t="shared" si="36"/>
        <v>6</v>
      </c>
      <c r="AS57" s="491"/>
      <c r="AT57" s="182">
        <v>11</v>
      </c>
      <c r="AU57" s="166">
        <v>2035.4716981132069</v>
      </c>
      <c r="AV57" s="166">
        <v>185.04288164665516</v>
      </c>
      <c r="AW57" s="182">
        <f t="shared" si="37"/>
        <v>8</v>
      </c>
      <c r="AX57" s="491"/>
    </row>
    <row r="58" spans="2:50">
      <c r="B58" s="479"/>
      <c r="C58" s="182">
        <v>12</v>
      </c>
      <c r="D58" s="203" t="s">
        <v>274</v>
      </c>
      <c r="E58" s="166">
        <v>4</v>
      </c>
      <c r="F58" s="182">
        <v>2000</v>
      </c>
      <c r="G58" s="180">
        <v>500</v>
      </c>
      <c r="H58" s="460"/>
      <c r="I58" s="166">
        <f t="shared" ref="I58" si="41">AVERAGE(P58,U58,Z58,AE58,AJ58,AO58,AT58)</f>
        <v>5</v>
      </c>
      <c r="J58" s="166">
        <f t="shared" ref="J58" si="42">AVERAGE(Q58,V58,AA58,AF58,AK58,AP58,AU58)</f>
        <v>2083.5297915526448</v>
      </c>
      <c r="K58" s="180">
        <f t="shared" ref="K58" si="43">AVERAGE(R58,W58,AB58,AG58,AL58,AQ58,AV58)</f>
        <v>416.7059583105289</v>
      </c>
      <c r="L58" s="460"/>
      <c r="M58" s="181">
        <f>RANK(K58, K$47:$K$61)</f>
        <v>2</v>
      </c>
      <c r="N58" s="462"/>
      <c r="O58" s="462"/>
      <c r="P58" s="182">
        <v>5</v>
      </c>
      <c r="Q58" s="166">
        <v>2111.9999999999991</v>
      </c>
      <c r="R58" s="166">
        <v>422.39999999999981</v>
      </c>
      <c r="S58" s="182">
        <f t="shared" si="31"/>
        <v>1</v>
      </c>
      <c r="T58" s="491"/>
      <c r="U58" s="182">
        <v>5</v>
      </c>
      <c r="V58" s="166">
        <v>2071.5789473684199</v>
      </c>
      <c r="W58" s="166">
        <v>414.31578947368399</v>
      </c>
      <c r="X58" s="182">
        <f t="shared" si="32"/>
        <v>2</v>
      </c>
      <c r="Y58" s="491"/>
      <c r="Z58" s="182">
        <v>5</v>
      </c>
      <c r="AA58" s="166">
        <v>2078.1818181818167</v>
      </c>
      <c r="AB58" s="166">
        <v>415.63636363636334</v>
      </c>
      <c r="AC58" s="182">
        <f t="shared" si="33"/>
        <v>2</v>
      </c>
      <c r="AD58" s="491"/>
      <c r="AE58" s="182">
        <v>5</v>
      </c>
      <c r="AF58" s="166">
        <v>2048.1081081081093</v>
      </c>
      <c r="AG58" s="166">
        <v>409.62162162162184</v>
      </c>
      <c r="AH58" s="182">
        <f t="shared" si="34"/>
        <v>3</v>
      </c>
      <c r="AI58" s="491"/>
      <c r="AJ58" s="182">
        <v>5</v>
      </c>
      <c r="AK58" s="166">
        <v>2087.6470588235297</v>
      </c>
      <c r="AL58" s="166">
        <v>417.52941176470597</v>
      </c>
      <c r="AM58" s="182">
        <f t="shared" si="35"/>
        <v>1</v>
      </c>
      <c r="AN58" s="491"/>
      <c r="AO58" s="182">
        <v>5</v>
      </c>
      <c r="AP58" s="166">
        <v>2110.4761904761899</v>
      </c>
      <c r="AQ58" s="166">
        <v>422.09523809523796</v>
      </c>
      <c r="AR58" s="182">
        <f t="shared" si="36"/>
        <v>2</v>
      </c>
      <c r="AS58" s="491"/>
      <c r="AT58" s="182">
        <v>5</v>
      </c>
      <c r="AU58" s="166">
        <v>2076.7164179104479</v>
      </c>
      <c r="AV58" s="166">
        <v>415.34328358208961</v>
      </c>
      <c r="AW58" s="182">
        <f t="shared" si="37"/>
        <v>2</v>
      </c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66"/>
      <c r="R59" s="166"/>
      <c r="S59" s="182" t="e">
        <f t="shared" si="31"/>
        <v>#N/A</v>
      </c>
      <c r="T59" s="491"/>
      <c r="U59" s="182"/>
      <c r="V59" s="166"/>
      <c r="W59" s="166"/>
      <c r="X59" s="182" t="e">
        <f t="shared" si="32"/>
        <v>#N/A</v>
      </c>
      <c r="Y59" s="491"/>
      <c r="Z59" s="182"/>
      <c r="AA59" s="166"/>
      <c r="AB59" s="166"/>
      <c r="AC59" s="182" t="e">
        <f t="shared" si="33"/>
        <v>#N/A</v>
      </c>
      <c r="AD59" s="491"/>
      <c r="AE59" s="182"/>
      <c r="AF59" s="166"/>
      <c r="AG59" s="166"/>
      <c r="AH59" s="182" t="e">
        <f t="shared" si="34"/>
        <v>#N/A</v>
      </c>
      <c r="AI59" s="491"/>
      <c r="AJ59" s="182"/>
      <c r="AK59" s="166"/>
      <c r="AL59" s="166"/>
      <c r="AM59" s="182" t="e">
        <f t="shared" si="35"/>
        <v>#N/A</v>
      </c>
      <c r="AN59" s="491"/>
      <c r="AO59" s="182"/>
      <c r="AP59" s="166"/>
      <c r="AQ59" s="166"/>
      <c r="AR59" s="182" t="e">
        <f t="shared" si="36"/>
        <v>#N/A</v>
      </c>
      <c r="AS59" s="491"/>
      <c r="AT59" s="182"/>
      <c r="AU59" s="166"/>
      <c r="AV59" s="166"/>
      <c r="AW59" s="182" t="e">
        <f t="shared" si="37"/>
        <v>#N/A</v>
      </c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66"/>
      <c r="R60" s="166"/>
      <c r="S60" s="182" t="e">
        <f t="shared" si="31"/>
        <v>#N/A</v>
      </c>
      <c r="T60" s="491"/>
      <c r="U60" s="182"/>
      <c r="V60" s="166"/>
      <c r="W60" s="166"/>
      <c r="X60" s="182" t="e">
        <f t="shared" si="32"/>
        <v>#N/A</v>
      </c>
      <c r="Y60" s="491"/>
      <c r="Z60" s="182"/>
      <c r="AA60" s="166"/>
      <c r="AB60" s="166"/>
      <c r="AC60" s="182" t="e">
        <f t="shared" si="33"/>
        <v>#N/A</v>
      </c>
      <c r="AD60" s="491"/>
      <c r="AE60" s="182"/>
      <c r="AF60" s="166"/>
      <c r="AG60" s="166"/>
      <c r="AH60" s="182" t="e">
        <f t="shared" si="34"/>
        <v>#N/A</v>
      </c>
      <c r="AI60" s="491"/>
      <c r="AJ60" s="182"/>
      <c r="AK60" s="166"/>
      <c r="AL60" s="166"/>
      <c r="AM60" s="182" t="e">
        <f t="shared" si="35"/>
        <v>#N/A</v>
      </c>
      <c r="AN60" s="491"/>
      <c r="AO60" s="182"/>
      <c r="AP60" s="166"/>
      <c r="AQ60" s="166"/>
      <c r="AR60" s="182" t="e">
        <f t="shared" si="36"/>
        <v>#N/A</v>
      </c>
      <c r="AS60" s="491"/>
      <c r="AT60" s="182"/>
      <c r="AU60" s="166"/>
      <c r="AV60" s="166"/>
      <c r="AW60" s="182" t="e">
        <f t="shared" si="37"/>
        <v>#N/A</v>
      </c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66"/>
      <c r="R61" s="166"/>
      <c r="S61" s="182" t="e">
        <f t="shared" si="31"/>
        <v>#N/A</v>
      </c>
      <c r="T61" s="491"/>
      <c r="U61" s="182"/>
      <c r="V61" s="166"/>
      <c r="W61" s="166"/>
      <c r="X61" s="182" t="e">
        <f t="shared" si="32"/>
        <v>#N/A</v>
      </c>
      <c r="Y61" s="491"/>
      <c r="Z61" s="182"/>
      <c r="AA61" s="166"/>
      <c r="AB61" s="166"/>
      <c r="AC61" s="182" t="e">
        <f t="shared" si="33"/>
        <v>#N/A</v>
      </c>
      <c r="AD61" s="491"/>
      <c r="AE61" s="182"/>
      <c r="AF61" s="166"/>
      <c r="AG61" s="166"/>
      <c r="AH61" s="182" t="e">
        <f t="shared" si="34"/>
        <v>#N/A</v>
      </c>
      <c r="AI61" s="491"/>
      <c r="AJ61" s="182"/>
      <c r="AK61" s="166"/>
      <c r="AL61" s="166"/>
      <c r="AM61" s="182" t="e">
        <f t="shared" si="35"/>
        <v>#N/A</v>
      </c>
      <c r="AN61" s="491"/>
      <c r="AO61" s="182"/>
      <c r="AP61" s="166"/>
      <c r="AQ61" s="166"/>
      <c r="AR61" s="182" t="e">
        <f t="shared" si="36"/>
        <v>#N/A</v>
      </c>
      <c r="AS61" s="491"/>
      <c r="AT61" s="182"/>
      <c r="AU61" s="166"/>
      <c r="AV61" s="166"/>
      <c r="AW61" s="182" t="e">
        <f t="shared" si="37"/>
        <v>#N/A</v>
      </c>
      <c r="AX61" s="491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507" t="s">
        <v>262</v>
      </c>
      <c r="C67" s="182">
        <v>1</v>
      </c>
      <c r="D67" s="203" t="s">
        <v>263</v>
      </c>
      <c r="E67" s="166">
        <v>4</v>
      </c>
      <c r="F67" s="182">
        <v>2000</v>
      </c>
      <c r="G67" s="180">
        <v>500</v>
      </c>
      <c r="H67" s="459">
        <f>AVERAGE(G67:G81)</f>
        <v>291.1648148148148</v>
      </c>
      <c r="I67" s="166">
        <f>AVERAGE(P67,U67,Z67,AE67,AJ67,AO67,AT67)</f>
        <v>5</v>
      </c>
      <c r="J67" s="166">
        <f>AVERAGE(Q67,V67,AA67,AF67,AK67,AP67,AU67)</f>
        <v>2172.5965408852944</v>
      </c>
      <c r="K67" s="180">
        <f>AVERAGE(R67,W67,AB67,AG67,AL67,AQ67,AV67)</f>
        <v>434.51930817705886</v>
      </c>
      <c r="L67" s="459">
        <f>IFERROR(AVERAGE(K67:K81),"-")</f>
        <v>261.47141363125291</v>
      </c>
      <c r="M67" s="181">
        <f>RANK(K67, K$67:$K$81)</f>
        <v>3</v>
      </c>
      <c r="N67" s="462"/>
      <c r="O67" s="462"/>
      <c r="P67" s="166">
        <v>5</v>
      </c>
      <c r="Q67" s="166">
        <v>2177.5384615384614</v>
      </c>
      <c r="R67" s="166">
        <v>435.50769230769231</v>
      </c>
      <c r="S67" s="182">
        <f>RANK(R67, R$67:R$81)</f>
        <v>4</v>
      </c>
      <c r="T67" s="491">
        <f>AVERAGE(R67:R81)</f>
        <v>259.97576747569229</v>
      </c>
      <c r="U67" s="166">
        <v>5</v>
      </c>
      <c r="V67" s="166">
        <v>2132.3809523809532</v>
      </c>
      <c r="W67" s="166">
        <v>426.47619047619065</v>
      </c>
      <c r="X67" s="182">
        <f t="shared" ref="X67:X81" si="44">RANK(W67, W$67:W$81)</f>
        <v>4</v>
      </c>
      <c r="Y67" s="491">
        <f t="shared" ref="Y67" si="45">AVERAGE(W67:W81)</f>
        <v>260.91840878164959</v>
      </c>
      <c r="Z67" s="166">
        <v>5</v>
      </c>
      <c r="AA67" s="166">
        <v>2184.4067796610175</v>
      </c>
      <c r="AB67" s="166">
        <v>436.88135593220352</v>
      </c>
      <c r="AC67" s="182">
        <f t="shared" ref="AC67:AC81" si="46">RANK(AB67, AB$67:AB$81)</f>
        <v>2</v>
      </c>
      <c r="AD67" s="491">
        <f t="shared" ref="AD67" si="47">AVERAGE(AB67:AB81)</f>
        <v>259.71180648253011</v>
      </c>
      <c r="AE67" s="166">
        <v>5</v>
      </c>
      <c r="AF67" s="166">
        <v>2212.1739130434785</v>
      </c>
      <c r="AG67" s="166">
        <v>442.43478260869568</v>
      </c>
      <c r="AH67" s="182">
        <f t="shared" ref="AH67:AH81" si="48">RANK(AG67, AG$67:AG$81)</f>
        <v>2</v>
      </c>
      <c r="AI67" s="491">
        <f t="shared" ref="AI67" si="49">AVERAGE(AG67:AG81)</f>
        <v>266.86943980250629</v>
      </c>
      <c r="AJ67" s="166">
        <v>5</v>
      </c>
      <c r="AK67" s="166">
        <v>2171.1111111111109</v>
      </c>
      <c r="AL67" s="166">
        <v>434.22222222222217</v>
      </c>
      <c r="AM67" s="182">
        <f t="shared" ref="AM67:AM81" si="50">RANK(AL67, AL$67:AL$81)</f>
        <v>3</v>
      </c>
      <c r="AN67" s="491">
        <f t="shared" ref="AN67" si="51">AVERAGE(AL67:AL81)</f>
        <v>263.48404443180198</v>
      </c>
      <c r="AO67" s="166">
        <v>5</v>
      </c>
      <c r="AP67" s="166">
        <v>2166.086956521739</v>
      </c>
      <c r="AQ67" s="166">
        <v>433.21739130434781</v>
      </c>
      <c r="AR67" s="182">
        <f t="shared" ref="AR67:AR81" si="52">RANK(AQ67, AQ$67:AQ$81)</f>
        <v>1</v>
      </c>
      <c r="AS67" s="491">
        <f t="shared" ref="AS67" si="53">AVERAGE(AQ67:AQ81)</f>
        <v>260.08213227376172</v>
      </c>
      <c r="AT67" s="166">
        <v>5</v>
      </c>
      <c r="AU67" s="166">
        <v>2164.4776119402982</v>
      </c>
      <c r="AV67" s="166">
        <v>432.89552238805965</v>
      </c>
      <c r="AW67" s="182">
        <f t="shared" ref="AW67:AW81" si="54">RANK(AV67, AV$67:AV$81)</f>
        <v>3</v>
      </c>
      <c r="AX67" s="491">
        <f t="shared" ref="AX67" si="55">AVERAGE(AV67:AV81)</f>
        <v>259.25829617082877</v>
      </c>
    </row>
    <row r="68" spans="2:50">
      <c r="B68" s="479"/>
      <c r="C68" s="182">
        <v>2</v>
      </c>
      <c r="D68" s="203" t="s">
        <v>264</v>
      </c>
      <c r="E68" s="166">
        <v>4</v>
      </c>
      <c r="F68" s="182">
        <v>2000</v>
      </c>
      <c r="G68" s="180">
        <v>500</v>
      </c>
      <c r="H68" s="460"/>
      <c r="I68" s="166">
        <f t="shared" ref="I68:I75" si="56">AVERAGE(P68,U68,Z68,AE68,AJ68,AO68,AT68)</f>
        <v>5</v>
      </c>
      <c r="J68" s="166">
        <f t="shared" ref="J68:J75" si="57">AVERAGE(Q68,V68,AA68,AF68,AK68,AP68,AU68)</f>
        <v>2158.6126173603152</v>
      </c>
      <c r="K68" s="180">
        <f t="shared" ref="K68:K75" si="58">AVERAGE(R68,W68,AB68,AG68,AL68,AQ68,AV68)</f>
        <v>431.72252347206307</v>
      </c>
      <c r="L68" s="460"/>
      <c r="M68" s="181">
        <f>RANK(K68, K$67:$K$81)</f>
        <v>4</v>
      </c>
      <c r="N68" s="462"/>
      <c r="O68" s="462"/>
      <c r="P68" s="166">
        <v>5</v>
      </c>
      <c r="Q68" s="166">
        <v>2184.4067796610175</v>
      </c>
      <c r="R68" s="166">
        <v>436.88135593220352</v>
      </c>
      <c r="S68" s="182">
        <f t="shared" ref="S68:S81" si="59">RANK(R68, R$67:R$81)</f>
        <v>2</v>
      </c>
      <c r="T68" s="491"/>
      <c r="U68" s="166">
        <v>5</v>
      </c>
      <c r="V68" s="166">
        <v>2146.5517241379298</v>
      </c>
      <c r="W68" s="166">
        <v>429.31034482758594</v>
      </c>
      <c r="X68" s="182">
        <f t="shared" si="44"/>
        <v>3</v>
      </c>
      <c r="Y68" s="491"/>
      <c r="Z68" s="166">
        <v>5</v>
      </c>
      <c r="AA68" s="166">
        <v>2127.9999999999986</v>
      </c>
      <c r="AB68" s="166">
        <v>425.59999999999974</v>
      </c>
      <c r="AC68" s="182">
        <f t="shared" si="46"/>
        <v>3</v>
      </c>
      <c r="AD68" s="491"/>
      <c r="AE68" s="166">
        <v>5</v>
      </c>
      <c r="AF68" s="166">
        <v>2154.5454545454545</v>
      </c>
      <c r="AG68" s="166">
        <v>430.90909090909088</v>
      </c>
      <c r="AH68" s="182">
        <f t="shared" si="48"/>
        <v>3</v>
      </c>
      <c r="AI68" s="491"/>
      <c r="AJ68" s="166">
        <v>5</v>
      </c>
      <c r="AK68" s="166">
        <v>2186.5384615384628</v>
      </c>
      <c r="AL68" s="166">
        <v>437.30769230769255</v>
      </c>
      <c r="AM68" s="182">
        <f t="shared" si="50"/>
        <v>2</v>
      </c>
      <c r="AN68" s="491"/>
      <c r="AO68" s="166">
        <v>5</v>
      </c>
      <c r="AP68" s="166">
        <v>2145.245901639345</v>
      </c>
      <c r="AQ68" s="166">
        <v>429.04918032786901</v>
      </c>
      <c r="AR68" s="182">
        <f t="shared" si="52"/>
        <v>2</v>
      </c>
      <c r="AS68" s="491"/>
      <c r="AT68" s="166">
        <v>5</v>
      </c>
      <c r="AU68" s="166">
        <v>2165.0000000000005</v>
      </c>
      <c r="AV68" s="166">
        <v>433.00000000000011</v>
      </c>
      <c r="AW68" s="182">
        <f t="shared" si="54"/>
        <v>2</v>
      </c>
      <c r="AX68" s="491"/>
    </row>
    <row r="69" spans="2:50">
      <c r="B69" s="479"/>
      <c r="C69" s="182">
        <v>3</v>
      </c>
      <c r="D69" s="203" t="s">
        <v>265</v>
      </c>
      <c r="E69" s="166">
        <v>14</v>
      </c>
      <c r="F69" s="182">
        <v>2118</v>
      </c>
      <c r="G69" s="180">
        <v>151.30000000000001</v>
      </c>
      <c r="H69" s="460"/>
      <c r="I69" s="166">
        <f t="shared" si="56"/>
        <v>14</v>
      </c>
      <c r="J69" s="166">
        <f t="shared" si="57"/>
        <v>2063.9979032440497</v>
      </c>
      <c r="K69" s="180">
        <f t="shared" si="58"/>
        <v>147.42842166028927</v>
      </c>
      <c r="L69" s="460"/>
      <c r="M69" s="181">
        <f>RANK(K69, K$67:$K$81)</f>
        <v>11</v>
      </c>
      <c r="N69" s="462"/>
      <c r="O69" s="462"/>
      <c r="P69" s="166">
        <v>14</v>
      </c>
      <c r="Q69" s="166">
        <v>2019.6610169491528</v>
      </c>
      <c r="R69" s="166">
        <v>144.26150121065376</v>
      </c>
      <c r="S69" s="182">
        <f t="shared" si="59"/>
        <v>11</v>
      </c>
      <c r="T69" s="491"/>
      <c r="U69" s="166">
        <v>14</v>
      </c>
      <c r="V69" s="166">
        <v>2101.1320754716976</v>
      </c>
      <c r="W69" s="166">
        <v>150.08086253369268</v>
      </c>
      <c r="X69" s="182">
        <f t="shared" si="44"/>
        <v>11</v>
      </c>
      <c r="Y69" s="491"/>
      <c r="Z69" s="166">
        <v>14</v>
      </c>
      <c r="AA69" s="166">
        <v>2106.4285714285711</v>
      </c>
      <c r="AB69" s="166">
        <v>150.45918367346937</v>
      </c>
      <c r="AC69" s="182">
        <f t="shared" si="46"/>
        <v>11</v>
      </c>
      <c r="AD69" s="491"/>
      <c r="AE69" s="166">
        <v>14</v>
      </c>
      <c r="AF69" s="166">
        <v>2089.9999999999991</v>
      </c>
      <c r="AG69" s="166">
        <v>149.28571428571422</v>
      </c>
      <c r="AH69" s="182">
        <f t="shared" si="48"/>
        <v>11</v>
      </c>
      <c r="AI69" s="491"/>
      <c r="AJ69" s="166">
        <v>14</v>
      </c>
      <c r="AK69" s="166">
        <v>2020.7547169811314</v>
      </c>
      <c r="AL69" s="166">
        <v>144.33962264150938</v>
      </c>
      <c r="AM69" s="182">
        <f t="shared" si="50"/>
        <v>11</v>
      </c>
      <c r="AN69" s="491"/>
      <c r="AO69" s="166">
        <v>14</v>
      </c>
      <c r="AP69" s="166">
        <v>2065.090909090909</v>
      </c>
      <c r="AQ69" s="166">
        <v>147.50649350649351</v>
      </c>
      <c r="AR69" s="182">
        <f t="shared" si="52"/>
        <v>11</v>
      </c>
      <c r="AS69" s="491"/>
      <c r="AT69" s="166">
        <v>14</v>
      </c>
      <c r="AU69" s="166">
        <v>2044.918032786886</v>
      </c>
      <c r="AV69" s="166">
        <v>146.06557377049185</v>
      </c>
      <c r="AW69" s="182">
        <f t="shared" si="54"/>
        <v>11</v>
      </c>
      <c r="AX69" s="491"/>
    </row>
    <row r="70" spans="2:50">
      <c r="B70" s="479"/>
      <c r="C70" s="182">
        <v>4</v>
      </c>
      <c r="D70" s="203" t="s">
        <v>266</v>
      </c>
      <c r="E70" s="166">
        <v>13</v>
      </c>
      <c r="F70" s="182">
        <v>2118</v>
      </c>
      <c r="G70" s="180">
        <v>162.9</v>
      </c>
      <c r="H70" s="460"/>
      <c r="I70" s="166">
        <f t="shared" si="56"/>
        <v>13</v>
      </c>
      <c r="J70" s="166">
        <f t="shared" si="57"/>
        <v>2037.2175581397264</v>
      </c>
      <c r="K70" s="180">
        <f t="shared" si="58"/>
        <v>156.70904293382509</v>
      </c>
      <c r="L70" s="460"/>
      <c r="M70" s="181">
        <f>RANK(K70, K$67:$K$81)</f>
        <v>10</v>
      </c>
      <c r="N70" s="462"/>
      <c r="O70" s="462"/>
      <c r="P70" s="166">
        <v>13</v>
      </c>
      <c r="Q70" s="166">
        <v>2031.6923076923088</v>
      </c>
      <c r="R70" s="166">
        <v>156.28402366863912</v>
      </c>
      <c r="S70" s="182">
        <f t="shared" si="59"/>
        <v>10</v>
      </c>
      <c r="T70" s="491"/>
      <c r="U70" s="166">
        <v>13</v>
      </c>
      <c r="V70" s="166">
        <v>2017.8461538461547</v>
      </c>
      <c r="W70" s="166">
        <v>155.21893491124268</v>
      </c>
      <c r="X70" s="182">
        <f t="shared" si="44"/>
        <v>10</v>
      </c>
      <c r="Y70" s="491"/>
      <c r="Z70" s="166">
        <v>13</v>
      </c>
      <c r="AA70" s="166">
        <v>2027.2727272727282</v>
      </c>
      <c r="AB70" s="166">
        <v>155.944055944056</v>
      </c>
      <c r="AC70" s="182">
        <f t="shared" si="46"/>
        <v>10</v>
      </c>
      <c r="AD70" s="491"/>
      <c r="AE70" s="166">
        <v>13</v>
      </c>
      <c r="AF70" s="166">
        <v>2035.2000000000005</v>
      </c>
      <c r="AG70" s="166">
        <v>156.55384615384619</v>
      </c>
      <c r="AH70" s="182">
        <f t="shared" si="48"/>
        <v>10</v>
      </c>
      <c r="AI70" s="491"/>
      <c r="AJ70" s="166">
        <v>13</v>
      </c>
      <c r="AK70" s="166">
        <v>2033.7931034482763</v>
      </c>
      <c r="AL70" s="166">
        <v>156.44562334217511</v>
      </c>
      <c r="AM70" s="182">
        <f t="shared" si="50"/>
        <v>10</v>
      </c>
      <c r="AN70" s="491"/>
      <c r="AO70" s="166">
        <v>13</v>
      </c>
      <c r="AP70" s="166">
        <v>2063.8095238095243</v>
      </c>
      <c r="AQ70" s="166">
        <v>158.7545787545788</v>
      </c>
      <c r="AR70" s="182">
        <f t="shared" si="52"/>
        <v>10</v>
      </c>
      <c r="AS70" s="491"/>
      <c r="AT70" s="166">
        <v>13</v>
      </c>
      <c r="AU70" s="166">
        <v>2050.9090909090914</v>
      </c>
      <c r="AV70" s="166">
        <v>157.76223776223782</v>
      </c>
      <c r="AW70" s="182">
        <f t="shared" si="54"/>
        <v>10</v>
      </c>
      <c r="AX70" s="491"/>
    </row>
    <row r="71" spans="2:50">
      <c r="B71" s="479"/>
      <c r="C71" s="182">
        <v>5</v>
      </c>
      <c r="D71" s="203" t="s">
        <v>267</v>
      </c>
      <c r="E71" s="166">
        <v>11</v>
      </c>
      <c r="F71" s="182">
        <v>2250</v>
      </c>
      <c r="G71" s="180">
        <v>204.5</v>
      </c>
      <c r="H71" s="460"/>
      <c r="I71" s="166">
        <f t="shared" si="56"/>
        <v>12</v>
      </c>
      <c r="J71" s="166">
        <f t="shared" si="57"/>
        <v>2205.2544038061069</v>
      </c>
      <c r="K71" s="180">
        <f t="shared" si="58"/>
        <v>183.77120031717556</v>
      </c>
      <c r="L71" s="460"/>
      <c r="M71" s="181">
        <f>RANK(K71, K$67:$K$81)</f>
        <v>8</v>
      </c>
      <c r="N71" s="462"/>
      <c r="O71" s="462"/>
      <c r="P71" s="166">
        <v>12</v>
      </c>
      <c r="Q71" s="166">
        <v>2175.211267605634</v>
      </c>
      <c r="R71" s="166">
        <v>181.26760563380284</v>
      </c>
      <c r="S71" s="182">
        <f t="shared" si="59"/>
        <v>8</v>
      </c>
      <c r="T71" s="491"/>
      <c r="U71" s="166">
        <v>12</v>
      </c>
      <c r="V71" s="166">
        <v>2205.6716417910447</v>
      </c>
      <c r="W71" s="166">
        <v>183.80597014925374</v>
      </c>
      <c r="X71" s="182">
        <f t="shared" si="44"/>
        <v>8</v>
      </c>
      <c r="Y71" s="491"/>
      <c r="Z71" s="166">
        <v>12</v>
      </c>
      <c r="AA71" s="166">
        <v>2188.6567164179105</v>
      </c>
      <c r="AB71" s="166">
        <v>182.38805970149255</v>
      </c>
      <c r="AC71" s="182">
        <f t="shared" si="46"/>
        <v>8</v>
      </c>
      <c r="AD71" s="491"/>
      <c r="AE71" s="166">
        <v>12</v>
      </c>
      <c r="AF71" s="166">
        <v>2221.0714285714289</v>
      </c>
      <c r="AG71" s="166">
        <v>185.08928571428575</v>
      </c>
      <c r="AH71" s="182">
        <f t="shared" si="48"/>
        <v>7</v>
      </c>
      <c r="AI71" s="491"/>
      <c r="AJ71" s="166">
        <v>12</v>
      </c>
      <c r="AK71" s="166">
        <v>2200.9523809523816</v>
      </c>
      <c r="AL71" s="166">
        <v>183.41269841269846</v>
      </c>
      <c r="AM71" s="182">
        <f t="shared" si="50"/>
        <v>8</v>
      </c>
      <c r="AN71" s="491"/>
      <c r="AO71" s="166">
        <v>12</v>
      </c>
      <c r="AP71" s="166">
        <v>2225.217391304348</v>
      </c>
      <c r="AQ71" s="166">
        <v>185.43478260869566</v>
      </c>
      <c r="AR71" s="182">
        <f t="shared" si="52"/>
        <v>7</v>
      </c>
      <c r="AS71" s="491"/>
      <c r="AT71" s="166">
        <v>12</v>
      </c>
      <c r="AU71" s="166">
        <v>2220.0000000000005</v>
      </c>
      <c r="AV71" s="166">
        <v>185.00000000000003</v>
      </c>
      <c r="AW71" s="182">
        <f t="shared" si="54"/>
        <v>7</v>
      </c>
      <c r="AX71" s="491"/>
    </row>
    <row r="72" spans="2:50">
      <c r="B72" s="479"/>
      <c r="C72" s="182">
        <v>6</v>
      </c>
      <c r="D72" s="203" t="s">
        <v>268</v>
      </c>
      <c r="E72" s="166">
        <v>12</v>
      </c>
      <c r="F72" s="182">
        <v>2250</v>
      </c>
      <c r="G72" s="180">
        <v>187.5</v>
      </c>
      <c r="H72" s="460"/>
      <c r="I72" s="166">
        <f t="shared" si="56"/>
        <v>13</v>
      </c>
      <c r="J72" s="166">
        <f t="shared" si="57"/>
        <v>2152.2147318830139</v>
      </c>
      <c r="K72" s="180">
        <f t="shared" si="58"/>
        <v>165.55497937561645</v>
      </c>
      <c r="L72" s="460"/>
      <c r="M72" s="181">
        <f>RANK(K72, K$67:$K$81)</f>
        <v>9</v>
      </c>
      <c r="N72" s="462"/>
      <c r="O72" s="462"/>
      <c r="P72" s="166">
        <v>13</v>
      </c>
      <c r="Q72" s="166">
        <v>2092.0000000000005</v>
      </c>
      <c r="R72" s="166">
        <v>160.92307692307696</v>
      </c>
      <c r="S72" s="182">
        <f t="shared" si="59"/>
        <v>9</v>
      </c>
      <c r="T72" s="491"/>
      <c r="U72" s="166">
        <v>13</v>
      </c>
      <c r="V72" s="166">
        <v>2179.090909090909</v>
      </c>
      <c r="W72" s="166">
        <v>167.62237762237763</v>
      </c>
      <c r="X72" s="182">
        <f t="shared" si="44"/>
        <v>9</v>
      </c>
      <c r="Y72" s="491"/>
      <c r="Z72" s="166">
        <v>13</v>
      </c>
      <c r="AA72" s="166">
        <v>2121.5730337078653</v>
      </c>
      <c r="AB72" s="166">
        <v>163.1979256698358</v>
      </c>
      <c r="AC72" s="182">
        <f t="shared" si="46"/>
        <v>9</v>
      </c>
      <c r="AD72" s="491"/>
      <c r="AE72" s="166">
        <v>13</v>
      </c>
      <c r="AF72" s="166">
        <v>2184.0000000000014</v>
      </c>
      <c r="AG72" s="166">
        <v>168.00000000000011</v>
      </c>
      <c r="AH72" s="182">
        <f t="shared" si="48"/>
        <v>9</v>
      </c>
      <c r="AI72" s="491"/>
      <c r="AJ72" s="166">
        <v>13</v>
      </c>
      <c r="AK72" s="166">
        <v>2185.6179775280889</v>
      </c>
      <c r="AL72" s="166">
        <v>168.12445980985299</v>
      </c>
      <c r="AM72" s="182">
        <f t="shared" si="50"/>
        <v>9</v>
      </c>
      <c r="AN72" s="491"/>
      <c r="AO72" s="166">
        <v>13</v>
      </c>
      <c r="AP72" s="166">
        <v>2172.110091743119</v>
      </c>
      <c r="AQ72" s="166">
        <v>167.08539167254762</v>
      </c>
      <c r="AR72" s="182">
        <f t="shared" si="52"/>
        <v>9</v>
      </c>
      <c r="AS72" s="491"/>
      <c r="AT72" s="166">
        <v>13</v>
      </c>
      <c r="AU72" s="166">
        <v>2131.1111111111109</v>
      </c>
      <c r="AV72" s="166">
        <v>163.9316239316239</v>
      </c>
      <c r="AW72" s="182">
        <f t="shared" si="54"/>
        <v>9</v>
      </c>
      <c r="AX72" s="491"/>
    </row>
    <row r="73" spans="2:50">
      <c r="B73" s="479"/>
      <c r="C73" s="182">
        <v>7</v>
      </c>
      <c r="D73" s="203" t="s">
        <v>269</v>
      </c>
      <c r="E73" s="166">
        <v>11</v>
      </c>
      <c r="F73" s="182">
        <v>2118</v>
      </c>
      <c r="G73" s="180">
        <v>192.5</v>
      </c>
      <c r="H73" s="460"/>
      <c r="I73" s="166">
        <f t="shared" si="56"/>
        <v>11</v>
      </c>
      <c r="J73" s="166">
        <f t="shared" si="57"/>
        <v>2046.3851970149371</v>
      </c>
      <c r="K73" s="180">
        <f t="shared" si="58"/>
        <v>186.03501791044886</v>
      </c>
      <c r="L73" s="460"/>
      <c r="M73" s="181">
        <f>RANK(K73, K$67:$K$81)</f>
        <v>6</v>
      </c>
      <c r="N73" s="462"/>
      <c r="O73" s="462"/>
      <c r="P73" s="166">
        <v>11</v>
      </c>
      <c r="Q73" s="166">
        <v>2032.8000000000006</v>
      </c>
      <c r="R73" s="166">
        <v>184.80000000000007</v>
      </c>
      <c r="S73" s="182">
        <f t="shared" si="59"/>
        <v>6</v>
      </c>
      <c r="T73" s="491"/>
      <c r="U73" s="166">
        <v>11</v>
      </c>
      <c r="V73" s="166">
        <v>2057.3636363636365</v>
      </c>
      <c r="W73" s="166">
        <v>187.03305785123968</v>
      </c>
      <c r="X73" s="182">
        <f t="shared" si="44"/>
        <v>6</v>
      </c>
      <c r="Y73" s="491"/>
      <c r="Z73" s="166">
        <v>11</v>
      </c>
      <c r="AA73" s="166">
        <v>2050.7704918032778</v>
      </c>
      <c r="AB73" s="166">
        <v>186.43368107302524</v>
      </c>
      <c r="AC73" s="182">
        <f t="shared" si="46"/>
        <v>6</v>
      </c>
      <c r="AD73" s="491"/>
      <c r="AE73" s="166">
        <v>11</v>
      </c>
      <c r="AF73" s="166">
        <v>2067.4499999999989</v>
      </c>
      <c r="AG73" s="166">
        <v>187.9499999999999</v>
      </c>
      <c r="AH73" s="182">
        <f t="shared" si="48"/>
        <v>6</v>
      </c>
      <c r="AI73" s="491"/>
      <c r="AJ73" s="166">
        <v>11</v>
      </c>
      <c r="AK73" s="166">
        <v>2021.9062499999993</v>
      </c>
      <c r="AL73" s="166">
        <v>183.80965909090904</v>
      </c>
      <c r="AM73" s="182">
        <f t="shared" si="50"/>
        <v>7</v>
      </c>
      <c r="AN73" s="491"/>
      <c r="AO73" s="166">
        <v>11</v>
      </c>
      <c r="AP73" s="166">
        <v>2065.4430379746846</v>
      </c>
      <c r="AQ73" s="166">
        <v>187.7675489067895</v>
      </c>
      <c r="AR73" s="182">
        <f t="shared" si="52"/>
        <v>6</v>
      </c>
      <c r="AS73" s="491"/>
      <c r="AT73" s="166">
        <v>11</v>
      </c>
      <c r="AU73" s="166">
        <v>2028.9629629629624</v>
      </c>
      <c r="AV73" s="166">
        <v>184.45117845117841</v>
      </c>
      <c r="AW73" s="182">
        <f t="shared" si="54"/>
        <v>8</v>
      </c>
      <c r="AX73" s="491"/>
    </row>
    <row r="74" spans="2:50">
      <c r="B74" s="479"/>
      <c r="C74" s="182">
        <v>8</v>
      </c>
      <c r="D74" s="203" t="s">
        <v>270</v>
      </c>
      <c r="E74" s="166">
        <v>18</v>
      </c>
      <c r="F74" s="182">
        <v>1250</v>
      </c>
      <c r="G74" s="180">
        <v>69.444444444444443</v>
      </c>
      <c r="H74" s="460"/>
      <c r="I74" s="166">
        <f t="shared" si="56"/>
        <v>13</v>
      </c>
      <c r="J74" s="166">
        <f t="shared" si="57"/>
        <v>1212.1428571428576</v>
      </c>
      <c r="K74" s="180">
        <f t="shared" si="58"/>
        <v>93.241758241758276</v>
      </c>
      <c r="L74" s="460"/>
      <c r="M74" s="181">
        <f>RANK(K74, K$67:$K$81)</f>
        <v>12</v>
      </c>
      <c r="N74" s="462"/>
      <c r="O74" s="462"/>
      <c r="P74" s="166">
        <v>13</v>
      </c>
      <c r="Q74" s="166">
        <v>1204.5000000000007</v>
      </c>
      <c r="R74" s="166">
        <v>92.653846153846203</v>
      </c>
      <c r="S74" s="182">
        <f t="shared" si="59"/>
        <v>12</v>
      </c>
      <c r="T74" s="491"/>
      <c r="U74" s="166">
        <v>13</v>
      </c>
      <c r="V74" s="166">
        <v>1204.5000000000007</v>
      </c>
      <c r="W74" s="166">
        <v>92.653846153846203</v>
      </c>
      <c r="X74" s="182">
        <f t="shared" si="44"/>
        <v>12</v>
      </c>
      <c r="Y74" s="491"/>
      <c r="Z74" s="166">
        <v>13</v>
      </c>
      <c r="AA74" s="166">
        <v>1239.7500000000007</v>
      </c>
      <c r="AB74" s="166">
        <v>95.36538461538467</v>
      </c>
      <c r="AC74" s="182">
        <f t="shared" si="46"/>
        <v>12</v>
      </c>
      <c r="AD74" s="491"/>
      <c r="AE74" s="166">
        <v>13</v>
      </c>
      <c r="AF74" s="166">
        <v>1271.2000000000005</v>
      </c>
      <c r="AG74" s="166">
        <v>97.784615384615421</v>
      </c>
      <c r="AH74" s="182">
        <f t="shared" si="48"/>
        <v>12</v>
      </c>
      <c r="AI74" s="491"/>
      <c r="AJ74" s="166">
        <v>13</v>
      </c>
      <c r="AK74" s="166">
        <v>1232.2500000000007</v>
      </c>
      <c r="AL74" s="166">
        <v>94.78846153846159</v>
      </c>
      <c r="AM74" s="182">
        <f t="shared" si="50"/>
        <v>12</v>
      </c>
      <c r="AN74" s="491"/>
      <c r="AO74" s="166">
        <v>13</v>
      </c>
      <c r="AP74" s="166">
        <v>1222.8000000000004</v>
      </c>
      <c r="AQ74" s="166">
        <v>94.06153846153849</v>
      </c>
      <c r="AR74" s="182">
        <f t="shared" si="52"/>
        <v>12</v>
      </c>
      <c r="AS74" s="491"/>
      <c r="AT74" s="166">
        <v>13</v>
      </c>
      <c r="AU74" s="166">
        <v>1110.0000000000002</v>
      </c>
      <c r="AV74" s="166">
        <v>85.384615384615401</v>
      </c>
      <c r="AW74" s="182">
        <f t="shared" si="54"/>
        <v>12</v>
      </c>
      <c r="AX74" s="491"/>
    </row>
    <row r="75" spans="2:50">
      <c r="B75" s="479"/>
      <c r="C75" s="182">
        <v>9</v>
      </c>
      <c r="D75" s="203" t="s">
        <v>271</v>
      </c>
      <c r="E75" s="166">
        <v>6</v>
      </c>
      <c r="F75" s="182">
        <v>2000</v>
      </c>
      <c r="G75" s="180">
        <v>333.33333333333331</v>
      </c>
      <c r="H75" s="460"/>
      <c r="I75" s="166">
        <f t="shared" si="56"/>
        <v>6.7142857142857144</v>
      </c>
      <c r="J75" s="166">
        <f t="shared" si="57"/>
        <v>1787.1622495151885</v>
      </c>
      <c r="K75" s="180">
        <f t="shared" si="58"/>
        <v>267.20144468043594</v>
      </c>
      <c r="L75" s="460"/>
      <c r="M75" s="181">
        <f>RANK(K75, K$67:$K$81)</f>
        <v>5</v>
      </c>
      <c r="N75" s="462"/>
      <c r="O75" s="462"/>
      <c r="P75" s="166">
        <v>7</v>
      </c>
      <c r="Q75" s="166">
        <v>1779.9999999999986</v>
      </c>
      <c r="R75" s="166">
        <v>254.28571428571408</v>
      </c>
      <c r="S75" s="182">
        <f t="shared" si="59"/>
        <v>5</v>
      </c>
      <c r="T75" s="491"/>
      <c r="U75" s="166">
        <v>7</v>
      </c>
      <c r="V75" s="166">
        <v>1859.9999999999984</v>
      </c>
      <c r="W75" s="166">
        <v>265.7142857142855</v>
      </c>
      <c r="X75" s="182">
        <f t="shared" si="44"/>
        <v>5</v>
      </c>
      <c r="Y75" s="491"/>
      <c r="Z75" s="166">
        <v>7</v>
      </c>
      <c r="AA75" s="166">
        <v>1867.0588235294094</v>
      </c>
      <c r="AB75" s="166">
        <v>266.72268907562994</v>
      </c>
      <c r="AC75" s="182">
        <f t="shared" si="46"/>
        <v>5</v>
      </c>
      <c r="AD75" s="491"/>
      <c r="AE75" s="166">
        <v>7</v>
      </c>
      <c r="AF75" s="166">
        <v>1706.6666666666654</v>
      </c>
      <c r="AG75" s="166">
        <v>243.80952380952363</v>
      </c>
      <c r="AH75" s="182">
        <f t="shared" si="48"/>
        <v>5</v>
      </c>
      <c r="AI75" s="491"/>
      <c r="AJ75" s="166">
        <v>6</v>
      </c>
      <c r="AK75" s="166">
        <v>1793.3333333333319</v>
      </c>
      <c r="AL75" s="166">
        <v>298.88888888888863</v>
      </c>
      <c r="AM75" s="182">
        <f t="shared" si="50"/>
        <v>5</v>
      </c>
      <c r="AN75" s="491"/>
      <c r="AO75" s="166">
        <v>6</v>
      </c>
      <c r="AP75" s="166">
        <v>1703.0769230769188</v>
      </c>
      <c r="AQ75" s="166">
        <v>283.84615384615313</v>
      </c>
      <c r="AR75" s="182">
        <f t="shared" si="52"/>
        <v>5</v>
      </c>
      <c r="AS75" s="491"/>
      <c r="AT75" s="166">
        <v>7</v>
      </c>
      <c r="AU75" s="166">
        <v>1799.9999999999984</v>
      </c>
      <c r="AV75" s="166">
        <v>257.14285714285694</v>
      </c>
      <c r="AW75" s="182">
        <f t="shared" si="54"/>
        <v>5</v>
      </c>
      <c r="AX75" s="491"/>
    </row>
    <row r="76" spans="2:50">
      <c r="B76" s="479"/>
      <c r="C76" s="182">
        <v>10</v>
      </c>
      <c r="D76" s="203" t="s">
        <v>272</v>
      </c>
      <c r="E76" s="166">
        <v>4</v>
      </c>
      <c r="F76" s="182">
        <v>2000</v>
      </c>
      <c r="G76" s="180">
        <v>500</v>
      </c>
      <c r="H76" s="460"/>
      <c r="I76" s="166">
        <f t="shared" ref="I76:I77" si="60">AVERAGE(P76,U76,Z76,AE76,AJ76,AO76,AT76)</f>
        <v>4</v>
      </c>
      <c r="J76" s="166">
        <f t="shared" ref="J76:J77" si="61">AVERAGE(Q76,V76,AA76,AF76,AK76,AP76,AU76)</f>
        <v>1772.8260073260135</v>
      </c>
      <c r="K76" s="180">
        <f t="shared" ref="K76:K77" si="62">AVERAGE(R76,W76,AB76,AG76,AL76,AQ76,AV76)</f>
        <v>443.20650183150337</v>
      </c>
      <c r="L76" s="460"/>
      <c r="M76" s="181">
        <f>RANK(K76, K$67:$K$81)</f>
        <v>2</v>
      </c>
      <c r="N76" s="462"/>
      <c r="O76" s="462"/>
      <c r="P76" s="166">
        <v>4</v>
      </c>
      <c r="Q76" s="166">
        <v>1820.0000000000066</v>
      </c>
      <c r="R76" s="166">
        <v>455.00000000000165</v>
      </c>
      <c r="S76" s="182">
        <f t="shared" si="59"/>
        <v>1</v>
      </c>
      <c r="T76" s="491"/>
      <c r="U76" s="166">
        <v>4</v>
      </c>
      <c r="V76" s="166">
        <v>1804.6153846153909</v>
      </c>
      <c r="W76" s="166">
        <v>451.15384615384772</v>
      </c>
      <c r="X76" s="182">
        <f t="shared" si="44"/>
        <v>1</v>
      </c>
      <c r="Y76" s="491"/>
      <c r="Z76" s="166">
        <v>4</v>
      </c>
      <c r="AA76" s="166">
        <v>1785.0000000000064</v>
      </c>
      <c r="AB76" s="166">
        <v>446.25000000000159</v>
      </c>
      <c r="AC76" s="182">
        <f t="shared" si="46"/>
        <v>1</v>
      </c>
      <c r="AD76" s="491"/>
      <c r="AE76" s="166">
        <v>4</v>
      </c>
      <c r="AF76" s="166">
        <v>1702.5000000000059</v>
      </c>
      <c r="AG76" s="166">
        <v>425.62500000000148</v>
      </c>
      <c r="AH76" s="182">
        <f t="shared" si="48"/>
        <v>4</v>
      </c>
      <c r="AI76" s="491"/>
      <c r="AJ76" s="166">
        <v>4</v>
      </c>
      <c r="AK76" s="166">
        <v>1806.0000000000064</v>
      </c>
      <c r="AL76" s="166">
        <v>451.50000000000159</v>
      </c>
      <c r="AM76" s="182">
        <f t="shared" si="50"/>
        <v>1</v>
      </c>
      <c r="AN76" s="491"/>
      <c r="AO76" s="166">
        <v>4</v>
      </c>
      <c r="AP76" s="166">
        <v>1706.6666666666727</v>
      </c>
      <c r="AQ76" s="166">
        <v>426.66666666666816</v>
      </c>
      <c r="AR76" s="182">
        <f t="shared" si="52"/>
        <v>3</v>
      </c>
      <c r="AS76" s="491"/>
      <c r="AT76" s="166">
        <v>4</v>
      </c>
      <c r="AU76" s="166">
        <v>1785.0000000000064</v>
      </c>
      <c r="AV76" s="166">
        <v>446.25000000000159</v>
      </c>
      <c r="AW76" s="182">
        <f t="shared" si="54"/>
        <v>1</v>
      </c>
      <c r="AX76" s="491"/>
    </row>
    <row r="77" spans="2:50">
      <c r="B77" s="479"/>
      <c r="C77" s="182">
        <v>11</v>
      </c>
      <c r="D77" s="203" t="s">
        <v>273</v>
      </c>
      <c r="E77" s="166">
        <v>11</v>
      </c>
      <c r="F77" s="182">
        <v>2250</v>
      </c>
      <c r="G77" s="180">
        <v>192.5</v>
      </c>
      <c r="H77" s="460"/>
      <c r="I77" s="166">
        <f t="shared" si="60"/>
        <v>12</v>
      </c>
      <c r="J77" s="166">
        <f t="shared" si="61"/>
        <v>2205.3253762665831</v>
      </c>
      <c r="K77" s="180">
        <f t="shared" si="62"/>
        <v>183.77711468888188</v>
      </c>
      <c r="L77" s="460"/>
      <c r="M77" s="181">
        <f>RANK(K77, K$67:$K$81)</f>
        <v>7</v>
      </c>
      <c r="N77" s="462"/>
      <c r="O77" s="462"/>
      <c r="P77" s="166">
        <v>12</v>
      </c>
      <c r="Q77" s="166">
        <v>2180.8695652173915</v>
      </c>
      <c r="R77" s="166">
        <v>181.73913043478262</v>
      </c>
      <c r="S77" s="182">
        <f t="shared" si="59"/>
        <v>7</v>
      </c>
      <c r="T77" s="491"/>
      <c r="U77" s="166">
        <v>12</v>
      </c>
      <c r="V77" s="166">
        <v>2205.8823529411761</v>
      </c>
      <c r="W77" s="166">
        <v>183.82352941176467</v>
      </c>
      <c r="X77" s="182">
        <f t="shared" si="44"/>
        <v>7</v>
      </c>
      <c r="Y77" s="491"/>
      <c r="Z77" s="166">
        <v>12</v>
      </c>
      <c r="AA77" s="166">
        <v>2214.7499999999991</v>
      </c>
      <c r="AB77" s="166">
        <v>184.56249999999991</v>
      </c>
      <c r="AC77" s="182">
        <f t="shared" si="46"/>
        <v>7</v>
      </c>
      <c r="AD77" s="491"/>
      <c r="AE77" s="166">
        <v>12</v>
      </c>
      <c r="AF77" s="166">
        <v>2178.157894736843</v>
      </c>
      <c r="AG77" s="166">
        <v>181.51315789473691</v>
      </c>
      <c r="AH77" s="182">
        <f t="shared" si="48"/>
        <v>8</v>
      </c>
      <c r="AI77" s="491"/>
      <c r="AJ77" s="166">
        <v>12</v>
      </c>
      <c r="AK77" s="166">
        <v>2224.7368421052643</v>
      </c>
      <c r="AL77" s="166">
        <v>185.39473684210535</v>
      </c>
      <c r="AM77" s="182">
        <f t="shared" si="50"/>
        <v>6</v>
      </c>
      <c r="AN77" s="491"/>
      <c r="AO77" s="166">
        <v>12</v>
      </c>
      <c r="AP77" s="166">
        <v>2183.2258064516132</v>
      </c>
      <c r="AQ77" s="166">
        <v>181.93548387096777</v>
      </c>
      <c r="AR77" s="182">
        <f t="shared" si="52"/>
        <v>8</v>
      </c>
      <c r="AS77" s="491"/>
      <c r="AT77" s="166">
        <v>12</v>
      </c>
      <c r="AU77" s="166">
        <v>2249.6551724137926</v>
      </c>
      <c r="AV77" s="166">
        <v>187.47126436781605</v>
      </c>
      <c r="AW77" s="182">
        <f t="shared" si="54"/>
        <v>6</v>
      </c>
      <c r="AX77" s="491"/>
    </row>
    <row r="78" spans="2:50">
      <c r="B78" s="479"/>
      <c r="C78" s="182">
        <v>12</v>
      </c>
      <c r="D78" s="203" t="s">
        <v>274</v>
      </c>
      <c r="E78" s="166">
        <v>4</v>
      </c>
      <c r="F78" s="182">
        <v>2000</v>
      </c>
      <c r="G78" s="180">
        <v>500</v>
      </c>
      <c r="H78" s="460"/>
      <c r="I78" s="166">
        <f t="shared" ref="I78" si="63">AVERAGE(P78,U78,Z78,AE78,AJ78,AO78,AT78)</f>
        <v>4.8571428571428568</v>
      </c>
      <c r="J78" s="166">
        <f t="shared" ref="J78" si="64">AVERAGE(Q78,V78,AA78,AF78,AK78,AP78,AU78)</f>
        <v>2146.2370713056707</v>
      </c>
      <c r="K78" s="180">
        <f t="shared" ref="K78" si="65">AVERAGE(R78,W78,AB78,AG78,AL78,AQ78,AV78)</f>
        <v>444.48965028597883</v>
      </c>
      <c r="L78" s="460"/>
      <c r="M78" s="181">
        <f>RANK(K78, K$67:$K$81)</f>
        <v>1</v>
      </c>
      <c r="N78" s="462"/>
      <c r="O78" s="462"/>
      <c r="P78" s="166">
        <v>5</v>
      </c>
      <c r="Q78" s="166">
        <v>2180.5263157894719</v>
      </c>
      <c r="R78" s="166">
        <v>436.1052631578944</v>
      </c>
      <c r="S78" s="182">
        <f t="shared" si="59"/>
        <v>3</v>
      </c>
      <c r="T78" s="491"/>
      <c r="U78" s="166">
        <v>5</v>
      </c>
      <c r="V78" s="166">
        <v>2190.6382978723409</v>
      </c>
      <c r="W78" s="166">
        <v>438.12765957446817</v>
      </c>
      <c r="X78" s="182">
        <f t="shared" si="44"/>
        <v>2</v>
      </c>
      <c r="Y78" s="491"/>
      <c r="Z78" s="166">
        <v>5</v>
      </c>
      <c r="AA78" s="166">
        <v>2113.6842105263145</v>
      </c>
      <c r="AB78" s="166">
        <v>422.73684210526289</v>
      </c>
      <c r="AC78" s="182">
        <f t="shared" si="46"/>
        <v>4</v>
      </c>
      <c r="AD78" s="491"/>
      <c r="AE78" s="166">
        <v>4</v>
      </c>
      <c r="AF78" s="166">
        <v>2133.913043478261</v>
      </c>
      <c r="AG78" s="166">
        <v>533.47826086956525</v>
      </c>
      <c r="AH78" s="182">
        <f t="shared" si="48"/>
        <v>1</v>
      </c>
      <c r="AI78" s="491"/>
      <c r="AJ78" s="166">
        <v>5</v>
      </c>
      <c r="AK78" s="166">
        <v>2117.872340425532</v>
      </c>
      <c r="AL78" s="166">
        <v>423.57446808510639</v>
      </c>
      <c r="AM78" s="182">
        <f t="shared" si="50"/>
        <v>4</v>
      </c>
      <c r="AN78" s="491"/>
      <c r="AO78" s="166">
        <v>5</v>
      </c>
      <c r="AP78" s="166">
        <v>2128.3018867924538</v>
      </c>
      <c r="AQ78" s="166">
        <v>425.66037735849079</v>
      </c>
      <c r="AR78" s="182">
        <f t="shared" si="52"/>
        <v>4</v>
      </c>
      <c r="AS78" s="491"/>
      <c r="AT78" s="166">
        <v>5</v>
      </c>
      <c r="AU78" s="166">
        <v>2158.7234042553196</v>
      </c>
      <c r="AV78" s="166">
        <v>431.74468085106389</v>
      </c>
      <c r="AW78" s="182">
        <f t="shared" si="54"/>
        <v>4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66"/>
      <c r="Q79" s="166"/>
      <c r="R79" s="166"/>
      <c r="S79" s="182" t="e">
        <f t="shared" si="59"/>
        <v>#N/A</v>
      </c>
      <c r="T79" s="491"/>
      <c r="U79" s="166"/>
      <c r="V79" s="166"/>
      <c r="W79" s="166"/>
      <c r="X79" s="182" t="e">
        <f t="shared" si="44"/>
        <v>#N/A</v>
      </c>
      <c r="Y79" s="491"/>
      <c r="Z79" s="166"/>
      <c r="AA79" s="166"/>
      <c r="AB79" s="166"/>
      <c r="AC79" s="182" t="e">
        <f t="shared" si="46"/>
        <v>#N/A</v>
      </c>
      <c r="AD79" s="491"/>
      <c r="AE79" s="166"/>
      <c r="AF79" s="166"/>
      <c r="AG79" s="166"/>
      <c r="AH79" s="182" t="e">
        <f t="shared" si="48"/>
        <v>#N/A</v>
      </c>
      <c r="AI79" s="491"/>
      <c r="AJ79" s="166"/>
      <c r="AK79" s="166"/>
      <c r="AL79" s="166"/>
      <c r="AM79" s="182" t="e">
        <f t="shared" si="50"/>
        <v>#N/A</v>
      </c>
      <c r="AN79" s="491"/>
      <c r="AO79" s="166"/>
      <c r="AP79" s="166"/>
      <c r="AQ79" s="166"/>
      <c r="AR79" s="182" t="e">
        <f t="shared" si="52"/>
        <v>#N/A</v>
      </c>
      <c r="AS79" s="491"/>
      <c r="AT79" s="166"/>
      <c r="AU79" s="166"/>
      <c r="AV79" s="166"/>
      <c r="AW79" s="182" t="e">
        <f t="shared" si="54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66"/>
      <c r="Q80" s="166"/>
      <c r="R80" s="166"/>
      <c r="S80" s="182" t="e">
        <f t="shared" si="59"/>
        <v>#N/A</v>
      </c>
      <c r="T80" s="491"/>
      <c r="U80" s="166"/>
      <c r="V80" s="166"/>
      <c r="W80" s="166"/>
      <c r="X80" s="182" t="e">
        <f t="shared" si="44"/>
        <v>#N/A</v>
      </c>
      <c r="Y80" s="491"/>
      <c r="Z80" s="166"/>
      <c r="AA80" s="166"/>
      <c r="AB80" s="166"/>
      <c r="AC80" s="182" t="e">
        <f t="shared" si="46"/>
        <v>#N/A</v>
      </c>
      <c r="AD80" s="491"/>
      <c r="AE80" s="166"/>
      <c r="AF80" s="166"/>
      <c r="AG80" s="166"/>
      <c r="AH80" s="182" t="e">
        <f t="shared" si="48"/>
        <v>#N/A</v>
      </c>
      <c r="AI80" s="491"/>
      <c r="AJ80" s="166"/>
      <c r="AK80" s="166"/>
      <c r="AL80" s="166"/>
      <c r="AM80" s="182" t="e">
        <f t="shared" si="50"/>
        <v>#N/A</v>
      </c>
      <c r="AN80" s="491"/>
      <c r="AO80" s="166"/>
      <c r="AP80" s="166"/>
      <c r="AQ80" s="166"/>
      <c r="AR80" s="182" t="e">
        <f t="shared" si="52"/>
        <v>#N/A</v>
      </c>
      <c r="AS80" s="491"/>
      <c r="AT80" s="166"/>
      <c r="AU80" s="166"/>
      <c r="AV80" s="166"/>
      <c r="AW80" s="182" t="e">
        <f t="shared" si="54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66"/>
      <c r="Q81" s="166"/>
      <c r="R81" s="166"/>
      <c r="S81" s="182" t="e">
        <f t="shared" si="59"/>
        <v>#N/A</v>
      </c>
      <c r="T81" s="491"/>
      <c r="U81" s="166"/>
      <c r="V81" s="166"/>
      <c r="W81" s="166"/>
      <c r="X81" s="182" t="e">
        <f t="shared" si="44"/>
        <v>#N/A</v>
      </c>
      <c r="Y81" s="491"/>
      <c r="Z81" s="166"/>
      <c r="AA81" s="166"/>
      <c r="AB81" s="166"/>
      <c r="AC81" s="182" t="e">
        <f t="shared" si="46"/>
        <v>#N/A</v>
      </c>
      <c r="AD81" s="491"/>
      <c r="AE81" s="166"/>
      <c r="AF81" s="166"/>
      <c r="AG81" s="166"/>
      <c r="AH81" s="182" t="e">
        <f t="shared" si="48"/>
        <v>#N/A</v>
      </c>
      <c r="AI81" s="491"/>
      <c r="AJ81" s="166"/>
      <c r="AK81" s="166"/>
      <c r="AL81" s="166"/>
      <c r="AM81" s="182" t="e">
        <f t="shared" si="50"/>
        <v>#N/A</v>
      </c>
      <c r="AN81" s="491"/>
      <c r="AO81" s="166"/>
      <c r="AP81" s="166"/>
      <c r="AQ81" s="166"/>
      <c r="AR81" s="182" t="e">
        <f t="shared" si="52"/>
        <v>#N/A</v>
      </c>
      <c r="AS81" s="491"/>
      <c r="AT81" s="166"/>
      <c r="AU81" s="166"/>
      <c r="AV81" s="166"/>
      <c r="AW81" s="182" t="e">
        <f t="shared" si="54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507" t="s">
        <v>262</v>
      </c>
      <c r="C87" s="182">
        <v>1</v>
      </c>
      <c r="D87" s="203"/>
      <c r="E87" s="166"/>
      <c r="F87" s="182"/>
      <c r="G87" s="180"/>
      <c r="H87" s="459" t="e">
        <f>AVERAGE(G87:G101)</f>
        <v>#DIV/0!</v>
      </c>
      <c r="I87" s="166" t="e">
        <f>AVERAGE(P87,U87,Z87,AE87,AJ87,AO87,AT87)</f>
        <v>#DIV/0!</v>
      </c>
      <c r="J87" s="166" t="e">
        <f>AVERAGE(Q87,V87,AA87,AF87,AK87,AP87,AU87)</f>
        <v>#DIV/0!</v>
      </c>
      <c r="K87" s="180" t="e">
        <f>AVERAGE(R87,W87,AB87,AG87,AL87,AQ87,AV87)</f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66"/>
      <c r="Q87" s="166"/>
      <c r="R87" s="166"/>
      <c r="S87" s="182" t="e">
        <f>RANK(R87, R$87:R$101)</f>
        <v>#N/A</v>
      </c>
      <c r="T87" s="491" t="e">
        <f>AVERAGE(R87:R101)</f>
        <v>#DIV/0!</v>
      </c>
      <c r="U87" s="166"/>
      <c r="V87" s="166"/>
      <c r="W87" s="166"/>
      <c r="X87" s="182" t="e">
        <f t="shared" ref="X87:X101" si="66">RANK(W87, W$87:W$101)</f>
        <v>#N/A</v>
      </c>
      <c r="Y87" s="491" t="e">
        <f t="shared" ref="Y87" si="67">AVERAGE(W87:W101)</f>
        <v>#DIV/0!</v>
      </c>
      <c r="Z87" s="166"/>
      <c r="AA87" s="166"/>
      <c r="AB87" s="166"/>
      <c r="AC87" s="182" t="e">
        <f t="shared" ref="AC87:AC101" si="68">RANK(AB87, AB$87:AB$101)</f>
        <v>#N/A</v>
      </c>
      <c r="AD87" s="491" t="e">
        <f t="shared" ref="AD87" si="69">AVERAGE(AB87:AB101)</f>
        <v>#DIV/0!</v>
      </c>
      <c r="AE87" s="166"/>
      <c r="AF87" s="166"/>
      <c r="AG87" s="166"/>
      <c r="AH87" s="182" t="e">
        <f t="shared" ref="AH87:AH101" si="70">RANK(AG87, AG$87:AG$101)</f>
        <v>#N/A</v>
      </c>
      <c r="AI87" s="491" t="e">
        <f t="shared" ref="AI87" si="71">AVERAGE(AG87:AG101)</f>
        <v>#DIV/0!</v>
      </c>
      <c r="AJ87" s="166"/>
      <c r="AK87" s="166"/>
      <c r="AL87" s="166"/>
      <c r="AM87" s="182" t="e">
        <f t="shared" ref="AM87:AM101" si="72">RANK(AL87, AL$87:AL$101)</f>
        <v>#N/A</v>
      </c>
      <c r="AN87" s="491" t="e">
        <f t="shared" ref="AN87" si="73">AVERAGE(AL87:AL101)</f>
        <v>#DIV/0!</v>
      </c>
      <c r="AO87" s="166"/>
      <c r="AP87" s="166"/>
      <c r="AQ87" s="166"/>
      <c r="AR87" s="182" t="e">
        <f t="shared" ref="AR87:AR101" si="74">RANK(AQ87, AQ$87:AQ$101)</f>
        <v>#N/A</v>
      </c>
      <c r="AS87" s="491" t="e">
        <f t="shared" ref="AS87" si="75">AVERAGE(AQ87:AQ101)</f>
        <v>#DIV/0!</v>
      </c>
      <c r="AT87" s="166"/>
      <c r="AU87" s="166"/>
      <c r="AV87" s="166"/>
      <c r="AW87" s="182" t="e">
        <f t="shared" ref="AW87:AW101" si="76">RANK(AV87, AV$87:AV$101)</f>
        <v>#N/A</v>
      </c>
      <c r="AX87" s="491" t="e">
        <f t="shared" ref="AX87" si="77">AVERAGE(AV87:AV101)</f>
        <v>#DIV/0!</v>
      </c>
    </row>
    <row r="88" spans="2:50">
      <c r="B88" s="479"/>
      <c r="C88" s="182">
        <v>2</v>
      </c>
      <c r="D88" s="203"/>
      <c r="E88" s="166"/>
      <c r="F88" s="182"/>
      <c r="G88" s="180"/>
      <c r="H88" s="460"/>
      <c r="I88" s="166" t="e">
        <f t="shared" ref="I88:K96" si="78">AVERAGE(P88,U88,Z88,AE88,AJ88,AO88,AT88)</f>
        <v>#DIV/0!</v>
      </c>
      <c r="J88" s="166" t="e">
        <f t="shared" si="78"/>
        <v>#DIV/0!</v>
      </c>
      <c r="K88" s="180" t="e">
        <f t="shared" si="78"/>
        <v>#DIV/0!</v>
      </c>
      <c r="L88" s="460"/>
      <c r="M88" s="181" t="e">
        <f>RANK(K88, K$87:$K$101)</f>
        <v>#DIV/0!</v>
      </c>
      <c r="N88" s="462"/>
      <c r="O88" s="462"/>
      <c r="P88" s="166"/>
      <c r="Q88" s="166"/>
      <c r="R88" s="166"/>
      <c r="S88" s="182" t="e">
        <f t="shared" ref="S88:S101" si="79">RANK(R88, R$87:R$101)</f>
        <v>#N/A</v>
      </c>
      <c r="T88" s="491"/>
      <c r="U88" s="166"/>
      <c r="V88" s="166"/>
      <c r="W88" s="166"/>
      <c r="X88" s="182" t="e">
        <f t="shared" si="66"/>
        <v>#N/A</v>
      </c>
      <c r="Y88" s="491"/>
      <c r="Z88" s="166"/>
      <c r="AA88" s="166"/>
      <c r="AB88" s="166"/>
      <c r="AC88" s="182" t="e">
        <f t="shared" si="68"/>
        <v>#N/A</v>
      </c>
      <c r="AD88" s="491"/>
      <c r="AE88" s="166"/>
      <c r="AF88" s="166"/>
      <c r="AG88" s="166"/>
      <c r="AH88" s="182" t="e">
        <f t="shared" si="70"/>
        <v>#N/A</v>
      </c>
      <c r="AI88" s="491"/>
      <c r="AJ88" s="166"/>
      <c r="AK88" s="166"/>
      <c r="AL88" s="166"/>
      <c r="AM88" s="182" t="e">
        <f t="shared" si="72"/>
        <v>#N/A</v>
      </c>
      <c r="AN88" s="491"/>
      <c r="AO88" s="166"/>
      <c r="AP88" s="166"/>
      <c r="AQ88" s="166"/>
      <c r="AR88" s="182" t="e">
        <f t="shared" si="74"/>
        <v>#N/A</v>
      </c>
      <c r="AS88" s="491"/>
      <c r="AT88" s="166"/>
      <c r="AU88" s="166"/>
      <c r="AV88" s="166"/>
      <c r="AW88" s="182" t="e">
        <f t="shared" si="76"/>
        <v>#N/A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 t="e">
        <f t="shared" si="78"/>
        <v>#DIV/0!</v>
      </c>
      <c r="J89" s="166" t="e">
        <f t="shared" si="78"/>
        <v>#DIV/0!</v>
      </c>
      <c r="K89" s="180" t="e">
        <f t="shared" si="78"/>
        <v>#DIV/0!</v>
      </c>
      <c r="L89" s="460"/>
      <c r="M89" s="181" t="e">
        <f>RANK(K89, K$87:$K$101)</f>
        <v>#DIV/0!</v>
      </c>
      <c r="N89" s="462"/>
      <c r="O89" s="462"/>
      <c r="P89" s="166"/>
      <c r="Q89" s="166"/>
      <c r="R89" s="166"/>
      <c r="S89" s="182" t="e">
        <f t="shared" si="79"/>
        <v>#N/A</v>
      </c>
      <c r="T89" s="491"/>
      <c r="U89" s="166"/>
      <c r="V89" s="166"/>
      <c r="W89" s="166"/>
      <c r="X89" s="182" t="e">
        <f t="shared" si="66"/>
        <v>#N/A</v>
      </c>
      <c r="Y89" s="491"/>
      <c r="Z89" s="166"/>
      <c r="AA89" s="166"/>
      <c r="AB89" s="166"/>
      <c r="AC89" s="182" t="e">
        <f t="shared" si="68"/>
        <v>#N/A</v>
      </c>
      <c r="AD89" s="491"/>
      <c r="AE89" s="166"/>
      <c r="AF89" s="166"/>
      <c r="AG89" s="166"/>
      <c r="AH89" s="182" t="e">
        <f t="shared" si="70"/>
        <v>#N/A</v>
      </c>
      <c r="AI89" s="491"/>
      <c r="AJ89" s="166"/>
      <c r="AK89" s="166"/>
      <c r="AL89" s="166"/>
      <c r="AM89" s="182" t="e">
        <f t="shared" si="72"/>
        <v>#N/A</v>
      </c>
      <c r="AN89" s="491"/>
      <c r="AO89" s="166"/>
      <c r="AP89" s="166"/>
      <c r="AQ89" s="166"/>
      <c r="AR89" s="182" t="e">
        <f t="shared" si="74"/>
        <v>#N/A</v>
      </c>
      <c r="AS89" s="491"/>
      <c r="AT89" s="166"/>
      <c r="AU89" s="166"/>
      <c r="AV89" s="166"/>
      <c r="AW89" s="182" t="e">
        <f t="shared" si="76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 t="e">
        <f t="shared" si="78"/>
        <v>#DIV/0!</v>
      </c>
      <c r="J90" s="166" t="e">
        <f t="shared" si="78"/>
        <v>#DIV/0!</v>
      </c>
      <c r="K90" s="180" t="e">
        <f t="shared" si="78"/>
        <v>#DIV/0!</v>
      </c>
      <c r="L90" s="460"/>
      <c r="M90" s="181" t="e">
        <f>RANK(K90, K$87:$K$101)</f>
        <v>#DIV/0!</v>
      </c>
      <c r="N90" s="462"/>
      <c r="O90" s="462"/>
      <c r="P90" s="166"/>
      <c r="Q90" s="166"/>
      <c r="R90" s="166"/>
      <c r="S90" s="182" t="e">
        <f t="shared" si="79"/>
        <v>#N/A</v>
      </c>
      <c r="T90" s="491"/>
      <c r="U90" s="166"/>
      <c r="V90" s="166"/>
      <c r="W90" s="166"/>
      <c r="X90" s="182" t="e">
        <f t="shared" si="66"/>
        <v>#N/A</v>
      </c>
      <c r="Y90" s="491"/>
      <c r="Z90" s="166"/>
      <c r="AA90" s="166"/>
      <c r="AB90" s="166"/>
      <c r="AC90" s="182" t="e">
        <f t="shared" si="68"/>
        <v>#N/A</v>
      </c>
      <c r="AD90" s="491"/>
      <c r="AE90" s="166"/>
      <c r="AF90" s="166"/>
      <c r="AG90" s="166"/>
      <c r="AH90" s="182" t="e">
        <f t="shared" si="70"/>
        <v>#N/A</v>
      </c>
      <c r="AI90" s="491"/>
      <c r="AJ90" s="166"/>
      <c r="AK90" s="166"/>
      <c r="AL90" s="166"/>
      <c r="AM90" s="182" t="e">
        <f t="shared" si="72"/>
        <v>#N/A</v>
      </c>
      <c r="AN90" s="491"/>
      <c r="AO90" s="166"/>
      <c r="AP90" s="166"/>
      <c r="AQ90" s="166"/>
      <c r="AR90" s="182" t="e">
        <f t="shared" si="74"/>
        <v>#N/A</v>
      </c>
      <c r="AS90" s="491"/>
      <c r="AT90" s="166"/>
      <c r="AU90" s="166"/>
      <c r="AV90" s="166"/>
      <c r="AW90" s="182" t="e">
        <f t="shared" si="76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 t="e">
        <f t="shared" si="78"/>
        <v>#DIV/0!</v>
      </c>
      <c r="J91" s="166" t="e">
        <f t="shared" si="78"/>
        <v>#DIV/0!</v>
      </c>
      <c r="K91" s="180" t="e">
        <f t="shared" si="78"/>
        <v>#DIV/0!</v>
      </c>
      <c r="L91" s="460"/>
      <c r="M91" s="181" t="e">
        <f>RANK(K91, K$87:$K$101)</f>
        <v>#DIV/0!</v>
      </c>
      <c r="N91" s="462"/>
      <c r="O91" s="462"/>
      <c r="P91" s="166"/>
      <c r="Q91" s="166"/>
      <c r="R91" s="166"/>
      <c r="S91" s="182" t="e">
        <f t="shared" si="79"/>
        <v>#N/A</v>
      </c>
      <c r="T91" s="491"/>
      <c r="U91" s="166"/>
      <c r="V91" s="166"/>
      <c r="W91" s="166"/>
      <c r="X91" s="182" t="e">
        <f t="shared" si="66"/>
        <v>#N/A</v>
      </c>
      <c r="Y91" s="491"/>
      <c r="Z91" s="166"/>
      <c r="AA91" s="166"/>
      <c r="AB91" s="166"/>
      <c r="AC91" s="182" t="e">
        <f t="shared" si="68"/>
        <v>#N/A</v>
      </c>
      <c r="AD91" s="491"/>
      <c r="AE91" s="166"/>
      <c r="AF91" s="166"/>
      <c r="AG91" s="166"/>
      <c r="AH91" s="182" t="e">
        <f t="shared" si="70"/>
        <v>#N/A</v>
      </c>
      <c r="AI91" s="491"/>
      <c r="AJ91" s="166"/>
      <c r="AK91" s="166"/>
      <c r="AL91" s="166"/>
      <c r="AM91" s="182" t="e">
        <f t="shared" si="72"/>
        <v>#N/A</v>
      </c>
      <c r="AN91" s="491"/>
      <c r="AO91" s="166"/>
      <c r="AP91" s="166"/>
      <c r="AQ91" s="166"/>
      <c r="AR91" s="182" t="e">
        <f t="shared" si="74"/>
        <v>#N/A</v>
      </c>
      <c r="AS91" s="491"/>
      <c r="AT91" s="166"/>
      <c r="AU91" s="166"/>
      <c r="AV91" s="166"/>
      <c r="AW91" s="182" t="e">
        <f t="shared" si="76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 t="e">
        <f t="shared" si="78"/>
        <v>#DIV/0!</v>
      </c>
      <c r="J92" s="166" t="e">
        <f t="shared" si="78"/>
        <v>#DIV/0!</v>
      </c>
      <c r="K92" s="180" t="e">
        <f t="shared" si="78"/>
        <v>#DIV/0!</v>
      </c>
      <c r="L92" s="460"/>
      <c r="M92" s="181" t="e">
        <f>RANK(K92, K$87:$K$101)</f>
        <v>#DIV/0!</v>
      </c>
      <c r="N92" s="462"/>
      <c r="O92" s="462"/>
      <c r="P92" s="166"/>
      <c r="Q92" s="166"/>
      <c r="R92" s="166"/>
      <c r="S92" s="182" t="e">
        <f t="shared" si="79"/>
        <v>#N/A</v>
      </c>
      <c r="T92" s="491"/>
      <c r="U92" s="166"/>
      <c r="V92" s="166"/>
      <c r="W92" s="166"/>
      <c r="X92" s="182" t="e">
        <f t="shared" si="66"/>
        <v>#N/A</v>
      </c>
      <c r="Y92" s="491"/>
      <c r="Z92" s="166"/>
      <c r="AA92" s="166"/>
      <c r="AB92" s="166"/>
      <c r="AC92" s="182" t="e">
        <f t="shared" si="68"/>
        <v>#N/A</v>
      </c>
      <c r="AD92" s="491"/>
      <c r="AE92" s="166"/>
      <c r="AF92" s="166"/>
      <c r="AG92" s="166"/>
      <c r="AH92" s="182" t="e">
        <f t="shared" si="70"/>
        <v>#N/A</v>
      </c>
      <c r="AI92" s="491"/>
      <c r="AJ92" s="166"/>
      <c r="AK92" s="166"/>
      <c r="AL92" s="166"/>
      <c r="AM92" s="182" t="e">
        <f t="shared" si="72"/>
        <v>#N/A</v>
      </c>
      <c r="AN92" s="491"/>
      <c r="AO92" s="166"/>
      <c r="AP92" s="166"/>
      <c r="AQ92" s="166"/>
      <c r="AR92" s="182" t="e">
        <f t="shared" si="74"/>
        <v>#N/A</v>
      </c>
      <c r="AS92" s="491"/>
      <c r="AT92" s="166"/>
      <c r="AU92" s="166"/>
      <c r="AV92" s="166"/>
      <c r="AW92" s="182" t="e">
        <f t="shared" si="76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 t="e">
        <f t="shared" si="78"/>
        <v>#DIV/0!</v>
      </c>
      <c r="J93" s="166" t="e">
        <f t="shared" si="78"/>
        <v>#DIV/0!</v>
      </c>
      <c r="K93" s="180" t="e">
        <f t="shared" si="78"/>
        <v>#DIV/0!</v>
      </c>
      <c r="L93" s="460"/>
      <c r="M93" s="181" t="e">
        <f>RANK(K93, K$87:$K$101)</f>
        <v>#DIV/0!</v>
      </c>
      <c r="N93" s="462"/>
      <c r="O93" s="462"/>
      <c r="P93" s="166"/>
      <c r="Q93" s="166"/>
      <c r="R93" s="166"/>
      <c r="S93" s="182" t="e">
        <f t="shared" si="79"/>
        <v>#N/A</v>
      </c>
      <c r="T93" s="491"/>
      <c r="U93" s="166"/>
      <c r="V93" s="166"/>
      <c r="W93" s="166"/>
      <c r="X93" s="182" t="e">
        <f t="shared" si="66"/>
        <v>#N/A</v>
      </c>
      <c r="Y93" s="491"/>
      <c r="Z93" s="166"/>
      <c r="AA93" s="166"/>
      <c r="AB93" s="166"/>
      <c r="AC93" s="182" t="e">
        <f t="shared" si="68"/>
        <v>#N/A</v>
      </c>
      <c r="AD93" s="491"/>
      <c r="AE93" s="166"/>
      <c r="AF93" s="166"/>
      <c r="AG93" s="166"/>
      <c r="AH93" s="182" t="e">
        <f t="shared" si="70"/>
        <v>#N/A</v>
      </c>
      <c r="AI93" s="491"/>
      <c r="AJ93" s="166"/>
      <c r="AK93" s="166"/>
      <c r="AL93" s="166"/>
      <c r="AM93" s="182" t="e">
        <f t="shared" si="72"/>
        <v>#N/A</v>
      </c>
      <c r="AN93" s="491"/>
      <c r="AO93" s="166"/>
      <c r="AP93" s="166"/>
      <c r="AQ93" s="166"/>
      <c r="AR93" s="182" t="e">
        <f t="shared" si="74"/>
        <v>#N/A</v>
      </c>
      <c r="AS93" s="491"/>
      <c r="AT93" s="166"/>
      <c r="AU93" s="166"/>
      <c r="AV93" s="166"/>
      <c r="AW93" s="182" t="e">
        <f t="shared" si="76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 t="e">
        <f t="shared" si="78"/>
        <v>#DIV/0!</v>
      </c>
      <c r="J94" s="166" t="e">
        <f t="shared" si="78"/>
        <v>#DIV/0!</v>
      </c>
      <c r="K94" s="180" t="e">
        <f t="shared" si="78"/>
        <v>#DIV/0!</v>
      </c>
      <c r="L94" s="460"/>
      <c r="M94" s="181" t="e">
        <f>RANK(K94, K$87:$K$101)</f>
        <v>#DIV/0!</v>
      </c>
      <c r="N94" s="462"/>
      <c r="O94" s="462"/>
      <c r="P94" s="166"/>
      <c r="Q94" s="166"/>
      <c r="R94" s="166"/>
      <c r="S94" s="182" t="e">
        <f t="shared" si="79"/>
        <v>#N/A</v>
      </c>
      <c r="T94" s="491"/>
      <c r="U94" s="166"/>
      <c r="V94" s="166"/>
      <c r="W94" s="166"/>
      <c r="X94" s="182" t="e">
        <f t="shared" si="66"/>
        <v>#N/A</v>
      </c>
      <c r="Y94" s="491"/>
      <c r="Z94" s="166"/>
      <c r="AA94" s="166"/>
      <c r="AB94" s="166"/>
      <c r="AC94" s="182" t="e">
        <f t="shared" si="68"/>
        <v>#N/A</v>
      </c>
      <c r="AD94" s="491"/>
      <c r="AE94" s="166"/>
      <c r="AF94" s="166"/>
      <c r="AG94" s="166"/>
      <c r="AH94" s="182" t="e">
        <f t="shared" si="70"/>
        <v>#N/A</v>
      </c>
      <c r="AI94" s="491"/>
      <c r="AJ94" s="166"/>
      <c r="AK94" s="166"/>
      <c r="AL94" s="166"/>
      <c r="AM94" s="182" t="e">
        <f t="shared" si="72"/>
        <v>#N/A</v>
      </c>
      <c r="AN94" s="491"/>
      <c r="AO94" s="166"/>
      <c r="AP94" s="166"/>
      <c r="AQ94" s="166"/>
      <c r="AR94" s="182" t="e">
        <f t="shared" si="74"/>
        <v>#N/A</v>
      </c>
      <c r="AS94" s="491"/>
      <c r="AT94" s="166"/>
      <c r="AU94" s="166"/>
      <c r="AV94" s="166"/>
      <c r="AW94" s="182" t="e">
        <f t="shared" si="76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 t="e">
        <f t="shared" si="78"/>
        <v>#DIV/0!</v>
      </c>
      <c r="J95" s="166" t="e">
        <f t="shared" si="78"/>
        <v>#DIV/0!</v>
      </c>
      <c r="K95" s="180" t="e">
        <f t="shared" si="78"/>
        <v>#DIV/0!</v>
      </c>
      <c r="L95" s="460"/>
      <c r="M95" s="181" t="e">
        <f>RANK(K95, K$87:$K$101)</f>
        <v>#DIV/0!</v>
      </c>
      <c r="N95" s="462"/>
      <c r="O95" s="462"/>
      <c r="P95" s="166"/>
      <c r="Q95" s="166"/>
      <c r="R95" s="166"/>
      <c r="S95" s="182" t="e">
        <f t="shared" si="79"/>
        <v>#N/A</v>
      </c>
      <c r="T95" s="491"/>
      <c r="U95" s="166"/>
      <c r="V95" s="166"/>
      <c r="W95" s="166"/>
      <c r="X95" s="182" t="e">
        <f t="shared" si="66"/>
        <v>#N/A</v>
      </c>
      <c r="Y95" s="491"/>
      <c r="Z95" s="166"/>
      <c r="AA95" s="166"/>
      <c r="AB95" s="166"/>
      <c r="AC95" s="182" t="e">
        <f t="shared" si="68"/>
        <v>#N/A</v>
      </c>
      <c r="AD95" s="491"/>
      <c r="AE95" s="166"/>
      <c r="AF95" s="166"/>
      <c r="AG95" s="166"/>
      <c r="AH95" s="182" t="e">
        <f t="shared" si="70"/>
        <v>#N/A</v>
      </c>
      <c r="AI95" s="491"/>
      <c r="AJ95" s="166"/>
      <c r="AK95" s="166"/>
      <c r="AL95" s="166"/>
      <c r="AM95" s="182" t="e">
        <f t="shared" si="72"/>
        <v>#N/A</v>
      </c>
      <c r="AN95" s="491"/>
      <c r="AO95" s="166"/>
      <c r="AP95" s="166"/>
      <c r="AQ95" s="166"/>
      <c r="AR95" s="182" t="e">
        <f t="shared" si="74"/>
        <v>#N/A</v>
      </c>
      <c r="AS95" s="491"/>
      <c r="AT95" s="166"/>
      <c r="AU95" s="166"/>
      <c r="AV95" s="166"/>
      <c r="AW95" s="182" t="e">
        <f t="shared" si="76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 t="e">
        <f t="shared" si="78"/>
        <v>#DIV/0!</v>
      </c>
      <c r="J96" s="166" t="e">
        <f t="shared" si="78"/>
        <v>#DIV/0!</v>
      </c>
      <c r="K96" s="180" t="e">
        <f t="shared" si="78"/>
        <v>#DIV/0!</v>
      </c>
      <c r="L96" s="460"/>
      <c r="M96" s="181" t="e">
        <f>RANK(K96, K$87:$K$101)</f>
        <v>#DIV/0!</v>
      </c>
      <c r="N96" s="462"/>
      <c r="O96" s="462"/>
      <c r="P96" s="166"/>
      <c r="Q96" s="166"/>
      <c r="R96" s="166"/>
      <c r="S96" s="182" t="e">
        <f t="shared" si="79"/>
        <v>#N/A</v>
      </c>
      <c r="T96" s="491"/>
      <c r="U96" s="166"/>
      <c r="V96" s="166"/>
      <c r="W96" s="166"/>
      <c r="X96" s="182" t="e">
        <f t="shared" si="66"/>
        <v>#N/A</v>
      </c>
      <c r="Y96" s="491"/>
      <c r="Z96" s="166"/>
      <c r="AA96" s="166"/>
      <c r="AB96" s="166"/>
      <c r="AC96" s="182" t="e">
        <f t="shared" si="68"/>
        <v>#N/A</v>
      </c>
      <c r="AD96" s="491"/>
      <c r="AE96" s="166"/>
      <c r="AF96" s="166"/>
      <c r="AG96" s="166"/>
      <c r="AH96" s="182" t="e">
        <f t="shared" si="70"/>
        <v>#N/A</v>
      </c>
      <c r="AI96" s="491"/>
      <c r="AJ96" s="166"/>
      <c r="AK96" s="166"/>
      <c r="AL96" s="166"/>
      <c r="AM96" s="182" t="e">
        <f t="shared" si="72"/>
        <v>#N/A</v>
      </c>
      <c r="AN96" s="491"/>
      <c r="AO96" s="166"/>
      <c r="AP96" s="166"/>
      <c r="AQ96" s="166"/>
      <c r="AR96" s="182" t="e">
        <f t="shared" si="74"/>
        <v>#N/A</v>
      </c>
      <c r="AS96" s="491"/>
      <c r="AT96" s="166"/>
      <c r="AU96" s="166"/>
      <c r="AV96" s="166"/>
      <c r="AW96" s="182" t="e">
        <f t="shared" si="76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66" t="e">
        <f t="shared" ref="I97" si="80">AVERAGE(P97,U97,Z97,AE97,AJ97,AO97,AT97)</f>
        <v>#DIV/0!</v>
      </c>
      <c r="J97" s="166" t="e">
        <f t="shared" ref="J97" si="81">AVERAGE(Q97,V97,AA97,AF97,AK97,AP97,AU97)</f>
        <v>#DIV/0!</v>
      </c>
      <c r="K97" s="180" t="e">
        <f t="shared" ref="K97" si="82">AVERAGE(R97,W97,AB97,AG97,AL97,AQ97,AV97)</f>
        <v>#DIV/0!</v>
      </c>
      <c r="L97" s="460"/>
      <c r="M97" s="181" t="e">
        <f>RANK(K97, K$87:$K$101)</f>
        <v>#DIV/0!</v>
      </c>
      <c r="N97" s="462"/>
      <c r="O97" s="462"/>
      <c r="P97" s="166"/>
      <c r="Q97" s="166"/>
      <c r="R97" s="166"/>
      <c r="S97" s="182" t="e">
        <f t="shared" si="79"/>
        <v>#N/A</v>
      </c>
      <c r="T97" s="491"/>
      <c r="U97" s="166"/>
      <c r="V97" s="166"/>
      <c r="W97" s="166"/>
      <c r="X97" s="182" t="e">
        <f t="shared" si="66"/>
        <v>#N/A</v>
      </c>
      <c r="Y97" s="491"/>
      <c r="Z97" s="166"/>
      <c r="AA97" s="166"/>
      <c r="AB97" s="166"/>
      <c r="AC97" s="182" t="e">
        <f t="shared" si="68"/>
        <v>#N/A</v>
      </c>
      <c r="AD97" s="491"/>
      <c r="AE97" s="166"/>
      <c r="AF97" s="166"/>
      <c r="AG97" s="166"/>
      <c r="AH97" s="182" t="e">
        <f t="shared" si="70"/>
        <v>#N/A</v>
      </c>
      <c r="AI97" s="491"/>
      <c r="AJ97" s="166"/>
      <c r="AK97" s="166"/>
      <c r="AL97" s="166"/>
      <c r="AM97" s="182" t="e">
        <f t="shared" si="72"/>
        <v>#N/A</v>
      </c>
      <c r="AN97" s="491"/>
      <c r="AO97" s="166"/>
      <c r="AP97" s="166"/>
      <c r="AQ97" s="166"/>
      <c r="AR97" s="182" t="e">
        <f t="shared" si="74"/>
        <v>#N/A</v>
      </c>
      <c r="AS97" s="491"/>
      <c r="AT97" s="166"/>
      <c r="AU97" s="166"/>
      <c r="AV97" s="166"/>
      <c r="AW97" s="182" t="e">
        <f t="shared" si="76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#DIV/0!</v>
      </c>
      <c r="N98" s="462"/>
      <c r="O98" s="462"/>
      <c r="P98" s="166"/>
      <c r="Q98" s="166"/>
      <c r="R98" s="166"/>
      <c r="S98" s="182" t="e">
        <f t="shared" si="79"/>
        <v>#N/A</v>
      </c>
      <c r="T98" s="491"/>
      <c r="U98" s="166"/>
      <c r="V98" s="166"/>
      <c r="W98" s="166"/>
      <c r="X98" s="182" t="e">
        <f t="shared" si="66"/>
        <v>#N/A</v>
      </c>
      <c r="Y98" s="491"/>
      <c r="Z98" s="166"/>
      <c r="AA98" s="166"/>
      <c r="AB98" s="166"/>
      <c r="AC98" s="182" t="e">
        <f t="shared" si="68"/>
        <v>#N/A</v>
      </c>
      <c r="AD98" s="491"/>
      <c r="AE98" s="166"/>
      <c r="AF98" s="166"/>
      <c r="AG98" s="166"/>
      <c r="AH98" s="182" t="e">
        <f t="shared" si="70"/>
        <v>#N/A</v>
      </c>
      <c r="AI98" s="491"/>
      <c r="AJ98" s="166"/>
      <c r="AK98" s="166"/>
      <c r="AL98" s="166"/>
      <c r="AM98" s="182" t="e">
        <f t="shared" si="72"/>
        <v>#N/A</v>
      </c>
      <c r="AN98" s="491"/>
      <c r="AO98" s="166"/>
      <c r="AP98" s="166"/>
      <c r="AQ98" s="166"/>
      <c r="AR98" s="182" t="e">
        <f t="shared" si="74"/>
        <v>#N/A</v>
      </c>
      <c r="AS98" s="491"/>
      <c r="AT98" s="166"/>
      <c r="AU98" s="166"/>
      <c r="AV98" s="166"/>
      <c r="AW98" s="182" t="e">
        <f t="shared" si="76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#DIV/0!</v>
      </c>
      <c r="N99" s="462"/>
      <c r="O99" s="462"/>
      <c r="P99" s="166"/>
      <c r="Q99" s="166"/>
      <c r="R99" s="166"/>
      <c r="S99" s="182" t="e">
        <f t="shared" si="79"/>
        <v>#N/A</v>
      </c>
      <c r="T99" s="491"/>
      <c r="U99" s="166"/>
      <c r="V99" s="166"/>
      <c r="W99" s="166"/>
      <c r="X99" s="182" t="e">
        <f t="shared" si="66"/>
        <v>#N/A</v>
      </c>
      <c r="Y99" s="491"/>
      <c r="Z99" s="166"/>
      <c r="AA99" s="166"/>
      <c r="AB99" s="166"/>
      <c r="AC99" s="182" t="e">
        <f t="shared" si="68"/>
        <v>#N/A</v>
      </c>
      <c r="AD99" s="491"/>
      <c r="AE99" s="166"/>
      <c r="AF99" s="166"/>
      <c r="AG99" s="166"/>
      <c r="AH99" s="182" t="e">
        <f t="shared" si="70"/>
        <v>#N/A</v>
      </c>
      <c r="AI99" s="491"/>
      <c r="AJ99" s="166"/>
      <c r="AK99" s="166"/>
      <c r="AL99" s="166"/>
      <c r="AM99" s="182" t="e">
        <f t="shared" si="72"/>
        <v>#N/A</v>
      </c>
      <c r="AN99" s="491"/>
      <c r="AO99" s="166"/>
      <c r="AP99" s="166"/>
      <c r="AQ99" s="166"/>
      <c r="AR99" s="182" t="e">
        <f t="shared" si="74"/>
        <v>#N/A</v>
      </c>
      <c r="AS99" s="491"/>
      <c r="AT99" s="166"/>
      <c r="AU99" s="166"/>
      <c r="AV99" s="166"/>
      <c r="AW99" s="182" t="e">
        <f t="shared" si="76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#DIV/0!</v>
      </c>
      <c r="N100" s="462"/>
      <c r="O100" s="462"/>
      <c r="P100" s="166"/>
      <c r="Q100" s="166"/>
      <c r="R100" s="166"/>
      <c r="S100" s="182" t="e">
        <f t="shared" si="79"/>
        <v>#N/A</v>
      </c>
      <c r="T100" s="491"/>
      <c r="U100" s="166"/>
      <c r="V100" s="166"/>
      <c r="W100" s="166"/>
      <c r="X100" s="182" t="e">
        <f t="shared" si="66"/>
        <v>#N/A</v>
      </c>
      <c r="Y100" s="491"/>
      <c r="Z100" s="166"/>
      <c r="AA100" s="166"/>
      <c r="AB100" s="166"/>
      <c r="AC100" s="182" t="e">
        <f t="shared" si="68"/>
        <v>#N/A</v>
      </c>
      <c r="AD100" s="491"/>
      <c r="AE100" s="166"/>
      <c r="AF100" s="166"/>
      <c r="AG100" s="166"/>
      <c r="AH100" s="182" t="e">
        <f t="shared" si="70"/>
        <v>#N/A</v>
      </c>
      <c r="AI100" s="491"/>
      <c r="AJ100" s="166"/>
      <c r="AK100" s="166"/>
      <c r="AL100" s="166"/>
      <c r="AM100" s="182" t="e">
        <f t="shared" si="72"/>
        <v>#N/A</v>
      </c>
      <c r="AN100" s="491"/>
      <c r="AO100" s="166"/>
      <c r="AP100" s="166"/>
      <c r="AQ100" s="166"/>
      <c r="AR100" s="182" t="e">
        <f t="shared" si="74"/>
        <v>#N/A</v>
      </c>
      <c r="AS100" s="491"/>
      <c r="AT100" s="166"/>
      <c r="AU100" s="166"/>
      <c r="AV100" s="166"/>
      <c r="AW100" s="182" t="e">
        <f t="shared" si="76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#DIV/0!</v>
      </c>
      <c r="N101" s="462"/>
      <c r="O101" s="462"/>
      <c r="P101" s="166"/>
      <c r="Q101" s="166"/>
      <c r="R101" s="166"/>
      <c r="S101" s="182" t="e">
        <f t="shared" si="79"/>
        <v>#N/A</v>
      </c>
      <c r="T101" s="491"/>
      <c r="U101" s="166"/>
      <c r="V101" s="166"/>
      <c r="W101" s="166"/>
      <c r="X101" s="182" t="e">
        <f t="shared" si="66"/>
        <v>#N/A</v>
      </c>
      <c r="Y101" s="491"/>
      <c r="Z101" s="166"/>
      <c r="AA101" s="166"/>
      <c r="AB101" s="166"/>
      <c r="AC101" s="182" t="e">
        <f t="shared" si="68"/>
        <v>#N/A</v>
      </c>
      <c r="AD101" s="491"/>
      <c r="AE101" s="166"/>
      <c r="AF101" s="166"/>
      <c r="AG101" s="166"/>
      <c r="AH101" s="182" t="e">
        <f t="shared" si="70"/>
        <v>#N/A</v>
      </c>
      <c r="AI101" s="491"/>
      <c r="AJ101" s="166"/>
      <c r="AK101" s="166"/>
      <c r="AL101" s="166"/>
      <c r="AM101" s="182" t="e">
        <f t="shared" si="72"/>
        <v>#N/A</v>
      </c>
      <c r="AN101" s="491"/>
      <c r="AO101" s="166"/>
      <c r="AP101" s="166"/>
      <c r="AQ101" s="166"/>
      <c r="AR101" s="182" t="e">
        <f t="shared" si="74"/>
        <v>#N/A</v>
      </c>
      <c r="AS101" s="491"/>
      <c r="AT101" s="166"/>
      <c r="AU101" s="166"/>
      <c r="AV101" s="166"/>
      <c r="AW101" s="182" t="e">
        <f t="shared" si="76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507" t="s">
        <v>262</v>
      </c>
      <c r="C107" s="182">
        <v>1</v>
      </c>
      <c r="D107" s="203"/>
      <c r="E107" s="166"/>
      <c r="F107" s="166"/>
      <c r="G107" s="166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66"/>
      <c r="Q107" s="166"/>
      <c r="R107" s="166"/>
      <c r="S107" s="182" t="e">
        <f>RANK(R107, R$67:R$81)</f>
        <v>#N/A</v>
      </c>
      <c r="T107" s="491" t="e">
        <f>AVERAGE(R107:R121)</f>
        <v>#DIV/0!</v>
      </c>
      <c r="U107" s="166"/>
      <c r="V107" s="166"/>
      <c r="W107" s="166"/>
      <c r="X107" s="182" t="e">
        <f t="shared" ref="X107:AM121" si="83">RANK(W107, W$67:W$81)</f>
        <v>#N/A</v>
      </c>
      <c r="Y107" s="491" t="e">
        <f t="shared" ref="Y107" si="84">AVERAGE(W107:W121)</f>
        <v>#DIV/0!</v>
      </c>
      <c r="Z107" s="166"/>
      <c r="AA107" s="166"/>
      <c r="AB107" s="166"/>
      <c r="AC107" s="182" t="e">
        <f t="shared" ref="AC107" si="85">RANK(AB107, AB$67:AB$81)</f>
        <v>#N/A</v>
      </c>
      <c r="AD107" s="491" t="e">
        <f t="shared" ref="AD107" si="86">AVERAGE(AB107:AB121)</f>
        <v>#DIV/0!</v>
      </c>
      <c r="AE107" s="166"/>
      <c r="AF107" s="166"/>
      <c r="AG107" s="166"/>
      <c r="AH107" s="182" t="e">
        <f t="shared" ref="AH107" si="87">RANK(AG107, AG$67:AG$81)</f>
        <v>#N/A</v>
      </c>
      <c r="AI107" s="491" t="e">
        <f t="shared" ref="AI107" si="88">AVERAGE(AG107:AG121)</f>
        <v>#DIV/0!</v>
      </c>
      <c r="AJ107" s="166"/>
      <c r="AK107" s="166"/>
      <c r="AL107" s="166"/>
      <c r="AM107" s="182" t="e">
        <f t="shared" ref="AM107" si="89">RANK(AL107, AL$67:AL$81)</f>
        <v>#N/A</v>
      </c>
      <c r="AN107" s="491" t="e">
        <f t="shared" ref="AN107" si="90">AVERAGE(AL107:AL121)</f>
        <v>#DIV/0!</v>
      </c>
      <c r="AO107" s="166"/>
      <c r="AP107" s="166"/>
      <c r="AQ107" s="166"/>
      <c r="AR107" s="182" t="e">
        <f t="shared" ref="AR107:AW121" si="91">RANK(AQ107, AQ$67:AQ$81)</f>
        <v>#N/A</v>
      </c>
      <c r="AS107" s="491" t="e">
        <f t="shared" ref="AS107" si="92">AVERAGE(AQ107:AQ121)</f>
        <v>#DIV/0!</v>
      </c>
      <c r="AT107" s="166"/>
      <c r="AU107" s="166"/>
      <c r="AV107" s="166"/>
      <c r="AW107" s="182" t="e">
        <f t="shared" ref="AW107" si="93">RANK(AV107, AV$67:AV$81)</f>
        <v>#N/A</v>
      </c>
      <c r="AX107" s="491" t="e">
        <f t="shared" ref="AX107" si="94">AVERAGE(AV107:AV121)</f>
        <v>#DIV/0!</v>
      </c>
    </row>
    <row r="108" spans="2:50">
      <c r="B108" s="479"/>
      <c r="C108" s="182">
        <v>2</v>
      </c>
      <c r="D108" s="203"/>
      <c r="E108" s="166"/>
      <c r="F108" s="166"/>
      <c r="G108" s="166"/>
      <c r="H108" s="460"/>
      <c r="I108" s="166" t="e">
        <f t="shared" ref="I108:K117" si="95">AVERAGE(P108,U108,Z108,AE108,AJ108,AO108,AT108)</f>
        <v>#DIV/0!</v>
      </c>
      <c r="J108" s="166" t="e">
        <f t="shared" si="95"/>
        <v>#DIV/0!</v>
      </c>
      <c r="K108" s="180" t="e">
        <f t="shared" si="95"/>
        <v>#DIV/0!</v>
      </c>
      <c r="L108" s="460"/>
      <c r="M108" s="166" t="e">
        <f>RANK(K108, K$67:$K$81)</f>
        <v>#DIV/0!</v>
      </c>
      <c r="N108" s="462"/>
      <c r="O108" s="462"/>
      <c r="P108" s="166"/>
      <c r="Q108" s="166"/>
      <c r="R108" s="166"/>
      <c r="S108" s="182" t="e">
        <f t="shared" ref="S108:S121" si="96">RANK(R108, R$67:R$81)</f>
        <v>#N/A</v>
      </c>
      <c r="T108" s="491"/>
      <c r="U108" s="166"/>
      <c r="V108" s="166"/>
      <c r="W108" s="166"/>
      <c r="X108" s="182" t="e">
        <f t="shared" si="83"/>
        <v>#N/A</v>
      </c>
      <c r="Y108" s="491"/>
      <c r="Z108" s="166"/>
      <c r="AA108" s="166"/>
      <c r="AB108" s="166"/>
      <c r="AC108" s="182" t="e">
        <f t="shared" si="83"/>
        <v>#N/A</v>
      </c>
      <c r="AD108" s="491"/>
      <c r="AE108" s="166"/>
      <c r="AF108" s="166"/>
      <c r="AG108" s="166"/>
      <c r="AH108" s="182" t="e">
        <f t="shared" si="83"/>
        <v>#N/A</v>
      </c>
      <c r="AI108" s="491"/>
      <c r="AJ108" s="166"/>
      <c r="AK108" s="166"/>
      <c r="AL108" s="166"/>
      <c r="AM108" s="182" t="e">
        <f t="shared" si="83"/>
        <v>#N/A</v>
      </c>
      <c r="AN108" s="491"/>
      <c r="AO108" s="166"/>
      <c r="AP108" s="166"/>
      <c r="AQ108" s="166"/>
      <c r="AR108" s="182" t="e">
        <f t="shared" si="91"/>
        <v>#N/A</v>
      </c>
      <c r="AS108" s="491"/>
      <c r="AT108" s="166"/>
      <c r="AU108" s="166"/>
      <c r="AV108" s="166"/>
      <c r="AW108" s="182" t="e">
        <f t="shared" si="91"/>
        <v>#N/A</v>
      </c>
      <c r="AX108" s="491"/>
    </row>
    <row r="109" spans="2:50">
      <c r="B109" s="479"/>
      <c r="C109" s="182">
        <v>3</v>
      </c>
      <c r="D109" s="203"/>
      <c r="E109" s="166"/>
      <c r="F109" s="166"/>
      <c r="G109" s="166"/>
      <c r="H109" s="460"/>
      <c r="I109" s="166" t="e">
        <f t="shared" si="95"/>
        <v>#DIV/0!</v>
      </c>
      <c r="J109" s="166" t="e">
        <f t="shared" si="95"/>
        <v>#DIV/0!</v>
      </c>
      <c r="K109" s="180" t="e">
        <f t="shared" si="95"/>
        <v>#DIV/0!</v>
      </c>
      <c r="L109" s="460"/>
      <c r="M109" s="166" t="e">
        <f>RANK(K109, K$67:$K$81)</f>
        <v>#DIV/0!</v>
      </c>
      <c r="N109" s="462"/>
      <c r="O109" s="462"/>
      <c r="P109" s="166"/>
      <c r="Q109" s="166"/>
      <c r="R109" s="166"/>
      <c r="S109" s="182" t="e">
        <f t="shared" si="96"/>
        <v>#N/A</v>
      </c>
      <c r="T109" s="491"/>
      <c r="U109" s="166"/>
      <c r="V109" s="166"/>
      <c r="W109" s="166"/>
      <c r="X109" s="182" t="e">
        <f t="shared" si="83"/>
        <v>#N/A</v>
      </c>
      <c r="Y109" s="491"/>
      <c r="Z109" s="166"/>
      <c r="AA109" s="166"/>
      <c r="AB109" s="166"/>
      <c r="AC109" s="182" t="e">
        <f t="shared" si="83"/>
        <v>#N/A</v>
      </c>
      <c r="AD109" s="491"/>
      <c r="AE109" s="166"/>
      <c r="AF109" s="166"/>
      <c r="AG109" s="166"/>
      <c r="AH109" s="182" t="e">
        <f t="shared" si="83"/>
        <v>#N/A</v>
      </c>
      <c r="AI109" s="491"/>
      <c r="AJ109" s="166"/>
      <c r="AK109" s="166"/>
      <c r="AL109" s="166"/>
      <c r="AM109" s="182" t="e">
        <f t="shared" si="83"/>
        <v>#N/A</v>
      </c>
      <c r="AN109" s="491"/>
      <c r="AO109" s="166"/>
      <c r="AP109" s="166"/>
      <c r="AQ109" s="166"/>
      <c r="AR109" s="182" t="e">
        <f t="shared" si="91"/>
        <v>#N/A</v>
      </c>
      <c r="AS109" s="491"/>
      <c r="AT109" s="166"/>
      <c r="AU109" s="166"/>
      <c r="AV109" s="166"/>
      <c r="AW109" s="182" t="e">
        <f t="shared" si="91"/>
        <v>#N/A</v>
      </c>
      <c r="AX109" s="491"/>
    </row>
    <row r="110" spans="2:50">
      <c r="B110" s="479"/>
      <c r="C110" s="182">
        <v>4</v>
      </c>
      <c r="D110" s="203"/>
      <c r="E110" s="166"/>
      <c r="F110" s="166"/>
      <c r="G110" s="166"/>
      <c r="H110" s="460"/>
      <c r="I110" s="166" t="e">
        <f t="shared" si="95"/>
        <v>#DIV/0!</v>
      </c>
      <c r="J110" s="166" t="e">
        <f t="shared" si="95"/>
        <v>#DIV/0!</v>
      </c>
      <c r="K110" s="180" t="e">
        <f t="shared" si="95"/>
        <v>#DIV/0!</v>
      </c>
      <c r="L110" s="460"/>
      <c r="M110" s="166" t="e">
        <f>RANK(K110, K$67:$K$81)</f>
        <v>#DIV/0!</v>
      </c>
      <c r="N110" s="462"/>
      <c r="O110" s="462"/>
      <c r="P110" s="166"/>
      <c r="Q110" s="166"/>
      <c r="R110" s="166"/>
      <c r="S110" s="182" t="e">
        <f t="shared" si="96"/>
        <v>#N/A</v>
      </c>
      <c r="T110" s="491"/>
      <c r="U110" s="166"/>
      <c r="V110" s="166"/>
      <c r="W110" s="166"/>
      <c r="X110" s="182" t="e">
        <f t="shared" si="83"/>
        <v>#N/A</v>
      </c>
      <c r="Y110" s="491"/>
      <c r="Z110" s="166"/>
      <c r="AA110" s="166"/>
      <c r="AB110" s="166"/>
      <c r="AC110" s="182" t="e">
        <f t="shared" si="83"/>
        <v>#N/A</v>
      </c>
      <c r="AD110" s="491"/>
      <c r="AE110" s="166"/>
      <c r="AF110" s="166"/>
      <c r="AG110" s="166"/>
      <c r="AH110" s="182" t="e">
        <f t="shared" si="83"/>
        <v>#N/A</v>
      </c>
      <c r="AI110" s="491"/>
      <c r="AJ110" s="166"/>
      <c r="AK110" s="166"/>
      <c r="AL110" s="166"/>
      <c r="AM110" s="182" t="e">
        <f t="shared" si="83"/>
        <v>#N/A</v>
      </c>
      <c r="AN110" s="491"/>
      <c r="AO110" s="166"/>
      <c r="AP110" s="166"/>
      <c r="AQ110" s="166"/>
      <c r="AR110" s="182" t="e">
        <f t="shared" si="91"/>
        <v>#N/A</v>
      </c>
      <c r="AS110" s="491"/>
      <c r="AT110" s="166"/>
      <c r="AU110" s="166"/>
      <c r="AV110" s="166"/>
      <c r="AW110" s="182" t="e">
        <f t="shared" si="91"/>
        <v>#N/A</v>
      </c>
      <c r="AX110" s="491"/>
    </row>
    <row r="111" spans="2:50">
      <c r="B111" s="479"/>
      <c r="C111" s="182">
        <v>5</v>
      </c>
      <c r="D111" s="203"/>
      <c r="E111" s="166"/>
      <c r="F111" s="166"/>
      <c r="G111" s="166"/>
      <c r="H111" s="460"/>
      <c r="I111" s="166" t="e">
        <f t="shared" si="95"/>
        <v>#DIV/0!</v>
      </c>
      <c r="J111" s="166" t="e">
        <f t="shared" si="95"/>
        <v>#DIV/0!</v>
      </c>
      <c r="K111" s="180" t="e">
        <f t="shared" si="95"/>
        <v>#DIV/0!</v>
      </c>
      <c r="L111" s="460"/>
      <c r="M111" s="166" t="e">
        <f>RANK(K111, K$67:$K$81)</f>
        <v>#DIV/0!</v>
      </c>
      <c r="N111" s="462"/>
      <c r="O111" s="462"/>
      <c r="P111" s="166"/>
      <c r="Q111" s="166"/>
      <c r="R111" s="166"/>
      <c r="S111" s="182" t="e">
        <f t="shared" si="96"/>
        <v>#N/A</v>
      </c>
      <c r="T111" s="491"/>
      <c r="U111" s="166"/>
      <c r="V111" s="166"/>
      <c r="W111" s="166"/>
      <c r="X111" s="182" t="e">
        <f t="shared" si="83"/>
        <v>#N/A</v>
      </c>
      <c r="Y111" s="491"/>
      <c r="Z111" s="166"/>
      <c r="AA111" s="166"/>
      <c r="AB111" s="166"/>
      <c r="AC111" s="182" t="e">
        <f t="shared" si="83"/>
        <v>#N/A</v>
      </c>
      <c r="AD111" s="491"/>
      <c r="AE111" s="166"/>
      <c r="AF111" s="166"/>
      <c r="AG111" s="166"/>
      <c r="AH111" s="182" t="e">
        <f t="shared" si="83"/>
        <v>#N/A</v>
      </c>
      <c r="AI111" s="491"/>
      <c r="AJ111" s="166"/>
      <c r="AK111" s="166"/>
      <c r="AL111" s="166"/>
      <c r="AM111" s="182" t="e">
        <f t="shared" si="83"/>
        <v>#N/A</v>
      </c>
      <c r="AN111" s="491"/>
      <c r="AO111" s="166"/>
      <c r="AP111" s="166"/>
      <c r="AQ111" s="166"/>
      <c r="AR111" s="182" t="e">
        <f t="shared" si="91"/>
        <v>#N/A</v>
      </c>
      <c r="AS111" s="491"/>
      <c r="AT111" s="166"/>
      <c r="AU111" s="166"/>
      <c r="AV111" s="166"/>
      <c r="AW111" s="182" t="e">
        <f t="shared" si="91"/>
        <v>#N/A</v>
      </c>
      <c r="AX111" s="491"/>
    </row>
    <row r="112" spans="2:50">
      <c r="B112" s="479"/>
      <c r="C112" s="182">
        <v>6</v>
      </c>
      <c r="D112" s="203"/>
      <c r="E112" s="166"/>
      <c r="F112" s="166"/>
      <c r="G112" s="166"/>
      <c r="H112" s="460"/>
      <c r="I112" s="166" t="e">
        <f t="shared" si="95"/>
        <v>#DIV/0!</v>
      </c>
      <c r="J112" s="166" t="e">
        <f t="shared" si="95"/>
        <v>#DIV/0!</v>
      </c>
      <c r="K112" s="180" t="e">
        <f t="shared" si="95"/>
        <v>#DIV/0!</v>
      </c>
      <c r="L112" s="460"/>
      <c r="M112" s="166" t="e">
        <f>RANK(K112, K$67:$K$81)</f>
        <v>#DIV/0!</v>
      </c>
      <c r="N112" s="462"/>
      <c r="O112" s="462"/>
      <c r="P112" s="166"/>
      <c r="Q112" s="166"/>
      <c r="R112" s="166"/>
      <c r="S112" s="182" t="e">
        <f t="shared" si="96"/>
        <v>#N/A</v>
      </c>
      <c r="T112" s="491"/>
      <c r="U112" s="166"/>
      <c r="V112" s="166"/>
      <c r="W112" s="166"/>
      <c r="X112" s="182" t="e">
        <f t="shared" si="83"/>
        <v>#N/A</v>
      </c>
      <c r="Y112" s="491"/>
      <c r="Z112" s="166"/>
      <c r="AA112" s="166"/>
      <c r="AB112" s="166"/>
      <c r="AC112" s="182" t="e">
        <f t="shared" si="83"/>
        <v>#N/A</v>
      </c>
      <c r="AD112" s="491"/>
      <c r="AE112" s="166"/>
      <c r="AF112" s="166"/>
      <c r="AG112" s="166"/>
      <c r="AH112" s="182" t="e">
        <f t="shared" si="83"/>
        <v>#N/A</v>
      </c>
      <c r="AI112" s="491"/>
      <c r="AJ112" s="166"/>
      <c r="AK112" s="166"/>
      <c r="AL112" s="166"/>
      <c r="AM112" s="182" t="e">
        <f t="shared" si="83"/>
        <v>#N/A</v>
      </c>
      <c r="AN112" s="491"/>
      <c r="AO112" s="166"/>
      <c r="AP112" s="166"/>
      <c r="AQ112" s="166"/>
      <c r="AR112" s="182" t="e">
        <f t="shared" si="91"/>
        <v>#N/A</v>
      </c>
      <c r="AS112" s="491"/>
      <c r="AT112" s="166"/>
      <c r="AU112" s="166"/>
      <c r="AV112" s="166"/>
      <c r="AW112" s="182" t="e">
        <f t="shared" si="91"/>
        <v>#N/A</v>
      </c>
      <c r="AX112" s="491"/>
    </row>
    <row r="113" spans="2:50">
      <c r="B113" s="479"/>
      <c r="C113" s="182">
        <v>7</v>
      </c>
      <c r="D113" s="203"/>
      <c r="E113" s="166"/>
      <c r="F113" s="166"/>
      <c r="G113" s="166"/>
      <c r="H113" s="460"/>
      <c r="I113" s="166" t="e">
        <f t="shared" si="95"/>
        <v>#DIV/0!</v>
      </c>
      <c r="J113" s="166" t="e">
        <f t="shared" si="95"/>
        <v>#DIV/0!</v>
      </c>
      <c r="K113" s="180" t="e">
        <f t="shared" si="95"/>
        <v>#DIV/0!</v>
      </c>
      <c r="L113" s="460"/>
      <c r="M113" s="166" t="e">
        <f>RANK(K113, K$67:$K$81)</f>
        <v>#DIV/0!</v>
      </c>
      <c r="N113" s="462"/>
      <c r="O113" s="462"/>
      <c r="P113" s="166"/>
      <c r="Q113" s="166"/>
      <c r="R113" s="166"/>
      <c r="S113" s="182" t="e">
        <f t="shared" si="96"/>
        <v>#N/A</v>
      </c>
      <c r="T113" s="491"/>
      <c r="U113" s="166"/>
      <c r="V113" s="166"/>
      <c r="W113" s="166"/>
      <c r="X113" s="182" t="e">
        <f t="shared" si="83"/>
        <v>#N/A</v>
      </c>
      <c r="Y113" s="491"/>
      <c r="Z113" s="166"/>
      <c r="AA113" s="166"/>
      <c r="AB113" s="166"/>
      <c r="AC113" s="182" t="e">
        <f t="shared" si="83"/>
        <v>#N/A</v>
      </c>
      <c r="AD113" s="491"/>
      <c r="AE113" s="166"/>
      <c r="AF113" s="166"/>
      <c r="AG113" s="166"/>
      <c r="AH113" s="182" t="e">
        <f t="shared" si="83"/>
        <v>#N/A</v>
      </c>
      <c r="AI113" s="491"/>
      <c r="AJ113" s="166"/>
      <c r="AK113" s="166"/>
      <c r="AL113" s="166"/>
      <c r="AM113" s="182" t="e">
        <f t="shared" si="83"/>
        <v>#N/A</v>
      </c>
      <c r="AN113" s="491"/>
      <c r="AO113" s="166"/>
      <c r="AP113" s="166"/>
      <c r="AQ113" s="166"/>
      <c r="AR113" s="182" t="e">
        <f t="shared" si="91"/>
        <v>#N/A</v>
      </c>
      <c r="AS113" s="491"/>
      <c r="AT113" s="166"/>
      <c r="AU113" s="166"/>
      <c r="AV113" s="166"/>
      <c r="AW113" s="182" t="e">
        <f t="shared" si="91"/>
        <v>#N/A</v>
      </c>
      <c r="AX113" s="491"/>
    </row>
    <row r="114" spans="2:50">
      <c r="B114" s="479"/>
      <c r="C114" s="182">
        <v>8</v>
      </c>
      <c r="D114" s="203"/>
      <c r="E114" s="166"/>
      <c r="F114" s="166"/>
      <c r="G114" s="166"/>
      <c r="H114" s="460"/>
      <c r="I114" s="166" t="e">
        <f t="shared" si="95"/>
        <v>#DIV/0!</v>
      </c>
      <c r="J114" s="166" t="e">
        <f t="shared" si="95"/>
        <v>#DIV/0!</v>
      </c>
      <c r="K114" s="180" t="e">
        <f t="shared" si="95"/>
        <v>#DIV/0!</v>
      </c>
      <c r="L114" s="460"/>
      <c r="M114" s="166" t="e">
        <f>RANK(K114, K$67:$K$81)</f>
        <v>#DIV/0!</v>
      </c>
      <c r="N114" s="462"/>
      <c r="O114" s="462"/>
      <c r="P114" s="166"/>
      <c r="Q114" s="166"/>
      <c r="R114" s="166"/>
      <c r="S114" s="182" t="e">
        <f t="shared" si="96"/>
        <v>#N/A</v>
      </c>
      <c r="T114" s="491"/>
      <c r="U114" s="166"/>
      <c r="V114" s="166"/>
      <c r="W114" s="166"/>
      <c r="X114" s="182" t="e">
        <f t="shared" si="83"/>
        <v>#N/A</v>
      </c>
      <c r="Y114" s="491"/>
      <c r="Z114" s="166"/>
      <c r="AA114" s="166"/>
      <c r="AB114" s="166"/>
      <c r="AC114" s="182" t="e">
        <f t="shared" si="83"/>
        <v>#N/A</v>
      </c>
      <c r="AD114" s="491"/>
      <c r="AE114" s="166"/>
      <c r="AF114" s="166"/>
      <c r="AG114" s="166"/>
      <c r="AH114" s="182" t="e">
        <f t="shared" si="83"/>
        <v>#N/A</v>
      </c>
      <c r="AI114" s="491"/>
      <c r="AJ114" s="166"/>
      <c r="AK114" s="166"/>
      <c r="AL114" s="166"/>
      <c r="AM114" s="182" t="e">
        <f t="shared" si="83"/>
        <v>#N/A</v>
      </c>
      <c r="AN114" s="491"/>
      <c r="AO114" s="166"/>
      <c r="AP114" s="166"/>
      <c r="AQ114" s="166"/>
      <c r="AR114" s="182" t="e">
        <f t="shared" si="91"/>
        <v>#N/A</v>
      </c>
      <c r="AS114" s="491"/>
      <c r="AT114" s="166"/>
      <c r="AU114" s="166"/>
      <c r="AV114" s="166"/>
      <c r="AW114" s="182" t="e">
        <f t="shared" si="91"/>
        <v>#N/A</v>
      </c>
      <c r="AX114" s="491"/>
    </row>
    <row r="115" spans="2:50">
      <c r="B115" s="479"/>
      <c r="C115" s="182">
        <v>9</v>
      </c>
      <c r="D115" s="203"/>
      <c r="E115" s="166"/>
      <c r="F115" s="166"/>
      <c r="G115" s="166"/>
      <c r="H115" s="460"/>
      <c r="I115" s="166" t="e">
        <f t="shared" si="95"/>
        <v>#DIV/0!</v>
      </c>
      <c r="J115" s="166" t="e">
        <f t="shared" si="95"/>
        <v>#DIV/0!</v>
      </c>
      <c r="K115" s="180" t="e">
        <f t="shared" si="95"/>
        <v>#DIV/0!</v>
      </c>
      <c r="L115" s="460"/>
      <c r="M115" s="166" t="e">
        <f>RANK(K115, K$67:$K$81)</f>
        <v>#DIV/0!</v>
      </c>
      <c r="N115" s="462"/>
      <c r="O115" s="462"/>
      <c r="P115" s="166"/>
      <c r="Q115" s="166"/>
      <c r="R115" s="166"/>
      <c r="S115" s="182" t="e">
        <f t="shared" si="96"/>
        <v>#N/A</v>
      </c>
      <c r="T115" s="491"/>
      <c r="U115" s="166"/>
      <c r="V115" s="166"/>
      <c r="W115" s="166"/>
      <c r="X115" s="182" t="e">
        <f t="shared" si="83"/>
        <v>#N/A</v>
      </c>
      <c r="Y115" s="491"/>
      <c r="Z115" s="166"/>
      <c r="AA115" s="166"/>
      <c r="AB115" s="166"/>
      <c r="AC115" s="182" t="e">
        <f t="shared" si="83"/>
        <v>#N/A</v>
      </c>
      <c r="AD115" s="491"/>
      <c r="AE115" s="166"/>
      <c r="AF115" s="166"/>
      <c r="AG115" s="166"/>
      <c r="AH115" s="182" t="e">
        <f t="shared" si="83"/>
        <v>#N/A</v>
      </c>
      <c r="AI115" s="491"/>
      <c r="AJ115" s="166"/>
      <c r="AK115" s="166"/>
      <c r="AL115" s="166"/>
      <c r="AM115" s="182" t="e">
        <f t="shared" si="83"/>
        <v>#N/A</v>
      </c>
      <c r="AN115" s="491"/>
      <c r="AO115" s="166"/>
      <c r="AP115" s="166"/>
      <c r="AQ115" s="166"/>
      <c r="AR115" s="182" t="e">
        <f t="shared" si="91"/>
        <v>#N/A</v>
      </c>
      <c r="AS115" s="491"/>
      <c r="AT115" s="166"/>
      <c r="AU115" s="166"/>
      <c r="AV115" s="166"/>
      <c r="AW115" s="182" t="e">
        <f t="shared" si="91"/>
        <v>#N/A</v>
      </c>
      <c r="AX115" s="491"/>
    </row>
    <row r="116" spans="2:50">
      <c r="B116" s="479"/>
      <c r="C116" s="182">
        <v>10</v>
      </c>
      <c r="D116" s="203"/>
      <c r="E116" s="166"/>
      <c r="F116" s="166"/>
      <c r="G116" s="166"/>
      <c r="H116" s="460"/>
      <c r="I116" s="166" t="e">
        <f t="shared" si="95"/>
        <v>#DIV/0!</v>
      </c>
      <c r="J116" s="166" t="e">
        <f t="shared" si="95"/>
        <v>#DIV/0!</v>
      </c>
      <c r="K116" s="180" t="e">
        <f t="shared" si="95"/>
        <v>#DIV/0!</v>
      </c>
      <c r="L116" s="460"/>
      <c r="M116" s="166" t="e">
        <f>RANK(K116, K$67:$K$81)</f>
        <v>#DIV/0!</v>
      </c>
      <c r="N116" s="462"/>
      <c r="O116" s="462"/>
      <c r="P116" s="166"/>
      <c r="Q116" s="166"/>
      <c r="R116" s="166"/>
      <c r="S116" s="182" t="e">
        <f t="shared" si="96"/>
        <v>#N/A</v>
      </c>
      <c r="T116" s="491"/>
      <c r="U116" s="166"/>
      <c r="V116" s="166"/>
      <c r="W116" s="166"/>
      <c r="X116" s="182" t="e">
        <f t="shared" si="83"/>
        <v>#N/A</v>
      </c>
      <c r="Y116" s="491"/>
      <c r="Z116" s="166"/>
      <c r="AA116" s="166"/>
      <c r="AB116" s="166"/>
      <c r="AC116" s="182" t="e">
        <f t="shared" si="83"/>
        <v>#N/A</v>
      </c>
      <c r="AD116" s="491"/>
      <c r="AE116" s="166"/>
      <c r="AF116" s="166"/>
      <c r="AG116" s="166"/>
      <c r="AH116" s="182" t="e">
        <f t="shared" si="83"/>
        <v>#N/A</v>
      </c>
      <c r="AI116" s="491"/>
      <c r="AJ116" s="166"/>
      <c r="AK116" s="166"/>
      <c r="AL116" s="166"/>
      <c r="AM116" s="182" t="e">
        <f t="shared" si="83"/>
        <v>#N/A</v>
      </c>
      <c r="AN116" s="491"/>
      <c r="AO116" s="166"/>
      <c r="AP116" s="166"/>
      <c r="AQ116" s="166"/>
      <c r="AR116" s="182" t="e">
        <f t="shared" si="91"/>
        <v>#N/A</v>
      </c>
      <c r="AS116" s="491"/>
      <c r="AT116" s="166"/>
      <c r="AU116" s="166"/>
      <c r="AV116" s="166"/>
      <c r="AW116" s="182" t="e">
        <f t="shared" si="91"/>
        <v>#N/A</v>
      </c>
      <c r="AX116" s="491"/>
    </row>
    <row r="117" spans="2:50">
      <c r="B117" s="479"/>
      <c r="C117" s="182">
        <v>11</v>
      </c>
      <c r="D117" s="203"/>
      <c r="E117" s="166"/>
      <c r="F117" s="166"/>
      <c r="G117" s="166"/>
      <c r="H117" s="460"/>
      <c r="I117" s="166" t="e">
        <f t="shared" si="95"/>
        <v>#DIV/0!</v>
      </c>
      <c r="J117" s="166" t="e">
        <f t="shared" si="95"/>
        <v>#DIV/0!</v>
      </c>
      <c r="K117" s="180" t="e">
        <f t="shared" si="95"/>
        <v>#DIV/0!</v>
      </c>
      <c r="L117" s="460"/>
      <c r="M117" s="166" t="e">
        <f>RANK(K117, K$67:$K$81)</f>
        <v>#DIV/0!</v>
      </c>
      <c r="N117" s="462"/>
      <c r="O117" s="462"/>
      <c r="P117" s="166"/>
      <c r="Q117" s="166"/>
      <c r="R117" s="166"/>
      <c r="S117" s="182" t="e">
        <f t="shared" si="96"/>
        <v>#N/A</v>
      </c>
      <c r="T117" s="491"/>
      <c r="U117" s="166"/>
      <c r="V117" s="166"/>
      <c r="W117" s="166"/>
      <c r="X117" s="182" t="e">
        <f t="shared" si="83"/>
        <v>#N/A</v>
      </c>
      <c r="Y117" s="491"/>
      <c r="Z117" s="166"/>
      <c r="AA117" s="166"/>
      <c r="AB117" s="166"/>
      <c r="AC117" s="182" t="e">
        <f t="shared" si="83"/>
        <v>#N/A</v>
      </c>
      <c r="AD117" s="491"/>
      <c r="AE117" s="166"/>
      <c r="AF117" s="166"/>
      <c r="AG117" s="166"/>
      <c r="AH117" s="182" t="e">
        <f t="shared" si="83"/>
        <v>#N/A</v>
      </c>
      <c r="AI117" s="491"/>
      <c r="AJ117" s="166"/>
      <c r="AK117" s="166"/>
      <c r="AL117" s="166"/>
      <c r="AM117" s="182" t="e">
        <f t="shared" si="83"/>
        <v>#N/A</v>
      </c>
      <c r="AN117" s="491"/>
      <c r="AO117" s="166"/>
      <c r="AP117" s="166"/>
      <c r="AQ117" s="166"/>
      <c r="AR117" s="182" t="e">
        <f t="shared" si="91"/>
        <v>#N/A</v>
      </c>
      <c r="AS117" s="491"/>
      <c r="AT117" s="166"/>
      <c r="AU117" s="166"/>
      <c r="AV117" s="166"/>
      <c r="AW117" s="182" t="e">
        <f t="shared" si="91"/>
        <v>#N/A</v>
      </c>
      <c r="AX117" s="491"/>
    </row>
    <row r="118" spans="2:50">
      <c r="B118" s="479"/>
      <c r="C118" s="182">
        <v>12</v>
      </c>
      <c r="D118" s="203"/>
      <c r="E118" s="166"/>
      <c r="F118" s="166"/>
      <c r="G118" s="166"/>
      <c r="H118" s="460"/>
      <c r="I118" s="166"/>
      <c r="J118" s="166"/>
      <c r="K118" s="180"/>
      <c r="L118" s="460"/>
      <c r="M118" s="166" t="e">
        <f>RANK(K118, K$67:$K$81)</f>
        <v>#N/A</v>
      </c>
      <c r="N118" s="462"/>
      <c r="O118" s="462"/>
      <c r="P118" s="166"/>
      <c r="Q118" s="166"/>
      <c r="R118" s="166"/>
      <c r="S118" s="182" t="e">
        <f t="shared" si="96"/>
        <v>#N/A</v>
      </c>
      <c r="T118" s="491"/>
      <c r="U118" s="166"/>
      <c r="V118" s="166"/>
      <c r="W118" s="166"/>
      <c r="X118" s="182" t="e">
        <f t="shared" si="83"/>
        <v>#N/A</v>
      </c>
      <c r="Y118" s="491"/>
      <c r="Z118" s="166"/>
      <c r="AA118" s="166"/>
      <c r="AB118" s="166"/>
      <c r="AC118" s="182" t="e">
        <f t="shared" si="83"/>
        <v>#N/A</v>
      </c>
      <c r="AD118" s="491"/>
      <c r="AE118" s="166"/>
      <c r="AF118" s="166"/>
      <c r="AG118" s="166"/>
      <c r="AH118" s="182" t="e">
        <f t="shared" si="83"/>
        <v>#N/A</v>
      </c>
      <c r="AI118" s="491"/>
      <c r="AJ118" s="166"/>
      <c r="AK118" s="166"/>
      <c r="AL118" s="166"/>
      <c r="AM118" s="182" t="e">
        <f t="shared" si="83"/>
        <v>#N/A</v>
      </c>
      <c r="AN118" s="491"/>
      <c r="AO118" s="166"/>
      <c r="AP118" s="166"/>
      <c r="AQ118" s="166"/>
      <c r="AR118" s="182" t="e">
        <f t="shared" si="91"/>
        <v>#N/A</v>
      </c>
      <c r="AS118" s="491"/>
      <c r="AT118" s="166"/>
      <c r="AU118" s="166"/>
      <c r="AV118" s="166"/>
      <c r="AW118" s="182" t="e">
        <f t="shared" si="91"/>
        <v>#N/A</v>
      </c>
      <c r="AX118" s="491"/>
    </row>
    <row r="119" spans="2:50">
      <c r="B119" s="479"/>
      <c r="C119" s="182">
        <v>13</v>
      </c>
      <c r="D119" s="203"/>
      <c r="E119" s="166"/>
      <c r="F119" s="166"/>
      <c r="G119" s="166"/>
      <c r="H119" s="460"/>
      <c r="I119" s="166"/>
      <c r="J119" s="166"/>
      <c r="K119" s="180"/>
      <c r="L119" s="460"/>
      <c r="M119" s="166" t="e">
        <f>RANK(K119, K$67:$K$81)</f>
        <v>#N/A</v>
      </c>
      <c r="N119" s="462"/>
      <c r="O119" s="462"/>
      <c r="P119" s="166"/>
      <c r="Q119" s="166"/>
      <c r="R119" s="166"/>
      <c r="S119" s="182" t="e">
        <f t="shared" si="96"/>
        <v>#N/A</v>
      </c>
      <c r="T119" s="491"/>
      <c r="U119" s="166"/>
      <c r="V119" s="166"/>
      <c r="W119" s="166"/>
      <c r="X119" s="182" t="e">
        <f t="shared" si="83"/>
        <v>#N/A</v>
      </c>
      <c r="Y119" s="491"/>
      <c r="Z119" s="166"/>
      <c r="AA119" s="166"/>
      <c r="AB119" s="166"/>
      <c r="AC119" s="182" t="e">
        <f t="shared" si="83"/>
        <v>#N/A</v>
      </c>
      <c r="AD119" s="491"/>
      <c r="AE119" s="166"/>
      <c r="AF119" s="166"/>
      <c r="AG119" s="166"/>
      <c r="AH119" s="182" t="e">
        <f t="shared" si="83"/>
        <v>#N/A</v>
      </c>
      <c r="AI119" s="491"/>
      <c r="AJ119" s="166"/>
      <c r="AK119" s="166"/>
      <c r="AL119" s="166"/>
      <c r="AM119" s="182" t="e">
        <f t="shared" si="83"/>
        <v>#N/A</v>
      </c>
      <c r="AN119" s="491"/>
      <c r="AO119" s="166"/>
      <c r="AP119" s="166"/>
      <c r="AQ119" s="166"/>
      <c r="AR119" s="182" t="e">
        <f t="shared" si="91"/>
        <v>#N/A</v>
      </c>
      <c r="AS119" s="491"/>
      <c r="AT119" s="166"/>
      <c r="AU119" s="166"/>
      <c r="AV119" s="166"/>
      <c r="AW119" s="182" t="e">
        <f t="shared" si="91"/>
        <v>#N/A</v>
      </c>
      <c r="AX119" s="491"/>
    </row>
    <row r="120" spans="2:50">
      <c r="B120" s="479"/>
      <c r="C120" s="182">
        <v>14</v>
      </c>
      <c r="D120" s="203"/>
      <c r="E120" s="166"/>
      <c r="F120" s="166"/>
      <c r="G120" s="166"/>
      <c r="H120" s="460"/>
      <c r="I120" s="166"/>
      <c r="J120" s="166"/>
      <c r="K120" s="180"/>
      <c r="L120" s="460"/>
      <c r="M120" s="166" t="e">
        <f>RANK(K120, K$67:$K$81)</f>
        <v>#N/A</v>
      </c>
      <c r="N120" s="462"/>
      <c r="O120" s="462"/>
      <c r="P120" s="166"/>
      <c r="Q120" s="166"/>
      <c r="R120" s="166"/>
      <c r="S120" s="182" t="e">
        <f t="shared" si="96"/>
        <v>#N/A</v>
      </c>
      <c r="T120" s="491"/>
      <c r="U120" s="166"/>
      <c r="V120" s="166"/>
      <c r="W120" s="166"/>
      <c r="X120" s="182" t="e">
        <f t="shared" si="83"/>
        <v>#N/A</v>
      </c>
      <c r="Y120" s="491"/>
      <c r="Z120" s="166"/>
      <c r="AA120" s="166"/>
      <c r="AB120" s="166"/>
      <c r="AC120" s="182" t="e">
        <f t="shared" si="83"/>
        <v>#N/A</v>
      </c>
      <c r="AD120" s="491"/>
      <c r="AE120" s="166"/>
      <c r="AF120" s="166"/>
      <c r="AG120" s="166"/>
      <c r="AH120" s="182" t="e">
        <f t="shared" si="83"/>
        <v>#N/A</v>
      </c>
      <c r="AI120" s="491"/>
      <c r="AJ120" s="166"/>
      <c r="AK120" s="166"/>
      <c r="AL120" s="166"/>
      <c r="AM120" s="182" t="e">
        <f t="shared" si="83"/>
        <v>#N/A</v>
      </c>
      <c r="AN120" s="491"/>
      <c r="AO120" s="166"/>
      <c r="AP120" s="166"/>
      <c r="AQ120" s="166"/>
      <c r="AR120" s="182" t="e">
        <f t="shared" si="91"/>
        <v>#N/A</v>
      </c>
      <c r="AS120" s="491"/>
      <c r="AT120" s="166"/>
      <c r="AU120" s="166"/>
      <c r="AV120" s="166"/>
      <c r="AW120" s="182" t="e">
        <f t="shared" si="91"/>
        <v>#N/A</v>
      </c>
      <c r="AX120" s="491"/>
    </row>
    <row r="121" spans="2:50">
      <c r="B121" s="479"/>
      <c r="C121" s="182">
        <v>15</v>
      </c>
      <c r="D121" s="203"/>
      <c r="E121" s="166"/>
      <c r="F121" s="166"/>
      <c r="G121" s="166"/>
      <c r="H121" s="461"/>
      <c r="I121" s="166"/>
      <c r="J121" s="166"/>
      <c r="K121" s="180"/>
      <c r="L121" s="461"/>
      <c r="M121" s="166" t="e">
        <f>RANK(K121, K$67:$K$81)</f>
        <v>#N/A</v>
      </c>
      <c r="N121" s="462"/>
      <c r="O121" s="462"/>
      <c r="P121" s="166"/>
      <c r="Q121" s="166"/>
      <c r="R121" s="166"/>
      <c r="S121" s="182" t="e">
        <f t="shared" si="96"/>
        <v>#N/A</v>
      </c>
      <c r="T121" s="491"/>
      <c r="U121" s="166"/>
      <c r="V121" s="166"/>
      <c r="W121" s="166"/>
      <c r="X121" s="182" t="e">
        <f t="shared" si="83"/>
        <v>#N/A</v>
      </c>
      <c r="Y121" s="491"/>
      <c r="Z121" s="166"/>
      <c r="AA121" s="166"/>
      <c r="AB121" s="166"/>
      <c r="AC121" s="182" t="e">
        <f t="shared" si="83"/>
        <v>#N/A</v>
      </c>
      <c r="AD121" s="491"/>
      <c r="AE121" s="166"/>
      <c r="AF121" s="166"/>
      <c r="AG121" s="166"/>
      <c r="AH121" s="182" t="e">
        <f t="shared" si="83"/>
        <v>#N/A</v>
      </c>
      <c r="AI121" s="491"/>
      <c r="AJ121" s="166"/>
      <c r="AK121" s="166"/>
      <c r="AL121" s="166"/>
      <c r="AM121" s="182" t="e">
        <f t="shared" si="83"/>
        <v>#N/A</v>
      </c>
      <c r="AN121" s="491"/>
      <c r="AO121" s="166"/>
      <c r="AP121" s="166"/>
      <c r="AQ121" s="166"/>
      <c r="AR121" s="182" t="e">
        <f t="shared" si="91"/>
        <v>#N/A</v>
      </c>
      <c r="AS121" s="491"/>
      <c r="AT121" s="166"/>
      <c r="AU121" s="166"/>
      <c r="AV121" s="166"/>
      <c r="AW121" s="182" t="e">
        <f t="shared" si="91"/>
        <v>#N/A</v>
      </c>
      <c r="AX121" s="491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507" t="s">
        <v>262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8" si="97">AVERAGEIF($D$7:$D$121,$D128,I$7:I$121)</f>
        <v>#DIV/0!</v>
      </c>
      <c r="J128" s="166" t="e">
        <f t="shared" si="97"/>
        <v>#DIV/0!</v>
      </c>
      <c r="K128" s="166" t="e">
        <f t="shared" ref="K128:K138" si="98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97"/>
        <v>#DIV/0!</v>
      </c>
      <c r="J129" s="166" t="e">
        <f t="shared" si="97"/>
        <v>#DIV/0!</v>
      </c>
      <c r="K129" s="166" t="e">
        <f t="shared" si="98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97"/>
        <v>#DIV/0!</v>
      </c>
      <c r="J130" s="166" t="e">
        <f t="shared" si="97"/>
        <v>#DIV/0!</v>
      </c>
      <c r="K130" s="166" t="e">
        <f t="shared" si="98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97"/>
        <v>#DIV/0!</v>
      </c>
      <c r="J131" s="166" t="e">
        <f t="shared" si="97"/>
        <v>#DIV/0!</v>
      </c>
      <c r="K131" s="166" t="e">
        <f t="shared" si="98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97"/>
        <v>#DIV/0!</v>
      </c>
      <c r="J132" s="166" t="e">
        <f t="shared" si="97"/>
        <v>#DIV/0!</v>
      </c>
      <c r="K132" s="166" t="e">
        <f t="shared" si="98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97"/>
        <v>#DIV/0!</v>
      </c>
      <c r="J133" s="166" t="e">
        <f t="shared" si="97"/>
        <v>#DIV/0!</v>
      </c>
      <c r="K133" s="166" t="e">
        <f t="shared" si="98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97"/>
        <v>#DIV/0!</v>
      </c>
      <c r="J134" s="166" t="e">
        <f t="shared" si="97"/>
        <v>#DIV/0!</v>
      </c>
      <c r="K134" s="166" t="e">
        <f t="shared" si="98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 t="e">
        <f t="shared" si="97"/>
        <v>#DIV/0!</v>
      </c>
      <c r="J135" s="166" t="e">
        <f t="shared" si="97"/>
        <v>#DIV/0!</v>
      </c>
      <c r="K135" s="166" t="e">
        <f t="shared" si="98"/>
        <v>#DIV/0!</v>
      </c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 t="e">
        <f t="shared" si="97"/>
        <v>#DIV/0!</v>
      </c>
      <c r="J136" s="166" t="e">
        <f t="shared" si="97"/>
        <v>#DIV/0!</v>
      </c>
      <c r="K136" s="166" t="e">
        <f t="shared" si="98"/>
        <v>#DIV/0!</v>
      </c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 t="e">
        <f t="shared" si="97"/>
        <v>#DIV/0!</v>
      </c>
      <c r="J137" s="166" t="e">
        <f t="shared" si="97"/>
        <v>#DIV/0!</v>
      </c>
      <c r="K137" s="166" t="e">
        <f t="shared" si="98"/>
        <v>#DIV/0!</v>
      </c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 t="e">
        <f t="shared" si="97"/>
        <v>#DIV/0!</v>
      </c>
      <c r="J138" s="166" t="e">
        <f t="shared" si="97"/>
        <v>#DIV/0!</v>
      </c>
      <c r="K138" s="166" t="e">
        <f t="shared" si="98"/>
        <v>#DIV/0!</v>
      </c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55" zoomScaleNormal="55" workbookViewId="0">
      <pane xSplit="15" topLeftCell="Z1" activePane="topRight" state="frozen"/>
      <selection activeCell="J18" sqref="J18"/>
      <selection pane="topRight" activeCell="AT67" sqref="AT67:AV67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116.15147627098179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275</v>
      </c>
      <c r="C7" s="182">
        <v>1</v>
      </c>
      <c r="D7" s="203"/>
      <c r="E7" s="166"/>
      <c r="F7" s="182"/>
      <c r="G7" s="180"/>
      <c r="H7" s="459" t="e">
        <f>AVERAGE(G7:G21)</f>
        <v>#DIV/0!</v>
      </c>
      <c r="I7" s="166"/>
      <c r="J7" s="166"/>
      <c r="K7" s="180"/>
      <c r="L7" s="459" t="str">
        <f>IFERROR(AVERAGE(K7:K21),"-")</f>
        <v>-</v>
      </c>
      <c r="M7" s="181" t="e">
        <f>RANK(K7, $K$7:K$21)</f>
        <v>#DIV/0!</v>
      </c>
      <c r="N7" s="462"/>
      <c r="O7" s="462"/>
      <c r="P7" s="166"/>
      <c r="Q7" s="166"/>
      <c r="R7" s="180"/>
      <c r="S7" s="182" t="e">
        <f>RANK(R7, R$7:R$21)</f>
        <v>#N/A</v>
      </c>
      <c r="T7" s="491" t="e">
        <f>AVERAGE(R7:R21)</f>
        <v>#DIV/0!</v>
      </c>
      <c r="U7" s="166"/>
      <c r="V7" s="166"/>
      <c r="W7" s="180"/>
      <c r="X7" s="182" t="e">
        <f t="shared" ref="X7:X21" si="0">RANK(W7, W$7:W$21)</f>
        <v>#N/A</v>
      </c>
      <c r="Y7" s="491" t="e">
        <f t="shared" ref="Y7" si="1">AVERAGE(W7:W21)</f>
        <v>#DIV/0!</v>
      </c>
      <c r="Z7" s="166"/>
      <c r="AA7" s="166"/>
      <c r="AB7" s="180"/>
      <c r="AC7" s="182" t="e">
        <f t="shared" ref="AC7:AC21" si="2">RANK(AB7, AB$7:AB$21)</f>
        <v>#N/A</v>
      </c>
      <c r="AD7" s="491" t="e">
        <f t="shared" ref="AD7" si="3">AVERAGE(AB7:AB21)</f>
        <v>#DIV/0!</v>
      </c>
      <c r="AE7" s="166"/>
      <c r="AF7" s="166"/>
      <c r="AG7" s="180"/>
      <c r="AH7" s="182" t="e">
        <f t="shared" ref="AH7:AH21" si="4">RANK(AG7, AG$7:AG$21)</f>
        <v>#N/A</v>
      </c>
      <c r="AI7" s="491" t="e">
        <f t="shared" ref="AI7" si="5">AVERAGE(AG7:AG21)</f>
        <v>#DIV/0!</v>
      </c>
      <c r="AJ7" s="166"/>
      <c r="AK7" s="166"/>
      <c r="AL7" s="180"/>
      <c r="AM7" s="182" t="e">
        <f t="shared" ref="AM7:AM21" si="6">RANK(AL7, AL$7:AL$21)</f>
        <v>#N/A</v>
      </c>
      <c r="AN7" s="491" t="e">
        <f t="shared" ref="AN7" si="7">AVERAGE(AL7:AL21)</f>
        <v>#DIV/0!</v>
      </c>
      <c r="AO7" s="166"/>
      <c r="AP7" s="166"/>
      <c r="AQ7" s="180"/>
      <c r="AR7" s="182" t="e">
        <f t="shared" ref="AR7:AR21" si="8">RANK(AQ7, AQ$7:AQ$21)</f>
        <v>#N/A</v>
      </c>
      <c r="AS7" s="491" t="e">
        <f t="shared" ref="AS7" si="9">AVERAGE(AQ7:AQ21)</f>
        <v>#DIV/0!</v>
      </c>
      <c r="AT7" s="166"/>
      <c r="AU7" s="166"/>
      <c r="AV7" s="180"/>
      <c r="AW7" s="182" t="e">
        <f>RANK(AV7, AV$7:AV$21)</f>
        <v>#N/A</v>
      </c>
      <c r="AX7" s="491" t="e">
        <f>AVERAGE(AV7:AV21)</f>
        <v>#DIV/0!</v>
      </c>
      <c r="AZ7" s="181" t="e">
        <f>RANK(AX7, $K$7:AX$21)</f>
        <v>#DIV/0!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/>
      <c r="E8" s="166"/>
      <c r="F8" s="182"/>
      <c r="G8" s="180"/>
      <c r="H8" s="460"/>
      <c r="I8" s="166" t="e">
        <f t="shared" ref="I8" si="10">AVERAGE(P8,U8,Z8,AE8,AJ8,AO8,AT8)</f>
        <v>#DIV/0!</v>
      </c>
      <c r="J8" s="166" t="e">
        <f t="shared" ref="J8" si="11">AVERAGE(Q8,V8,AA8,AF8,AK8,AP8,AU8)</f>
        <v>#DIV/0!</v>
      </c>
      <c r="K8" s="180" t="e">
        <f t="shared" ref="K8" si="12">AVERAGE(R8,W8,AB8,AG8,AL8,AQ8,AV8)</f>
        <v>#DIV/0!</v>
      </c>
      <c r="L8" s="460"/>
      <c r="M8" s="181" t="e">
        <f>RANK(K8, $K$7:K$21)</f>
        <v>#DIV/0!</v>
      </c>
      <c r="N8" s="462"/>
      <c r="O8" s="462"/>
      <c r="P8" s="182"/>
      <c r="Q8" s="166"/>
      <c r="R8" s="180"/>
      <c r="S8" s="182" t="e">
        <f t="shared" ref="S8:S21" si="13">RANK(R8, R$7:R$21)</f>
        <v>#N/A</v>
      </c>
      <c r="T8" s="491"/>
      <c r="U8" s="182"/>
      <c r="V8" s="166"/>
      <c r="W8" s="180"/>
      <c r="X8" s="182" t="e">
        <f t="shared" si="0"/>
        <v>#N/A</v>
      </c>
      <c r="Y8" s="491"/>
      <c r="Z8" s="182"/>
      <c r="AA8" s="166"/>
      <c r="AB8" s="180"/>
      <c r="AC8" s="182" t="e">
        <f t="shared" si="2"/>
        <v>#N/A</v>
      </c>
      <c r="AD8" s="491"/>
      <c r="AE8" s="182"/>
      <c r="AF8" s="166"/>
      <c r="AG8" s="180"/>
      <c r="AH8" s="182" t="e">
        <f t="shared" si="4"/>
        <v>#N/A</v>
      </c>
      <c r="AI8" s="491"/>
      <c r="AJ8" s="182"/>
      <c r="AK8" s="166"/>
      <c r="AL8" s="180"/>
      <c r="AM8" s="182" t="e">
        <f t="shared" si="6"/>
        <v>#N/A</v>
      </c>
      <c r="AN8" s="491"/>
      <c r="AO8" s="182"/>
      <c r="AP8" s="166"/>
      <c r="AQ8" s="180"/>
      <c r="AR8" s="182" t="e">
        <f t="shared" si="8"/>
        <v>#N/A</v>
      </c>
      <c r="AS8" s="491"/>
      <c r="AT8" s="182"/>
      <c r="AU8" s="166"/>
      <c r="AV8" s="180"/>
      <c r="AW8" s="182" t="e">
        <f t="shared" ref="AW8:AW21" si="14">RANK(AV8, AV$7:AV$21)</f>
        <v>#N/A</v>
      </c>
      <c r="AX8" s="491"/>
      <c r="AZ8" s="181" t="e">
        <f>RANK(AX8, $K$7:AX$21)</f>
        <v>#DIV/0!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/>
      <c r="E9" s="166"/>
      <c r="F9" s="182"/>
      <c r="G9" s="180"/>
      <c r="H9" s="460"/>
      <c r="I9" s="166"/>
      <c r="J9" s="166"/>
      <c r="K9" s="180"/>
      <c r="L9" s="460"/>
      <c r="M9" s="181" t="e">
        <f>RANK(K9, $K$7:K$21)</f>
        <v>#DIV/0!</v>
      </c>
      <c r="N9" s="462"/>
      <c r="O9" s="462"/>
      <c r="P9" s="182"/>
      <c r="Q9" s="182"/>
      <c r="R9" s="182"/>
      <c r="S9" s="182" t="e">
        <f t="shared" si="13"/>
        <v>#N/A</v>
      </c>
      <c r="T9" s="491"/>
      <c r="U9" s="182"/>
      <c r="V9" s="182"/>
      <c r="W9" s="182"/>
      <c r="X9" s="182" t="e">
        <f t="shared" si="0"/>
        <v>#N/A</v>
      </c>
      <c r="Y9" s="491"/>
      <c r="Z9" s="182"/>
      <c r="AA9" s="182"/>
      <c r="AB9" s="182"/>
      <c r="AC9" s="182" t="e">
        <f t="shared" si="2"/>
        <v>#N/A</v>
      </c>
      <c r="AD9" s="491"/>
      <c r="AE9" s="182"/>
      <c r="AF9" s="182"/>
      <c r="AG9" s="182"/>
      <c r="AH9" s="182" t="e">
        <f t="shared" si="4"/>
        <v>#N/A</v>
      </c>
      <c r="AI9" s="491"/>
      <c r="AJ9" s="182"/>
      <c r="AK9" s="182"/>
      <c r="AL9" s="182"/>
      <c r="AM9" s="182" t="e">
        <f t="shared" si="6"/>
        <v>#N/A</v>
      </c>
      <c r="AN9" s="491"/>
      <c r="AO9" s="182"/>
      <c r="AP9" s="182"/>
      <c r="AQ9" s="182"/>
      <c r="AR9" s="182" t="e">
        <f t="shared" si="8"/>
        <v>#N/A</v>
      </c>
      <c r="AS9" s="491"/>
      <c r="AT9" s="182"/>
      <c r="AU9" s="182"/>
      <c r="AV9" s="182"/>
      <c r="AW9" s="182" t="e">
        <f t="shared" si="14"/>
        <v>#N/A</v>
      </c>
      <c r="AX9" s="491"/>
      <c r="AZ9" s="181" t="e">
        <f>RANK(AX9, $K$7:AX$21)</f>
        <v>#DIV/0!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/>
      <c r="E10" s="166"/>
      <c r="F10" s="182"/>
      <c r="G10" s="180"/>
      <c r="H10" s="460"/>
      <c r="I10" s="166"/>
      <c r="J10" s="166"/>
      <c r="K10" s="180"/>
      <c r="L10" s="460"/>
      <c r="M10" s="181" t="e">
        <f>RANK(K10, $K$7:K$21)</f>
        <v>#DIV/0!</v>
      </c>
      <c r="N10" s="462"/>
      <c r="O10" s="462"/>
      <c r="P10" s="182"/>
      <c r="Q10" s="182"/>
      <c r="R10" s="182"/>
      <c r="S10" s="182" t="e">
        <f t="shared" si="13"/>
        <v>#N/A</v>
      </c>
      <c r="T10" s="491"/>
      <c r="U10" s="182"/>
      <c r="V10" s="182"/>
      <c r="W10" s="182"/>
      <c r="X10" s="182" t="e">
        <f t="shared" si="0"/>
        <v>#N/A</v>
      </c>
      <c r="Y10" s="491"/>
      <c r="Z10" s="182"/>
      <c r="AA10" s="182"/>
      <c r="AB10" s="182"/>
      <c r="AC10" s="182" t="e">
        <f t="shared" si="2"/>
        <v>#N/A</v>
      </c>
      <c r="AD10" s="491"/>
      <c r="AE10" s="182"/>
      <c r="AF10" s="182"/>
      <c r="AG10" s="182"/>
      <c r="AH10" s="182" t="e">
        <f t="shared" si="4"/>
        <v>#N/A</v>
      </c>
      <c r="AI10" s="491"/>
      <c r="AJ10" s="182"/>
      <c r="AK10" s="182"/>
      <c r="AL10" s="182"/>
      <c r="AM10" s="182" t="e">
        <f t="shared" si="6"/>
        <v>#N/A</v>
      </c>
      <c r="AN10" s="491"/>
      <c r="AO10" s="182"/>
      <c r="AP10" s="182"/>
      <c r="AQ10" s="182"/>
      <c r="AR10" s="182" t="e">
        <f t="shared" si="8"/>
        <v>#N/A</v>
      </c>
      <c r="AS10" s="491"/>
      <c r="AT10" s="182"/>
      <c r="AU10" s="182"/>
      <c r="AV10" s="182"/>
      <c r="AW10" s="182" t="e">
        <f t="shared" si="14"/>
        <v>#N/A</v>
      </c>
      <c r="AX10" s="491"/>
      <c r="AZ10" s="181" t="e">
        <f>RANK(AX10, $K$7:AX$21)</f>
        <v>#DIV/0!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/>
      <c r="E11" s="166"/>
      <c r="F11" s="182"/>
      <c r="G11" s="180"/>
      <c r="H11" s="460"/>
      <c r="I11" s="166"/>
      <c r="J11" s="166"/>
      <c r="K11" s="180"/>
      <c r="L11" s="460"/>
      <c r="M11" s="181" t="e">
        <f>RANK(K11, $K$7:K$21)</f>
        <v>#DIV/0!</v>
      </c>
      <c r="N11" s="462"/>
      <c r="O11" s="462"/>
      <c r="P11" s="182"/>
      <c r="Q11" s="182"/>
      <c r="R11" s="182"/>
      <c r="S11" s="182" t="e">
        <f t="shared" si="13"/>
        <v>#N/A</v>
      </c>
      <c r="T11" s="491"/>
      <c r="U11" s="182"/>
      <c r="V11" s="182"/>
      <c r="W11" s="182"/>
      <c r="X11" s="182" t="e">
        <f t="shared" si="0"/>
        <v>#N/A</v>
      </c>
      <c r="Y11" s="491"/>
      <c r="Z11" s="182"/>
      <c r="AA11" s="182"/>
      <c r="AB11" s="182"/>
      <c r="AC11" s="182" t="e">
        <f t="shared" si="2"/>
        <v>#N/A</v>
      </c>
      <c r="AD11" s="491"/>
      <c r="AE11" s="182"/>
      <c r="AF11" s="182"/>
      <c r="AG11" s="182"/>
      <c r="AH11" s="182" t="e">
        <f t="shared" si="4"/>
        <v>#N/A</v>
      </c>
      <c r="AI11" s="491"/>
      <c r="AJ11" s="182"/>
      <c r="AK11" s="182"/>
      <c r="AL11" s="182"/>
      <c r="AM11" s="182" t="e">
        <f t="shared" si="6"/>
        <v>#N/A</v>
      </c>
      <c r="AN11" s="491"/>
      <c r="AO11" s="182"/>
      <c r="AP11" s="182"/>
      <c r="AQ11" s="182"/>
      <c r="AR11" s="182" t="e">
        <f t="shared" si="8"/>
        <v>#N/A</v>
      </c>
      <c r="AS11" s="491"/>
      <c r="AT11" s="182"/>
      <c r="AU11" s="182"/>
      <c r="AV11" s="182"/>
      <c r="AW11" s="182" t="e">
        <f t="shared" si="14"/>
        <v>#N/A</v>
      </c>
      <c r="AX11" s="491"/>
      <c r="AZ11" s="181" t="e">
        <f>RANK(AX11, $K$7:AX$21)</f>
        <v>#DIV/0!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/>
      <c r="E12" s="166"/>
      <c r="F12" s="182"/>
      <c r="G12" s="180"/>
      <c r="H12" s="460"/>
      <c r="I12" s="166"/>
      <c r="J12" s="166"/>
      <c r="K12" s="180"/>
      <c r="L12" s="460"/>
      <c r="M12" s="181" t="e">
        <f>RANK(K12, $K$7:K$21)</f>
        <v>#DIV/0!</v>
      </c>
      <c r="N12" s="462"/>
      <c r="O12" s="462"/>
      <c r="P12" s="182"/>
      <c r="Q12" s="182"/>
      <c r="R12" s="182"/>
      <c r="S12" s="182" t="e">
        <f t="shared" si="13"/>
        <v>#N/A</v>
      </c>
      <c r="T12" s="491"/>
      <c r="U12" s="182"/>
      <c r="V12" s="182"/>
      <c r="W12" s="182"/>
      <c r="X12" s="182" t="e">
        <f t="shared" si="0"/>
        <v>#N/A</v>
      </c>
      <c r="Y12" s="491"/>
      <c r="Z12" s="182"/>
      <c r="AA12" s="182"/>
      <c r="AB12" s="182"/>
      <c r="AC12" s="182" t="e">
        <f t="shared" si="2"/>
        <v>#N/A</v>
      </c>
      <c r="AD12" s="491"/>
      <c r="AE12" s="182"/>
      <c r="AF12" s="182"/>
      <c r="AG12" s="182"/>
      <c r="AH12" s="182" t="e">
        <f t="shared" si="4"/>
        <v>#N/A</v>
      </c>
      <c r="AI12" s="491"/>
      <c r="AJ12" s="182"/>
      <c r="AK12" s="182"/>
      <c r="AL12" s="182"/>
      <c r="AM12" s="182" t="e">
        <f t="shared" si="6"/>
        <v>#N/A</v>
      </c>
      <c r="AN12" s="491"/>
      <c r="AO12" s="182"/>
      <c r="AP12" s="182"/>
      <c r="AQ12" s="182"/>
      <c r="AR12" s="182" t="e">
        <f t="shared" si="8"/>
        <v>#N/A</v>
      </c>
      <c r="AS12" s="491"/>
      <c r="AT12" s="182"/>
      <c r="AU12" s="182"/>
      <c r="AV12" s="182"/>
      <c r="AW12" s="182" t="e">
        <f t="shared" si="14"/>
        <v>#N/A</v>
      </c>
      <c r="AX12" s="491"/>
      <c r="AZ12" s="181" t="e">
        <f>RANK(AX12, $K$7:AX$21)</f>
        <v>#DIV/0!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/>
      <c r="E13" s="166"/>
      <c r="F13" s="182"/>
      <c r="G13" s="180"/>
      <c r="H13" s="460"/>
      <c r="I13" s="166"/>
      <c r="J13" s="166"/>
      <c r="K13" s="180"/>
      <c r="L13" s="460"/>
      <c r="M13" s="181" t="e">
        <f>RANK(K13, $K$7:K$21)</f>
        <v>#DIV/0!</v>
      </c>
      <c r="N13" s="462"/>
      <c r="O13" s="462"/>
      <c r="P13" s="182"/>
      <c r="Q13" s="182"/>
      <c r="R13" s="182"/>
      <c r="S13" s="182" t="e">
        <f t="shared" si="13"/>
        <v>#N/A</v>
      </c>
      <c r="T13" s="491"/>
      <c r="U13" s="182"/>
      <c r="V13" s="182"/>
      <c r="W13" s="182"/>
      <c r="X13" s="182" t="e">
        <f t="shared" si="0"/>
        <v>#N/A</v>
      </c>
      <c r="Y13" s="491"/>
      <c r="Z13" s="182"/>
      <c r="AA13" s="182"/>
      <c r="AB13" s="182"/>
      <c r="AC13" s="182" t="e">
        <f t="shared" si="2"/>
        <v>#N/A</v>
      </c>
      <c r="AD13" s="491"/>
      <c r="AE13" s="182"/>
      <c r="AF13" s="182"/>
      <c r="AG13" s="182"/>
      <c r="AH13" s="182" t="e">
        <f t="shared" si="4"/>
        <v>#N/A</v>
      </c>
      <c r="AI13" s="491"/>
      <c r="AJ13" s="182"/>
      <c r="AK13" s="182"/>
      <c r="AL13" s="182"/>
      <c r="AM13" s="182" t="e">
        <f t="shared" si="6"/>
        <v>#N/A</v>
      </c>
      <c r="AN13" s="491"/>
      <c r="AO13" s="182"/>
      <c r="AP13" s="182"/>
      <c r="AQ13" s="182"/>
      <c r="AR13" s="182" t="e">
        <f t="shared" si="8"/>
        <v>#N/A</v>
      </c>
      <c r="AS13" s="491"/>
      <c r="AT13" s="182"/>
      <c r="AU13" s="182"/>
      <c r="AV13" s="182"/>
      <c r="AW13" s="182" t="e">
        <f t="shared" si="14"/>
        <v>#N/A</v>
      </c>
      <c r="AX13" s="491"/>
      <c r="AZ13" s="181" t="e">
        <f>RANK(AX13, $K$7:AX$21)</f>
        <v>#DIV/0!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/>
      <c r="E14" s="166"/>
      <c r="F14" s="182"/>
      <c r="G14" s="180"/>
      <c r="H14" s="460"/>
      <c r="I14" s="166"/>
      <c r="J14" s="166"/>
      <c r="K14" s="180"/>
      <c r="L14" s="460"/>
      <c r="M14" s="181" t="e">
        <f>RANK(K14, $K$7:K$21)</f>
        <v>#DIV/0!</v>
      </c>
      <c r="N14" s="462"/>
      <c r="O14" s="462"/>
      <c r="P14" s="182"/>
      <c r="Q14" s="182"/>
      <c r="R14" s="182"/>
      <c r="S14" s="182" t="e">
        <f t="shared" si="13"/>
        <v>#N/A</v>
      </c>
      <c r="T14" s="491"/>
      <c r="U14" s="182"/>
      <c r="V14" s="182"/>
      <c r="W14" s="182"/>
      <c r="X14" s="182" t="e">
        <f t="shared" si="0"/>
        <v>#N/A</v>
      </c>
      <c r="Y14" s="491"/>
      <c r="Z14" s="182"/>
      <c r="AA14" s="182"/>
      <c r="AB14" s="182"/>
      <c r="AC14" s="182" t="e">
        <f t="shared" si="2"/>
        <v>#N/A</v>
      </c>
      <c r="AD14" s="491"/>
      <c r="AE14" s="182"/>
      <c r="AF14" s="182"/>
      <c r="AG14" s="182"/>
      <c r="AH14" s="182" t="e">
        <f t="shared" si="4"/>
        <v>#N/A</v>
      </c>
      <c r="AI14" s="491"/>
      <c r="AJ14" s="182"/>
      <c r="AK14" s="182"/>
      <c r="AL14" s="182"/>
      <c r="AM14" s="182" t="e">
        <f t="shared" si="6"/>
        <v>#N/A</v>
      </c>
      <c r="AN14" s="491"/>
      <c r="AO14" s="182"/>
      <c r="AP14" s="182"/>
      <c r="AQ14" s="182"/>
      <c r="AR14" s="182" t="e">
        <f t="shared" si="8"/>
        <v>#N/A</v>
      </c>
      <c r="AS14" s="491"/>
      <c r="AT14" s="182"/>
      <c r="AU14" s="182"/>
      <c r="AV14" s="182"/>
      <c r="AW14" s="182" t="e">
        <f t="shared" si="14"/>
        <v>#N/A</v>
      </c>
      <c r="AX14" s="491"/>
      <c r="AZ14" s="181" t="e">
        <f>RANK(AX14, $K$7:AX$21)</f>
        <v>#DIV/0!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/>
      <c r="E15" s="166"/>
      <c r="F15" s="182"/>
      <c r="G15" s="180"/>
      <c r="H15" s="460"/>
      <c r="I15" s="166"/>
      <c r="J15" s="166"/>
      <c r="K15" s="180"/>
      <c r="L15" s="460"/>
      <c r="M15" s="181" t="e">
        <f>RANK(K15, $K$7:K$21)</f>
        <v>#DIV/0!</v>
      </c>
      <c r="N15" s="462"/>
      <c r="O15" s="462"/>
      <c r="P15" s="182"/>
      <c r="Q15" s="182"/>
      <c r="R15" s="182"/>
      <c r="S15" s="182" t="e">
        <f t="shared" si="13"/>
        <v>#N/A</v>
      </c>
      <c r="T15" s="491"/>
      <c r="U15" s="182"/>
      <c r="V15" s="182"/>
      <c r="W15" s="182"/>
      <c r="X15" s="182" t="e">
        <f t="shared" si="0"/>
        <v>#N/A</v>
      </c>
      <c r="Y15" s="491"/>
      <c r="Z15" s="182"/>
      <c r="AA15" s="182"/>
      <c r="AB15" s="182"/>
      <c r="AC15" s="182" t="e">
        <f t="shared" si="2"/>
        <v>#N/A</v>
      </c>
      <c r="AD15" s="491"/>
      <c r="AE15" s="182"/>
      <c r="AF15" s="182"/>
      <c r="AG15" s="182"/>
      <c r="AH15" s="182" t="e">
        <f t="shared" si="4"/>
        <v>#N/A</v>
      </c>
      <c r="AI15" s="491"/>
      <c r="AJ15" s="182"/>
      <c r="AK15" s="182"/>
      <c r="AL15" s="182"/>
      <c r="AM15" s="182" t="e">
        <f t="shared" si="6"/>
        <v>#N/A</v>
      </c>
      <c r="AN15" s="491"/>
      <c r="AO15" s="182"/>
      <c r="AP15" s="182"/>
      <c r="AQ15" s="182"/>
      <c r="AR15" s="182" t="e">
        <f t="shared" si="8"/>
        <v>#N/A</v>
      </c>
      <c r="AS15" s="491"/>
      <c r="AT15" s="182"/>
      <c r="AU15" s="182"/>
      <c r="AV15" s="182"/>
      <c r="AW15" s="182" t="e">
        <f t="shared" si="14"/>
        <v>#N/A</v>
      </c>
      <c r="AX15" s="491"/>
      <c r="AZ15" s="181" t="e">
        <f>RANK(AX15, $K$7:AX$21)</f>
        <v>#DIV/0!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/>
      <c r="F16" s="182"/>
      <c r="G16" s="180"/>
      <c r="H16" s="460"/>
      <c r="I16" s="166"/>
      <c r="J16" s="166"/>
      <c r="K16" s="180"/>
      <c r="L16" s="460"/>
      <c r="M16" s="181" t="e">
        <f>RANK(K16, $K$7:K$21)</f>
        <v>#DIV/0!</v>
      </c>
      <c r="N16" s="462"/>
      <c r="O16" s="462"/>
      <c r="P16" s="182"/>
      <c r="Q16" s="182"/>
      <c r="R16" s="182"/>
      <c r="S16" s="182" t="e">
        <f t="shared" si="13"/>
        <v>#N/A</v>
      </c>
      <c r="T16" s="491"/>
      <c r="U16" s="182"/>
      <c r="V16" s="182"/>
      <c r="W16" s="182"/>
      <c r="X16" s="182" t="e">
        <f t="shared" si="0"/>
        <v>#N/A</v>
      </c>
      <c r="Y16" s="491"/>
      <c r="Z16" s="182"/>
      <c r="AA16" s="182"/>
      <c r="AB16" s="182"/>
      <c r="AC16" s="182" t="e">
        <f t="shared" si="2"/>
        <v>#N/A</v>
      </c>
      <c r="AD16" s="491"/>
      <c r="AE16" s="182"/>
      <c r="AF16" s="182"/>
      <c r="AG16" s="182"/>
      <c r="AH16" s="182" t="e">
        <f t="shared" si="4"/>
        <v>#N/A</v>
      </c>
      <c r="AI16" s="491"/>
      <c r="AJ16" s="182"/>
      <c r="AK16" s="182"/>
      <c r="AL16" s="182"/>
      <c r="AM16" s="182" t="e">
        <f t="shared" si="6"/>
        <v>#N/A</v>
      </c>
      <c r="AN16" s="491"/>
      <c r="AO16" s="182"/>
      <c r="AP16" s="182"/>
      <c r="AQ16" s="182"/>
      <c r="AR16" s="182" t="e">
        <f t="shared" si="8"/>
        <v>#N/A</v>
      </c>
      <c r="AS16" s="491"/>
      <c r="AT16" s="182"/>
      <c r="AU16" s="182"/>
      <c r="AV16" s="182"/>
      <c r="AW16" s="182" t="e">
        <f t="shared" si="14"/>
        <v>#N/A</v>
      </c>
      <c r="AX16" s="491"/>
      <c r="AZ16" s="181" t="e">
        <f>RANK(AX16, $K$7:AX$21)</f>
        <v>#DIV/0!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/>
      <c r="F17" s="182"/>
      <c r="G17" s="180"/>
      <c r="H17" s="460"/>
      <c r="I17" s="182"/>
      <c r="J17" s="182"/>
      <c r="K17" s="182"/>
      <c r="L17" s="460"/>
      <c r="M17" s="181" t="e">
        <f>RANK(K17, $K$7:K$21)</f>
        <v>#DIV/0!</v>
      </c>
      <c r="N17" s="462"/>
      <c r="O17" s="462"/>
      <c r="P17" s="182"/>
      <c r="Q17" s="182"/>
      <c r="R17" s="182"/>
      <c r="S17" s="182" t="e">
        <f t="shared" si="13"/>
        <v>#N/A</v>
      </c>
      <c r="T17" s="491"/>
      <c r="U17" s="182"/>
      <c r="V17" s="182"/>
      <c r="W17" s="182"/>
      <c r="X17" s="182" t="e">
        <f t="shared" si="0"/>
        <v>#N/A</v>
      </c>
      <c r="Y17" s="491"/>
      <c r="Z17" s="182"/>
      <c r="AA17" s="182"/>
      <c r="AB17" s="182"/>
      <c r="AC17" s="182" t="e">
        <f t="shared" si="2"/>
        <v>#N/A</v>
      </c>
      <c r="AD17" s="491"/>
      <c r="AE17" s="182"/>
      <c r="AF17" s="182"/>
      <c r="AG17" s="182"/>
      <c r="AH17" s="182" t="e">
        <f t="shared" si="4"/>
        <v>#N/A</v>
      </c>
      <c r="AI17" s="491"/>
      <c r="AJ17" s="182"/>
      <c r="AK17" s="182"/>
      <c r="AL17" s="182"/>
      <c r="AM17" s="182" t="e">
        <f t="shared" si="6"/>
        <v>#N/A</v>
      </c>
      <c r="AN17" s="491"/>
      <c r="AO17" s="182"/>
      <c r="AP17" s="182"/>
      <c r="AQ17" s="182"/>
      <c r="AR17" s="182" t="e">
        <f t="shared" si="8"/>
        <v>#N/A</v>
      </c>
      <c r="AS17" s="491"/>
      <c r="AT17" s="182"/>
      <c r="AU17" s="182"/>
      <c r="AV17" s="182"/>
      <c r="AW17" s="182" t="e">
        <f t="shared" si="14"/>
        <v>#N/A</v>
      </c>
      <c r="AX17" s="491"/>
      <c r="AZ17" s="181" t="e">
        <f>RANK(AX17, $K$7:AX$21)</f>
        <v>#DIV/0!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/>
      <c r="F18" s="182"/>
      <c r="G18" s="180"/>
      <c r="H18" s="460"/>
      <c r="I18" s="182"/>
      <c r="J18" s="182"/>
      <c r="K18" s="182"/>
      <c r="L18" s="460"/>
      <c r="M18" s="181" t="e">
        <f>RANK(K18, $K$7:K$21)</f>
        <v>#DIV/0!</v>
      </c>
      <c r="N18" s="462"/>
      <c r="O18" s="462"/>
      <c r="P18" s="182"/>
      <c r="Q18" s="182"/>
      <c r="R18" s="182"/>
      <c r="S18" s="182" t="e">
        <f t="shared" si="13"/>
        <v>#N/A</v>
      </c>
      <c r="T18" s="491"/>
      <c r="U18" s="182"/>
      <c r="V18" s="182"/>
      <c r="W18" s="182"/>
      <c r="X18" s="182" t="e">
        <f t="shared" si="0"/>
        <v>#N/A</v>
      </c>
      <c r="Y18" s="491"/>
      <c r="Z18" s="182"/>
      <c r="AA18" s="182"/>
      <c r="AB18" s="182"/>
      <c r="AC18" s="182" t="e">
        <f t="shared" si="2"/>
        <v>#N/A</v>
      </c>
      <c r="AD18" s="491"/>
      <c r="AE18" s="182"/>
      <c r="AF18" s="182"/>
      <c r="AG18" s="182"/>
      <c r="AH18" s="182" t="e">
        <f t="shared" si="4"/>
        <v>#N/A</v>
      </c>
      <c r="AI18" s="491"/>
      <c r="AJ18" s="182"/>
      <c r="AK18" s="182"/>
      <c r="AL18" s="182"/>
      <c r="AM18" s="182" t="e">
        <f t="shared" si="6"/>
        <v>#N/A</v>
      </c>
      <c r="AN18" s="491"/>
      <c r="AO18" s="182"/>
      <c r="AP18" s="182"/>
      <c r="AQ18" s="182"/>
      <c r="AR18" s="182" t="e">
        <f t="shared" si="8"/>
        <v>#N/A</v>
      </c>
      <c r="AS18" s="491"/>
      <c r="AT18" s="182"/>
      <c r="AU18" s="182"/>
      <c r="AV18" s="182"/>
      <c r="AW18" s="182" t="e">
        <f t="shared" si="14"/>
        <v>#N/A</v>
      </c>
      <c r="AX18" s="491"/>
      <c r="AZ18" s="181" t="e">
        <f>RANK(AX18, $K$7:AX$21)</f>
        <v>#DIV/0!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/>
      <c r="F19" s="182"/>
      <c r="G19" s="180"/>
      <c r="H19" s="460"/>
      <c r="I19" s="182"/>
      <c r="J19" s="182"/>
      <c r="K19" s="182"/>
      <c r="L19" s="460"/>
      <c r="M19" s="181" t="e">
        <f>RANK(K19, $K$7:K$21)</f>
        <v>#DIV/0!</v>
      </c>
      <c r="N19" s="462"/>
      <c r="O19" s="462"/>
      <c r="P19" s="182"/>
      <c r="Q19" s="182"/>
      <c r="R19" s="182"/>
      <c r="S19" s="182" t="e">
        <f t="shared" si="13"/>
        <v>#N/A</v>
      </c>
      <c r="T19" s="491"/>
      <c r="U19" s="182"/>
      <c r="V19" s="182"/>
      <c r="W19" s="182"/>
      <c r="X19" s="182" t="e">
        <f t="shared" si="0"/>
        <v>#N/A</v>
      </c>
      <c r="Y19" s="491"/>
      <c r="Z19" s="182"/>
      <c r="AA19" s="182"/>
      <c r="AB19" s="182"/>
      <c r="AC19" s="182" t="e">
        <f t="shared" si="2"/>
        <v>#N/A</v>
      </c>
      <c r="AD19" s="491"/>
      <c r="AE19" s="182"/>
      <c r="AF19" s="182"/>
      <c r="AG19" s="182"/>
      <c r="AH19" s="182" t="e">
        <f t="shared" si="4"/>
        <v>#N/A</v>
      </c>
      <c r="AI19" s="491"/>
      <c r="AJ19" s="182"/>
      <c r="AK19" s="182"/>
      <c r="AL19" s="182"/>
      <c r="AM19" s="182" t="e">
        <f t="shared" si="6"/>
        <v>#N/A</v>
      </c>
      <c r="AN19" s="491"/>
      <c r="AO19" s="182"/>
      <c r="AP19" s="182"/>
      <c r="AQ19" s="182"/>
      <c r="AR19" s="182" t="e">
        <f t="shared" si="8"/>
        <v>#N/A</v>
      </c>
      <c r="AS19" s="491"/>
      <c r="AT19" s="182"/>
      <c r="AU19" s="182"/>
      <c r="AV19" s="182"/>
      <c r="AW19" s="182" t="e">
        <f t="shared" si="14"/>
        <v>#N/A</v>
      </c>
      <c r="AX19" s="491"/>
      <c r="AZ19" s="181" t="e">
        <f>RANK(AX19, $K$7:AX$21)</f>
        <v>#DIV/0!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/>
      <c r="F20" s="182"/>
      <c r="G20" s="180"/>
      <c r="H20" s="460"/>
      <c r="I20" s="182"/>
      <c r="J20" s="182"/>
      <c r="K20" s="182"/>
      <c r="L20" s="460"/>
      <c r="M20" s="181" t="e">
        <f>RANK(K20, $K$7:K$21)</f>
        <v>#DIV/0!</v>
      </c>
      <c r="N20" s="462"/>
      <c r="O20" s="462"/>
      <c r="P20" s="182"/>
      <c r="Q20" s="182"/>
      <c r="R20" s="182"/>
      <c r="S20" s="182" t="e">
        <f t="shared" si="13"/>
        <v>#N/A</v>
      </c>
      <c r="T20" s="491"/>
      <c r="U20" s="182"/>
      <c r="V20" s="182"/>
      <c r="W20" s="182"/>
      <c r="X20" s="182" t="e">
        <f t="shared" si="0"/>
        <v>#N/A</v>
      </c>
      <c r="Y20" s="491"/>
      <c r="Z20" s="182"/>
      <c r="AA20" s="182"/>
      <c r="AB20" s="182"/>
      <c r="AC20" s="182" t="e">
        <f t="shared" si="2"/>
        <v>#N/A</v>
      </c>
      <c r="AD20" s="491"/>
      <c r="AE20" s="182"/>
      <c r="AF20" s="182"/>
      <c r="AG20" s="182"/>
      <c r="AH20" s="182" t="e">
        <f t="shared" si="4"/>
        <v>#N/A</v>
      </c>
      <c r="AI20" s="491"/>
      <c r="AJ20" s="182"/>
      <c r="AK20" s="182"/>
      <c r="AL20" s="182"/>
      <c r="AM20" s="182" t="e">
        <f t="shared" si="6"/>
        <v>#N/A</v>
      </c>
      <c r="AN20" s="491"/>
      <c r="AO20" s="182"/>
      <c r="AP20" s="182"/>
      <c r="AQ20" s="182"/>
      <c r="AR20" s="182" t="e">
        <f t="shared" si="8"/>
        <v>#N/A</v>
      </c>
      <c r="AS20" s="491"/>
      <c r="AT20" s="182"/>
      <c r="AU20" s="182"/>
      <c r="AV20" s="182"/>
      <c r="AW20" s="182" t="e">
        <f t="shared" si="14"/>
        <v>#N/A</v>
      </c>
      <c r="AX20" s="491"/>
      <c r="AZ20" s="181" t="e">
        <f>RANK(AX20, $K$7:AX$21)</f>
        <v>#DIV/0!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/>
      <c r="F21" s="182"/>
      <c r="G21" s="180"/>
      <c r="H21" s="461"/>
      <c r="I21" s="182"/>
      <c r="J21" s="182"/>
      <c r="K21" s="182"/>
      <c r="L21" s="461"/>
      <c r="M21" s="166" t="e">
        <f>RANK(K21, $K$7:K$21)</f>
        <v>#DIV/0!</v>
      </c>
      <c r="N21" s="462"/>
      <c r="O21" s="462"/>
      <c r="P21" s="182"/>
      <c r="Q21" s="182"/>
      <c r="R21" s="182"/>
      <c r="S21" s="182" t="e">
        <f t="shared" si="13"/>
        <v>#N/A</v>
      </c>
      <c r="T21" s="491"/>
      <c r="U21" s="182"/>
      <c r="V21" s="182"/>
      <c r="W21" s="182"/>
      <c r="X21" s="182" t="e">
        <f t="shared" si="0"/>
        <v>#N/A</v>
      </c>
      <c r="Y21" s="491"/>
      <c r="Z21" s="182"/>
      <c r="AA21" s="182"/>
      <c r="AB21" s="182"/>
      <c r="AC21" s="182" t="e">
        <f t="shared" si="2"/>
        <v>#N/A</v>
      </c>
      <c r="AD21" s="491"/>
      <c r="AE21" s="182"/>
      <c r="AF21" s="182"/>
      <c r="AG21" s="182"/>
      <c r="AH21" s="182" t="e">
        <f t="shared" si="4"/>
        <v>#N/A</v>
      </c>
      <c r="AI21" s="491"/>
      <c r="AJ21" s="182"/>
      <c r="AK21" s="182"/>
      <c r="AL21" s="182"/>
      <c r="AM21" s="182" t="e">
        <f t="shared" si="6"/>
        <v>#N/A</v>
      </c>
      <c r="AN21" s="491"/>
      <c r="AO21" s="182"/>
      <c r="AP21" s="182"/>
      <c r="AQ21" s="182"/>
      <c r="AR21" s="182" t="e">
        <f t="shared" si="8"/>
        <v>#N/A</v>
      </c>
      <c r="AS21" s="491"/>
      <c r="AT21" s="182"/>
      <c r="AU21" s="182"/>
      <c r="AV21" s="182"/>
      <c r="AW21" s="182" t="e">
        <f t="shared" si="14"/>
        <v>#N/A</v>
      </c>
      <c r="AX21" s="491"/>
      <c r="AZ21" s="166" t="e">
        <f>RANK(AX21, $K$7:AX$21)</f>
        <v>#DIV/0!</v>
      </c>
      <c r="BB21" s="182" t="e">
        <f t="shared" si="15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P2+7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275</v>
      </c>
      <c r="C27" s="182">
        <v>1</v>
      </c>
      <c r="D27" s="203" t="s">
        <v>276</v>
      </c>
      <c r="E27" s="166">
        <v>13</v>
      </c>
      <c r="F27" s="182">
        <v>1500</v>
      </c>
      <c r="G27" s="180">
        <v>115.38461538461539</v>
      </c>
      <c r="H27" s="459">
        <f>AVERAGE(G27:G41)</f>
        <v>115.38461538461539</v>
      </c>
      <c r="I27" s="166">
        <f t="shared" ref="I27:K27" si="16">AVERAGE(P27,U27,Z27,AE27,AJ27,AO27,AT27)</f>
        <v>12.285714285714286</v>
      </c>
      <c r="J27" s="166">
        <f t="shared" si="16"/>
        <v>1428.7558441558447</v>
      </c>
      <c r="K27" s="180">
        <f t="shared" si="16"/>
        <v>116.75666833166835</v>
      </c>
      <c r="L27" s="459">
        <f>IFERROR(AVERAGE(K27:K41),"-")</f>
        <v>116.75666833166835</v>
      </c>
      <c r="M27" s="181">
        <f>RANK(K27, K$27:$K$41)</f>
        <v>1</v>
      </c>
      <c r="N27" s="462"/>
      <c r="O27" s="462"/>
      <c r="P27" s="166">
        <v>13</v>
      </c>
      <c r="Q27" s="166">
        <v>1480.4999999999993</v>
      </c>
      <c r="R27" s="180">
        <v>113.88461538461533</v>
      </c>
      <c r="S27" s="182">
        <f t="shared" ref="S27:S41" si="17">RANK(R27, R$27:R$41)</f>
        <v>1</v>
      </c>
      <c r="T27" s="491">
        <f>AVERAGE(R27:R41)</f>
        <v>113.88461538461533</v>
      </c>
      <c r="U27" s="166">
        <v>12</v>
      </c>
      <c r="V27" s="166">
        <v>1454.9999999999995</v>
      </c>
      <c r="W27" s="180">
        <v>121.24999999999996</v>
      </c>
      <c r="X27" s="182">
        <f t="shared" ref="X27:X41" si="18">RANK(W27, W$27:W$41)</f>
        <v>1</v>
      </c>
      <c r="Y27" s="491">
        <f t="shared" ref="Y27" si="19">AVERAGE(W27:W41)</f>
        <v>121.24999999999996</v>
      </c>
      <c r="Z27" s="166">
        <v>13</v>
      </c>
      <c r="AA27" s="166">
        <v>1038.0000000000036</v>
      </c>
      <c r="AB27" s="180">
        <v>79.846153846154124</v>
      </c>
      <c r="AC27" s="182">
        <f t="shared" ref="AC27:AC41" si="20">RANK(AB27, AB$27:AB$41)</f>
        <v>1</v>
      </c>
      <c r="AD27" s="491">
        <f t="shared" ref="AD27" si="21">AVERAGE(AB27:AB41)</f>
        <v>79.846153846154124</v>
      </c>
      <c r="AE27" s="166">
        <v>12</v>
      </c>
      <c r="AF27" s="166">
        <v>1459.4999999999995</v>
      </c>
      <c r="AG27" s="180">
        <v>121.62499999999996</v>
      </c>
      <c r="AH27" s="182">
        <f t="shared" ref="AH27:AH41" si="22">RANK(AG27, AG$27:AG$41)</f>
        <v>1</v>
      </c>
      <c r="AI27" s="491">
        <f t="shared" ref="AI27" si="23">AVERAGE(AG27:AG41)</f>
        <v>121.62499999999996</v>
      </c>
      <c r="AJ27" s="166">
        <v>12</v>
      </c>
      <c r="AK27" s="166">
        <v>1513.0909090909079</v>
      </c>
      <c r="AL27" s="180">
        <v>126.09090909090899</v>
      </c>
      <c r="AM27" s="182">
        <f t="shared" ref="AM27:AM41" si="24">RANK(AL27, AL$27:AL$41)</f>
        <v>1</v>
      </c>
      <c r="AN27" s="491">
        <f t="shared" ref="AN27" si="25">AVERAGE(AL27:AL41)</f>
        <v>126.09090909090899</v>
      </c>
      <c r="AO27" s="349">
        <v>12</v>
      </c>
      <c r="AP27" s="166">
        <v>1510.2000000000005</v>
      </c>
      <c r="AQ27" s="180">
        <v>125.85000000000004</v>
      </c>
      <c r="AR27" s="182">
        <f t="shared" ref="AR27:AR41" si="26">RANK(AQ27, AQ$27:AQ$41)</f>
        <v>1</v>
      </c>
      <c r="AS27" s="491">
        <f t="shared" ref="AS27" si="27">AVERAGE(AQ27:AQ41)</f>
        <v>125.85000000000004</v>
      </c>
      <c r="AT27" s="349">
        <v>12</v>
      </c>
      <c r="AU27" s="166">
        <v>1545.0000000000016</v>
      </c>
      <c r="AV27" s="180">
        <v>128.75000000000014</v>
      </c>
      <c r="AW27" s="182">
        <f t="shared" ref="AW27:AW41" si="28">RANK(AV27, AV$27:AV$41)</f>
        <v>1</v>
      </c>
      <c r="AX27" s="491">
        <f t="shared" ref="AX27" si="29">AVERAGE(AV27:AV41)</f>
        <v>128.75000000000014</v>
      </c>
    </row>
    <row r="28" spans="2:54">
      <c r="B28" s="479"/>
      <c r="C28" s="182">
        <v>2</v>
      </c>
      <c r="D28" s="203"/>
      <c r="E28" s="166"/>
      <c r="F28" s="182"/>
      <c r="G28" s="180"/>
      <c r="H28" s="460"/>
      <c r="I28" s="166"/>
      <c r="J28" s="166"/>
      <c r="K28" s="180"/>
      <c r="L28" s="460"/>
      <c r="M28" s="181" t="e">
        <f>RANK(K28, K$27:$K$41)</f>
        <v>#N/A</v>
      </c>
      <c r="N28" s="462"/>
      <c r="O28" s="462"/>
      <c r="P28" s="182"/>
      <c r="Q28" s="166"/>
      <c r="R28" s="180"/>
      <c r="S28" s="182" t="e">
        <f t="shared" si="17"/>
        <v>#N/A</v>
      </c>
      <c r="T28" s="491"/>
      <c r="U28" s="182"/>
      <c r="V28" s="166"/>
      <c r="W28" s="180"/>
      <c r="X28" s="182" t="e">
        <f t="shared" si="18"/>
        <v>#N/A</v>
      </c>
      <c r="Y28" s="491"/>
      <c r="Z28" s="182"/>
      <c r="AA28" s="166"/>
      <c r="AB28" s="180"/>
      <c r="AC28" s="182" t="e">
        <f t="shared" si="20"/>
        <v>#N/A</v>
      </c>
      <c r="AD28" s="491"/>
      <c r="AE28" s="182"/>
      <c r="AF28" s="166"/>
      <c r="AG28" s="180"/>
      <c r="AH28" s="182" t="e">
        <f t="shared" si="22"/>
        <v>#N/A</v>
      </c>
      <c r="AI28" s="491"/>
      <c r="AJ28" s="182"/>
      <c r="AK28" s="166"/>
      <c r="AL28" s="180"/>
      <c r="AM28" s="182" t="e">
        <f t="shared" si="24"/>
        <v>#N/A</v>
      </c>
      <c r="AN28" s="491"/>
      <c r="AO28" s="182"/>
      <c r="AP28" s="166"/>
      <c r="AQ28" s="180"/>
      <c r="AR28" s="182" t="e">
        <f t="shared" si="26"/>
        <v>#N/A</v>
      </c>
      <c r="AS28" s="491"/>
      <c r="AT28" s="182"/>
      <c r="AU28" s="166"/>
      <c r="AV28" s="180"/>
      <c r="AW28" s="182" t="e">
        <f t="shared" si="28"/>
        <v>#N/A</v>
      </c>
      <c r="AX28" s="491"/>
    </row>
    <row r="29" spans="2:54">
      <c r="B29" s="479"/>
      <c r="C29" s="182">
        <v>3</v>
      </c>
      <c r="D29" s="203"/>
      <c r="E29" s="166"/>
      <c r="F29" s="182"/>
      <c r="G29" s="180"/>
      <c r="H29" s="460"/>
      <c r="I29" s="166"/>
      <c r="J29" s="166"/>
      <c r="K29" s="180"/>
      <c r="L29" s="460"/>
      <c r="M29" s="181" t="e">
        <f>RANK(K29, K$27:$K$41)</f>
        <v>#N/A</v>
      </c>
      <c r="N29" s="462"/>
      <c r="O29" s="462"/>
      <c r="P29" s="182"/>
      <c r="Q29" s="182"/>
      <c r="R29" s="182"/>
      <c r="S29" s="182" t="e">
        <f t="shared" si="17"/>
        <v>#N/A</v>
      </c>
      <c r="T29" s="491"/>
      <c r="U29" s="182"/>
      <c r="V29" s="182"/>
      <c r="W29" s="182"/>
      <c r="X29" s="182" t="e">
        <f t="shared" si="18"/>
        <v>#N/A</v>
      </c>
      <c r="Y29" s="491"/>
      <c r="Z29" s="182"/>
      <c r="AA29" s="182"/>
      <c r="AB29" s="182"/>
      <c r="AC29" s="182" t="e">
        <f t="shared" si="20"/>
        <v>#N/A</v>
      </c>
      <c r="AD29" s="491"/>
      <c r="AE29" s="182"/>
      <c r="AF29" s="182"/>
      <c r="AG29" s="182"/>
      <c r="AH29" s="182" t="e">
        <f t="shared" si="22"/>
        <v>#N/A</v>
      </c>
      <c r="AI29" s="491"/>
      <c r="AJ29" s="182"/>
      <c r="AK29" s="182"/>
      <c r="AL29" s="182"/>
      <c r="AM29" s="182" t="e">
        <f t="shared" si="24"/>
        <v>#N/A</v>
      </c>
      <c r="AN29" s="491"/>
      <c r="AO29" s="182"/>
      <c r="AP29" s="182"/>
      <c r="AQ29" s="182"/>
      <c r="AR29" s="182" t="e">
        <f t="shared" si="26"/>
        <v>#N/A</v>
      </c>
      <c r="AS29" s="491"/>
      <c r="AT29" s="182"/>
      <c r="AU29" s="182"/>
      <c r="AV29" s="182"/>
      <c r="AW29" s="182" t="e">
        <f t="shared" si="28"/>
        <v>#N/A</v>
      </c>
      <c r="AX29" s="491"/>
    </row>
    <row r="30" spans="2:54">
      <c r="B30" s="479"/>
      <c r="C30" s="182">
        <v>4</v>
      </c>
      <c r="D30" s="203"/>
      <c r="E30" s="166"/>
      <c r="F30" s="182"/>
      <c r="G30" s="180"/>
      <c r="H30" s="460"/>
      <c r="I30" s="166"/>
      <c r="J30" s="166"/>
      <c r="K30" s="180"/>
      <c r="L30" s="460"/>
      <c r="M30" s="181" t="e">
        <f>RANK(K30, K$27:$K$41)</f>
        <v>#N/A</v>
      </c>
      <c r="N30" s="462"/>
      <c r="O30" s="462"/>
      <c r="P30" s="182"/>
      <c r="Q30" s="182"/>
      <c r="R30" s="182"/>
      <c r="S30" s="182" t="e">
        <f t="shared" si="17"/>
        <v>#N/A</v>
      </c>
      <c r="T30" s="491"/>
      <c r="U30" s="182"/>
      <c r="V30" s="182"/>
      <c r="W30" s="182"/>
      <c r="X30" s="182" t="e">
        <f t="shared" si="18"/>
        <v>#N/A</v>
      </c>
      <c r="Y30" s="491"/>
      <c r="Z30" s="182"/>
      <c r="AA30" s="182"/>
      <c r="AB30" s="182"/>
      <c r="AC30" s="182" t="e">
        <f t="shared" si="20"/>
        <v>#N/A</v>
      </c>
      <c r="AD30" s="491"/>
      <c r="AE30" s="182"/>
      <c r="AF30" s="182"/>
      <c r="AG30" s="182"/>
      <c r="AH30" s="182" t="e">
        <f t="shared" si="22"/>
        <v>#N/A</v>
      </c>
      <c r="AI30" s="491"/>
      <c r="AJ30" s="182"/>
      <c r="AK30" s="182"/>
      <c r="AL30" s="182"/>
      <c r="AM30" s="182" t="e">
        <f t="shared" si="24"/>
        <v>#N/A</v>
      </c>
      <c r="AN30" s="491"/>
      <c r="AO30" s="182"/>
      <c r="AP30" s="182"/>
      <c r="AQ30" s="182"/>
      <c r="AR30" s="182" t="e">
        <f t="shared" si="26"/>
        <v>#N/A</v>
      </c>
      <c r="AS30" s="491"/>
      <c r="AT30" s="182"/>
      <c r="AU30" s="182"/>
      <c r="AV30" s="182"/>
      <c r="AW30" s="182" t="e">
        <f t="shared" si="28"/>
        <v>#N/A</v>
      </c>
      <c r="AX30" s="491"/>
    </row>
    <row r="31" spans="2:54">
      <c r="B31" s="479"/>
      <c r="C31" s="182">
        <v>5</v>
      </c>
      <c r="D31" s="203"/>
      <c r="E31" s="166"/>
      <c r="F31" s="182"/>
      <c r="G31" s="180"/>
      <c r="H31" s="460"/>
      <c r="I31" s="166"/>
      <c r="J31" s="166"/>
      <c r="K31" s="180"/>
      <c r="L31" s="460"/>
      <c r="M31" s="181" t="e">
        <f>RANK(K31, K$27:$K$41)</f>
        <v>#N/A</v>
      </c>
      <c r="N31" s="462"/>
      <c r="O31" s="462"/>
      <c r="P31" s="182"/>
      <c r="Q31" s="182"/>
      <c r="R31" s="182"/>
      <c r="S31" s="182" t="e">
        <f t="shared" si="17"/>
        <v>#N/A</v>
      </c>
      <c r="T31" s="491"/>
      <c r="U31" s="182"/>
      <c r="V31" s="182"/>
      <c r="W31" s="182"/>
      <c r="X31" s="182" t="e">
        <f t="shared" si="18"/>
        <v>#N/A</v>
      </c>
      <c r="Y31" s="491"/>
      <c r="Z31" s="182"/>
      <c r="AA31" s="182"/>
      <c r="AB31" s="182"/>
      <c r="AC31" s="182" t="e">
        <f t="shared" si="20"/>
        <v>#N/A</v>
      </c>
      <c r="AD31" s="491"/>
      <c r="AE31" s="182"/>
      <c r="AF31" s="182"/>
      <c r="AG31" s="182"/>
      <c r="AH31" s="182" t="e">
        <f t="shared" si="22"/>
        <v>#N/A</v>
      </c>
      <c r="AI31" s="491"/>
      <c r="AJ31" s="182"/>
      <c r="AK31" s="182"/>
      <c r="AL31" s="182"/>
      <c r="AM31" s="182" t="e">
        <f t="shared" si="24"/>
        <v>#N/A</v>
      </c>
      <c r="AN31" s="491"/>
      <c r="AO31" s="182"/>
      <c r="AP31" s="182"/>
      <c r="AQ31" s="182"/>
      <c r="AR31" s="182" t="e">
        <f t="shared" si="26"/>
        <v>#N/A</v>
      </c>
      <c r="AS31" s="491"/>
      <c r="AT31" s="182"/>
      <c r="AU31" s="182"/>
      <c r="AV31" s="182"/>
      <c r="AW31" s="182" t="e">
        <f t="shared" si="28"/>
        <v>#N/A</v>
      </c>
      <c r="AX31" s="491"/>
    </row>
    <row r="32" spans="2:54">
      <c r="B32" s="479"/>
      <c r="C32" s="182">
        <v>6</v>
      </c>
      <c r="D32" s="203"/>
      <c r="E32" s="166"/>
      <c r="F32" s="182"/>
      <c r="G32" s="180"/>
      <c r="H32" s="460"/>
      <c r="I32" s="166"/>
      <c r="J32" s="166"/>
      <c r="K32" s="180"/>
      <c r="L32" s="460"/>
      <c r="M32" s="181" t="e">
        <f>RANK(K32, K$27:$K$41)</f>
        <v>#N/A</v>
      </c>
      <c r="N32" s="462"/>
      <c r="O32" s="462"/>
      <c r="P32" s="182"/>
      <c r="Q32" s="182"/>
      <c r="R32" s="182"/>
      <c r="S32" s="182" t="e">
        <f t="shared" si="17"/>
        <v>#N/A</v>
      </c>
      <c r="T32" s="491"/>
      <c r="U32" s="182"/>
      <c r="V32" s="182"/>
      <c r="W32" s="182"/>
      <c r="X32" s="182" t="e">
        <f t="shared" si="18"/>
        <v>#N/A</v>
      </c>
      <c r="Y32" s="491"/>
      <c r="Z32" s="182"/>
      <c r="AA32" s="182"/>
      <c r="AB32" s="182"/>
      <c r="AC32" s="182" t="e">
        <f t="shared" si="20"/>
        <v>#N/A</v>
      </c>
      <c r="AD32" s="491"/>
      <c r="AE32" s="182"/>
      <c r="AF32" s="182"/>
      <c r="AG32" s="182"/>
      <c r="AH32" s="182" t="e">
        <f t="shared" si="22"/>
        <v>#N/A</v>
      </c>
      <c r="AI32" s="491"/>
      <c r="AJ32" s="182"/>
      <c r="AK32" s="182"/>
      <c r="AL32" s="182"/>
      <c r="AM32" s="182" t="e">
        <f t="shared" si="24"/>
        <v>#N/A</v>
      </c>
      <c r="AN32" s="491"/>
      <c r="AO32" s="182"/>
      <c r="AP32" s="182"/>
      <c r="AQ32" s="182"/>
      <c r="AR32" s="182" t="e">
        <f t="shared" si="26"/>
        <v>#N/A</v>
      </c>
      <c r="AS32" s="491"/>
      <c r="AT32" s="182"/>
      <c r="AU32" s="182"/>
      <c r="AV32" s="182"/>
      <c r="AW32" s="182" t="e">
        <f t="shared" si="28"/>
        <v>#N/A</v>
      </c>
      <c r="AX32" s="491"/>
    </row>
    <row r="33" spans="2:50">
      <c r="B33" s="479"/>
      <c r="C33" s="182">
        <v>7</v>
      </c>
      <c r="D33" s="203"/>
      <c r="E33" s="166"/>
      <c r="F33" s="182"/>
      <c r="G33" s="180"/>
      <c r="H33" s="460"/>
      <c r="I33" s="166"/>
      <c r="J33" s="166"/>
      <c r="K33" s="180"/>
      <c r="L33" s="460"/>
      <c r="M33" s="181" t="e">
        <f>RANK(K33, K$27:$K$41)</f>
        <v>#N/A</v>
      </c>
      <c r="N33" s="462"/>
      <c r="O33" s="462"/>
      <c r="P33" s="182"/>
      <c r="Q33" s="182"/>
      <c r="R33" s="182"/>
      <c r="S33" s="182" t="e">
        <f t="shared" si="17"/>
        <v>#N/A</v>
      </c>
      <c r="T33" s="491"/>
      <c r="U33" s="182"/>
      <c r="V33" s="182"/>
      <c r="W33" s="182"/>
      <c r="X33" s="182" t="e">
        <f t="shared" si="18"/>
        <v>#N/A</v>
      </c>
      <c r="Y33" s="491"/>
      <c r="Z33" s="182"/>
      <c r="AA33" s="182"/>
      <c r="AB33" s="182"/>
      <c r="AC33" s="182" t="e">
        <f t="shared" si="20"/>
        <v>#N/A</v>
      </c>
      <c r="AD33" s="491"/>
      <c r="AE33" s="182"/>
      <c r="AF33" s="182"/>
      <c r="AG33" s="182"/>
      <c r="AH33" s="182" t="e">
        <f t="shared" si="22"/>
        <v>#N/A</v>
      </c>
      <c r="AI33" s="491"/>
      <c r="AJ33" s="182"/>
      <c r="AK33" s="182"/>
      <c r="AL33" s="182"/>
      <c r="AM33" s="182" t="e">
        <f t="shared" si="24"/>
        <v>#N/A</v>
      </c>
      <c r="AN33" s="491"/>
      <c r="AO33" s="182"/>
      <c r="AP33" s="182"/>
      <c r="AQ33" s="182"/>
      <c r="AR33" s="182" t="e">
        <f t="shared" si="26"/>
        <v>#N/A</v>
      </c>
      <c r="AS33" s="491"/>
      <c r="AT33" s="182"/>
      <c r="AU33" s="182"/>
      <c r="AV33" s="182"/>
      <c r="AW33" s="182" t="e">
        <f t="shared" si="28"/>
        <v>#N/A</v>
      </c>
      <c r="AX33" s="491"/>
    </row>
    <row r="34" spans="2:50">
      <c r="B34" s="479"/>
      <c r="C34" s="182">
        <v>8</v>
      </c>
      <c r="D34" s="203"/>
      <c r="E34" s="166"/>
      <c r="F34" s="182"/>
      <c r="G34" s="180"/>
      <c r="H34" s="460"/>
      <c r="I34" s="166"/>
      <c r="J34" s="166"/>
      <c r="K34" s="180"/>
      <c r="L34" s="460"/>
      <c r="M34" s="181" t="e">
        <f>RANK(K34, K$27:$K$41)</f>
        <v>#N/A</v>
      </c>
      <c r="N34" s="462"/>
      <c r="O34" s="462"/>
      <c r="P34" s="182"/>
      <c r="Q34" s="182"/>
      <c r="R34" s="182"/>
      <c r="S34" s="182" t="e">
        <f t="shared" si="17"/>
        <v>#N/A</v>
      </c>
      <c r="T34" s="491"/>
      <c r="U34" s="182"/>
      <c r="V34" s="182"/>
      <c r="W34" s="182"/>
      <c r="X34" s="182" t="e">
        <f t="shared" si="18"/>
        <v>#N/A</v>
      </c>
      <c r="Y34" s="491"/>
      <c r="Z34" s="182"/>
      <c r="AA34" s="182"/>
      <c r="AB34" s="182"/>
      <c r="AC34" s="182" t="e">
        <f t="shared" si="20"/>
        <v>#N/A</v>
      </c>
      <c r="AD34" s="491"/>
      <c r="AE34" s="182"/>
      <c r="AF34" s="182"/>
      <c r="AG34" s="182"/>
      <c r="AH34" s="182" t="e">
        <f t="shared" si="22"/>
        <v>#N/A</v>
      </c>
      <c r="AI34" s="491"/>
      <c r="AJ34" s="182"/>
      <c r="AK34" s="182"/>
      <c r="AL34" s="182"/>
      <c r="AM34" s="182" t="e">
        <f t="shared" si="24"/>
        <v>#N/A</v>
      </c>
      <c r="AN34" s="491"/>
      <c r="AO34" s="182"/>
      <c r="AP34" s="182"/>
      <c r="AQ34" s="182"/>
      <c r="AR34" s="182" t="e">
        <f t="shared" si="26"/>
        <v>#N/A</v>
      </c>
      <c r="AS34" s="491"/>
      <c r="AT34" s="182"/>
      <c r="AU34" s="182"/>
      <c r="AV34" s="182"/>
      <c r="AW34" s="182" t="e">
        <f t="shared" si="28"/>
        <v>#N/A</v>
      </c>
      <c r="AX34" s="491"/>
    </row>
    <row r="35" spans="2:50">
      <c r="B35" s="479"/>
      <c r="C35" s="182">
        <v>9</v>
      </c>
      <c r="D35" s="203"/>
      <c r="E35" s="166"/>
      <c r="F35" s="182"/>
      <c r="G35" s="180"/>
      <c r="H35" s="460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82"/>
      <c r="R35" s="182"/>
      <c r="S35" s="182" t="e">
        <f t="shared" si="17"/>
        <v>#N/A</v>
      </c>
      <c r="T35" s="491"/>
      <c r="U35" s="182"/>
      <c r="V35" s="182"/>
      <c r="W35" s="182"/>
      <c r="X35" s="182" t="e">
        <f t="shared" si="18"/>
        <v>#N/A</v>
      </c>
      <c r="Y35" s="491"/>
      <c r="Z35" s="182"/>
      <c r="AA35" s="182"/>
      <c r="AB35" s="182"/>
      <c r="AC35" s="182" t="e">
        <f t="shared" si="20"/>
        <v>#N/A</v>
      </c>
      <c r="AD35" s="491"/>
      <c r="AE35" s="182"/>
      <c r="AF35" s="182"/>
      <c r="AG35" s="182"/>
      <c r="AH35" s="182" t="e">
        <f t="shared" si="22"/>
        <v>#N/A</v>
      </c>
      <c r="AI35" s="491"/>
      <c r="AJ35" s="182"/>
      <c r="AK35" s="182"/>
      <c r="AL35" s="182"/>
      <c r="AM35" s="182" t="e">
        <f t="shared" si="24"/>
        <v>#N/A</v>
      </c>
      <c r="AN35" s="491"/>
      <c r="AO35" s="182"/>
      <c r="AP35" s="182"/>
      <c r="AQ35" s="182"/>
      <c r="AR35" s="182" t="e">
        <f t="shared" si="26"/>
        <v>#N/A</v>
      </c>
      <c r="AS35" s="491"/>
      <c r="AT35" s="182"/>
      <c r="AU35" s="182"/>
      <c r="AV35" s="182"/>
      <c r="AW35" s="182" t="e">
        <f t="shared" si="28"/>
        <v>#N/A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82"/>
      <c r="R36" s="182"/>
      <c r="S36" s="182" t="e">
        <f t="shared" si="17"/>
        <v>#N/A</v>
      </c>
      <c r="T36" s="491"/>
      <c r="U36" s="182"/>
      <c r="V36" s="182"/>
      <c r="W36" s="182"/>
      <c r="X36" s="182" t="e">
        <f t="shared" si="18"/>
        <v>#N/A</v>
      </c>
      <c r="Y36" s="491"/>
      <c r="Z36" s="182"/>
      <c r="AA36" s="182"/>
      <c r="AB36" s="182"/>
      <c r="AC36" s="182" t="e">
        <f t="shared" si="20"/>
        <v>#N/A</v>
      </c>
      <c r="AD36" s="491"/>
      <c r="AE36" s="182"/>
      <c r="AF36" s="182"/>
      <c r="AG36" s="182"/>
      <c r="AH36" s="182" t="e">
        <f t="shared" si="22"/>
        <v>#N/A</v>
      </c>
      <c r="AI36" s="491"/>
      <c r="AJ36" s="182"/>
      <c r="AK36" s="182"/>
      <c r="AL36" s="182"/>
      <c r="AM36" s="182" t="e">
        <f t="shared" si="24"/>
        <v>#N/A</v>
      </c>
      <c r="AN36" s="491"/>
      <c r="AO36" s="182"/>
      <c r="AP36" s="182"/>
      <c r="AQ36" s="182"/>
      <c r="AR36" s="182" t="e">
        <f t="shared" si="26"/>
        <v>#N/A</v>
      </c>
      <c r="AS36" s="491"/>
      <c r="AT36" s="182"/>
      <c r="AU36" s="182"/>
      <c r="AV36" s="182"/>
      <c r="AW36" s="182" t="e">
        <f t="shared" si="28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82"/>
      <c r="J37" s="182"/>
      <c r="K37" s="182"/>
      <c r="L37" s="460"/>
      <c r="M37" s="181" t="e">
        <f>RANK(K37, K$27:$K$41)</f>
        <v>#N/A</v>
      </c>
      <c r="N37" s="462"/>
      <c r="O37" s="462"/>
      <c r="P37" s="182"/>
      <c r="Q37" s="182"/>
      <c r="R37" s="182"/>
      <c r="S37" s="182" t="e">
        <f t="shared" si="17"/>
        <v>#N/A</v>
      </c>
      <c r="T37" s="491"/>
      <c r="U37" s="182"/>
      <c r="V37" s="182"/>
      <c r="W37" s="182"/>
      <c r="X37" s="182" t="e">
        <f t="shared" si="18"/>
        <v>#N/A</v>
      </c>
      <c r="Y37" s="491"/>
      <c r="Z37" s="182"/>
      <c r="AA37" s="182"/>
      <c r="AB37" s="182"/>
      <c r="AC37" s="182" t="e">
        <f t="shared" si="20"/>
        <v>#N/A</v>
      </c>
      <c r="AD37" s="491"/>
      <c r="AE37" s="182"/>
      <c r="AF37" s="182"/>
      <c r="AG37" s="182"/>
      <c r="AH37" s="182" t="e">
        <f t="shared" si="22"/>
        <v>#N/A</v>
      </c>
      <c r="AI37" s="491"/>
      <c r="AJ37" s="182"/>
      <c r="AK37" s="182"/>
      <c r="AL37" s="182"/>
      <c r="AM37" s="182" t="e">
        <f t="shared" si="24"/>
        <v>#N/A</v>
      </c>
      <c r="AN37" s="491"/>
      <c r="AO37" s="182"/>
      <c r="AP37" s="182"/>
      <c r="AQ37" s="182"/>
      <c r="AR37" s="182" t="e">
        <f t="shared" si="26"/>
        <v>#N/A</v>
      </c>
      <c r="AS37" s="491"/>
      <c r="AT37" s="182"/>
      <c r="AU37" s="182"/>
      <c r="AV37" s="182"/>
      <c r="AW37" s="182" t="e">
        <f t="shared" si="28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82"/>
      <c r="J38" s="182"/>
      <c r="K38" s="182"/>
      <c r="L38" s="460"/>
      <c r="M38" s="181" t="e">
        <f>RANK(K38, K$27:$K$41)</f>
        <v>#N/A</v>
      </c>
      <c r="N38" s="462"/>
      <c r="O38" s="462"/>
      <c r="P38" s="182"/>
      <c r="Q38" s="182"/>
      <c r="R38" s="182"/>
      <c r="S38" s="182" t="e">
        <f t="shared" si="17"/>
        <v>#N/A</v>
      </c>
      <c r="T38" s="491"/>
      <c r="U38" s="182"/>
      <c r="V38" s="182"/>
      <c r="W38" s="182"/>
      <c r="X38" s="182" t="e">
        <f t="shared" si="18"/>
        <v>#N/A</v>
      </c>
      <c r="Y38" s="491"/>
      <c r="Z38" s="182"/>
      <c r="AA38" s="182"/>
      <c r="AB38" s="182"/>
      <c r="AC38" s="182" t="e">
        <f t="shared" si="20"/>
        <v>#N/A</v>
      </c>
      <c r="AD38" s="491"/>
      <c r="AE38" s="182"/>
      <c r="AF38" s="182"/>
      <c r="AG38" s="182"/>
      <c r="AH38" s="182" t="e">
        <f t="shared" si="22"/>
        <v>#N/A</v>
      </c>
      <c r="AI38" s="491"/>
      <c r="AJ38" s="182"/>
      <c r="AK38" s="182"/>
      <c r="AL38" s="182"/>
      <c r="AM38" s="182" t="e">
        <f t="shared" si="24"/>
        <v>#N/A</v>
      </c>
      <c r="AN38" s="491"/>
      <c r="AO38" s="182"/>
      <c r="AP38" s="182"/>
      <c r="AQ38" s="182"/>
      <c r="AR38" s="182" t="e">
        <f t="shared" si="26"/>
        <v>#N/A</v>
      </c>
      <c r="AS38" s="491"/>
      <c r="AT38" s="182"/>
      <c r="AU38" s="182"/>
      <c r="AV38" s="182"/>
      <c r="AW38" s="182" t="e">
        <f t="shared" si="28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82"/>
      <c r="R39" s="182"/>
      <c r="S39" s="182" t="e">
        <f t="shared" si="17"/>
        <v>#N/A</v>
      </c>
      <c r="T39" s="491"/>
      <c r="U39" s="182"/>
      <c r="V39" s="182"/>
      <c r="W39" s="182"/>
      <c r="X39" s="182" t="e">
        <f t="shared" si="18"/>
        <v>#N/A</v>
      </c>
      <c r="Y39" s="491"/>
      <c r="Z39" s="182"/>
      <c r="AA39" s="182"/>
      <c r="AB39" s="182"/>
      <c r="AC39" s="182" t="e">
        <f t="shared" si="20"/>
        <v>#N/A</v>
      </c>
      <c r="AD39" s="491"/>
      <c r="AE39" s="182"/>
      <c r="AF39" s="182"/>
      <c r="AG39" s="182"/>
      <c r="AH39" s="182" t="e">
        <f t="shared" si="22"/>
        <v>#N/A</v>
      </c>
      <c r="AI39" s="491"/>
      <c r="AJ39" s="182"/>
      <c r="AK39" s="182"/>
      <c r="AL39" s="182"/>
      <c r="AM39" s="182" t="e">
        <f t="shared" si="24"/>
        <v>#N/A</v>
      </c>
      <c r="AN39" s="491"/>
      <c r="AO39" s="182"/>
      <c r="AP39" s="182"/>
      <c r="AQ39" s="182"/>
      <c r="AR39" s="182" t="e">
        <f t="shared" si="26"/>
        <v>#N/A</v>
      </c>
      <c r="AS39" s="491"/>
      <c r="AT39" s="182"/>
      <c r="AU39" s="182"/>
      <c r="AV39" s="182"/>
      <c r="AW39" s="182" t="e">
        <f t="shared" si="28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82"/>
      <c r="R40" s="182"/>
      <c r="S40" s="182" t="e">
        <f t="shared" si="17"/>
        <v>#N/A</v>
      </c>
      <c r="T40" s="491"/>
      <c r="U40" s="182"/>
      <c r="V40" s="182"/>
      <c r="W40" s="182"/>
      <c r="X40" s="182" t="e">
        <f t="shared" si="18"/>
        <v>#N/A</v>
      </c>
      <c r="Y40" s="491"/>
      <c r="Z40" s="182"/>
      <c r="AA40" s="182"/>
      <c r="AB40" s="182"/>
      <c r="AC40" s="182" t="e">
        <f t="shared" si="20"/>
        <v>#N/A</v>
      </c>
      <c r="AD40" s="491"/>
      <c r="AE40" s="182"/>
      <c r="AF40" s="182"/>
      <c r="AG40" s="182"/>
      <c r="AH40" s="182" t="e">
        <f t="shared" si="22"/>
        <v>#N/A</v>
      </c>
      <c r="AI40" s="491"/>
      <c r="AJ40" s="182"/>
      <c r="AK40" s="182"/>
      <c r="AL40" s="182"/>
      <c r="AM40" s="182" t="e">
        <f t="shared" si="24"/>
        <v>#N/A</v>
      </c>
      <c r="AN40" s="491"/>
      <c r="AO40" s="182"/>
      <c r="AP40" s="182"/>
      <c r="AQ40" s="182"/>
      <c r="AR40" s="182" t="e">
        <f t="shared" si="26"/>
        <v>#N/A</v>
      </c>
      <c r="AS40" s="491"/>
      <c r="AT40" s="182"/>
      <c r="AU40" s="182"/>
      <c r="AV40" s="182"/>
      <c r="AW40" s="182" t="e">
        <f t="shared" si="28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82"/>
      <c r="R41" s="182"/>
      <c r="S41" s="182" t="e">
        <f t="shared" si="17"/>
        <v>#N/A</v>
      </c>
      <c r="T41" s="491"/>
      <c r="U41" s="182"/>
      <c r="V41" s="182"/>
      <c r="W41" s="182"/>
      <c r="X41" s="182" t="e">
        <f t="shared" si="18"/>
        <v>#N/A</v>
      </c>
      <c r="Y41" s="491"/>
      <c r="Z41" s="182"/>
      <c r="AA41" s="182"/>
      <c r="AB41" s="182"/>
      <c r="AC41" s="182" t="e">
        <f t="shared" si="20"/>
        <v>#N/A</v>
      </c>
      <c r="AD41" s="491"/>
      <c r="AE41" s="182"/>
      <c r="AF41" s="182"/>
      <c r="AG41" s="182"/>
      <c r="AH41" s="182" t="e">
        <f t="shared" si="22"/>
        <v>#N/A</v>
      </c>
      <c r="AI41" s="491"/>
      <c r="AJ41" s="182"/>
      <c r="AK41" s="182"/>
      <c r="AL41" s="182"/>
      <c r="AM41" s="182" t="e">
        <f t="shared" si="24"/>
        <v>#N/A</v>
      </c>
      <c r="AN41" s="491"/>
      <c r="AO41" s="182"/>
      <c r="AP41" s="182"/>
      <c r="AQ41" s="182"/>
      <c r="AR41" s="182" t="e">
        <f t="shared" si="26"/>
        <v>#N/A</v>
      </c>
      <c r="AS41" s="491"/>
      <c r="AT41" s="182"/>
      <c r="AU41" s="182"/>
      <c r="AV41" s="182"/>
      <c r="AW41" s="182" t="e">
        <f t="shared" si="28"/>
        <v>#N/A</v>
      </c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275</v>
      </c>
      <c r="C47" s="182">
        <v>1</v>
      </c>
      <c r="D47" s="203" t="s">
        <v>276</v>
      </c>
      <c r="E47" s="166">
        <v>13</v>
      </c>
      <c r="F47" s="182">
        <v>1500</v>
      </c>
      <c r="G47" s="180">
        <v>115.38461538461539</v>
      </c>
      <c r="H47" s="459">
        <f>AVERAGE(G47:G61)</f>
        <v>115.38461538461539</v>
      </c>
      <c r="I47" s="166">
        <f>AVERAGE(P47,U47,Z47,AE47,AJ47,AO47,AT47)</f>
        <v>12.857142857142858</v>
      </c>
      <c r="J47" s="166">
        <f>AVERAGE(Q47,V47,AA47,AF47,AK47,AP47,AU47)</f>
        <v>1497.7576994434141</v>
      </c>
      <c r="K47" s="180">
        <f>AVERAGE(R47,W47,AB47,AG47,AL47,AQ47,AV47)</f>
        <v>116.53850435279007</v>
      </c>
      <c r="L47" s="459">
        <f>IFERROR(AVERAGE(K47:K61),"-")</f>
        <v>116.53850435279007</v>
      </c>
      <c r="M47" s="181">
        <f>RANK(K47, K$47:$K$61)</f>
        <v>1</v>
      </c>
      <c r="N47" s="462"/>
      <c r="O47" s="462"/>
      <c r="P47" s="166">
        <v>12</v>
      </c>
      <c r="Q47" s="166">
        <v>1448.4000000000005</v>
      </c>
      <c r="R47" s="180">
        <v>120.70000000000005</v>
      </c>
      <c r="S47" s="182">
        <f>RANK(R47, R$47:R$61)</f>
        <v>1</v>
      </c>
      <c r="T47" s="491">
        <f>AVERAGE(R47:R61)</f>
        <v>120.70000000000005</v>
      </c>
      <c r="U47" s="166">
        <v>13</v>
      </c>
      <c r="V47" s="166">
        <v>1504.2857142857147</v>
      </c>
      <c r="W47" s="180">
        <v>115.71428571428575</v>
      </c>
      <c r="X47" s="182">
        <f t="shared" ref="X47:X61" si="30">RANK(W47, W$47:W$61)</f>
        <v>1</v>
      </c>
      <c r="Y47" s="491">
        <f t="shared" ref="Y47" si="31">AVERAGE(W47:W61)</f>
        <v>115.71428571428575</v>
      </c>
      <c r="Z47" s="166">
        <v>13</v>
      </c>
      <c r="AA47" s="166">
        <v>1449.8181818181827</v>
      </c>
      <c r="AB47" s="180">
        <v>111.52447552447559</v>
      </c>
      <c r="AC47" s="182">
        <f t="shared" ref="AC47:AC61" si="32">RANK(AB47, AB$47:AB$61)</f>
        <v>1</v>
      </c>
      <c r="AD47" s="491">
        <f t="shared" ref="AD47" si="33">AVERAGE(AB47:AB61)</f>
        <v>111.52447552447559</v>
      </c>
      <c r="AE47" s="166">
        <v>13</v>
      </c>
      <c r="AF47" s="166">
        <v>1582.8000000000004</v>
      </c>
      <c r="AG47" s="180">
        <v>121.75384615384618</v>
      </c>
      <c r="AH47" s="182">
        <f t="shared" ref="AH47:AH61" si="34">RANK(AG47, AG$47:AG$61)</f>
        <v>1</v>
      </c>
      <c r="AI47" s="491">
        <f t="shared" ref="AI47" si="35">AVERAGE(AG47:AG61)</f>
        <v>121.75384615384618</v>
      </c>
      <c r="AJ47" s="166">
        <v>13</v>
      </c>
      <c r="AK47" s="166">
        <v>1559.9999999999993</v>
      </c>
      <c r="AL47" s="180">
        <v>119.99999999999994</v>
      </c>
      <c r="AM47" s="182">
        <f t="shared" ref="AM47:AM61" si="36">RANK(AL47, AL$47:AL$61)</f>
        <v>1</v>
      </c>
      <c r="AN47" s="491">
        <f t="shared" ref="AN47" si="37">AVERAGE(AL47:AL61)</f>
        <v>119.99999999999994</v>
      </c>
      <c r="AO47" s="166">
        <v>13</v>
      </c>
      <c r="AP47" s="166">
        <v>1437.0000000000014</v>
      </c>
      <c r="AQ47" s="180">
        <v>110.53846153846165</v>
      </c>
      <c r="AR47" s="182">
        <f t="shared" ref="AR47:AR61" si="38">RANK(AQ47, AQ$47:AQ$61)</f>
        <v>1</v>
      </c>
      <c r="AS47" s="491">
        <f t="shared" ref="AS47" si="39">AVERAGE(AQ47:AQ61)</f>
        <v>110.53846153846165</v>
      </c>
      <c r="AT47" s="166">
        <v>13</v>
      </c>
      <c r="AU47" s="166">
        <v>1501.9999999999993</v>
      </c>
      <c r="AV47" s="180">
        <v>115.53846153846149</v>
      </c>
      <c r="AW47" s="182">
        <f t="shared" ref="AW47:AW61" si="40">RANK(AV47, AV$47:AV$61)</f>
        <v>1</v>
      </c>
      <c r="AX47" s="491">
        <f t="shared" ref="AX47" si="41">AVERAGE(AV47:AV61)</f>
        <v>115.53846153846149</v>
      </c>
    </row>
    <row r="48" spans="2:50">
      <c r="B48" s="479"/>
      <c r="C48" s="182">
        <v>2</v>
      </c>
      <c r="D48" s="203"/>
      <c r="E48" s="166"/>
      <c r="F48" s="182"/>
      <c r="G48" s="180"/>
      <c r="H48" s="460"/>
      <c r="I48" s="166"/>
      <c r="J48" s="166"/>
      <c r="K48" s="180"/>
      <c r="L48" s="460"/>
      <c r="M48" s="181" t="e">
        <f>RANK(K48, K$47:$K$61)</f>
        <v>#N/A</v>
      </c>
      <c r="N48" s="462"/>
      <c r="O48" s="462"/>
      <c r="P48" s="182"/>
      <c r="Q48" s="166"/>
      <c r="R48" s="180"/>
      <c r="S48" s="182" t="e">
        <f t="shared" ref="S48:S61" si="42">RANK(R48, R$47:R$61)</f>
        <v>#N/A</v>
      </c>
      <c r="T48" s="491"/>
      <c r="U48" s="182"/>
      <c r="V48" s="166"/>
      <c r="W48" s="180"/>
      <c r="X48" s="182" t="e">
        <f t="shared" si="30"/>
        <v>#N/A</v>
      </c>
      <c r="Y48" s="491"/>
      <c r="Z48" s="182"/>
      <c r="AA48" s="166"/>
      <c r="AB48" s="180"/>
      <c r="AC48" s="182" t="e">
        <f t="shared" si="32"/>
        <v>#N/A</v>
      </c>
      <c r="AD48" s="491"/>
      <c r="AE48" s="182"/>
      <c r="AF48" s="166"/>
      <c r="AG48" s="180"/>
      <c r="AH48" s="182" t="e">
        <f t="shared" si="34"/>
        <v>#N/A</v>
      </c>
      <c r="AI48" s="491"/>
      <c r="AJ48" s="182"/>
      <c r="AK48" s="166"/>
      <c r="AL48" s="180"/>
      <c r="AM48" s="182" t="e">
        <f t="shared" si="36"/>
        <v>#N/A</v>
      </c>
      <c r="AN48" s="491"/>
      <c r="AO48" s="182"/>
      <c r="AP48" s="166"/>
      <c r="AQ48" s="180"/>
      <c r="AR48" s="182" t="e">
        <f t="shared" si="38"/>
        <v>#N/A</v>
      </c>
      <c r="AS48" s="491"/>
      <c r="AT48" s="182"/>
      <c r="AU48" s="166"/>
      <c r="AV48" s="180"/>
      <c r="AW48" s="182" t="e">
        <f t="shared" si="40"/>
        <v>#N/A</v>
      </c>
      <c r="AX48" s="491"/>
    </row>
    <row r="49" spans="2:50">
      <c r="B49" s="479"/>
      <c r="C49" s="182">
        <v>3</v>
      </c>
      <c r="D49" s="203"/>
      <c r="E49" s="166"/>
      <c r="F49" s="182"/>
      <c r="G49" s="180"/>
      <c r="H49" s="460"/>
      <c r="I49" s="166"/>
      <c r="J49" s="166"/>
      <c r="K49" s="180"/>
      <c r="L49" s="460"/>
      <c r="M49" s="181" t="e">
        <f>RANK(K49, K$47:$K$61)</f>
        <v>#N/A</v>
      </c>
      <c r="N49" s="462"/>
      <c r="O49" s="462"/>
      <c r="P49" s="182"/>
      <c r="Q49" s="166"/>
      <c r="R49" s="180"/>
      <c r="S49" s="182" t="e">
        <f t="shared" si="42"/>
        <v>#N/A</v>
      </c>
      <c r="T49" s="491"/>
      <c r="U49" s="182"/>
      <c r="V49" s="166"/>
      <c r="W49" s="180"/>
      <c r="X49" s="182" t="e">
        <f t="shared" si="30"/>
        <v>#N/A</v>
      </c>
      <c r="Y49" s="491"/>
      <c r="Z49" s="182"/>
      <c r="AA49" s="166"/>
      <c r="AB49" s="180"/>
      <c r="AC49" s="182" t="e">
        <f t="shared" si="32"/>
        <v>#N/A</v>
      </c>
      <c r="AD49" s="491"/>
      <c r="AE49" s="182"/>
      <c r="AF49" s="166"/>
      <c r="AG49" s="180"/>
      <c r="AH49" s="182" t="e">
        <f t="shared" si="34"/>
        <v>#N/A</v>
      </c>
      <c r="AI49" s="491"/>
      <c r="AJ49" s="182"/>
      <c r="AK49" s="166"/>
      <c r="AL49" s="180"/>
      <c r="AM49" s="182" t="e">
        <f t="shared" si="36"/>
        <v>#N/A</v>
      </c>
      <c r="AN49" s="491"/>
      <c r="AO49" s="182"/>
      <c r="AP49" s="166"/>
      <c r="AQ49" s="180"/>
      <c r="AR49" s="182" t="e">
        <f t="shared" si="38"/>
        <v>#N/A</v>
      </c>
      <c r="AS49" s="491"/>
      <c r="AT49" s="182"/>
      <c r="AU49" s="166"/>
      <c r="AV49" s="180"/>
      <c r="AW49" s="182" t="e">
        <f t="shared" si="40"/>
        <v>#N/A</v>
      </c>
      <c r="AX49" s="491"/>
    </row>
    <row r="50" spans="2:50">
      <c r="B50" s="479"/>
      <c r="C50" s="182">
        <v>4</v>
      </c>
      <c r="D50" s="203"/>
      <c r="E50" s="166"/>
      <c r="F50" s="182"/>
      <c r="G50" s="180"/>
      <c r="H50" s="460"/>
      <c r="I50" s="166"/>
      <c r="J50" s="166"/>
      <c r="K50" s="180"/>
      <c r="L50" s="460"/>
      <c r="M50" s="181" t="e">
        <f>RANK(K50, K$47:$K$61)</f>
        <v>#N/A</v>
      </c>
      <c r="N50" s="462"/>
      <c r="O50" s="462"/>
      <c r="P50" s="182"/>
      <c r="Q50" s="182"/>
      <c r="R50" s="182"/>
      <c r="S50" s="182" t="e">
        <f t="shared" si="42"/>
        <v>#N/A</v>
      </c>
      <c r="T50" s="491"/>
      <c r="U50" s="182"/>
      <c r="V50" s="182"/>
      <c r="W50" s="182"/>
      <c r="X50" s="182" t="e">
        <f t="shared" si="30"/>
        <v>#N/A</v>
      </c>
      <c r="Y50" s="491"/>
      <c r="Z50" s="182"/>
      <c r="AA50" s="182"/>
      <c r="AB50" s="182"/>
      <c r="AC50" s="182" t="e">
        <f t="shared" si="32"/>
        <v>#N/A</v>
      </c>
      <c r="AD50" s="491"/>
      <c r="AE50" s="182"/>
      <c r="AF50" s="182"/>
      <c r="AG50" s="182"/>
      <c r="AH50" s="182" t="e">
        <f t="shared" si="34"/>
        <v>#N/A</v>
      </c>
      <c r="AI50" s="491"/>
      <c r="AJ50" s="182"/>
      <c r="AK50" s="182"/>
      <c r="AL50" s="182"/>
      <c r="AM50" s="182" t="e">
        <f t="shared" si="36"/>
        <v>#N/A</v>
      </c>
      <c r="AN50" s="491"/>
      <c r="AO50" s="182"/>
      <c r="AP50" s="182"/>
      <c r="AQ50" s="182"/>
      <c r="AR50" s="182" t="e">
        <f t="shared" si="38"/>
        <v>#N/A</v>
      </c>
      <c r="AS50" s="491"/>
      <c r="AT50" s="182"/>
      <c r="AU50" s="182"/>
      <c r="AV50" s="182"/>
      <c r="AW50" s="182" t="e">
        <f t="shared" si="40"/>
        <v>#N/A</v>
      </c>
      <c r="AX50" s="491"/>
    </row>
    <row r="51" spans="2:50">
      <c r="B51" s="479"/>
      <c r="C51" s="182">
        <v>5</v>
      </c>
      <c r="D51" s="203"/>
      <c r="E51" s="166"/>
      <c r="F51" s="182"/>
      <c r="G51" s="180"/>
      <c r="H51" s="460"/>
      <c r="I51" s="166"/>
      <c r="J51" s="166"/>
      <c r="K51" s="180"/>
      <c r="L51" s="460"/>
      <c r="M51" s="181" t="e">
        <f>RANK(K51, K$47:$K$61)</f>
        <v>#N/A</v>
      </c>
      <c r="N51" s="462"/>
      <c r="O51" s="462"/>
      <c r="P51" s="182"/>
      <c r="Q51" s="182"/>
      <c r="R51" s="182"/>
      <c r="S51" s="182" t="e">
        <f t="shared" si="42"/>
        <v>#N/A</v>
      </c>
      <c r="T51" s="491"/>
      <c r="U51" s="182"/>
      <c r="V51" s="182"/>
      <c r="W51" s="182"/>
      <c r="X51" s="182" t="e">
        <f t="shared" si="30"/>
        <v>#N/A</v>
      </c>
      <c r="Y51" s="491"/>
      <c r="Z51" s="182"/>
      <c r="AA51" s="182"/>
      <c r="AB51" s="182"/>
      <c r="AC51" s="182" t="e">
        <f t="shared" si="32"/>
        <v>#N/A</v>
      </c>
      <c r="AD51" s="491"/>
      <c r="AE51" s="182"/>
      <c r="AF51" s="182"/>
      <c r="AG51" s="182"/>
      <c r="AH51" s="182" t="e">
        <f t="shared" si="34"/>
        <v>#N/A</v>
      </c>
      <c r="AI51" s="491"/>
      <c r="AJ51" s="182"/>
      <c r="AK51" s="182"/>
      <c r="AL51" s="182"/>
      <c r="AM51" s="182" t="e">
        <f t="shared" si="36"/>
        <v>#N/A</v>
      </c>
      <c r="AN51" s="491"/>
      <c r="AO51" s="182"/>
      <c r="AP51" s="182"/>
      <c r="AQ51" s="182"/>
      <c r="AR51" s="182" t="e">
        <f t="shared" si="38"/>
        <v>#N/A</v>
      </c>
      <c r="AS51" s="491"/>
      <c r="AT51" s="182"/>
      <c r="AU51" s="182"/>
      <c r="AV51" s="182"/>
      <c r="AW51" s="182" t="e">
        <f t="shared" si="40"/>
        <v>#N/A</v>
      </c>
      <c r="AX51" s="491"/>
    </row>
    <row r="52" spans="2:50">
      <c r="B52" s="479"/>
      <c r="C52" s="182">
        <v>6</v>
      </c>
      <c r="D52" s="203"/>
      <c r="E52" s="166"/>
      <c r="F52" s="182"/>
      <c r="G52" s="180"/>
      <c r="H52" s="460"/>
      <c r="I52" s="166"/>
      <c r="J52" s="166"/>
      <c r="K52" s="180"/>
      <c r="L52" s="460"/>
      <c r="M52" s="181" t="e">
        <f>RANK(K52, K$47:$K$61)</f>
        <v>#N/A</v>
      </c>
      <c r="N52" s="462"/>
      <c r="O52" s="462"/>
      <c r="P52" s="182"/>
      <c r="Q52" s="182"/>
      <c r="R52" s="182"/>
      <c r="S52" s="182" t="e">
        <f t="shared" si="42"/>
        <v>#N/A</v>
      </c>
      <c r="T52" s="491"/>
      <c r="U52" s="182"/>
      <c r="V52" s="182"/>
      <c r="W52" s="182"/>
      <c r="X52" s="182" t="e">
        <f t="shared" si="30"/>
        <v>#N/A</v>
      </c>
      <c r="Y52" s="491"/>
      <c r="Z52" s="182"/>
      <c r="AA52" s="182"/>
      <c r="AB52" s="182"/>
      <c r="AC52" s="182" t="e">
        <f t="shared" si="32"/>
        <v>#N/A</v>
      </c>
      <c r="AD52" s="491"/>
      <c r="AE52" s="182"/>
      <c r="AF52" s="182"/>
      <c r="AG52" s="182"/>
      <c r="AH52" s="182" t="e">
        <f t="shared" si="34"/>
        <v>#N/A</v>
      </c>
      <c r="AI52" s="491"/>
      <c r="AJ52" s="182"/>
      <c r="AK52" s="182"/>
      <c r="AL52" s="182"/>
      <c r="AM52" s="182" t="e">
        <f t="shared" si="36"/>
        <v>#N/A</v>
      </c>
      <c r="AN52" s="491"/>
      <c r="AO52" s="182"/>
      <c r="AP52" s="182"/>
      <c r="AQ52" s="182"/>
      <c r="AR52" s="182" t="e">
        <f t="shared" si="38"/>
        <v>#N/A</v>
      </c>
      <c r="AS52" s="491"/>
      <c r="AT52" s="182"/>
      <c r="AU52" s="182"/>
      <c r="AV52" s="182"/>
      <c r="AW52" s="182" t="e">
        <f t="shared" si="40"/>
        <v>#N/A</v>
      </c>
      <c r="AX52" s="491"/>
    </row>
    <row r="53" spans="2:50">
      <c r="B53" s="479"/>
      <c r="C53" s="182">
        <v>7</v>
      </c>
      <c r="D53" s="203"/>
      <c r="E53" s="166"/>
      <c r="F53" s="182"/>
      <c r="G53" s="180"/>
      <c r="H53" s="460"/>
      <c r="I53" s="166"/>
      <c r="J53" s="166"/>
      <c r="K53" s="180"/>
      <c r="L53" s="460"/>
      <c r="M53" s="181" t="e">
        <f>RANK(K53, K$47:$K$61)</f>
        <v>#N/A</v>
      </c>
      <c r="N53" s="462"/>
      <c r="O53" s="462"/>
      <c r="P53" s="182"/>
      <c r="Q53" s="182"/>
      <c r="R53" s="182"/>
      <c r="S53" s="182" t="e">
        <f t="shared" si="42"/>
        <v>#N/A</v>
      </c>
      <c r="T53" s="491"/>
      <c r="U53" s="182"/>
      <c r="V53" s="182"/>
      <c r="W53" s="182"/>
      <c r="X53" s="182" t="e">
        <f t="shared" si="30"/>
        <v>#N/A</v>
      </c>
      <c r="Y53" s="491"/>
      <c r="Z53" s="182"/>
      <c r="AA53" s="182"/>
      <c r="AB53" s="182"/>
      <c r="AC53" s="182" t="e">
        <f t="shared" si="32"/>
        <v>#N/A</v>
      </c>
      <c r="AD53" s="491"/>
      <c r="AE53" s="182"/>
      <c r="AF53" s="182"/>
      <c r="AG53" s="182"/>
      <c r="AH53" s="182" t="e">
        <f t="shared" si="34"/>
        <v>#N/A</v>
      </c>
      <c r="AI53" s="491"/>
      <c r="AJ53" s="182"/>
      <c r="AK53" s="182"/>
      <c r="AL53" s="182"/>
      <c r="AM53" s="182" t="e">
        <f t="shared" si="36"/>
        <v>#N/A</v>
      </c>
      <c r="AN53" s="491"/>
      <c r="AO53" s="182"/>
      <c r="AP53" s="182"/>
      <c r="AQ53" s="182"/>
      <c r="AR53" s="182" t="e">
        <f t="shared" si="38"/>
        <v>#N/A</v>
      </c>
      <c r="AS53" s="491"/>
      <c r="AT53" s="182"/>
      <c r="AU53" s="182"/>
      <c r="AV53" s="182"/>
      <c r="AW53" s="182" t="e">
        <f t="shared" si="40"/>
        <v>#N/A</v>
      </c>
      <c r="AX53" s="491"/>
    </row>
    <row r="54" spans="2:50">
      <c r="B54" s="479"/>
      <c r="C54" s="182">
        <v>8</v>
      </c>
      <c r="D54" s="203"/>
      <c r="E54" s="166"/>
      <c r="F54" s="182"/>
      <c r="G54" s="180"/>
      <c r="H54" s="460"/>
      <c r="I54" s="166"/>
      <c r="J54" s="166"/>
      <c r="K54" s="180"/>
      <c r="L54" s="460"/>
      <c r="M54" s="181" t="e">
        <f>RANK(K54, K$47:$K$61)</f>
        <v>#N/A</v>
      </c>
      <c r="N54" s="462"/>
      <c r="O54" s="462"/>
      <c r="P54" s="182"/>
      <c r="Q54" s="182"/>
      <c r="R54" s="182"/>
      <c r="S54" s="182" t="e">
        <f t="shared" si="42"/>
        <v>#N/A</v>
      </c>
      <c r="T54" s="491"/>
      <c r="U54" s="182"/>
      <c r="V54" s="182"/>
      <c r="W54" s="182"/>
      <c r="X54" s="182" t="e">
        <f t="shared" si="30"/>
        <v>#N/A</v>
      </c>
      <c r="Y54" s="491"/>
      <c r="Z54" s="182"/>
      <c r="AA54" s="182"/>
      <c r="AB54" s="182"/>
      <c r="AC54" s="182" t="e">
        <f t="shared" si="32"/>
        <v>#N/A</v>
      </c>
      <c r="AD54" s="491"/>
      <c r="AE54" s="182"/>
      <c r="AF54" s="182"/>
      <c r="AG54" s="182"/>
      <c r="AH54" s="182" t="e">
        <f t="shared" si="34"/>
        <v>#N/A</v>
      </c>
      <c r="AI54" s="491"/>
      <c r="AJ54" s="182"/>
      <c r="AK54" s="182"/>
      <c r="AL54" s="182"/>
      <c r="AM54" s="182" t="e">
        <f t="shared" si="36"/>
        <v>#N/A</v>
      </c>
      <c r="AN54" s="491"/>
      <c r="AO54" s="182"/>
      <c r="AP54" s="182"/>
      <c r="AQ54" s="182"/>
      <c r="AR54" s="182" t="e">
        <f t="shared" si="38"/>
        <v>#N/A</v>
      </c>
      <c r="AS54" s="491"/>
      <c r="AT54" s="182"/>
      <c r="AU54" s="182"/>
      <c r="AV54" s="182"/>
      <c r="AW54" s="182" t="e">
        <f t="shared" si="40"/>
        <v>#N/A</v>
      </c>
      <c r="AX54" s="491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 t="e">
        <f t="shared" si="42"/>
        <v>#N/A</v>
      </c>
      <c r="T55" s="491"/>
      <c r="U55" s="182"/>
      <c r="V55" s="182"/>
      <c r="W55" s="182"/>
      <c r="X55" s="182" t="e">
        <f t="shared" si="30"/>
        <v>#N/A</v>
      </c>
      <c r="Y55" s="491"/>
      <c r="Z55" s="182"/>
      <c r="AA55" s="182"/>
      <c r="AB55" s="182"/>
      <c r="AC55" s="182" t="e">
        <f t="shared" si="32"/>
        <v>#N/A</v>
      </c>
      <c r="AD55" s="491"/>
      <c r="AE55" s="182"/>
      <c r="AF55" s="182"/>
      <c r="AG55" s="182"/>
      <c r="AH55" s="182" t="e">
        <f t="shared" si="34"/>
        <v>#N/A</v>
      </c>
      <c r="AI55" s="491"/>
      <c r="AJ55" s="182"/>
      <c r="AK55" s="182"/>
      <c r="AL55" s="182"/>
      <c r="AM55" s="182" t="e">
        <f t="shared" si="36"/>
        <v>#N/A</v>
      </c>
      <c r="AN55" s="491"/>
      <c r="AO55" s="182"/>
      <c r="AP55" s="182"/>
      <c r="AQ55" s="182"/>
      <c r="AR55" s="182" t="e">
        <f t="shared" si="38"/>
        <v>#N/A</v>
      </c>
      <c r="AS55" s="491"/>
      <c r="AT55" s="182"/>
      <c r="AU55" s="182"/>
      <c r="AV55" s="182"/>
      <c r="AW55" s="182" t="e">
        <f t="shared" si="40"/>
        <v>#N/A</v>
      </c>
      <c r="AX55" s="491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 t="e">
        <f t="shared" si="42"/>
        <v>#N/A</v>
      </c>
      <c r="T56" s="491"/>
      <c r="U56" s="182"/>
      <c r="V56" s="182"/>
      <c r="W56" s="182"/>
      <c r="X56" s="182" t="e">
        <f t="shared" si="30"/>
        <v>#N/A</v>
      </c>
      <c r="Y56" s="491"/>
      <c r="Z56" s="182"/>
      <c r="AA56" s="182"/>
      <c r="AB56" s="182"/>
      <c r="AC56" s="182" t="e">
        <f t="shared" si="32"/>
        <v>#N/A</v>
      </c>
      <c r="AD56" s="491"/>
      <c r="AE56" s="182"/>
      <c r="AF56" s="182"/>
      <c r="AG56" s="182"/>
      <c r="AH56" s="182" t="e">
        <f t="shared" si="34"/>
        <v>#N/A</v>
      </c>
      <c r="AI56" s="491"/>
      <c r="AJ56" s="182"/>
      <c r="AK56" s="182"/>
      <c r="AL56" s="182"/>
      <c r="AM56" s="182" t="e">
        <f t="shared" si="36"/>
        <v>#N/A</v>
      </c>
      <c r="AN56" s="491"/>
      <c r="AO56" s="182"/>
      <c r="AP56" s="182"/>
      <c r="AQ56" s="182"/>
      <c r="AR56" s="182" t="e">
        <f t="shared" si="38"/>
        <v>#N/A</v>
      </c>
      <c r="AS56" s="491"/>
      <c r="AT56" s="182"/>
      <c r="AU56" s="182"/>
      <c r="AV56" s="182"/>
      <c r="AW56" s="182" t="e">
        <f t="shared" si="40"/>
        <v>#N/A</v>
      </c>
      <c r="AX56" s="491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82"/>
      <c r="J57" s="182"/>
      <c r="K57" s="182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 t="e">
        <f t="shared" si="42"/>
        <v>#N/A</v>
      </c>
      <c r="T57" s="491"/>
      <c r="U57" s="182"/>
      <c r="V57" s="182"/>
      <c r="W57" s="182"/>
      <c r="X57" s="182" t="e">
        <f t="shared" si="30"/>
        <v>#N/A</v>
      </c>
      <c r="Y57" s="491"/>
      <c r="Z57" s="182"/>
      <c r="AA57" s="182"/>
      <c r="AB57" s="182"/>
      <c r="AC57" s="182" t="e">
        <f t="shared" si="32"/>
        <v>#N/A</v>
      </c>
      <c r="AD57" s="491"/>
      <c r="AE57" s="182"/>
      <c r="AF57" s="182"/>
      <c r="AG57" s="182"/>
      <c r="AH57" s="182" t="e">
        <f t="shared" si="34"/>
        <v>#N/A</v>
      </c>
      <c r="AI57" s="491"/>
      <c r="AJ57" s="182"/>
      <c r="AK57" s="182"/>
      <c r="AL57" s="182"/>
      <c r="AM57" s="182" t="e">
        <f t="shared" si="36"/>
        <v>#N/A</v>
      </c>
      <c r="AN57" s="491"/>
      <c r="AO57" s="182"/>
      <c r="AP57" s="182"/>
      <c r="AQ57" s="182"/>
      <c r="AR57" s="182" t="e">
        <f t="shared" si="38"/>
        <v>#N/A</v>
      </c>
      <c r="AS57" s="491"/>
      <c r="AT57" s="182"/>
      <c r="AU57" s="182"/>
      <c r="AV57" s="182"/>
      <c r="AW57" s="182" t="e">
        <f t="shared" si="40"/>
        <v>#N/A</v>
      </c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82"/>
      <c r="J58" s="182"/>
      <c r="K58" s="182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 t="e">
        <f t="shared" si="42"/>
        <v>#N/A</v>
      </c>
      <c r="T58" s="491"/>
      <c r="U58" s="182"/>
      <c r="V58" s="182"/>
      <c r="W58" s="182"/>
      <c r="X58" s="182" t="e">
        <f t="shared" si="30"/>
        <v>#N/A</v>
      </c>
      <c r="Y58" s="491"/>
      <c r="Z58" s="182"/>
      <c r="AA58" s="182"/>
      <c r="AB58" s="182"/>
      <c r="AC58" s="182" t="e">
        <f t="shared" si="32"/>
        <v>#N/A</v>
      </c>
      <c r="AD58" s="491"/>
      <c r="AE58" s="182"/>
      <c r="AF58" s="182"/>
      <c r="AG58" s="182"/>
      <c r="AH58" s="182" t="e">
        <f t="shared" si="34"/>
        <v>#N/A</v>
      </c>
      <c r="AI58" s="491"/>
      <c r="AJ58" s="182"/>
      <c r="AK58" s="182"/>
      <c r="AL58" s="182"/>
      <c r="AM58" s="182" t="e">
        <f t="shared" si="36"/>
        <v>#N/A</v>
      </c>
      <c r="AN58" s="491"/>
      <c r="AO58" s="182"/>
      <c r="AP58" s="182"/>
      <c r="AQ58" s="182"/>
      <c r="AR58" s="182" t="e">
        <f t="shared" si="38"/>
        <v>#N/A</v>
      </c>
      <c r="AS58" s="491"/>
      <c r="AT58" s="182"/>
      <c r="AU58" s="182"/>
      <c r="AV58" s="182"/>
      <c r="AW58" s="182" t="e">
        <f t="shared" si="40"/>
        <v>#N/A</v>
      </c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 t="e">
        <f t="shared" si="42"/>
        <v>#N/A</v>
      </c>
      <c r="T59" s="491"/>
      <c r="U59" s="182"/>
      <c r="V59" s="182"/>
      <c r="W59" s="182"/>
      <c r="X59" s="182" t="e">
        <f t="shared" si="30"/>
        <v>#N/A</v>
      </c>
      <c r="Y59" s="491"/>
      <c r="Z59" s="182"/>
      <c r="AA59" s="182"/>
      <c r="AB59" s="182"/>
      <c r="AC59" s="182" t="e">
        <f t="shared" si="32"/>
        <v>#N/A</v>
      </c>
      <c r="AD59" s="491"/>
      <c r="AE59" s="182"/>
      <c r="AF59" s="182"/>
      <c r="AG59" s="182"/>
      <c r="AH59" s="182" t="e">
        <f t="shared" si="34"/>
        <v>#N/A</v>
      </c>
      <c r="AI59" s="491"/>
      <c r="AJ59" s="182"/>
      <c r="AK59" s="182"/>
      <c r="AL59" s="182"/>
      <c r="AM59" s="182" t="e">
        <f t="shared" si="36"/>
        <v>#N/A</v>
      </c>
      <c r="AN59" s="491"/>
      <c r="AO59" s="182"/>
      <c r="AP59" s="182"/>
      <c r="AQ59" s="182"/>
      <c r="AR59" s="182" t="e">
        <f t="shared" si="38"/>
        <v>#N/A</v>
      </c>
      <c r="AS59" s="491"/>
      <c r="AT59" s="182"/>
      <c r="AU59" s="182"/>
      <c r="AV59" s="182"/>
      <c r="AW59" s="182" t="e">
        <f t="shared" si="40"/>
        <v>#N/A</v>
      </c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 t="e">
        <f t="shared" si="42"/>
        <v>#N/A</v>
      </c>
      <c r="T60" s="491"/>
      <c r="U60" s="182"/>
      <c r="V60" s="182"/>
      <c r="W60" s="182"/>
      <c r="X60" s="182" t="e">
        <f t="shared" si="30"/>
        <v>#N/A</v>
      </c>
      <c r="Y60" s="491"/>
      <c r="Z60" s="182"/>
      <c r="AA60" s="182"/>
      <c r="AB60" s="182"/>
      <c r="AC60" s="182" t="e">
        <f t="shared" si="32"/>
        <v>#N/A</v>
      </c>
      <c r="AD60" s="491"/>
      <c r="AE60" s="182"/>
      <c r="AF60" s="182"/>
      <c r="AG60" s="182"/>
      <c r="AH60" s="182" t="e">
        <f t="shared" si="34"/>
        <v>#N/A</v>
      </c>
      <c r="AI60" s="491"/>
      <c r="AJ60" s="182"/>
      <c r="AK60" s="182"/>
      <c r="AL60" s="182"/>
      <c r="AM60" s="182" t="e">
        <f t="shared" si="36"/>
        <v>#N/A</v>
      </c>
      <c r="AN60" s="491"/>
      <c r="AO60" s="182"/>
      <c r="AP60" s="182"/>
      <c r="AQ60" s="182"/>
      <c r="AR60" s="182" t="e">
        <f t="shared" si="38"/>
        <v>#N/A</v>
      </c>
      <c r="AS60" s="491"/>
      <c r="AT60" s="182"/>
      <c r="AU60" s="182"/>
      <c r="AV60" s="182"/>
      <c r="AW60" s="182" t="e">
        <f t="shared" si="40"/>
        <v>#N/A</v>
      </c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 t="e">
        <f t="shared" si="42"/>
        <v>#N/A</v>
      </c>
      <c r="T61" s="491"/>
      <c r="U61" s="182"/>
      <c r="V61" s="182"/>
      <c r="W61" s="182"/>
      <c r="X61" s="182" t="e">
        <f t="shared" si="30"/>
        <v>#N/A</v>
      </c>
      <c r="Y61" s="491"/>
      <c r="Z61" s="182"/>
      <c r="AA61" s="182"/>
      <c r="AB61" s="182"/>
      <c r="AC61" s="182" t="e">
        <f t="shared" si="32"/>
        <v>#N/A</v>
      </c>
      <c r="AD61" s="491"/>
      <c r="AE61" s="182"/>
      <c r="AF61" s="182"/>
      <c r="AG61" s="182"/>
      <c r="AH61" s="182" t="e">
        <f t="shared" si="34"/>
        <v>#N/A</v>
      </c>
      <c r="AI61" s="491"/>
      <c r="AJ61" s="182"/>
      <c r="AK61" s="182"/>
      <c r="AL61" s="182"/>
      <c r="AM61" s="182" t="e">
        <f t="shared" si="36"/>
        <v>#N/A</v>
      </c>
      <c r="AN61" s="491"/>
      <c r="AO61" s="182"/>
      <c r="AP61" s="182"/>
      <c r="AQ61" s="182"/>
      <c r="AR61" s="182" t="e">
        <f t="shared" si="38"/>
        <v>#N/A</v>
      </c>
      <c r="AS61" s="491"/>
      <c r="AT61" s="182"/>
      <c r="AU61" s="182"/>
      <c r="AV61" s="182"/>
      <c r="AW61" s="182" t="e">
        <f t="shared" si="40"/>
        <v>#N/A</v>
      </c>
      <c r="AX61" s="491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275</v>
      </c>
      <c r="C67" s="182">
        <v>1</v>
      </c>
      <c r="D67" s="203" t="s">
        <v>276</v>
      </c>
      <c r="E67" s="166">
        <v>13</v>
      </c>
      <c r="F67" s="182">
        <v>1500</v>
      </c>
      <c r="G67" s="180">
        <v>115.38461538461539</v>
      </c>
      <c r="H67" s="459">
        <f>AVERAGE(G67:G81)</f>
        <v>115.38461538461539</v>
      </c>
      <c r="I67" s="166">
        <f t="shared" ref="I67:K67" si="43">AVERAGE(P67,U67,Z67,AE67,AJ67,AO67,AT67)</f>
        <v>13</v>
      </c>
      <c r="J67" s="166">
        <f t="shared" si="43"/>
        <v>1497.07032967033</v>
      </c>
      <c r="K67" s="180">
        <f t="shared" si="43"/>
        <v>115.15925612848693</v>
      </c>
      <c r="L67" s="459">
        <f>IFERROR(AVERAGE(K67:K81),"-")</f>
        <v>115.15925612848693</v>
      </c>
      <c r="M67" s="181">
        <f>RANK(K67, K$67:$K$81)</f>
        <v>1</v>
      </c>
      <c r="N67" s="462"/>
      <c r="O67" s="462"/>
      <c r="P67" s="166">
        <v>13</v>
      </c>
      <c r="Q67" s="166">
        <v>1465.8461538461554</v>
      </c>
      <c r="R67" s="180">
        <v>112.75739644970426</v>
      </c>
      <c r="S67" s="182">
        <f>RANK(R67, R$67:R$81)</f>
        <v>1</v>
      </c>
      <c r="T67" s="491">
        <f>AVERAGE(R67:R81)</f>
        <v>112.75739644970426</v>
      </c>
      <c r="U67" s="166">
        <v>13</v>
      </c>
      <c r="V67" s="166">
        <v>1465.8461538461554</v>
      </c>
      <c r="W67" s="180">
        <v>112.75739644970426</v>
      </c>
      <c r="X67" s="182">
        <f t="shared" ref="X67:X81" si="44">RANK(W67, W$67:W$81)</f>
        <v>1</v>
      </c>
      <c r="Y67" s="491">
        <f t="shared" ref="Y67" si="45">AVERAGE(W67:W81)</f>
        <v>112.75739644970426</v>
      </c>
      <c r="Z67" s="166">
        <v>13</v>
      </c>
      <c r="AA67" s="166">
        <v>1372.8000000000004</v>
      </c>
      <c r="AB67" s="180">
        <v>105.60000000000004</v>
      </c>
      <c r="AC67" s="182">
        <f t="shared" ref="AC67:AC81" si="46">RANK(AB67, AB$67:AB$81)</f>
        <v>1</v>
      </c>
      <c r="AD67" s="491">
        <f t="shared" ref="AD67" si="47">AVERAGE(AB67:AB81)</f>
        <v>105.60000000000004</v>
      </c>
      <c r="AE67" s="166">
        <v>13</v>
      </c>
      <c r="AF67" s="166">
        <v>1600.0000000000016</v>
      </c>
      <c r="AG67" s="180">
        <v>123.07692307692319</v>
      </c>
      <c r="AH67" s="182">
        <f t="shared" ref="AH67:AH81" si="48">RANK(AG67, AG$67:AG$81)</f>
        <v>1</v>
      </c>
      <c r="AI67" s="491">
        <f t="shared" ref="AI67" si="49">AVERAGE(AG67:AG81)</f>
        <v>123.07692307692319</v>
      </c>
      <c r="AJ67" s="166">
        <v>13</v>
      </c>
      <c r="AK67" s="166">
        <v>1421.9999999999975</v>
      </c>
      <c r="AL67" s="180">
        <v>109.38461538461519</v>
      </c>
      <c r="AM67" s="182">
        <f t="shared" ref="AM67:AM81" si="50">RANK(AL67, AL$67:AL$81)</f>
        <v>1</v>
      </c>
      <c r="AN67" s="491">
        <f t="shared" ref="AN67" si="51">AVERAGE(AL67:AL81)</f>
        <v>109.38461538461519</v>
      </c>
      <c r="AO67" s="166">
        <v>13</v>
      </c>
      <c r="AP67" s="166">
        <v>1534.4999999999995</v>
      </c>
      <c r="AQ67" s="180">
        <v>118.0384615384615</v>
      </c>
      <c r="AR67" s="182">
        <f t="shared" ref="AR67:AR81" si="52">RANK(AQ67, AQ$67:AQ$81)</f>
        <v>1</v>
      </c>
      <c r="AS67" s="491">
        <f t="shared" ref="AS67" si="53">AVERAGE(AQ67:AQ81)</f>
        <v>118.0384615384615</v>
      </c>
      <c r="AT67" s="166">
        <v>13</v>
      </c>
      <c r="AU67" s="166">
        <v>1618.4999999999995</v>
      </c>
      <c r="AV67" s="180">
        <v>124.49999999999997</v>
      </c>
      <c r="AW67" s="182">
        <f t="shared" ref="AW67:AW81" si="54">RANK(AV67, AV$67:AV$81)</f>
        <v>1</v>
      </c>
      <c r="AX67" s="491">
        <f t="shared" ref="AX67" si="55">AVERAGE(AV67:AV81)</f>
        <v>124.49999999999997</v>
      </c>
    </row>
    <row r="68" spans="2:50">
      <c r="B68" s="479"/>
      <c r="C68" s="182">
        <v>2</v>
      </c>
      <c r="D68" s="203"/>
      <c r="E68" s="166"/>
      <c r="F68" s="182"/>
      <c r="G68" s="180"/>
      <c r="H68" s="460"/>
      <c r="I68" s="166"/>
      <c r="J68" s="166"/>
      <c r="K68" s="180"/>
      <c r="L68" s="460"/>
      <c r="M68" s="181" t="e">
        <f>RANK(K68, K$67:$K$81)</f>
        <v>#N/A</v>
      </c>
      <c r="N68" s="462"/>
      <c r="O68" s="462"/>
      <c r="P68" s="182"/>
      <c r="Q68" s="166"/>
      <c r="R68" s="180"/>
      <c r="S68" s="182" t="e">
        <f t="shared" ref="S68:S81" si="56">RANK(R68, R$67:R$81)</f>
        <v>#N/A</v>
      </c>
      <c r="T68" s="491"/>
      <c r="U68" s="182"/>
      <c r="V68" s="166"/>
      <c r="W68" s="180"/>
      <c r="X68" s="182" t="e">
        <f t="shared" si="44"/>
        <v>#N/A</v>
      </c>
      <c r="Y68" s="491"/>
      <c r="Z68" s="182"/>
      <c r="AA68" s="166"/>
      <c r="AB68" s="180"/>
      <c r="AC68" s="182" t="e">
        <f t="shared" si="46"/>
        <v>#N/A</v>
      </c>
      <c r="AD68" s="491"/>
      <c r="AE68" s="182"/>
      <c r="AF68" s="166"/>
      <c r="AG68" s="180"/>
      <c r="AH68" s="182" t="e">
        <f t="shared" si="48"/>
        <v>#N/A</v>
      </c>
      <c r="AI68" s="491"/>
      <c r="AJ68" s="182"/>
      <c r="AK68" s="166"/>
      <c r="AL68" s="180"/>
      <c r="AM68" s="182" t="e">
        <f t="shared" si="50"/>
        <v>#N/A</v>
      </c>
      <c r="AN68" s="491"/>
      <c r="AO68" s="182"/>
      <c r="AP68" s="166"/>
      <c r="AQ68" s="180"/>
      <c r="AR68" s="182" t="e">
        <f t="shared" si="52"/>
        <v>#N/A</v>
      </c>
      <c r="AS68" s="491"/>
      <c r="AT68" s="182"/>
      <c r="AU68" s="166"/>
      <c r="AV68" s="180"/>
      <c r="AW68" s="182" t="e">
        <f t="shared" si="54"/>
        <v>#N/A</v>
      </c>
      <c r="AX68" s="491"/>
    </row>
    <row r="69" spans="2:50">
      <c r="B69" s="479"/>
      <c r="C69" s="182">
        <v>3</v>
      </c>
      <c r="D69" s="203"/>
      <c r="E69" s="166"/>
      <c r="F69" s="182"/>
      <c r="G69" s="180"/>
      <c r="H69" s="460"/>
      <c r="I69" s="166"/>
      <c r="J69" s="166"/>
      <c r="K69" s="180"/>
      <c r="L69" s="460"/>
      <c r="M69" s="181" t="e">
        <f>RANK(K69, K$67:$K$81)</f>
        <v>#N/A</v>
      </c>
      <c r="N69" s="462"/>
      <c r="O69" s="462"/>
      <c r="P69" s="182"/>
      <c r="Q69" s="182"/>
      <c r="R69" s="182"/>
      <c r="S69" s="182" t="e">
        <f t="shared" si="56"/>
        <v>#N/A</v>
      </c>
      <c r="T69" s="491"/>
      <c r="U69" s="182"/>
      <c r="V69" s="182"/>
      <c r="W69" s="182"/>
      <c r="X69" s="182" t="e">
        <f t="shared" si="44"/>
        <v>#N/A</v>
      </c>
      <c r="Y69" s="491"/>
      <c r="Z69" s="182"/>
      <c r="AA69" s="182"/>
      <c r="AB69" s="182"/>
      <c r="AC69" s="182" t="e">
        <f t="shared" si="46"/>
        <v>#N/A</v>
      </c>
      <c r="AD69" s="491"/>
      <c r="AE69" s="182"/>
      <c r="AF69" s="182"/>
      <c r="AG69" s="182"/>
      <c r="AH69" s="182" t="e">
        <f t="shared" si="48"/>
        <v>#N/A</v>
      </c>
      <c r="AI69" s="491"/>
      <c r="AJ69" s="182"/>
      <c r="AK69" s="182"/>
      <c r="AL69" s="182"/>
      <c r="AM69" s="182" t="e">
        <f t="shared" si="50"/>
        <v>#N/A</v>
      </c>
      <c r="AN69" s="491"/>
      <c r="AO69" s="182"/>
      <c r="AP69" s="182"/>
      <c r="AQ69" s="182"/>
      <c r="AR69" s="182" t="e">
        <f t="shared" si="52"/>
        <v>#N/A</v>
      </c>
      <c r="AS69" s="491"/>
      <c r="AT69" s="182"/>
      <c r="AU69" s="182"/>
      <c r="AV69" s="182"/>
      <c r="AW69" s="182" t="e">
        <f t="shared" si="54"/>
        <v>#N/A</v>
      </c>
      <c r="AX69" s="491"/>
    </row>
    <row r="70" spans="2:50">
      <c r="B70" s="479"/>
      <c r="C70" s="182">
        <v>4</v>
      </c>
      <c r="D70" s="203"/>
      <c r="E70" s="166"/>
      <c r="F70" s="182"/>
      <c r="G70" s="180"/>
      <c r="H70" s="460"/>
      <c r="I70" s="166"/>
      <c r="J70" s="166"/>
      <c r="K70" s="180"/>
      <c r="L70" s="460"/>
      <c r="M70" s="181" t="e">
        <f>RANK(K70, K$67:$K$81)</f>
        <v>#N/A</v>
      </c>
      <c r="N70" s="462"/>
      <c r="O70" s="462"/>
      <c r="P70" s="182"/>
      <c r="Q70" s="182"/>
      <c r="R70" s="182"/>
      <c r="S70" s="182" t="e">
        <f t="shared" si="56"/>
        <v>#N/A</v>
      </c>
      <c r="T70" s="491"/>
      <c r="U70" s="182"/>
      <c r="V70" s="182"/>
      <c r="W70" s="182"/>
      <c r="X70" s="182" t="e">
        <f t="shared" si="44"/>
        <v>#N/A</v>
      </c>
      <c r="Y70" s="491"/>
      <c r="Z70" s="182"/>
      <c r="AA70" s="182"/>
      <c r="AB70" s="182"/>
      <c r="AC70" s="182" t="e">
        <f t="shared" si="46"/>
        <v>#N/A</v>
      </c>
      <c r="AD70" s="491"/>
      <c r="AE70" s="182"/>
      <c r="AF70" s="182"/>
      <c r="AG70" s="182"/>
      <c r="AH70" s="182" t="e">
        <f t="shared" si="48"/>
        <v>#N/A</v>
      </c>
      <c r="AI70" s="491"/>
      <c r="AJ70" s="182"/>
      <c r="AK70" s="182"/>
      <c r="AL70" s="182"/>
      <c r="AM70" s="182" t="e">
        <f t="shared" si="50"/>
        <v>#N/A</v>
      </c>
      <c r="AN70" s="491"/>
      <c r="AO70" s="182"/>
      <c r="AP70" s="182"/>
      <c r="AQ70" s="182"/>
      <c r="AR70" s="182" t="e">
        <f t="shared" si="52"/>
        <v>#N/A</v>
      </c>
      <c r="AS70" s="491"/>
      <c r="AT70" s="182"/>
      <c r="AU70" s="182"/>
      <c r="AV70" s="182"/>
      <c r="AW70" s="182" t="e">
        <f t="shared" si="54"/>
        <v>#N/A</v>
      </c>
      <c r="AX70" s="491"/>
    </row>
    <row r="71" spans="2:50">
      <c r="B71" s="479"/>
      <c r="C71" s="182">
        <v>5</v>
      </c>
      <c r="D71" s="203"/>
      <c r="E71" s="166"/>
      <c r="F71" s="182"/>
      <c r="G71" s="180"/>
      <c r="H71" s="460"/>
      <c r="I71" s="166"/>
      <c r="J71" s="166"/>
      <c r="K71" s="180"/>
      <c r="L71" s="460"/>
      <c r="M71" s="181" t="e">
        <f>RANK(K71, K$67:$K$81)</f>
        <v>#N/A</v>
      </c>
      <c r="N71" s="462"/>
      <c r="O71" s="462"/>
      <c r="P71" s="182"/>
      <c r="Q71" s="182"/>
      <c r="R71" s="182"/>
      <c r="S71" s="182" t="e">
        <f t="shared" si="56"/>
        <v>#N/A</v>
      </c>
      <c r="T71" s="491"/>
      <c r="U71" s="182"/>
      <c r="V71" s="182"/>
      <c r="W71" s="182"/>
      <c r="X71" s="182" t="e">
        <f t="shared" si="44"/>
        <v>#N/A</v>
      </c>
      <c r="Y71" s="491"/>
      <c r="Z71" s="182"/>
      <c r="AA71" s="182"/>
      <c r="AB71" s="182"/>
      <c r="AC71" s="182" t="e">
        <f t="shared" si="46"/>
        <v>#N/A</v>
      </c>
      <c r="AD71" s="491"/>
      <c r="AE71" s="182"/>
      <c r="AF71" s="182"/>
      <c r="AG71" s="182"/>
      <c r="AH71" s="182" t="e">
        <f t="shared" si="48"/>
        <v>#N/A</v>
      </c>
      <c r="AI71" s="491"/>
      <c r="AJ71" s="182"/>
      <c r="AK71" s="182"/>
      <c r="AL71" s="182"/>
      <c r="AM71" s="182" t="e">
        <f t="shared" si="50"/>
        <v>#N/A</v>
      </c>
      <c r="AN71" s="491"/>
      <c r="AO71" s="182"/>
      <c r="AP71" s="182"/>
      <c r="AQ71" s="182"/>
      <c r="AR71" s="182" t="e">
        <f t="shared" si="52"/>
        <v>#N/A</v>
      </c>
      <c r="AS71" s="491"/>
      <c r="AT71" s="182"/>
      <c r="AU71" s="182"/>
      <c r="AV71" s="182"/>
      <c r="AW71" s="182" t="e">
        <f t="shared" si="54"/>
        <v>#N/A</v>
      </c>
      <c r="AX71" s="491"/>
    </row>
    <row r="72" spans="2:50">
      <c r="B72" s="479"/>
      <c r="C72" s="182">
        <v>6</v>
      </c>
      <c r="D72" s="203"/>
      <c r="E72" s="166"/>
      <c r="F72" s="182"/>
      <c r="G72" s="180"/>
      <c r="H72" s="460"/>
      <c r="I72" s="166"/>
      <c r="J72" s="166"/>
      <c r="K72" s="180"/>
      <c r="L72" s="460"/>
      <c r="M72" s="181" t="e">
        <f>RANK(K72, K$67:$K$81)</f>
        <v>#N/A</v>
      </c>
      <c r="N72" s="462"/>
      <c r="O72" s="462"/>
      <c r="P72" s="182"/>
      <c r="Q72" s="182"/>
      <c r="R72" s="182"/>
      <c r="S72" s="182" t="e">
        <f t="shared" si="56"/>
        <v>#N/A</v>
      </c>
      <c r="T72" s="491"/>
      <c r="U72" s="182"/>
      <c r="V72" s="182"/>
      <c r="W72" s="182"/>
      <c r="X72" s="182" t="e">
        <f t="shared" si="44"/>
        <v>#N/A</v>
      </c>
      <c r="Y72" s="491"/>
      <c r="Z72" s="182"/>
      <c r="AA72" s="182"/>
      <c r="AB72" s="182"/>
      <c r="AC72" s="182" t="e">
        <f t="shared" si="46"/>
        <v>#N/A</v>
      </c>
      <c r="AD72" s="491"/>
      <c r="AE72" s="182"/>
      <c r="AF72" s="182"/>
      <c r="AG72" s="182"/>
      <c r="AH72" s="182" t="e">
        <f t="shared" si="48"/>
        <v>#N/A</v>
      </c>
      <c r="AI72" s="491"/>
      <c r="AJ72" s="182"/>
      <c r="AK72" s="182"/>
      <c r="AL72" s="182"/>
      <c r="AM72" s="182" t="e">
        <f t="shared" si="50"/>
        <v>#N/A</v>
      </c>
      <c r="AN72" s="491"/>
      <c r="AO72" s="182"/>
      <c r="AP72" s="182"/>
      <c r="AQ72" s="182"/>
      <c r="AR72" s="182" t="e">
        <f t="shared" si="52"/>
        <v>#N/A</v>
      </c>
      <c r="AS72" s="491"/>
      <c r="AT72" s="182"/>
      <c r="AU72" s="182"/>
      <c r="AV72" s="182"/>
      <c r="AW72" s="182" t="e">
        <f t="shared" si="54"/>
        <v>#N/A</v>
      </c>
      <c r="AX72" s="491"/>
    </row>
    <row r="73" spans="2:50">
      <c r="B73" s="479"/>
      <c r="C73" s="182">
        <v>7</v>
      </c>
      <c r="D73" s="203"/>
      <c r="E73" s="166"/>
      <c r="F73" s="182"/>
      <c r="G73" s="180"/>
      <c r="H73" s="460"/>
      <c r="I73" s="166"/>
      <c r="J73" s="166"/>
      <c r="K73" s="180"/>
      <c r="L73" s="460"/>
      <c r="M73" s="181" t="e">
        <f>RANK(K73, K$67:$K$81)</f>
        <v>#N/A</v>
      </c>
      <c r="N73" s="462"/>
      <c r="O73" s="462"/>
      <c r="P73" s="182"/>
      <c r="Q73" s="182"/>
      <c r="R73" s="182"/>
      <c r="S73" s="182" t="e">
        <f t="shared" si="56"/>
        <v>#N/A</v>
      </c>
      <c r="T73" s="491"/>
      <c r="U73" s="182"/>
      <c r="V73" s="182"/>
      <c r="W73" s="182"/>
      <c r="X73" s="182" t="e">
        <f t="shared" si="44"/>
        <v>#N/A</v>
      </c>
      <c r="Y73" s="491"/>
      <c r="Z73" s="182"/>
      <c r="AA73" s="182"/>
      <c r="AB73" s="182"/>
      <c r="AC73" s="182" t="e">
        <f t="shared" si="46"/>
        <v>#N/A</v>
      </c>
      <c r="AD73" s="491"/>
      <c r="AE73" s="182"/>
      <c r="AF73" s="182"/>
      <c r="AG73" s="182"/>
      <c r="AH73" s="182" t="e">
        <f t="shared" si="48"/>
        <v>#N/A</v>
      </c>
      <c r="AI73" s="491"/>
      <c r="AJ73" s="182"/>
      <c r="AK73" s="182"/>
      <c r="AL73" s="182"/>
      <c r="AM73" s="182" t="e">
        <f t="shared" si="50"/>
        <v>#N/A</v>
      </c>
      <c r="AN73" s="491"/>
      <c r="AO73" s="182"/>
      <c r="AP73" s="182"/>
      <c r="AQ73" s="182"/>
      <c r="AR73" s="182" t="e">
        <f t="shared" si="52"/>
        <v>#N/A</v>
      </c>
      <c r="AS73" s="491"/>
      <c r="AT73" s="182"/>
      <c r="AU73" s="182"/>
      <c r="AV73" s="182"/>
      <c r="AW73" s="182" t="e">
        <f t="shared" si="54"/>
        <v>#N/A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82"/>
      <c r="R74" s="182"/>
      <c r="S74" s="182" t="e">
        <f t="shared" si="56"/>
        <v>#N/A</v>
      </c>
      <c r="T74" s="491"/>
      <c r="U74" s="182"/>
      <c r="V74" s="182"/>
      <c r="W74" s="182"/>
      <c r="X74" s="182" t="e">
        <f t="shared" si="44"/>
        <v>#N/A</v>
      </c>
      <c r="Y74" s="491"/>
      <c r="Z74" s="182"/>
      <c r="AA74" s="182"/>
      <c r="AB74" s="182"/>
      <c r="AC74" s="182" t="e">
        <f t="shared" si="46"/>
        <v>#N/A</v>
      </c>
      <c r="AD74" s="491"/>
      <c r="AE74" s="182"/>
      <c r="AF74" s="182"/>
      <c r="AG74" s="182"/>
      <c r="AH74" s="182" t="e">
        <f t="shared" si="48"/>
        <v>#N/A</v>
      </c>
      <c r="AI74" s="491"/>
      <c r="AJ74" s="182"/>
      <c r="AK74" s="182"/>
      <c r="AL74" s="182"/>
      <c r="AM74" s="182" t="e">
        <f t="shared" si="50"/>
        <v>#N/A</v>
      </c>
      <c r="AN74" s="491"/>
      <c r="AO74" s="182"/>
      <c r="AP74" s="182"/>
      <c r="AQ74" s="182"/>
      <c r="AR74" s="182" t="e">
        <f t="shared" si="52"/>
        <v>#N/A</v>
      </c>
      <c r="AS74" s="491"/>
      <c r="AT74" s="182"/>
      <c r="AU74" s="182"/>
      <c r="AV74" s="182"/>
      <c r="AW74" s="182" t="e">
        <f t="shared" si="54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82"/>
      <c r="R75" s="182"/>
      <c r="S75" s="182" t="e">
        <f t="shared" si="56"/>
        <v>#N/A</v>
      </c>
      <c r="T75" s="491"/>
      <c r="U75" s="182"/>
      <c r="V75" s="182"/>
      <c r="W75" s="182"/>
      <c r="X75" s="182" t="e">
        <f t="shared" si="44"/>
        <v>#N/A</v>
      </c>
      <c r="Y75" s="491"/>
      <c r="Z75" s="182"/>
      <c r="AA75" s="182"/>
      <c r="AB75" s="182"/>
      <c r="AC75" s="182" t="e">
        <f t="shared" si="46"/>
        <v>#N/A</v>
      </c>
      <c r="AD75" s="491"/>
      <c r="AE75" s="182"/>
      <c r="AF75" s="182"/>
      <c r="AG75" s="182"/>
      <c r="AH75" s="182" t="e">
        <f t="shared" si="48"/>
        <v>#N/A</v>
      </c>
      <c r="AI75" s="491"/>
      <c r="AJ75" s="182"/>
      <c r="AK75" s="182"/>
      <c r="AL75" s="182"/>
      <c r="AM75" s="182" t="e">
        <f t="shared" si="50"/>
        <v>#N/A</v>
      </c>
      <c r="AN75" s="491"/>
      <c r="AO75" s="182"/>
      <c r="AP75" s="182"/>
      <c r="AQ75" s="182"/>
      <c r="AR75" s="182" t="e">
        <f t="shared" si="52"/>
        <v>#N/A</v>
      </c>
      <c r="AS75" s="491"/>
      <c r="AT75" s="182"/>
      <c r="AU75" s="182"/>
      <c r="AV75" s="182"/>
      <c r="AW75" s="182" t="e">
        <f t="shared" si="54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82"/>
      <c r="R76" s="182"/>
      <c r="S76" s="182" t="e">
        <f t="shared" si="56"/>
        <v>#N/A</v>
      </c>
      <c r="T76" s="491"/>
      <c r="U76" s="182"/>
      <c r="V76" s="182"/>
      <c r="W76" s="182"/>
      <c r="X76" s="182" t="e">
        <f t="shared" si="44"/>
        <v>#N/A</v>
      </c>
      <c r="Y76" s="491"/>
      <c r="Z76" s="182"/>
      <c r="AA76" s="182"/>
      <c r="AB76" s="182"/>
      <c r="AC76" s="182" t="e">
        <f t="shared" si="46"/>
        <v>#N/A</v>
      </c>
      <c r="AD76" s="491"/>
      <c r="AE76" s="182"/>
      <c r="AF76" s="182"/>
      <c r="AG76" s="182"/>
      <c r="AH76" s="182" t="e">
        <f t="shared" si="48"/>
        <v>#N/A</v>
      </c>
      <c r="AI76" s="491"/>
      <c r="AJ76" s="182"/>
      <c r="AK76" s="182"/>
      <c r="AL76" s="182"/>
      <c r="AM76" s="182" t="e">
        <f t="shared" si="50"/>
        <v>#N/A</v>
      </c>
      <c r="AN76" s="491"/>
      <c r="AO76" s="182"/>
      <c r="AP76" s="182"/>
      <c r="AQ76" s="182"/>
      <c r="AR76" s="182" t="e">
        <f t="shared" si="52"/>
        <v>#N/A</v>
      </c>
      <c r="AS76" s="491"/>
      <c r="AT76" s="182"/>
      <c r="AU76" s="182"/>
      <c r="AV76" s="182"/>
      <c r="AW76" s="182" t="e">
        <f t="shared" si="54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82"/>
      <c r="R77" s="182"/>
      <c r="S77" s="182" t="e">
        <f t="shared" si="56"/>
        <v>#N/A</v>
      </c>
      <c r="T77" s="491"/>
      <c r="U77" s="182"/>
      <c r="V77" s="182"/>
      <c r="W77" s="182"/>
      <c r="X77" s="182" t="e">
        <f t="shared" si="44"/>
        <v>#N/A</v>
      </c>
      <c r="Y77" s="491"/>
      <c r="Z77" s="182"/>
      <c r="AA77" s="182"/>
      <c r="AB77" s="182"/>
      <c r="AC77" s="182" t="e">
        <f t="shared" si="46"/>
        <v>#N/A</v>
      </c>
      <c r="AD77" s="491"/>
      <c r="AE77" s="182"/>
      <c r="AF77" s="182"/>
      <c r="AG77" s="182"/>
      <c r="AH77" s="182" t="e">
        <f t="shared" si="48"/>
        <v>#N/A</v>
      </c>
      <c r="AI77" s="491"/>
      <c r="AJ77" s="182"/>
      <c r="AK77" s="182"/>
      <c r="AL77" s="182"/>
      <c r="AM77" s="182" t="e">
        <f t="shared" si="50"/>
        <v>#N/A</v>
      </c>
      <c r="AN77" s="491"/>
      <c r="AO77" s="182"/>
      <c r="AP77" s="182"/>
      <c r="AQ77" s="182"/>
      <c r="AR77" s="182" t="e">
        <f t="shared" si="52"/>
        <v>#N/A</v>
      </c>
      <c r="AS77" s="491"/>
      <c r="AT77" s="182"/>
      <c r="AU77" s="182"/>
      <c r="AV77" s="182"/>
      <c r="AW77" s="182" t="e">
        <f t="shared" si="54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82"/>
      <c r="R78" s="182"/>
      <c r="S78" s="182" t="e">
        <f t="shared" si="56"/>
        <v>#N/A</v>
      </c>
      <c r="T78" s="491"/>
      <c r="U78" s="182"/>
      <c r="V78" s="182"/>
      <c r="W78" s="182"/>
      <c r="X78" s="182" t="e">
        <f t="shared" si="44"/>
        <v>#N/A</v>
      </c>
      <c r="Y78" s="491"/>
      <c r="Z78" s="182"/>
      <c r="AA78" s="182"/>
      <c r="AB78" s="182"/>
      <c r="AC78" s="182" t="e">
        <f t="shared" si="46"/>
        <v>#N/A</v>
      </c>
      <c r="AD78" s="491"/>
      <c r="AE78" s="182"/>
      <c r="AF78" s="182"/>
      <c r="AG78" s="182"/>
      <c r="AH78" s="182" t="e">
        <f t="shared" si="48"/>
        <v>#N/A</v>
      </c>
      <c r="AI78" s="491"/>
      <c r="AJ78" s="182"/>
      <c r="AK78" s="182"/>
      <c r="AL78" s="182"/>
      <c r="AM78" s="182" t="e">
        <f t="shared" si="50"/>
        <v>#N/A</v>
      </c>
      <c r="AN78" s="491"/>
      <c r="AO78" s="182"/>
      <c r="AP78" s="182"/>
      <c r="AQ78" s="182"/>
      <c r="AR78" s="182" t="e">
        <f t="shared" si="52"/>
        <v>#N/A</v>
      </c>
      <c r="AS78" s="491"/>
      <c r="AT78" s="182"/>
      <c r="AU78" s="182"/>
      <c r="AV78" s="182"/>
      <c r="AW78" s="182" t="e">
        <f t="shared" si="54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82"/>
      <c r="R79" s="182"/>
      <c r="S79" s="182" t="e">
        <f t="shared" si="56"/>
        <v>#N/A</v>
      </c>
      <c r="T79" s="491"/>
      <c r="U79" s="182"/>
      <c r="V79" s="182"/>
      <c r="W79" s="182"/>
      <c r="X79" s="182" t="e">
        <f t="shared" si="44"/>
        <v>#N/A</v>
      </c>
      <c r="Y79" s="491"/>
      <c r="Z79" s="182"/>
      <c r="AA79" s="182"/>
      <c r="AB79" s="182"/>
      <c r="AC79" s="182" t="e">
        <f t="shared" si="46"/>
        <v>#N/A</v>
      </c>
      <c r="AD79" s="491"/>
      <c r="AE79" s="182"/>
      <c r="AF79" s="182"/>
      <c r="AG79" s="182"/>
      <c r="AH79" s="182" t="e">
        <f t="shared" si="48"/>
        <v>#N/A</v>
      </c>
      <c r="AI79" s="491"/>
      <c r="AJ79" s="182"/>
      <c r="AK79" s="182"/>
      <c r="AL79" s="182"/>
      <c r="AM79" s="182" t="e">
        <f t="shared" si="50"/>
        <v>#N/A</v>
      </c>
      <c r="AN79" s="491"/>
      <c r="AO79" s="182"/>
      <c r="AP79" s="182"/>
      <c r="AQ79" s="182"/>
      <c r="AR79" s="182" t="e">
        <f t="shared" si="52"/>
        <v>#N/A</v>
      </c>
      <c r="AS79" s="491"/>
      <c r="AT79" s="182"/>
      <c r="AU79" s="182"/>
      <c r="AV79" s="182"/>
      <c r="AW79" s="182" t="e">
        <f t="shared" si="54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82"/>
      <c r="R80" s="182"/>
      <c r="S80" s="182" t="e">
        <f t="shared" si="56"/>
        <v>#N/A</v>
      </c>
      <c r="T80" s="491"/>
      <c r="U80" s="182"/>
      <c r="V80" s="182"/>
      <c r="W80" s="182"/>
      <c r="X80" s="182" t="e">
        <f t="shared" si="44"/>
        <v>#N/A</v>
      </c>
      <c r="Y80" s="491"/>
      <c r="Z80" s="182"/>
      <c r="AA80" s="182"/>
      <c r="AB80" s="182"/>
      <c r="AC80" s="182" t="e">
        <f t="shared" si="46"/>
        <v>#N/A</v>
      </c>
      <c r="AD80" s="491"/>
      <c r="AE80" s="182"/>
      <c r="AF80" s="182"/>
      <c r="AG80" s="182"/>
      <c r="AH80" s="182" t="e">
        <f t="shared" si="48"/>
        <v>#N/A</v>
      </c>
      <c r="AI80" s="491"/>
      <c r="AJ80" s="182"/>
      <c r="AK80" s="182"/>
      <c r="AL80" s="182"/>
      <c r="AM80" s="182" t="e">
        <f t="shared" si="50"/>
        <v>#N/A</v>
      </c>
      <c r="AN80" s="491"/>
      <c r="AO80" s="182"/>
      <c r="AP80" s="182"/>
      <c r="AQ80" s="182"/>
      <c r="AR80" s="182" t="e">
        <f t="shared" si="52"/>
        <v>#N/A</v>
      </c>
      <c r="AS80" s="491"/>
      <c r="AT80" s="182"/>
      <c r="AU80" s="182"/>
      <c r="AV80" s="182"/>
      <c r="AW80" s="182" t="e">
        <f t="shared" si="54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82"/>
      <c r="R81" s="182"/>
      <c r="S81" s="182" t="e">
        <f t="shared" si="56"/>
        <v>#N/A</v>
      </c>
      <c r="T81" s="491"/>
      <c r="U81" s="182"/>
      <c r="V81" s="182"/>
      <c r="W81" s="182"/>
      <c r="X81" s="182" t="e">
        <f t="shared" si="44"/>
        <v>#N/A</v>
      </c>
      <c r="Y81" s="491"/>
      <c r="Z81" s="182"/>
      <c r="AA81" s="182"/>
      <c r="AB81" s="182"/>
      <c r="AC81" s="182" t="e">
        <f t="shared" si="46"/>
        <v>#N/A</v>
      </c>
      <c r="AD81" s="491"/>
      <c r="AE81" s="182"/>
      <c r="AF81" s="182"/>
      <c r="AG81" s="182"/>
      <c r="AH81" s="182" t="e">
        <f t="shared" si="48"/>
        <v>#N/A</v>
      </c>
      <c r="AI81" s="491"/>
      <c r="AJ81" s="182"/>
      <c r="AK81" s="182"/>
      <c r="AL81" s="182"/>
      <c r="AM81" s="182" t="e">
        <f t="shared" si="50"/>
        <v>#N/A</v>
      </c>
      <c r="AN81" s="491"/>
      <c r="AO81" s="182"/>
      <c r="AP81" s="182"/>
      <c r="AQ81" s="182"/>
      <c r="AR81" s="182" t="e">
        <f t="shared" si="52"/>
        <v>#N/A</v>
      </c>
      <c r="AS81" s="491"/>
      <c r="AT81" s="182"/>
      <c r="AU81" s="182"/>
      <c r="AV81" s="182"/>
      <c r="AW81" s="182" t="e">
        <f t="shared" si="54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275</v>
      </c>
      <c r="C87" s="182">
        <v>1</v>
      </c>
      <c r="D87" s="203"/>
      <c r="E87" s="166"/>
      <c r="F87" s="182"/>
      <c r="G87" s="180"/>
      <c r="H87" s="459" t="e">
        <f>AVERAGE(G87:G101)</f>
        <v>#DIV/0!</v>
      </c>
      <c r="I87" s="166" t="e">
        <f t="shared" ref="I87:K88" si="57">AVERAGE(P87,U87,Z87,AE87,AJ87,AO87,AT87)</f>
        <v>#DIV/0!</v>
      </c>
      <c r="J87" s="166" t="e">
        <f t="shared" si="57"/>
        <v>#DIV/0!</v>
      </c>
      <c r="K87" s="180" t="e">
        <f t="shared" si="57"/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66"/>
      <c r="Q87" s="166"/>
      <c r="R87" s="180"/>
      <c r="S87" s="182" t="e">
        <f>RANK(R87, R$87:R$101)</f>
        <v>#N/A</v>
      </c>
      <c r="T87" s="491" t="e">
        <f>AVERAGE(R87:R101)</f>
        <v>#DIV/0!</v>
      </c>
      <c r="U87" s="166"/>
      <c r="V87" s="166"/>
      <c r="W87" s="180"/>
      <c r="X87" s="182" t="e">
        <f t="shared" ref="X87:X101" si="58">RANK(W87, W$87:W$101)</f>
        <v>#N/A</v>
      </c>
      <c r="Y87" s="491" t="e">
        <f t="shared" ref="Y87" si="59">AVERAGE(W87:W101)</f>
        <v>#DIV/0!</v>
      </c>
      <c r="Z87" s="166"/>
      <c r="AA87" s="166"/>
      <c r="AB87" s="180"/>
      <c r="AC87" s="182" t="e">
        <f t="shared" ref="AC87:AC101" si="60">RANK(AB87, AB$87:AB$101)</f>
        <v>#N/A</v>
      </c>
      <c r="AD87" s="491" t="e">
        <f t="shared" ref="AD87" si="61">AVERAGE(AB87:AB101)</f>
        <v>#DIV/0!</v>
      </c>
      <c r="AE87" s="166"/>
      <c r="AF87" s="166"/>
      <c r="AG87" s="180"/>
      <c r="AH87" s="182" t="e">
        <f t="shared" ref="AH87:AH101" si="62">RANK(AG87, AG$87:AG$101)</f>
        <v>#N/A</v>
      </c>
      <c r="AI87" s="491" t="e">
        <f t="shared" ref="AI87" si="63">AVERAGE(AG87:AG101)</f>
        <v>#DIV/0!</v>
      </c>
      <c r="AJ87" s="166"/>
      <c r="AK87" s="166"/>
      <c r="AL87" s="180"/>
      <c r="AM87" s="182" t="e">
        <f t="shared" ref="AM87:AM101" si="64">RANK(AL87, AL$87:AL$101)</f>
        <v>#N/A</v>
      </c>
      <c r="AN87" s="491" t="e">
        <f t="shared" ref="AN87" si="65">AVERAGE(AL87:AL101)</f>
        <v>#DIV/0!</v>
      </c>
      <c r="AO87" s="166"/>
      <c r="AP87" s="166"/>
      <c r="AQ87" s="180"/>
      <c r="AR87" s="182" t="e">
        <f t="shared" ref="AR87:AR101" si="66">RANK(AQ87, AQ$87:AQ$101)</f>
        <v>#N/A</v>
      </c>
      <c r="AS87" s="491" t="e">
        <f t="shared" ref="AS87" si="67">AVERAGE(AQ87:AQ101)</f>
        <v>#DIV/0!</v>
      </c>
      <c r="AT87" s="166"/>
      <c r="AU87" s="166"/>
      <c r="AV87" s="180"/>
      <c r="AW87" s="182" t="e">
        <f t="shared" ref="AW87:AW101" si="68">RANK(AV87, AV$87:AV$101)</f>
        <v>#N/A</v>
      </c>
      <c r="AX87" s="491" t="e">
        <f t="shared" ref="AX87" si="69">AVERAGE(AV87:AV101)</f>
        <v>#DIV/0!</v>
      </c>
    </row>
    <row r="88" spans="2:50">
      <c r="B88" s="479"/>
      <c r="C88" s="182">
        <v>2</v>
      </c>
      <c r="D88" s="203"/>
      <c r="E88" s="166"/>
      <c r="F88" s="182"/>
      <c r="G88" s="180"/>
      <c r="H88" s="460"/>
      <c r="I88" s="166" t="e">
        <f t="shared" si="57"/>
        <v>#DIV/0!</v>
      </c>
      <c r="J88" s="166" t="e">
        <f t="shared" si="57"/>
        <v>#DIV/0!</v>
      </c>
      <c r="K88" s="180" t="e">
        <f t="shared" si="57"/>
        <v>#DIV/0!</v>
      </c>
      <c r="L88" s="460"/>
      <c r="M88" s="181" t="e">
        <f>RANK(K88, K$87:$K$101)</f>
        <v>#DIV/0!</v>
      </c>
      <c r="N88" s="462"/>
      <c r="O88" s="462"/>
      <c r="P88" s="182"/>
      <c r="Q88" s="166"/>
      <c r="R88" s="180"/>
      <c r="S88" s="182" t="e">
        <f t="shared" ref="S88:S101" si="70">RANK(R88, R$87:R$101)</f>
        <v>#N/A</v>
      </c>
      <c r="T88" s="491"/>
      <c r="U88" s="182"/>
      <c r="V88" s="166"/>
      <c r="W88" s="180"/>
      <c r="X88" s="182" t="e">
        <f t="shared" si="58"/>
        <v>#N/A</v>
      </c>
      <c r="Y88" s="491"/>
      <c r="Z88" s="182"/>
      <c r="AA88" s="166"/>
      <c r="AB88" s="180"/>
      <c r="AC88" s="182" t="e">
        <f t="shared" si="60"/>
        <v>#N/A</v>
      </c>
      <c r="AD88" s="491"/>
      <c r="AE88" s="182"/>
      <c r="AF88" s="166"/>
      <c r="AG88" s="180"/>
      <c r="AH88" s="182" t="e">
        <f t="shared" si="62"/>
        <v>#N/A</v>
      </c>
      <c r="AI88" s="491"/>
      <c r="AJ88" s="182"/>
      <c r="AK88" s="166"/>
      <c r="AL88" s="180"/>
      <c r="AM88" s="182" t="e">
        <f t="shared" si="64"/>
        <v>#N/A</v>
      </c>
      <c r="AN88" s="491"/>
      <c r="AO88" s="182"/>
      <c r="AP88" s="166"/>
      <c r="AQ88" s="180"/>
      <c r="AR88" s="182" t="e">
        <f t="shared" si="66"/>
        <v>#N/A</v>
      </c>
      <c r="AS88" s="491"/>
      <c r="AT88" s="182"/>
      <c r="AU88" s="166"/>
      <c r="AV88" s="180"/>
      <c r="AW88" s="182" t="e">
        <f t="shared" si="68"/>
        <v>#N/A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/>
      <c r="J89" s="166"/>
      <c r="K89" s="180"/>
      <c r="L89" s="460"/>
      <c r="M89" s="181" t="e">
        <f>RANK(K89, K$87:$K$101)</f>
        <v>#DIV/0!</v>
      </c>
      <c r="N89" s="462"/>
      <c r="O89" s="462"/>
      <c r="P89" s="182"/>
      <c r="Q89" s="182"/>
      <c r="R89" s="182"/>
      <c r="S89" s="182" t="e">
        <f t="shared" si="70"/>
        <v>#N/A</v>
      </c>
      <c r="T89" s="491"/>
      <c r="U89" s="182"/>
      <c r="V89" s="182"/>
      <c r="W89" s="182"/>
      <c r="X89" s="182" t="e">
        <f t="shared" si="58"/>
        <v>#N/A</v>
      </c>
      <c r="Y89" s="491"/>
      <c r="Z89" s="182"/>
      <c r="AA89" s="182"/>
      <c r="AB89" s="182"/>
      <c r="AC89" s="182" t="e">
        <f t="shared" si="60"/>
        <v>#N/A</v>
      </c>
      <c r="AD89" s="491"/>
      <c r="AE89" s="182"/>
      <c r="AF89" s="182"/>
      <c r="AG89" s="182"/>
      <c r="AH89" s="182" t="e">
        <f t="shared" si="62"/>
        <v>#N/A</v>
      </c>
      <c r="AI89" s="491"/>
      <c r="AJ89" s="182"/>
      <c r="AK89" s="182"/>
      <c r="AL89" s="182"/>
      <c r="AM89" s="182" t="e">
        <f t="shared" si="64"/>
        <v>#N/A</v>
      </c>
      <c r="AN89" s="491"/>
      <c r="AO89" s="182"/>
      <c r="AP89" s="182"/>
      <c r="AQ89" s="182"/>
      <c r="AR89" s="182" t="e">
        <f t="shared" si="66"/>
        <v>#N/A</v>
      </c>
      <c r="AS89" s="491"/>
      <c r="AT89" s="182"/>
      <c r="AU89" s="182"/>
      <c r="AV89" s="182"/>
      <c r="AW89" s="182" t="e">
        <f t="shared" si="68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/>
      <c r="J90" s="166"/>
      <c r="K90" s="180"/>
      <c r="L90" s="460"/>
      <c r="M90" s="181" t="e">
        <f>RANK(K90, K$87:$K$101)</f>
        <v>#DIV/0!</v>
      </c>
      <c r="N90" s="462"/>
      <c r="O90" s="462"/>
      <c r="P90" s="182"/>
      <c r="Q90" s="182"/>
      <c r="R90" s="182"/>
      <c r="S90" s="182" t="e">
        <f t="shared" si="70"/>
        <v>#N/A</v>
      </c>
      <c r="T90" s="491"/>
      <c r="U90" s="182"/>
      <c r="V90" s="182"/>
      <c r="W90" s="182"/>
      <c r="X90" s="182" t="e">
        <f t="shared" si="58"/>
        <v>#N/A</v>
      </c>
      <c r="Y90" s="491"/>
      <c r="Z90" s="182"/>
      <c r="AA90" s="182"/>
      <c r="AB90" s="182"/>
      <c r="AC90" s="182" t="e">
        <f t="shared" si="60"/>
        <v>#N/A</v>
      </c>
      <c r="AD90" s="491"/>
      <c r="AE90" s="182"/>
      <c r="AF90" s="182"/>
      <c r="AG90" s="182"/>
      <c r="AH90" s="182" t="e">
        <f t="shared" si="62"/>
        <v>#N/A</v>
      </c>
      <c r="AI90" s="491"/>
      <c r="AJ90" s="182"/>
      <c r="AK90" s="182"/>
      <c r="AL90" s="182"/>
      <c r="AM90" s="182" t="e">
        <f t="shared" si="64"/>
        <v>#N/A</v>
      </c>
      <c r="AN90" s="491"/>
      <c r="AO90" s="182"/>
      <c r="AP90" s="182"/>
      <c r="AQ90" s="182"/>
      <c r="AR90" s="182" t="e">
        <f t="shared" si="66"/>
        <v>#N/A</v>
      </c>
      <c r="AS90" s="491"/>
      <c r="AT90" s="182"/>
      <c r="AU90" s="182"/>
      <c r="AV90" s="182"/>
      <c r="AW90" s="182" t="e">
        <f t="shared" si="68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/>
      <c r="J91" s="166"/>
      <c r="K91" s="180"/>
      <c r="L91" s="460"/>
      <c r="M91" s="181" t="e">
        <f>RANK(K91, K$87:$K$101)</f>
        <v>#DIV/0!</v>
      </c>
      <c r="N91" s="462"/>
      <c r="O91" s="462"/>
      <c r="P91" s="182"/>
      <c r="Q91" s="182"/>
      <c r="R91" s="182"/>
      <c r="S91" s="182" t="e">
        <f t="shared" si="70"/>
        <v>#N/A</v>
      </c>
      <c r="T91" s="491"/>
      <c r="U91" s="182"/>
      <c r="V91" s="182"/>
      <c r="W91" s="182"/>
      <c r="X91" s="182" t="e">
        <f t="shared" si="58"/>
        <v>#N/A</v>
      </c>
      <c r="Y91" s="491"/>
      <c r="Z91" s="182"/>
      <c r="AA91" s="182"/>
      <c r="AB91" s="182"/>
      <c r="AC91" s="182" t="e">
        <f t="shared" si="60"/>
        <v>#N/A</v>
      </c>
      <c r="AD91" s="491"/>
      <c r="AE91" s="182"/>
      <c r="AF91" s="182"/>
      <c r="AG91" s="182"/>
      <c r="AH91" s="182" t="e">
        <f t="shared" si="62"/>
        <v>#N/A</v>
      </c>
      <c r="AI91" s="491"/>
      <c r="AJ91" s="182"/>
      <c r="AK91" s="182"/>
      <c r="AL91" s="182"/>
      <c r="AM91" s="182" t="e">
        <f t="shared" si="64"/>
        <v>#N/A</v>
      </c>
      <c r="AN91" s="491"/>
      <c r="AO91" s="182"/>
      <c r="AP91" s="182"/>
      <c r="AQ91" s="182"/>
      <c r="AR91" s="182" t="e">
        <f t="shared" si="66"/>
        <v>#N/A</v>
      </c>
      <c r="AS91" s="491"/>
      <c r="AT91" s="182"/>
      <c r="AU91" s="182"/>
      <c r="AV91" s="182"/>
      <c r="AW91" s="182" t="e">
        <f t="shared" si="68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/>
      <c r="J92" s="166"/>
      <c r="K92" s="180"/>
      <c r="L92" s="460"/>
      <c r="M92" s="181" t="e">
        <f>RANK(K92, K$87:$K$101)</f>
        <v>#DIV/0!</v>
      </c>
      <c r="N92" s="462"/>
      <c r="O92" s="462"/>
      <c r="P92" s="182"/>
      <c r="Q92" s="182"/>
      <c r="R92" s="182"/>
      <c r="S92" s="182" t="e">
        <f t="shared" si="70"/>
        <v>#N/A</v>
      </c>
      <c r="T92" s="491"/>
      <c r="U92" s="182"/>
      <c r="V92" s="182"/>
      <c r="W92" s="182"/>
      <c r="X92" s="182" t="e">
        <f t="shared" si="58"/>
        <v>#N/A</v>
      </c>
      <c r="Y92" s="491"/>
      <c r="Z92" s="182"/>
      <c r="AA92" s="182"/>
      <c r="AB92" s="182"/>
      <c r="AC92" s="182" t="e">
        <f t="shared" si="60"/>
        <v>#N/A</v>
      </c>
      <c r="AD92" s="491"/>
      <c r="AE92" s="182"/>
      <c r="AF92" s="182"/>
      <c r="AG92" s="182"/>
      <c r="AH92" s="182" t="e">
        <f t="shared" si="62"/>
        <v>#N/A</v>
      </c>
      <c r="AI92" s="491"/>
      <c r="AJ92" s="182"/>
      <c r="AK92" s="182"/>
      <c r="AL92" s="182"/>
      <c r="AM92" s="182" t="e">
        <f t="shared" si="64"/>
        <v>#N/A</v>
      </c>
      <c r="AN92" s="491"/>
      <c r="AO92" s="182"/>
      <c r="AP92" s="182"/>
      <c r="AQ92" s="182"/>
      <c r="AR92" s="182" t="e">
        <f t="shared" si="66"/>
        <v>#N/A</v>
      </c>
      <c r="AS92" s="491"/>
      <c r="AT92" s="182"/>
      <c r="AU92" s="182"/>
      <c r="AV92" s="182"/>
      <c r="AW92" s="182" t="e">
        <f t="shared" si="68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/>
      <c r="J93" s="166"/>
      <c r="K93" s="180"/>
      <c r="L93" s="460"/>
      <c r="M93" s="181" t="e">
        <f>RANK(K93, K$87:$K$101)</f>
        <v>#DIV/0!</v>
      </c>
      <c r="N93" s="462"/>
      <c r="O93" s="462"/>
      <c r="P93" s="182"/>
      <c r="Q93" s="182"/>
      <c r="R93" s="182"/>
      <c r="S93" s="182" t="e">
        <f t="shared" si="70"/>
        <v>#N/A</v>
      </c>
      <c r="T93" s="491"/>
      <c r="U93" s="182"/>
      <c r="V93" s="182"/>
      <c r="W93" s="182"/>
      <c r="X93" s="182" t="e">
        <f t="shared" si="58"/>
        <v>#N/A</v>
      </c>
      <c r="Y93" s="491"/>
      <c r="Z93" s="182"/>
      <c r="AA93" s="182"/>
      <c r="AB93" s="182"/>
      <c r="AC93" s="182" t="e">
        <f t="shared" si="60"/>
        <v>#N/A</v>
      </c>
      <c r="AD93" s="491"/>
      <c r="AE93" s="182"/>
      <c r="AF93" s="182"/>
      <c r="AG93" s="182"/>
      <c r="AH93" s="182" t="e">
        <f t="shared" si="62"/>
        <v>#N/A</v>
      </c>
      <c r="AI93" s="491"/>
      <c r="AJ93" s="182"/>
      <c r="AK93" s="182"/>
      <c r="AL93" s="182"/>
      <c r="AM93" s="182" t="e">
        <f t="shared" si="64"/>
        <v>#N/A</v>
      </c>
      <c r="AN93" s="491"/>
      <c r="AO93" s="182"/>
      <c r="AP93" s="182"/>
      <c r="AQ93" s="182"/>
      <c r="AR93" s="182" t="e">
        <f t="shared" si="66"/>
        <v>#N/A</v>
      </c>
      <c r="AS93" s="491"/>
      <c r="AT93" s="182"/>
      <c r="AU93" s="182"/>
      <c r="AV93" s="182"/>
      <c r="AW93" s="182" t="e">
        <f t="shared" si="68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/>
      <c r="J94" s="166"/>
      <c r="K94" s="180"/>
      <c r="L94" s="460"/>
      <c r="M94" s="181" t="e">
        <f>RANK(K94, K$87:$K$101)</f>
        <v>#DIV/0!</v>
      </c>
      <c r="N94" s="462"/>
      <c r="O94" s="462"/>
      <c r="P94" s="182"/>
      <c r="Q94" s="182"/>
      <c r="R94" s="182"/>
      <c r="S94" s="182" t="e">
        <f t="shared" si="70"/>
        <v>#N/A</v>
      </c>
      <c r="T94" s="491"/>
      <c r="U94" s="182"/>
      <c r="V94" s="182"/>
      <c r="W94" s="182"/>
      <c r="X94" s="182" t="e">
        <f t="shared" si="58"/>
        <v>#N/A</v>
      </c>
      <c r="Y94" s="491"/>
      <c r="Z94" s="182"/>
      <c r="AA94" s="182"/>
      <c r="AB94" s="182"/>
      <c r="AC94" s="182" t="e">
        <f t="shared" si="60"/>
        <v>#N/A</v>
      </c>
      <c r="AD94" s="491"/>
      <c r="AE94" s="182"/>
      <c r="AF94" s="182"/>
      <c r="AG94" s="182"/>
      <c r="AH94" s="182" t="e">
        <f t="shared" si="62"/>
        <v>#N/A</v>
      </c>
      <c r="AI94" s="491"/>
      <c r="AJ94" s="182"/>
      <c r="AK94" s="182"/>
      <c r="AL94" s="182"/>
      <c r="AM94" s="182" t="e">
        <f t="shared" si="64"/>
        <v>#N/A</v>
      </c>
      <c r="AN94" s="491"/>
      <c r="AO94" s="182"/>
      <c r="AP94" s="182"/>
      <c r="AQ94" s="182"/>
      <c r="AR94" s="182" t="e">
        <f t="shared" si="66"/>
        <v>#N/A</v>
      </c>
      <c r="AS94" s="491"/>
      <c r="AT94" s="182"/>
      <c r="AU94" s="182"/>
      <c r="AV94" s="182"/>
      <c r="AW94" s="182" t="e">
        <f t="shared" si="68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#DIV/0!</v>
      </c>
      <c r="N95" s="462"/>
      <c r="O95" s="462"/>
      <c r="P95" s="182"/>
      <c r="Q95" s="182"/>
      <c r="R95" s="182"/>
      <c r="S95" s="182" t="e">
        <f t="shared" si="70"/>
        <v>#N/A</v>
      </c>
      <c r="T95" s="491"/>
      <c r="U95" s="182"/>
      <c r="V95" s="182"/>
      <c r="W95" s="182"/>
      <c r="X95" s="182" t="e">
        <f t="shared" si="58"/>
        <v>#N/A</v>
      </c>
      <c r="Y95" s="491"/>
      <c r="Z95" s="182"/>
      <c r="AA95" s="182"/>
      <c r="AB95" s="182"/>
      <c r="AC95" s="182" t="e">
        <f t="shared" si="60"/>
        <v>#N/A</v>
      </c>
      <c r="AD95" s="491"/>
      <c r="AE95" s="182"/>
      <c r="AF95" s="182"/>
      <c r="AG95" s="182"/>
      <c r="AH95" s="182" t="e">
        <f t="shared" si="62"/>
        <v>#N/A</v>
      </c>
      <c r="AI95" s="491"/>
      <c r="AJ95" s="182"/>
      <c r="AK95" s="182"/>
      <c r="AL95" s="182"/>
      <c r="AM95" s="182" t="e">
        <f t="shared" si="64"/>
        <v>#N/A</v>
      </c>
      <c r="AN95" s="491"/>
      <c r="AO95" s="182"/>
      <c r="AP95" s="182"/>
      <c r="AQ95" s="182"/>
      <c r="AR95" s="182" t="e">
        <f t="shared" si="66"/>
        <v>#N/A</v>
      </c>
      <c r="AS95" s="491"/>
      <c r="AT95" s="182"/>
      <c r="AU95" s="182"/>
      <c r="AV95" s="182"/>
      <c r="AW95" s="182" t="e">
        <f t="shared" si="68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#DIV/0!</v>
      </c>
      <c r="N96" s="462"/>
      <c r="O96" s="462"/>
      <c r="P96" s="182"/>
      <c r="Q96" s="182"/>
      <c r="R96" s="182"/>
      <c r="S96" s="182" t="e">
        <f t="shared" si="70"/>
        <v>#N/A</v>
      </c>
      <c r="T96" s="491"/>
      <c r="U96" s="182"/>
      <c r="V96" s="182"/>
      <c r="W96" s="182"/>
      <c r="X96" s="182" t="e">
        <f t="shared" si="58"/>
        <v>#N/A</v>
      </c>
      <c r="Y96" s="491"/>
      <c r="Z96" s="182"/>
      <c r="AA96" s="182"/>
      <c r="AB96" s="182"/>
      <c r="AC96" s="182" t="e">
        <f t="shared" si="60"/>
        <v>#N/A</v>
      </c>
      <c r="AD96" s="491"/>
      <c r="AE96" s="182"/>
      <c r="AF96" s="182"/>
      <c r="AG96" s="182"/>
      <c r="AH96" s="182" t="e">
        <f t="shared" si="62"/>
        <v>#N/A</v>
      </c>
      <c r="AI96" s="491"/>
      <c r="AJ96" s="182"/>
      <c r="AK96" s="182"/>
      <c r="AL96" s="182"/>
      <c r="AM96" s="182" t="e">
        <f t="shared" si="64"/>
        <v>#N/A</v>
      </c>
      <c r="AN96" s="491"/>
      <c r="AO96" s="182"/>
      <c r="AP96" s="182"/>
      <c r="AQ96" s="182"/>
      <c r="AR96" s="182" t="e">
        <f t="shared" si="66"/>
        <v>#N/A</v>
      </c>
      <c r="AS96" s="491"/>
      <c r="AT96" s="182"/>
      <c r="AU96" s="182"/>
      <c r="AV96" s="182"/>
      <c r="AW96" s="182" t="e">
        <f t="shared" si="68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82"/>
      <c r="J97" s="182"/>
      <c r="K97" s="182"/>
      <c r="L97" s="460"/>
      <c r="M97" s="181" t="e">
        <f>RANK(K97, K$87:$K$101)</f>
        <v>#DIV/0!</v>
      </c>
      <c r="N97" s="462"/>
      <c r="O97" s="462"/>
      <c r="P97" s="182"/>
      <c r="Q97" s="182"/>
      <c r="R97" s="182"/>
      <c r="S97" s="182" t="e">
        <f t="shared" si="70"/>
        <v>#N/A</v>
      </c>
      <c r="T97" s="491"/>
      <c r="U97" s="182"/>
      <c r="V97" s="182"/>
      <c r="W97" s="182"/>
      <c r="X97" s="182" t="e">
        <f t="shared" si="58"/>
        <v>#N/A</v>
      </c>
      <c r="Y97" s="491"/>
      <c r="Z97" s="182"/>
      <c r="AA97" s="182"/>
      <c r="AB97" s="182"/>
      <c r="AC97" s="182" t="e">
        <f t="shared" si="60"/>
        <v>#N/A</v>
      </c>
      <c r="AD97" s="491"/>
      <c r="AE97" s="182"/>
      <c r="AF97" s="182"/>
      <c r="AG97" s="182"/>
      <c r="AH97" s="182" t="e">
        <f t="shared" si="62"/>
        <v>#N/A</v>
      </c>
      <c r="AI97" s="491"/>
      <c r="AJ97" s="182"/>
      <c r="AK97" s="182"/>
      <c r="AL97" s="182"/>
      <c r="AM97" s="182" t="e">
        <f t="shared" si="64"/>
        <v>#N/A</v>
      </c>
      <c r="AN97" s="491"/>
      <c r="AO97" s="182"/>
      <c r="AP97" s="182"/>
      <c r="AQ97" s="182"/>
      <c r="AR97" s="182" t="e">
        <f t="shared" si="66"/>
        <v>#N/A</v>
      </c>
      <c r="AS97" s="491"/>
      <c r="AT97" s="182"/>
      <c r="AU97" s="182"/>
      <c r="AV97" s="182"/>
      <c r="AW97" s="182" t="e">
        <f t="shared" si="68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#DIV/0!</v>
      </c>
      <c r="N98" s="462"/>
      <c r="O98" s="462"/>
      <c r="P98" s="182"/>
      <c r="Q98" s="182"/>
      <c r="R98" s="182"/>
      <c r="S98" s="182" t="e">
        <f t="shared" si="70"/>
        <v>#N/A</v>
      </c>
      <c r="T98" s="491"/>
      <c r="U98" s="182"/>
      <c r="V98" s="182"/>
      <c r="W98" s="182"/>
      <c r="X98" s="182" t="e">
        <f t="shared" si="58"/>
        <v>#N/A</v>
      </c>
      <c r="Y98" s="491"/>
      <c r="Z98" s="182"/>
      <c r="AA98" s="182"/>
      <c r="AB98" s="182"/>
      <c r="AC98" s="182" t="e">
        <f t="shared" si="60"/>
        <v>#N/A</v>
      </c>
      <c r="AD98" s="491"/>
      <c r="AE98" s="182"/>
      <c r="AF98" s="182"/>
      <c r="AG98" s="182"/>
      <c r="AH98" s="182" t="e">
        <f t="shared" si="62"/>
        <v>#N/A</v>
      </c>
      <c r="AI98" s="491"/>
      <c r="AJ98" s="182"/>
      <c r="AK98" s="182"/>
      <c r="AL98" s="182"/>
      <c r="AM98" s="182" t="e">
        <f t="shared" si="64"/>
        <v>#N/A</v>
      </c>
      <c r="AN98" s="491"/>
      <c r="AO98" s="182"/>
      <c r="AP98" s="182"/>
      <c r="AQ98" s="182"/>
      <c r="AR98" s="182" t="e">
        <f t="shared" si="66"/>
        <v>#N/A</v>
      </c>
      <c r="AS98" s="491"/>
      <c r="AT98" s="182"/>
      <c r="AU98" s="182"/>
      <c r="AV98" s="182"/>
      <c r="AW98" s="182" t="e">
        <f t="shared" si="68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#DIV/0!</v>
      </c>
      <c r="N99" s="462"/>
      <c r="O99" s="462"/>
      <c r="P99" s="182"/>
      <c r="Q99" s="182"/>
      <c r="R99" s="182"/>
      <c r="S99" s="182" t="e">
        <f t="shared" si="70"/>
        <v>#N/A</v>
      </c>
      <c r="T99" s="491"/>
      <c r="U99" s="182"/>
      <c r="V99" s="182"/>
      <c r="W99" s="182"/>
      <c r="X99" s="182" t="e">
        <f t="shared" si="58"/>
        <v>#N/A</v>
      </c>
      <c r="Y99" s="491"/>
      <c r="Z99" s="182"/>
      <c r="AA99" s="182"/>
      <c r="AB99" s="182"/>
      <c r="AC99" s="182" t="e">
        <f t="shared" si="60"/>
        <v>#N/A</v>
      </c>
      <c r="AD99" s="491"/>
      <c r="AE99" s="182"/>
      <c r="AF99" s="182"/>
      <c r="AG99" s="182"/>
      <c r="AH99" s="182" t="e">
        <f t="shared" si="62"/>
        <v>#N/A</v>
      </c>
      <c r="AI99" s="491"/>
      <c r="AJ99" s="182"/>
      <c r="AK99" s="182"/>
      <c r="AL99" s="182"/>
      <c r="AM99" s="182" t="e">
        <f t="shared" si="64"/>
        <v>#N/A</v>
      </c>
      <c r="AN99" s="491"/>
      <c r="AO99" s="182"/>
      <c r="AP99" s="182"/>
      <c r="AQ99" s="182"/>
      <c r="AR99" s="182" t="e">
        <f t="shared" si="66"/>
        <v>#N/A</v>
      </c>
      <c r="AS99" s="491"/>
      <c r="AT99" s="182"/>
      <c r="AU99" s="182"/>
      <c r="AV99" s="182"/>
      <c r="AW99" s="182" t="e">
        <f t="shared" si="68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#DIV/0!</v>
      </c>
      <c r="N100" s="462"/>
      <c r="O100" s="462"/>
      <c r="P100" s="182"/>
      <c r="Q100" s="182"/>
      <c r="R100" s="182"/>
      <c r="S100" s="182" t="e">
        <f t="shared" si="70"/>
        <v>#N/A</v>
      </c>
      <c r="T100" s="491"/>
      <c r="U100" s="182"/>
      <c r="V100" s="182"/>
      <c r="W100" s="182"/>
      <c r="X100" s="182" t="e">
        <f t="shared" si="58"/>
        <v>#N/A</v>
      </c>
      <c r="Y100" s="491"/>
      <c r="Z100" s="182"/>
      <c r="AA100" s="182"/>
      <c r="AB100" s="182"/>
      <c r="AC100" s="182" t="e">
        <f t="shared" si="60"/>
        <v>#N/A</v>
      </c>
      <c r="AD100" s="491"/>
      <c r="AE100" s="182"/>
      <c r="AF100" s="182"/>
      <c r="AG100" s="182"/>
      <c r="AH100" s="182" t="e">
        <f t="shared" si="62"/>
        <v>#N/A</v>
      </c>
      <c r="AI100" s="491"/>
      <c r="AJ100" s="182"/>
      <c r="AK100" s="182"/>
      <c r="AL100" s="182"/>
      <c r="AM100" s="182" t="e">
        <f t="shared" si="64"/>
        <v>#N/A</v>
      </c>
      <c r="AN100" s="491"/>
      <c r="AO100" s="182"/>
      <c r="AP100" s="182"/>
      <c r="AQ100" s="182"/>
      <c r="AR100" s="182" t="e">
        <f t="shared" si="66"/>
        <v>#N/A</v>
      </c>
      <c r="AS100" s="491"/>
      <c r="AT100" s="182"/>
      <c r="AU100" s="182"/>
      <c r="AV100" s="182"/>
      <c r="AW100" s="182" t="e">
        <f t="shared" si="68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#DIV/0!</v>
      </c>
      <c r="N101" s="462"/>
      <c r="O101" s="462"/>
      <c r="P101" s="182"/>
      <c r="Q101" s="182"/>
      <c r="R101" s="182"/>
      <c r="S101" s="182" t="e">
        <f t="shared" si="70"/>
        <v>#N/A</v>
      </c>
      <c r="T101" s="491"/>
      <c r="U101" s="182"/>
      <c r="V101" s="182"/>
      <c r="W101" s="182"/>
      <c r="X101" s="182" t="e">
        <f t="shared" si="58"/>
        <v>#N/A</v>
      </c>
      <c r="Y101" s="491"/>
      <c r="Z101" s="182"/>
      <c r="AA101" s="182"/>
      <c r="AB101" s="182"/>
      <c r="AC101" s="182" t="e">
        <f t="shared" si="60"/>
        <v>#N/A</v>
      </c>
      <c r="AD101" s="491"/>
      <c r="AE101" s="182"/>
      <c r="AF101" s="182"/>
      <c r="AG101" s="182"/>
      <c r="AH101" s="182" t="e">
        <f t="shared" si="62"/>
        <v>#N/A</v>
      </c>
      <c r="AI101" s="491"/>
      <c r="AJ101" s="182"/>
      <c r="AK101" s="182"/>
      <c r="AL101" s="182"/>
      <c r="AM101" s="182" t="e">
        <f t="shared" si="64"/>
        <v>#N/A</v>
      </c>
      <c r="AN101" s="491"/>
      <c r="AO101" s="182"/>
      <c r="AP101" s="182"/>
      <c r="AQ101" s="182"/>
      <c r="AR101" s="182" t="e">
        <f t="shared" si="66"/>
        <v>#N/A</v>
      </c>
      <c r="AS101" s="491"/>
      <c r="AT101" s="182"/>
      <c r="AU101" s="182"/>
      <c r="AV101" s="182"/>
      <c r="AW101" s="182" t="e">
        <f t="shared" si="68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275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 t="shared" ref="I107:K108" si="71">AVERAGE(P107,U107,Z107,AE107,AJ107,AO107,AT107)</f>
        <v>#DIV/0!</v>
      </c>
      <c r="J107" s="166" t="e">
        <f t="shared" si="71"/>
        <v>#DIV/0!</v>
      </c>
      <c r="K107" s="180" t="e">
        <f t="shared" si="71"/>
        <v>#DIV/0!</v>
      </c>
      <c r="L107" s="459" t="str">
        <f>IFERROR(AVERAGE(K107:K121),"-")</f>
        <v>-</v>
      </c>
      <c r="M107" s="181" t="e">
        <f>RANK(K107, K$87:$K$101)</f>
        <v>#DIV/0!</v>
      </c>
      <c r="N107" s="462"/>
      <c r="O107" s="462"/>
      <c r="P107" s="166"/>
      <c r="Q107" s="166"/>
      <c r="R107" s="180"/>
      <c r="S107" s="182" t="e">
        <f>RANK(R107, R$107:R$121)</f>
        <v>#N/A</v>
      </c>
      <c r="T107" s="491" t="e">
        <f>AVERAGE(R107:R121)</f>
        <v>#DIV/0!</v>
      </c>
      <c r="U107" s="166"/>
      <c r="V107" s="166"/>
      <c r="W107" s="180"/>
      <c r="X107" s="182" t="e">
        <f>RANK(W107, W$107:W$121)</f>
        <v>#N/A</v>
      </c>
      <c r="Y107" s="491" t="e">
        <f>AVERAGE(W107:W121)</f>
        <v>#DIV/0!</v>
      </c>
      <c r="Z107" s="166"/>
      <c r="AA107" s="166"/>
      <c r="AB107" s="180"/>
      <c r="AC107" s="182" t="e">
        <f>RANK(AB107, AB$107:AB$121)</f>
        <v>#N/A</v>
      </c>
      <c r="AD107" s="491" t="e">
        <f>AVERAGE(AB107:AB121)</f>
        <v>#DIV/0!</v>
      </c>
      <c r="AE107" s="166"/>
      <c r="AF107" s="166"/>
      <c r="AG107" s="180"/>
      <c r="AH107" s="182" t="e">
        <f>RANK(AG107, AG$107:AG$121)</f>
        <v>#N/A</v>
      </c>
      <c r="AI107" s="491" t="e">
        <f>AVERAGE(AG107:AG121)</f>
        <v>#DIV/0!</v>
      </c>
      <c r="AJ107" s="166"/>
      <c r="AK107" s="166"/>
      <c r="AL107" s="180"/>
      <c r="AM107" s="182" t="e">
        <f>RANK(AL107, AL$107:AL$121)</f>
        <v>#N/A</v>
      </c>
      <c r="AN107" s="491" t="e">
        <f>AVERAGE(AL107:AL121)</f>
        <v>#DIV/0!</v>
      </c>
      <c r="AO107" s="166"/>
      <c r="AP107" s="166"/>
      <c r="AQ107" s="180"/>
      <c r="AR107" s="182" t="e">
        <f>RANK(AQ107, AQ$107:AQ$121)</f>
        <v>#N/A</v>
      </c>
      <c r="AS107" s="491" t="e">
        <f>AVERAGE(AQ107:AQ121)</f>
        <v>#DIV/0!</v>
      </c>
      <c r="AT107" s="166"/>
      <c r="AU107" s="166"/>
      <c r="AV107" s="180"/>
      <c r="AW107" s="182" t="e">
        <f>RANK(AV107, AV$107:AV$121)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si="71"/>
        <v>#DIV/0!</v>
      </c>
      <c r="J108" s="166" t="e">
        <f t="shared" si="71"/>
        <v>#DIV/0!</v>
      </c>
      <c r="K108" s="180" t="e">
        <f t="shared" si="71"/>
        <v>#DIV/0!</v>
      </c>
      <c r="L108" s="460"/>
      <c r="M108" s="181" t="e">
        <f>RANK(K108, K$87:$K$101)</f>
        <v>#DIV/0!</v>
      </c>
      <c r="N108" s="462"/>
      <c r="O108" s="462"/>
      <c r="P108" s="182"/>
      <c r="Q108" s="166"/>
      <c r="R108" s="180"/>
      <c r="S108" s="182" t="e">
        <f t="shared" ref="S108:S121" si="72">RANK(R108, R$107:R$121)</f>
        <v>#N/A</v>
      </c>
      <c r="T108" s="491"/>
      <c r="U108" s="182"/>
      <c r="V108" s="166"/>
      <c r="W108" s="180"/>
      <c r="X108" s="182" t="e">
        <f t="shared" ref="X108:X121" si="73">RANK(W108, W$107:W$121)</f>
        <v>#N/A</v>
      </c>
      <c r="Y108" s="491"/>
      <c r="Z108" s="182"/>
      <c r="AA108" s="166"/>
      <c r="AB108" s="180"/>
      <c r="AC108" s="182" t="e">
        <f t="shared" ref="AC108:AC121" si="74">RANK(AB108, AB$107:AB$121)</f>
        <v>#N/A</v>
      </c>
      <c r="AD108" s="491"/>
      <c r="AE108" s="182"/>
      <c r="AF108" s="166"/>
      <c r="AG108" s="180"/>
      <c r="AH108" s="182" t="e">
        <f t="shared" ref="AH108:AH121" si="75">RANK(AG108, AG$107:AG$121)</f>
        <v>#N/A</v>
      </c>
      <c r="AI108" s="491"/>
      <c r="AJ108" s="182"/>
      <c r="AK108" s="166"/>
      <c r="AL108" s="180"/>
      <c r="AM108" s="182" t="e">
        <f t="shared" ref="AM108:AM121" si="76">RANK(AL108, AL$107:AL$121)</f>
        <v>#N/A</v>
      </c>
      <c r="AN108" s="491"/>
      <c r="AO108" s="182"/>
      <c r="AP108" s="166"/>
      <c r="AQ108" s="180"/>
      <c r="AR108" s="182" t="e">
        <f t="shared" ref="AR108:AR121" si="77">RANK(AQ108, AQ$107:AQ$121)</f>
        <v>#N/A</v>
      </c>
      <c r="AS108" s="491"/>
      <c r="AT108" s="182"/>
      <c r="AU108" s="166"/>
      <c r="AV108" s="180"/>
      <c r="AW108" s="182" t="e">
        <f t="shared" ref="AW108:AW121" si="78">RANK(AV108, AV$107:AV$121)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/>
      <c r="J109" s="166"/>
      <c r="K109" s="180"/>
      <c r="L109" s="460"/>
      <c r="M109" s="181" t="e">
        <f>RANK(K109, K$87:$K$101)</f>
        <v>#DIV/0!</v>
      </c>
      <c r="N109" s="462"/>
      <c r="O109" s="462"/>
      <c r="P109" s="182"/>
      <c r="Q109" s="182"/>
      <c r="R109" s="182"/>
      <c r="S109" s="182" t="e">
        <f t="shared" si="72"/>
        <v>#N/A</v>
      </c>
      <c r="T109" s="491"/>
      <c r="U109" s="182"/>
      <c r="V109" s="182"/>
      <c r="W109" s="182"/>
      <c r="X109" s="182" t="e">
        <f t="shared" si="73"/>
        <v>#N/A</v>
      </c>
      <c r="Y109" s="491"/>
      <c r="Z109" s="182"/>
      <c r="AA109" s="182"/>
      <c r="AB109" s="182"/>
      <c r="AC109" s="182" t="e">
        <f t="shared" si="74"/>
        <v>#N/A</v>
      </c>
      <c r="AD109" s="491"/>
      <c r="AE109" s="182"/>
      <c r="AF109" s="182"/>
      <c r="AG109" s="182"/>
      <c r="AH109" s="182" t="e">
        <f t="shared" si="75"/>
        <v>#N/A</v>
      </c>
      <c r="AI109" s="491"/>
      <c r="AJ109" s="182"/>
      <c r="AK109" s="182"/>
      <c r="AL109" s="182"/>
      <c r="AM109" s="182" t="e">
        <f t="shared" si="76"/>
        <v>#N/A</v>
      </c>
      <c r="AN109" s="491"/>
      <c r="AO109" s="182"/>
      <c r="AP109" s="182"/>
      <c r="AQ109" s="182"/>
      <c r="AR109" s="182" t="e">
        <f t="shared" si="77"/>
        <v>#N/A</v>
      </c>
      <c r="AS109" s="491"/>
      <c r="AT109" s="182"/>
      <c r="AU109" s="182"/>
      <c r="AV109" s="182"/>
      <c r="AW109" s="182" t="e">
        <f t="shared" si="78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/>
      <c r="J110" s="166"/>
      <c r="K110" s="180"/>
      <c r="L110" s="460"/>
      <c r="M110" s="181" t="e">
        <f>RANK(K110, K$87:$K$101)</f>
        <v>#DIV/0!</v>
      </c>
      <c r="N110" s="462"/>
      <c r="O110" s="462"/>
      <c r="P110" s="182"/>
      <c r="Q110" s="182"/>
      <c r="R110" s="182"/>
      <c r="S110" s="182" t="e">
        <f t="shared" si="72"/>
        <v>#N/A</v>
      </c>
      <c r="T110" s="491"/>
      <c r="U110" s="182"/>
      <c r="V110" s="182"/>
      <c r="W110" s="182"/>
      <c r="X110" s="182" t="e">
        <f t="shared" si="73"/>
        <v>#N/A</v>
      </c>
      <c r="Y110" s="491"/>
      <c r="Z110" s="182"/>
      <c r="AA110" s="182"/>
      <c r="AB110" s="182"/>
      <c r="AC110" s="182" t="e">
        <f t="shared" si="74"/>
        <v>#N/A</v>
      </c>
      <c r="AD110" s="491"/>
      <c r="AE110" s="182"/>
      <c r="AF110" s="182"/>
      <c r="AG110" s="182"/>
      <c r="AH110" s="182" t="e">
        <f t="shared" si="75"/>
        <v>#N/A</v>
      </c>
      <c r="AI110" s="491"/>
      <c r="AJ110" s="182"/>
      <c r="AK110" s="182"/>
      <c r="AL110" s="182"/>
      <c r="AM110" s="182" t="e">
        <f t="shared" si="76"/>
        <v>#N/A</v>
      </c>
      <c r="AN110" s="491"/>
      <c r="AO110" s="182"/>
      <c r="AP110" s="182"/>
      <c r="AQ110" s="182"/>
      <c r="AR110" s="182" t="e">
        <f t="shared" si="77"/>
        <v>#N/A</v>
      </c>
      <c r="AS110" s="491"/>
      <c r="AT110" s="182"/>
      <c r="AU110" s="182"/>
      <c r="AV110" s="182"/>
      <c r="AW110" s="182" t="e">
        <f t="shared" si="78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/>
      <c r="J111" s="166"/>
      <c r="K111" s="180"/>
      <c r="L111" s="460"/>
      <c r="M111" s="181" t="e">
        <f>RANK(K111, K$87:$K$101)</f>
        <v>#DIV/0!</v>
      </c>
      <c r="N111" s="462"/>
      <c r="O111" s="462"/>
      <c r="P111" s="182"/>
      <c r="Q111" s="182"/>
      <c r="R111" s="182"/>
      <c r="S111" s="182" t="e">
        <f t="shared" si="72"/>
        <v>#N/A</v>
      </c>
      <c r="T111" s="491"/>
      <c r="U111" s="182"/>
      <c r="V111" s="182"/>
      <c r="W111" s="182"/>
      <c r="X111" s="182" t="e">
        <f t="shared" si="73"/>
        <v>#N/A</v>
      </c>
      <c r="Y111" s="491"/>
      <c r="Z111" s="182"/>
      <c r="AA111" s="182"/>
      <c r="AB111" s="182"/>
      <c r="AC111" s="182" t="e">
        <f t="shared" si="74"/>
        <v>#N/A</v>
      </c>
      <c r="AD111" s="491"/>
      <c r="AE111" s="182"/>
      <c r="AF111" s="182"/>
      <c r="AG111" s="182"/>
      <c r="AH111" s="182" t="e">
        <f t="shared" si="75"/>
        <v>#N/A</v>
      </c>
      <c r="AI111" s="491"/>
      <c r="AJ111" s="182"/>
      <c r="AK111" s="182"/>
      <c r="AL111" s="182"/>
      <c r="AM111" s="182" t="e">
        <f t="shared" si="76"/>
        <v>#N/A</v>
      </c>
      <c r="AN111" s="491"/>
      <c r="AO111" s="182"/>
      <c r="AP111" s="182"/>
      <c r="AQ111" s="182"/>
      <c r="AR111" s="182" t="e">
        <f t="shared" si="77"/>
        <v>#N/A</v>
      </c>
      <c r="AS111" s="491"/>
      <c r="AT111" s="182"/>
      <c r="AU111" s="182"/>
      <c r="AV111" s="182"/>
      <c r="AW111" s="182" t="e">
        <f t="shared" si="78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/>
      <c r="J112" s="166"/>
      <c r="K112" s="180"/>
      <c r="L112" s="460"/>
      <c r="M112" s="181" t="e">
        <f>RANK(K112, K$87:$K$101)</f>
        <v>#DIV/0!</v>
      </c>
      <c r="N112" s="462"/>
      <c r="O112" s="462"/>
      <c r="P112" s="182"/>
      <c r="Q112" s="182"/>
      <c r="R112" s="182"/>
      <c r="S112" s="182" t="e">
        <f t="shared" si="72"/>
        <v>#N/A</v>
      </c>
      <c r="T112" s="491"/>
      <c r="U112" s="182"/>
      <c r="V112" s="182"/>
      <c r="W112" s="182"/>
      <c r="X112" s="182" t="e">
        <f t="shared" si="73"/>
        <v>#N/A</v>
      </c>
      <c r="Y112" s="491"/>
      <c r="Z112" s="182"/>
      <c r="AA112" s="182"/>
      <c r="AB112" s="182"/>
      <c r="AC112" s="182" t="e">
        <f t="shared" si="74"/>
        <v>#N/A</v>
      </c>
      <c r="AD112" s="491"/>
      <c r="AE112" s="182"/>
      <c r="AF112" s="182"/>
      <c r="AG112" s="182"/>
      <c r="AH112" s="182" t="e">
        <f t="shared" si="75"/>
        <v>#N/A</v>
      </c>
      <c r="AI112" s="491"/>
      <c r="AJ112" s="182"/>
      <c r="AK112" s="182"/>
      <c r="AL112" s="182"/>
      <c r="AM112" s="182" t="e">
        <f t="shared" si="76"/>
        <v>#N/A</v>
      </c>
      <c r="AN112" s="491"/>
      <c r="AO112" s="182"/>
      <c r="AP112" s="182"/>
      <c r="AQ112" s="182"/>
      <c r="AR112" s="182" t="e">
        <f t="shared" si="77"/>
        <v>#N/A</v>
      </c>
      <c r="AS112" s="491"/>
      <c r="AT112" s="182"/>
      <c r="AU112" s="182"/>
      <c r="AV112" s="182"/>
      <c r="AW112" s="182" t="e">
        <f t="shared" si="78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/>
      <c r="J113" s="166"/>
      <c r="K113" s="180"/>
      <c r="L113" s="460"/>
      <c r="M113" s="181" t="e">
        <f>RANK(K113, K$87:$K$101)</f>
        <v>#DIV/0!</v>
      </c>
      <c r="N113" s="462"/>
      <c r="O113" s="462"/>
      <c r="P113" s="182"/>
      <c r="Q113" s="182"/>
      <c r="R113" s="182"/>
      <c r="S113" s="182" t="e">
        <f t="shared" si="72"/>
        <v>#N/A</v>
      </c>
      <c r="T113" s="491"/>
      <c r="U113" s="182"/>
      <c r="V113" s="182"/>
      <c r="W113" s="182"/>
      <c r="X113" s="182" t="e">
        <f t="shared" si="73"/>
        <v>#N/A</v>
      </c>
      <c r="Y113" s="491"/>
      <c r="Z113" s="182"/>
      <c r="AA113" s="182"/>
      <c r="AB113" s="182"/>
      <c r="AC113" s="182" t="e">
        <f t="shared" si="74"/>
        <v>#N/A</v>
      </c>
      <c r="AD113" s="491"/>
      <c r="AE113" s="182"/>
      <c r="AF113" s="182"/>
      <c r="AG113" s="182"/>
      <c r="AH113" s="182" t="e">
        <f t="shared" si="75"/>
        <v>#N/A</v>
      </c>
      <c r="AI113" s="491"/>
      <c r="AJ113" s="182"/>
      <c r="AK113" s="182"/>
      <c r="AL113" s="182"/>
      <c r="AM113" s="182" t="e">
        <f t="shared" si="76"/>
        <v>#N/A</v>
      </c>
      <c r="AN113" s="491"/>
      <c r="AO113" s="182"/>
      <c r="AP113" s="182"/>
      <c r="AQ113" s="182"/>
      <c r="AR113" s="182" t="e">
        <f t="shared" si="77"/>
        <v>#N/A</v>
      </c>
      <c r="AS113" s="491"/>
      <c r="AT113" s="182"/>
      <c r="AU113" s="182"/>
      <c r="AV113" s="182"/>
      <c r="AW113" s="182" t="e">
        <f t="shared" si="78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/>
      <c r="J114" s="166"/>
      <c r="K114" s="180"/>
      <c r="L114" s="460"/>
      <c r="M114" s="181" t="e">
        <f>RANK(K114, K$87:$K$101)</f>
        <v>#DIV/0!</v>
      </c>
      <c r="N114" s="462"/>
      <c r="O114" s="462"/>
      <c r="P114" s="182"/>
      <c r="Q114" s="182"/>
      <c r="R114" s="182"/>
      <c r="S114" s="182" t="e">
        <f t="shared" si="72"/>
        <v>#N/A</v>
      </c>
      <c r="T114" s="491"/>
      <c r="U114" s="182"/>
      <c r="V114" s="182"/>
      <c r="W114" s="182"/>
      <c r="X114" s="182" t="e">
        <f t="shared" si="73"/>
        <v>#N/A</v>
      </c>
      <c r="Y114" s="491"/>
      <c r="Z114" s="182"/>
      <c r="AA114" s="182"/>
      <c r="AB114" s="182"/>
      <c r="AC114" s="182" t="e">
        <f t="shared" si="74"/>
        <v>#N/A</v>
      </c>
      <c r="AD114" s="491"/>
      <c r="AE114" s="182"/>
      <c r="AF114" s="182"/>
      <c r="AG114" s="182"/>
      <c r="AH114" s="182" t="e">
        <f t="shared" si="75"/>
        <v>#N/A</v>
      </c>
      <c r="AI114" s="491"/>
      <c r="AJ114" s="182"/>
      <c r="AK114" s="182"/>
      <c r="AL114" s="182"/>
      <c r="AM114" s="182" t="e">
        <f t="shared" si="76"/>
        <v>#N/A</v>
      </c>
      <c r="AN114" s="491"/>
      <c r="AO114" s="182"/>
      <c r="AP114" s="182"/>
      <c r="AQ114" s="182"/>
      <c r="AR114" s="182" t="e">
        <f t="shared" si="77"/>
        <v>#N/A</v>
      </c>
      <c r="AS114" s="491"/>
      <c r="AT114" s="182"/>
      <c r="AU114" s="182"/>
      <c r="AV114" s="182"/>
      <c r="AW114" s="182" t="e">
        <f t="shared" si="78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/>
      <c r="J115" s="166"/>
      <c r="K115" s="180"/>
      <c r="L115" s="460"/>
      <c r="M115" s="181" t="e">
        <f>RANK(K115, K$87:$K$101)</f>
        <v>#DIV/0!</v>
      </c>
      <c r="N115" s="462"/>
      <c r="O115" s="462"/>
      <c r="P115" s="182"/>
      <c r="Q115" s="182"/>
      <c r="R115" s="182"/>
      <c r="S115" s="182" t="e">
        <f t="shared" si="72"/>
        <v>#N/A</v>
      </c>
      <c r="T115" s="491"/>
      <c r="U115" s="182"/>
      <c r="V115" s="182"/>
      <c r="W115" s="182"/>
      <c r="X115" s="182" t="e">
        <f t="shared" si="73"/>
        <v>#N/A</v>
      </c>
      <c r="Y115" s="491"/>
      <c r="Z115" s="182"/>
      <c r="AA115" s="182"/>
      <c r="AB115" s="182"/>
      <c r="AC115" s="182" t="e">
        <f t="shared" si="74"/>
        <v>#N/A</v>
      </c>
      <c r="AD115" s="491"/>
      <c r="AE115" s="182"/>
      <c r="AF115" s="182"/>
      <c r="AG115" s="182"/>
      <c r="AH115" s="182" t="e">
        <f t="shared" si="75"/>
        <v>#N/A</v>
      </c>
      <c r="AI115" s="491"/>
      <c r="AJ115" s="182"/>
      <c r="AK115" s="182"/>
      <c r="AL115" s="182"/>
      <c r="AM115" s="182" t="e">
        <f t="shared" si="76"/>
        <v>#N/A</v>
      </c>
      <c r="AN115" s="491"/>
      <c r="AO115" s="182"/>
      <c r="AP115" s="182"/>
      <c r="AQ115" s="182"/>
      <c r="AR115" s="182" t="e">
        <f t="shared" si="77"/>
        <v>#N/A</v>
      </c>
      <c r="AS115" s="491"/>
      <c r="AT115" s="182"/>
      <c r="AU115" s="182"/>
      <c r="AV115" s="182"/>
      <c r="AW115" s="182" t="e">
        <f t="shared" si="78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/>
      <c r="J116" s="166"/>
      <c r="K116" s="180"/>
      <c r="L116" s="460"/>
      <c r="M116" s="181" t="e">
        <f>RANK(K116, K$87:$K$101)</f>
        <v>#DIV/0!</v>
      </c>
      <c r="N116" s="462"/>
      <c r="O116" s="462"/>
      <c r="P116" s="182"/>
      <c r="Q116" s="182"/>
      <c r="R116" s="182"/>
      <c r="S116" s="182" t="e">
        <f t="shared" si="72"/>
        <v>#N/A</v>
      </c>
      <c r="T116" s="491"/>
      <c r="U116" s="182"/>
      <c r="V116" s="182"/>
      <c r="W116" s="182"/>
      <c r="X116" s="182" t="e">
        <f t="shared" si="73"/>
        <v>#N/A</v>
      </c>
      <c r="Y116" s="491"/>
      <c r="Z116" s="182"/>
      <c r="AA116" s="182"/>
      <c r="AB116" s="182"/>
      <c r="AC116" s="182" t="e">
        <f t="shared" si="74"/>
        <v>#N/A</v>
      </c>
      <c r="AD116" s="491"/>
      <c r="AE116" s="182"/>
      <c r="AF116" s="182"/>
      <c r="AG116" s="182"/>
      <c r="AH116" s="182" t="e">
        <f t="shared" si="75"/>
        <v>#N/A</v>
      </c>
      <c r="AI116" s="491"/>
      <c r="AJ116" s="182"/>
      <c r="AK116" s="182"/>
      <c r="AL116" s="182"/>
      <c r="AM116" s="182" t="e">
        <f t="shared" si="76"/>
        <v>#N/A</v>
      </c>
      <c r="AN116" s="491"/>
      <c r="AO116" s="182"/>
      <c r="AP116" s="182"/>
      <c r="AQ116" s="182"/>
      <c r="AR116" s="182" t="e">
        <f t="shared" si="77"/>
        <v>#N/A</v>
      </c>
      <c r="AS116" s="491"/>
      <c r="AT116" s="182"/>
      <c r="AU116" s="182"/>
      <c r="AV116" s="182"/>
      <c r="AW116" s="182" t="e">
        <f t="shared" si="78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82"/>
      <c r="J117" s="182"/>
      <c r="K117" s="182"/>
      <c r="L117" s="460"/>
      <c r="M117" s="181" t="e">
        <f>RANK(K117, K$87:$K$101)</f>
        <v>#DIV/0!</v>
      </c>
      <c r="N117" s="462"/>
      <c r="O117" s="462"/>
      <c r="P117" s="182"/>
      <c r="Q117" s="182"/>
      <c r="R117" s="182"/>
      <c r="S117" s="182" t="e">
        <f t="shared" si="72"/>
        <v>#N/A</v>
      </c>
      <c r="T117" s="491"/>
      <c r="U117" s="182"/>
      <c r="V117" s="182"/>
      <c r="W117" s="182"/>
      <c r="X117" s="182" t="e">
        <f t="shared" si="73"/>
        <v>#N/A</v>
      </c>
      <c r="Y117" s="491"/>
      <c r="Z117" s="182"/>
      <c r="AA117" s="182"/>
      <c r="AB117" s="182"/>
      <c r="AC117" s="182" t="e">
        <f t="shared" si="74"/>
        <v>#N/A</v>
      </c>
      <c r="AD117" s="491"/>
      <c r="AE117" s="182"/>
      <c r="AF117" s="182"/>
      <c r="AG117" s="182"/>
      <c r="AH117" s="182" t="e">
        <f t="shared" si="75"/>
        <v>#N/A</v>
      </c>
      <c r="AI117" s="491"/>
      <c r="AJ117" s="182"/>
      <c r="AK117" s="182"/>
      <c r="AL117" s="182"/>
      <c r="AM117" s="182" t="e">
        <f t="shared" si="76"/>
        <v>#N/A</v>
      </c>
      <c r="AN117" s="491"/>
      <c r="AO117" s="182"/>
      <c r="AP117" s="182"/>
      <c r="AQ117" s="182"/>
      <c r="AR117" s="182" t="e">
        <f t="shared" si="77"/>
        <v>#N/A</v>
      </c>
      <c r="AS117" s="491"/>
      <c r="AT117" s="182"/>
      <c r="AU117" s="182"/>
      <c r="AV117" s="182"/>
      <c r="AW117" s="182" t="e">
        <f t="shared" si="78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82"/>
      <c r="J118" s="182"/>
      <c r="K118" s="182"/>
      <c r="L118" s="460"/>
      <c r="M118" s="181" t="e">
        <f>RANK(K118, K$87:$K$101)</f>
        <v>#DIV/0!</v>
      </c>
      <c r="N118" s="462"/>
      <c r="O118" s="462"/>
      <c r="P118" s="182"/>
      <c r="Q118" s="182"/>
      <c r="R118" s="182"/>
      <c r="S118" s="182" t="e">
        <f t="shared" si="72"/>
        <v>#N/A</v>
      </c>
      <c r="T118" s="491"/>
      <c r="U118" s="182"/>
      <c r="V118" s="182"/>
      <c r="W118" s="182"/>
      <c r="X118" s="182" t="e">
        <f t="shared" si="73"/>
        <v>#N/A</v>
      </c>
      <c r="Y118" s="491"/>
      <c r="Z118" s="182"/>
      <c r="AA118" s="182"/>
      <c r="AB118" s="182"/>
      <c r="AC118" s="182" t="e">
        <f t="shared" si="74"/>
        <v>#N/A</v>
      </c>
      <c r="AD118" s="491"/>
      <c r="AE118" s="182"/>
      <c r="AF118" s="182"/>
      <c r="AG118" s="182"/>
      <c r="AH118" s="182" t="e">
        <f t="shared" si="75"/>
        <v>#N/A</v>
      </c>
      <c r="AI118" s="491"/>
      <c r="AJ118" s="182"/>
      <c r="AK118" s="182"/>
      <c r="AL118" s="182"/>
      <c r="AM118" s="182" t="e">
        <f t="shared" si="76"/>
        <v>#N/A</v>
      </c>
      <c r="AN118" s="491"/>
      <c r="AO118" s="182"/>
      <c r="AP118" s="182"/>
      <c r="AQ118" s="182"/>
      <c r="AR118" s="182" t="e">
        <f t="shared" si="77"/>
        <v>#N/A</v>
      </c>
      <c r="AS118" s="491"/>
      <c r="AT118" s="182"/>
      <c r="AU118" s="182"/>
      <c r="AV118" s="182"/>
      <c r="AW118" s="182" t="e">
        <f t="shared" si="78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81" t="e">
        <f>RANK(K119, K$87:$K$101)</f>
        <v>#DIV/0!</v>
      </c>
      <c r="N119" s="462"/>
      <c r="O119" s="462"/>
      <c r="P119" s="182"/>
      <c r="Q119" s="182"/>
      <c r="R119" s="182"/>
      <c r="S119" s="182" t="e">
        <f t="shared" si="72"/>
        <v>#N/A</v>
      </c>
      <c r="T119" s="491"/>
      <c r="U119" s="182"/>
      <c r="V119" s="182"/>
      <c r="W119" s="182"/>
      <c r="X119" s="182" t="e">
        <f t="shared" si="73"/>
        <v>#N/A</v>
      </c>
      <c r="Y119" s="491"/>
      <c r="Z119" s="182"/>
      <c r="AA119" s="182"/>
      <c r="AB119" s="182"/>
      <c r="AC119" s="182" t="e">
        <f t="shared" si="74"/>
        <v>#N/A</v>
      </c>
      <c r="AD119" s="491"/>
      <c r="AE119" s="182"/>
      <c r="AF119" s="182"/>
      <c r="AG119" s="182"/>
      <c r="AH119" s="182" t="e">
        <f t="shared" si="75"/>
        <v>#N/A</v>
      </c>
      <c r="AI119" s="491"/>
      <c r="AJ119" s="182"/>
      <c r="AK119" s="182"/>
      <c r="AL119" s="182"/>
      <c r="AM119" s="182" t="e">
        <f t="shared" si="76"/>
        <v>#N/A</v>
      </c>
      <c r="AN119" s="491"/>
      <c r="AO119" s="182"/>
      <c r="AP119" s="182"/>
      <c r="AQ119" s="182"/>
      <c r="AR119" s="182" t="e">
        <f t="shared" si="77"/>
        <v>#N/A</v>
      </c>
      <c r="AS119" s="491"/>
      <c r="AT119" s="182"/>
      <c r="AU119" s="182"/>
      <c r="AV119" s="182"/>
      <c r="AW119" s="182" t="e">
        <f t="shared" si="78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81" t="e">
        <f>RANK(K120, K$87:$K$101)</f>
        <v>#DIV/0!</v>
      </c>
      <c r="N120" s="462"/>
      <c r="O120" s="462"/>
      <c r="P120" s="182"/>
      <c r="Q120" s="182"/>
      <c r="R120" s="182"/>
      <c r="S120" s="182" t="e">
        <f t="shared" si="72"/>
        <v>#N/A</v>
      </c>
      <c r="T120" s="491"/>
      <c r="U120" s="182"/>
      <c r="V120" s="182"/>
      <c r="W120" s="182"/>
      <c r="X120" s="182" t="e">
        <f t="shared" si="73"/>
        <v>#N/A</v>
      </c>
      <c r="Y120" s="491"/>
      <c r="Z120" s="182"/>
      <c r="AA120" s="182"/>
      <c r="AB120" s="182"/>
      <c r="AC120" s="182" t="e">
        <f t="shared" si="74"/>
        <v>#N/A</v>
      </c>
      <c r="AD120" s="491"/>
      <c r="AE120" s="182"/>
      <c r="AF120" s="182"/>
      <c r="AG120" s="182"/>
      <c r="AH120" s="182" t="e">
        <f t="shared" si="75"/>
        <v>#N/A</v>
      </c>
      <c r="AI120" s="491"/>
      <c r="AJ120" s="182"/>
      <c r="AK120" s="182"/>
      <c r="AL120" s="182"/>
      <c r="AM120" s="182" t="e">
        <f t="shared" si="76"/>
        <v>#N/A</v>
      </c>
      <c r="AN120" s="491"/>
      <c r="AO120" s="182"/>
      <c r="AP120" s="182"/>
      <c r="AQ120" s="182"/>
      <c r="AR120" s="182" t="e">
        <f t="shared" si="77"/>
        <v>#N/A</v>
      </c>
      <c r="AS120" s="491"/>
      <c r="AT120" s="182"/>
      <c r="AU120" s="182"/>
      <c r="AV120" s="182"/>
      <c r="AW120" s="182" t="e">
        <f t="shared" si="78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66" t="e">
        <f>RANK(K121, K$87:$K$101)</f>
        <v>#DIV/0!</v>
      </c>
      <c r="N121" s="462"/>
      <c r="O121" s="462"/>
      <c r="P121" s="182"/>
      <c r="Q121" s="182"/>
      <c r="R121" s="182"/>
      <c r="S121" s="182" t="e">
        <f t="shared" si="72"/>
        <v>#N/A</v>
      </c>
      <c r="T121" s="491"/>
      <c r="U121" s="182"/>
      <c r="V121" s="182"/>
      <c r="W121" s="182"/>
      <c r="X121" s="182" t="e">
        <f t="shared" si="73"/>
        <v>#N/A</v>
      </c>
      <c r="Y121" s="491"/>
      <c r="Z121" s="182"/>
      <c r="AA121" s="182"/>
      <c r="AB121" s="182"/>
      <c r="AC121" s="182" t="e">
        <f t="shared" si="74"/>
        <v>#N/A</v>
      </c>
      <c r="AD121" s="491"/>
      <c r="AE121" s="182"/>
      <c r="AF121" s="182"/>
      <c r="AG121" s="182"/>
      <c r="AH121" s="182" t="e">
        <f t="shared" si="75"/>
        <v>#N/A</v>
      </c>
      <c r="AI121" s="491"/>
      <c r="AJ121" s="182"/>
      <c r="AK121" s="182"/>
      <c r="AL121" s="182"/>
      <c r="AM121" s="182" t="e">
        <f t="shared" si="76"/>
        <v>#N/A</v>
      </c>
      <c r="AN121" s="491"/>
      <c r="AO121" s="182"/>
      <c r="AP121" s="182"/>
      <c r="AQ121" s="182"/>
      <c r="AR121" s="182" t="e">
        <f t="shared" si="77"/>
        <v>#N/A</v>
      </c>
      <c r="AS121" s="491"/>
      <c r="AT121" s="182"/>
      <c r="AU121" s="182"/>
      <c r="AV121" s="182"/>
      <c r="AW121" s="182" t="e">
        <f t="shared" si="78"/>
        <v>#N/A</v>
      </c>
      <c r="AX121" s="491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275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28" si="79">AVERAGEIF($D$7:$D$121,$D128,I$7:I$121)</f>
        <v>#DIV/0!</v>
      </c>
      <c r="J128" s="166" t="e">
        <f t="shared" si="79"/>
        <v>#DIV/0!</v>
      </c>
      <c r="K128" s="166" t="e">
        <f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/>
      <c r="J129" s="166"/>
      <c r="K129" s="166"/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/>
      <c r="J130" s="166"/>
      <c r="K130" s="166"/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/>
      <c r="J131" s="166"/>
      <c r="K131" s="166"/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/>
      <c r="J132" s="166"/>
      <c r="K132" s="166"/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/>
      <c r="J133" s="166"/>
      <c r="K133" s="166"/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/>
      <c r="J134" s="166"/>
      <c r="K134" s="166"/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94" zoomScale="55" zoomScaleNormal="55" workbookViewId="0">
      <pane xSplit="15" topLeftCell="Z1" activePane="topRight" state="frozen"/>
      <selection activeCell="P37" sqref="P37:T37"/>
      <selection pane="topRight" activeCell="AT112" sqref="AT112:AV14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AVERAGE(L7,L42,L77,L112,L147,L182)</f>
        <v>83.347322527937735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475">
        <v>46386</v>
      </c>
      <c r="Q2" s="476"/>
      <c r="R2" s="476"/>
      <c r="S2" s="476"/>
      <c r="T2" s="477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186</v>
      </c>
      <c r="C7" s="182">
        <v>1</v>
      </c>
      <c r="D7" s="203" t="s">
        <v>277</v>
      </c>
      <c r="E7" s="166">
        <v>6</v>
      </c>
      <c r="F7" s="182">
        <v>1500</v>
      </c>
      <c r="G7" s="180">
        <v>250</v>
      </c>
      <c r="H7" s="459">
        <f>AVERAGE(G7:G36)</f>
        <v>98.253571428571419</v>
      </c>
      <c r="I7" s="166">
        <f>AVERAGE(P7,U7,Z7,AE7,AJ7,AO7,AT7)</f>
        <v>6</v>
      </c>
      <c r="J7" s="166">
        <f>AVERAGE(Q7,V7,AA7,AF7,AK7,AP7,AU7)</f>
        <v>1417.2808292922496</v>
      </c>
      <c r="K7" s="180">
        <f>AVERAGE(R7,W7,AB7,AG7,AL7,AQ7,AV7)</f>
        <v>236.21347154870824</v>
      </c>
      <c r="L7" s="459">
        <f>IFERROR(AVERAGE(K7:K36),"-")</f>
        <v>86.110040171881622</v>
      </c>
      <c r="M7" s="181">
        <f>RANK(K7, K$7:$K$36)</f>
        <v>1</v>
      </c>
      <c r="N7" s="462"/>
      <c r="O7" s="462"/>
      <c r="P7" s="166">
        <v>6</v>
      </c>
      <c r="Q7" s="166">
        <v>1411.1999999999998</v>
      </c>
      <c r="R7" s="166">
        <v>235.19999999999996</v>
      </c>
      <c r="S7" s="182">
        <f>RANK(R7, R$7:R$36)</f>
        <v>1</v>
      </c>
      <c r="T7" s="491">
        <f>AVERAGE(R7:R36)</f>
        <v>84.596004153434862</v>
      </c>
      <c r="U7" s="166">
        <v>6</v>
      </c>
      <c r="V7" s="166">
        <v>1368.3918367346951</v>
      </c>
      <c r="W7" s="166">
        <v>228.06530612244919</v>
      </c>
      <c r="X7" s="182">
        <f>RANK(W7, W$7:W$36)</f>
        <v>1</v>
      </c>
      <c r="Y7" s="491">
        <f>AVERAGE(W7:W36)</f>
        <v>82.717228319020592</v>
      </c>
      <c r="Z7" s="166">
        <v>6</v>
      </c>
      <c r="AA7" s="166">
        <v>1435.3324137931029</v>
      </c>
      <c r="AB7" s="166">
        <v>239.22206896551714</v>
      </c>
      <c r="AC7" s="182">
        <f>RANK(AB7, AB$7:AB$36)</f>
        <v>1</v>
      </c>
      <c r="AD7" s="491">
        <f>AVERAGE(AB7:AB36)</f>
        <v>83.450154165202051</v>
      </c>
      <c r="AE7" s="166">
        <v>6</v>
      </c>
      <c r="AF7" s="166">
        <v>1420.0457142857147</v>
      </c>
      <c r="AG7" s="166">
        <v>236.67428571428579</v>
      </c>
      <c r="AH7" s="182">
        <f>RANK(AG7, AG$7:AG$36)</f>
        <v>1</v>
      </c>
      <c r="AI7" s="491">
        <f>AVERAGE(AG7:AG36)</f>
        <v>84.029680205155486</v>
      </c>
      <c r="AJ7" s="166">
        <v>6</v>
      </c>
      <c r="AK7" s="166">
        <v>1390.6140845070424</v>
      </c>
      <c r="AL7" s="166">
        <v>231.76901408450706</v>
      </c>
      <c r="AM7" s="182">
        <f>RANK(AL7, AL$7:AL$36)</f>
        <v>2</v>
      </c>
      <c r="AN7" s="491">
        <f>AVERAGE(AL7:AL36)</f>
        <v>85.007266477694003</v>
      </c>
      <c r="AO7" s="166">
        <v>6</v>
      </c>
      <c r="AP7" s="166">
        <v>1423.0717557251924</v>
      </c>
      <c r="AQ7" s="166">
        <v>237.17862595419874</v>
      </c>
      <c r="AR7" s="182">
        <f>RANK(AQ7, AQ$7:AQ$36)</f>
        <v>1</v>
      </c>
      <c r="AS7" s="491">
        <f>AVERAGE(AQ7:AQ36)</f>
        <v>84.938754414118677</v>
      </c>
      <c r="AT7" s="166">
        <v>6</v>
      </c>
      <c r="AU7" s="166">
        <v>1472.3100000000004</v>
      </c>
      <c r="AV7" s="166">
        <v>245.38500000000008</v>
      </c>
      <c r="AW7" s="182">
        <f>RANK(AV7, AV$7:AV$36)</f>
        <v>1</v>
      </c>
      <c r="AX7" s="491">
        <f>AVERAGE(AV7:AV36)</f>
        <v>84.484842423987956</v>
      </c>
      <c r="AZ7" s="181" t="e">
        <f>RANK(AX7, $K$7:AX$36)</f>
        <v>#N/A</v>
      </c>
      <c r="BB7" s="182" t="e">
        <f t="shared" ref="BB7:BB36" si="0">RANK(BA7, BA$7:BA$36)</f>
        <v>#N/A</v>
      </c>
    </row>
    <row r="8" spans="1:54" ht="15" customHeight="1">
      <c r="A8" s="79"/>
      <c r="B8" s="479"/>
      <c r="C8" s="182">
        <v>2</v>
      </c>
      <c r="D8" s="203" t="s">
        <v>278</v>
      </c>
      <c r="E8" s="166">
        <v>6</v>
      </c>
      <c r="F8" s="182">
        <v>1500</v>
      </c>
      <c r="G8" s="180">
        <v>250</v>
      </c>
      <c r="H8" s="460"/>
      <c r="I8" s="166">
        <f t="shared" ref="I8:I30" si="1">AVERAGE(P8,U8,Z8,AE8,AJ8,AO8,AT8)</f>
        <v>6.8571428571428568</v>
      </c>
      <c r="J8" s="166">
        <f t="shared" ref="J8:J30" si="2">AVERAGE(Q8,V8,AA8,AF8,AK8,AP8,AU8)</f>
        <v>1475.0678428964345</v>
      </c>
      <c r="K8" s="180">
        <f t="shared" ref="K8:K30" si="3">AVERAGE(R8,W8,AB8,AG8,AL8,AQ8,AV8)</f>
        <v>215.81144111348479</v>
      </c>
      <c r="L8" s="460"/>
      <c r="M8" s="181">
        <f>RANK(K8, K$7:$K$36)</f>
        <v>2</v>
      </c>
      <c r="N8" s="462"/>
      <c r="O8" s="462"/>
      <c r="P8" s="166">
        <v>7</v>
      </c>
      <c r="Q8" s="166">
        <v>1480.0000000000002</v>
      </c>
      <c r="R8" s="166">
        <v>211.42857142857147</v>
      </c>
      <c r="S8" s="182">
        <f t="shared" ref="S8:S36" si="4">RANK(R8, R$7:R$36)</f>
        <v>2</v>
      </c>
      <c r="T8" s="491"/>
      <c r="U8" s="166">
        <v>7</v>
      </c>
      <c r="V8" s="166">
        <v>1465.909090909091</v>
      </c>
      <c r="W8" s="166">
        <v>209.41558441558442</v>
      </c>
      <c r="X8" s="182">
        <f t="shared" ref="X8:X36" si="5">RANK(W8, W$7:W$36)</f>
        <v>2</v>
      </c>
      <c r="Y8" s="491"/>
      <c r="Z8" s="166">
        <v>7</v>
      </c>
      <c r="AA8" s="166">
        <v>1448.3870967741939</v>
      </c>
      <c r="AB8" s="166">
        <v>206.91244239631342</v>
      </c>
      <c r="AC8" s="182">
        <f t="shared" ref="AC8:AC36" si="6">RANK(AB8, AB$7:AB$36)</f>
        <v>2</v>
      </c>
      <c r="AD8" s="491"/>
      <c r="AE8" s="166">
        <v>7</v>
      </c>
      <c r="AF8" s="166">
        <v>1439.9999999999995</v>
      </c>
      <c r="AG8" s="166">
        <v>205.71428571428564</v>
      </c>
      <c r="AH8" s="182">
        <f t="shared" ref="AH8:AH36" si="7">RANK(AG8, AG$7:AG$36)</f>
        <v>2</v>
      </c>
      <c r="AI8" s="491"/>
      <c r="AJ8" s="166">
        <v>6</v>
      </c>
      <c r="AK8" s="166">
        <v>1495.7142857142851</v>
      </c>
      <c r="AL8" s="166">
        <v>249.28571428571419</v>
      </c>
      <c r="AM8" s="182">
        <f t="shared" ref="AM8:AM36" si="8">RANK(AL8, AL$7:AL$36)</f>
        <v>1</v>
      </c>
      <c r="AN8" s="491"/>
      <c r="AO8" s="166">
        <v>7</v>
      </c>
      <c r="AP8" s="166">
        <v>1485.6818181818182</v>
      </c>
      <c r="AQ8" s="166">
        <v>212.24025974025975</v>
      </c>
      <c r="AR8" s="182">
        <f t="shared" ref="AR8:AR36" si="9">RANK(AQ8, AQ$7:AQ$36)</f>
        <v>2</v>
      </c>
      <c r="AS8" s="491"/>
      <c r="AT8" s="166">
        <v>7</v>
      </c>
      <c r="AU8" s="166">
        <v>1509.7826086956522</v>
      </c>
      <c r="AV8" s="166">
        <v>215.68322981366461</v>
      </c>
      <c r="AW8" s="182">
        <f t="shared" ref="AW8:AW36" si="10">RANK(AV8, AV$7:AV$36)</f>
        <v>2</v>
      </c>
      <c r="AX8" s="491"/>
      <c r="AZ8" s="181" t="e">
        <f>RANK(AX8, $K$7:AX$36)</f>
        <v>#N/A</v>
      </c>
      <c r="BB8" s="182" t="e">
        <f t="shared" si="0"/>
        <v>#N/A</v>
      </c>
    </row>
    <row r="9" spans="1:54">
      <c r="A9" s="79"/>
      <c r="B9" s="479"/>
      <c r="C9" s="182">
        <v>3</v>
      </c>
      <c r="D9" s="203" t="s">
        <v>279</v>
      </c>
      <c r="E9" s="166">
        <v>17</v>
      </c>
      <c r="F9" s="182">
        <v>1500</v>
      </c>
      <c r="G9" s="180">
        <v>88.2</v>
      </c>
      <c r="H9" s="460"/>
      <c r="I9" s="166">
        <f t="shared" si="1"/>
        <v>17</v>
      </c>
      <c r="J9" s="166">
        <f t="shared" si="2"/>
        <v>1326.0641692158786</v>
      </c>
      <c r="K9" s="180">
        <f t="shared" si="3"/>
        <v>78.003774659757568</v>
      </c>
      <c r="L9" s="460"/>
      <c r="M9" s="181">
        <f>RANK(K9, K$7:$K$36)</f>
        <v>9</v>
      </c>
      <c r="N9" s="462"/>
      <c r="O9" s="462"/>
      <c r="P9" s="166">
        <v>17</v>
      </c>
      <c r="Q9" s="166">
        <v>1304.5714285714289</v>
      </c>
      <c r="R9" s="166">
        <v>76.739495798319354</v>
      </c>
      <c r="S9" s="182">
        <f t="shared" si="4"/>
        <v>12</v>
      </c>
      <c r="T9" s="491"/>
      <c r="U9" s="166">
        <v>17</v>
      </c>
      <c r="V9" s="166">
        <v>1347.3684210526326</v>
      </c>
      <c r="W9" s="166">
        <v>79.256965944272508</v>
      </c>
      <c r="X9" s="182">
        <f t="shared" si="5"/>
        <v>8</v>
      </c>
      <c r="Y9" s="491"/>
      <c r="Z9" s="166">
        <v>17</v>
      </c>
      <c r="AA9" s="166">
        <v>1340</v>
      </c>
      <c r="AB9" s="166">
        <v>78.82352941176471</v>
      </c>
      <c r="AC9" s="182">
        <f t="shared" si="6"/>
        <v>9</v>
      </c>
      <c r="AD9" s="491"/>
      <c r="AE9" s="166">
        <v>17</v>
      </c>
      <c r="AF9" s="166">
        <v>1292.2222222222229</v>
      </c>
      <c r="AG9" s="166">
        <v>76.013071895424872</v>
      </c>
      <c r="AH9" s="182">
        <f t="shared" si="7"/>
        <v>12</v>
      </c>
      <c r="AI9" s="491"/>
      <c r="AJ9" s="166">
        <v>17</v>
      </c>
      <c r="AK9" s="166">
        <v>1310.322580645161</v>
      </c>
      <c r="AL9" s="166">
        <v>77.077798861480062</v>
      </c>
      <c r="AM9" s="182">
        <f t="shared" si="8"/>
        <v>10</v>
      </c>
      <c r="AN9" s="491"/>
      <c r="AO9" s="166">
        <v>17</v>
      </c>
      <c r="AP9" s="166">
        <v>1340.5714285714289</v>
      </c>
      <c r="AQ9" s="166">
        <v>78.857142857142875</v>
      </c>
      <c r="AR9" s="182">
        <f t="shared" si="9"/>
        <v>10</v>
      </c>
      <c r="AS9" s="491"/>
      <c r="AT9" s="166">
        <v>17</v>
      </c>
      <c r="AU9" s="166">
        <v>1347.393103448275</v>
      </c>
      <c r="AV9" s="166">
        <v>79.258417849898535</v>
      </c>
      <c r="AW9" s="182">
        <f t="shared" si="10"/>
        <v>8</v>
      </c>
      <c r="AX9" s="491"/>
      <c r="AZ9" s="181" t="e">
        <f>RANK(AX9, $K$7:AX$36)</f>
        <v>#N/A</v>
      </c>
      <c r="BB9" s="182" t="e">
        <f t="shared" si="0"/>
        <v>#N/A</v>
      </c>
    </row>
    <row r="10" spans="1:54">
      <c r="A10" s="79"/>
      <c r="B10" s="479"/>
      <c r="C10" s="182">
        <v>4</v>
      </c>
      <c r="D10" s="203" t="s">
        <v>280</v>
      </c>
      <c r="E10" s="166">
        <v>21</v>
      </c>
      <c r="F10" s="182">
        <v>1500</v>
      </c>
      <c r="G10" s="180">
        <v>71.400000000000006</v>
      </c>
      <c r="H10" s="460"/>
      <c r="I10" s="166">
        <f t="shared" si="1"/>
        <v>20</v>
      </c>
      <c r="J10" s="166">
        <f t="shared" si="2"/>
        <v>1316.7892877400529</v>
      </c>
      <c r="K10" s="180">
        <f t="shared" si="3"/>
        <v>65.83946438700265</v>
      </c>
      <c r="L10" s="460"/>
      <c r="M10" s="181">
        <f>RANK(K10, K$7:$K$36)</f>
        <v>21</v>
      </c>
      <c r="N10" s="462"/>
      <c r="O10" s="462"/>
      <c r="P10" s="166">
        <v>20</v>
      </c>
      <c r="Q10" s="166">
        <v>1305</v>
      </c>
      <c r="R10" s="166">
        <v>65.25</v>
      </c>
      <c r="S10" s="182">
        <f t="shared" si="4"/>
        <v>25</v>
      </c>
      <c r="T10" s="491"/>
      <c r="U10" s="166">
        <v>20</v>
      </c>
      <c r="V10" s="166">
        <v>1307.1428571428567</v>
      </c>
      <c r="W10" s="166">
        <v>65.357142857142833</v>
      </c>
      <c r="X10" s="182">
        <f t="shared" si="5"/>
        <v>23</v>
      </c>
      <c r="Y10" s="491"/>
      <c r="Z10" s="166">
        <v>20</v>
      </c>
      <c r="AA10" s="166">
        <v>1334.6341463414628</v>
      </c>
      <c r="AB10" s="166">
        <v>66.731707317073145</v>
      </c>
      <c r="AC10" s="182">
        <f t="shared" si="6"/>
        <v>24</v>
      </c>
      <c r="AD10" s="491"/>
      <c r="AE10" s="166">
        <v>20</v>
      </c>
      <c r="AF10" s="166">
        <v>1342.2857142857129</v>
      </c>
      <c r="AG10" s="166">
        <v>67.114285714285643</v>
      </c>
      <c r="AH10" s="182">
        <f t="shared" si="7"/>
        <v>24</v>
      </c>
      <c r="AI10" s="491"/>
      <c r="AJ10" s="166">
        <v>20</v>
      </c>
      <c r="AK10" s="166">
        <v>1294.8837209302324</v>
      </c>
      <c r="AL10" s="166">
        <v>64.744186046511615</v>
      </c>
      <c r="AM10" s="182">
        <f t="shared" si="8"/>
        <v>26</v>
      </c>
      <c r="AN10" s="491"/>
      <c r="AO10" s="166"/>
      <c r="AP10" s="166"/>
      <c r="AQ10" s="166"/>
      <c r="AR10" s="182" t="e">
        <f t="shared" si="9"/>
        <v>#N/A</v>
      </c>
      <c r="AS10" s="491"/>
      <c r="AT10" s="166"/>
      <c r="AU10" s="166"/>
      <c r="AV10" s="166"/>
      <c r="AW10" s="182" t="e">
        <f t="shared" si="10"/>
        <v>#N/A</v>
      </c>
      <c r="AX10" s="491"/>
      <c r="AZ10" s="181" t="e">
        <f>RANK(AX10, $K$7:AX$36)</f>
        <v>#N/A</v>
      </c>
      <c r="BB10" s="182" t="e">
        <f t="shared" si="0"/>
        <v>#N/A</v>
      </c>
    </row>
    <row r="11" spans="1:54">
      <c r="A11" s="79"/>
      <c r="B11" s="479"/>
      <c r="C11" s="182">
        <v>5</v>
      </c>
      <c r="D11" s="203" t="s">
        <v>281</v>
      </c>
      <c r="E11" s="166">
        <v>16</v>
      </c>
      <c r="F11" s="182">
        <v>1500</v>
      </c>
      <c r="G11" s="180">
        <v>93.8</v>
      </c>
      <c r="H11" s="460"/>
      <c r="I11" s="166">
        <f t="shared" si="1"/>
        <v>16</v>
      </c>
      <c r="J11" s="166">
        <f t="shared" si="2"/>
        <v>1327.2374186151028</v>
      </c>
      <c r="K11" s="180">
        <f t="shared" si="3"/>
        <v>82.952338663443925</v>
      </c>
      <c r="L11" s="460"/>
      <c r="M11" s="181">
        <f>RANK(K11, K$7:$K$36)</f>
        <v>5</v>
      </c>
      <c r="N11" s="462"/>
      <c r="O11" s="462"/>
      <c r="P11" s="166">
        <v>16</v>
      </c>
      <c r="Q11" s="166">
        <v>1341.249999999998</v>
      </c>
      <c r="R11" s="166">
        <v>83.828124999999872</v>
      </c>
      <c r="S11" s="182">
        <f t="shared" si="4"/>
        <v>4</v>
      </c>
      <c r="T11" s="491"/>
      <c r="U11" s="166">
        <v>16</v>
      </c>
      <c r="V11" s="166">
        <v>1309.090909090909</v>
      </c>
      <c r="W11" s="166">
        <v>81.818181818181813</v>
      </c>
      <c r="X11" s="182">
        <f t="shared" si="5"/>
        <v>5</v>
      </c>
      <c r="Y11" s="491"/>
      <c r="Z11" s="166">
        <v>16</v>
      </c>
      <c r="AA11" s="166">
        <v>1341.8181818181843</v>
      </c>
      <c r="AB11" s="166">
        <v>83.863636363636516</v>
      </c>
      <c r="AC11" s="182">
        <f t="shared" si="6"/>
        <v>4</v>
      </c>
      <c r="AD11" s="491"/>
      <c r="AE11" s="166">
        <v>16</v>
      </c>
      <c r="AF11" s="166">
        <v>1342.4999999999995</v>
      </c>
      <c r="AG11" s="166">
        <v>83.906249999999972</v>
      </c>
      <c r="AH11" s="182">
        <f t="shared" si="7"/>
        <v>5</v>
      </c>
      <c r="AI11" s="491"/>
      <c r="AJ11" s="166">
        <v>16</v>
      </c>
      <c r="AK11" s="166">
        <v>1293.9130434782608</v>
      </c>
      <c r="AL11" s="166">
        <v>80.869565217391298</v>
      </c>
      <c r="AM11" s="182">
        <f t="shared" si="8"/>
        <v>9</v>
      </c>
      <c r="AN11" s="491"/>
      <c r="AO11" s="166">
        <v>16</v>
      </c>
      <c r="AP11" s="166">
        <v>1344.4897959183677</v>
      </c>
      <c r="AQ11" s="166">
        <v>84.030612244897981</v>
      </c>
      <c r="AR11" s="182">
        <f t="shared" si="9"/>
        <v>4</v>
      </c>
      <c r="AS11" s="491"/>
      <c r="AT11" s="166">
        <v>16</v>
      </c>
      <c r="AU11" s="166">
        <v>1317.6000000000004</v>
      </c>
      <c r="AV11" s="166">
        <v>82.350000000000023</v>
      </c>
      <c r="AW11" s="182">
        <f t="shared" si="10"/>
        <v>5</v>
      </c>
      <c r="AX11" s="491"/>
      <c r="AZ11" s="181" t="e">
        <f>RANK(AX11, $K$7:AX$36)</f>
        <v>#N/A</v>
      </c>
      <c r="BB11" s="182" t="e">
        <f t="shared" si="0"/>
        <v>#N/A</v>
      </c>
    </row>
    <row r="12" spans="1:54">
      <c r="A12" s="79"/>
      <c r="B12" s="479"/>
      <c r="C12" s="182">
        <v>6</v>
      </c>
      <c r="D12" s="203" t="s">
        <v>282</v>
      </c>
      <c r="E12" s="166">
        <v>16</v>
      </c>
      <c r="F12" s="182">
        <v>1565</v>
      </c>
      <c r="G12" s="180">
        <v>97.8</v>
      </c>
      <c r="H12" s="460"/>
      <c r="I12" s="166">
        <f t="shared" si="1"/>
        <v>15</v>
      </c>
      <c r="J12" s="166">
        <f t="shared" si="2"/>
        <v>1388.0951028095963</v>
      </c>
      <c r="K12" s="180">
        <f t="shared" si="3"/>
        <v>92.539673520639752</v>
      </c>
      <c r="L12" s="460"/>
      <c r="M12" s="181">
        <f>RANK(K12, K$7:$K$36)</f>
        <v>3</v>
      </c>
      <c r="N12" s="462"/>
      <c r="O12" s="462"/>
      <c r="P12" s="166">
        <v>15</v>
      </c>
      <c r="Q12" s="166">
        <v>1377.7215189873409</v>
      </c>
      <c r="R12" s="166">
        <v>91.848101265822734</v>
      </c>
      <c r="S12" s="182">
        <f t="shared" si="4"/>
        <v>3</v>
      </c>
      <c r="T12" s="491"/>
      <c r="U12" s="166">
        <v>15</v>
      </c>
      <c r="V12" s="166">
        <v>1387.8947368421043</v>
      </c>
      <c r="W12" s="166">
        <v>92.526315789473614</v>
      </c>
      <c r="X12" s="182">
        <f t="shared" si="5"/>
        <v>3</v>
      </c>
      <c r="Y12" s="491"/>
      <c r="Z12" s="166">
        <v>15</v>
      </c>
      <c r="AA12" s="166">
        <v>1415.6521739130421</v>
      </c>
      <c r="AB12" s="166">
        <v>94.376811594202806</v>
      </c>
      <c r="AC12" s="182">
        <f t="shared" si="6"/>
        <v>3</v>
      </c>
      <c r="AD12" s="491"/>
      <c r="AE12" s="166">
        <v>15</v>
      </c>
      <c r="AF12" s="166">
        <v>1378.3561643835606</v>
      </c>
      <c r="AG12" s="166">
        <v>91.890410958904042</v>
      </c>
      <c r="AH12" s="182">
        <f t="shared" si="7"/>
        <v>3</v>
      </c>
      <c r="AI12" s="491"/>
      <c r="AJ12" s="166">
        <v>15</v>
      </c>
      <c r="AK12" s="166">
        <v>1388.571428571428</v>
      </c>
      <c r="AL12" s="166">
        <v>92.571428571428527</v>
      </c>
      <c r="AM12" s="182">
        <f t="shared" si="8"/>
        <v>3</v>
      </c>
      <c r="AN12" s="491"/>
      <c r="AO12" s="166">
        <v>15</v>
      </c>
      <c r="AP12" s="166">
        <v>1401.1363636363635</v>
      </c>
      <c r="AQ12" s="166">
        <v>93.409090909090907</v>
      </c>
      <c r="AR12" s="182">
        <f t="shared" si="9"/>
        <v>3</v>
      </c>
      <c r="AS12" s="491"/>
      <c r="AT12" s="166">
        <v>15</v>
      </c>
      <c r="AU12" s="166">
        <v>1367.3333333333333</v>
      </c>
      <c r="AV12" s="166">
        <v>91.155555555555551</v>
      </c>
      <c r="AW12" s="182">
        <f t="shared" si="10"/>
        <v>3</v>
      </c>
      <c r="AX12" s="491"/>
      <c r="AZ12" s="181" t="e">
        <f>RANK(AX12, $K$7:AX$36)</f>
        <v>#N/A</v>
      </c>
      <c r="BB12" s="182" t="e">
        <f t="shared" si="0"/>
        <v>#N/A</v>
      </c>
    </row>
    <row r="13" spans="1:54">
      <c r="A13" s="79"/>
      <c r="B13" s="479"/>
      <c r="C13" s="182">
        <v>7</v>
      </c>
      <c r="D13" s="203" t="s">
        <v>283</v>
      </c>
      <c r="E13" s="166">
        <v>14</v>
      </c>
      <c r="F13" s="182">
        <v>1440</v>
      </c>
      <c r="G13" s="180">
        <v>102.9</v>
      </c>
      <c r="H13" s="460"/>
      <c r="I13" s="166">
        <f t="shared" si="1"/>
        <v>15</v>
      </c>
      <c r="J13" s="166">
        <f t="shared" si="2"/>
        <v>1108.4984273279183</v>
      </c>
      <c r="K13" s="180">
        <f t="shared" si="3"/>
        <v>73.899895155194557</v>
      </c>
      <c r="L13" s="460"/>
      <c r="M13" s="181">
        <f>RANK(K13, K$7:$K$36)</f>
        <v>11</v>
      </c>
      <c r="N13" s="462"/>
      <c r="O13" s="462"/>
      <c r="P13" s="166">
        <v>15</v>
      </c>
      <c r="Q13" s="166">
        <v>1250.3225806451592</v>
      </c>
      <c r="R13" s="166">
        <v>83.354838709677281</v>
      </c>
      <c r="S13" s="182">
        <f t="shared" si="4"/>
        <v>6</v>
      </c>
      <c r="T13" s="491"/>
      <c r="U13" s="166">
        <v>15</v>
      </c>
      <c r="V13" s="166">
        <v>1118.5714285714262</v>
      </c>
      <c r="W13" s="166">
        <v>74.571428571428413</v>
      </c>
      <c r="X13" s="182">
        <f t="shared" si="5"/>
        <v>13</v>
      </c>
      <c r="Y13" s="491"/>
      <c r="Z13" s="166">
        <v>15</v>
      </c>
      <c r="AA13" s="166">
        <v>1068.8888888888864</v>
      </c>
      <c r="AB13" s="166">
        <v>71.259259259259096</v>
      </c>
      <c r="AC13" s="182">
        <f t="shared" si="6"/>
        <v>16</v>
      </c>
      <c r="AD13" s="491"/>
      <c r="AE13" s="166">
        <v>15</v>
      </c>
      <c r="AF13" s="166">
        <v>1068.3870967741918</v>
      </c>
      <c r="AG13" s="166">
        <v>71.225806451612783</v>
      </c>
      <c r="AH13" s="182">
        <f t="shared" si="7"/>
        <v>19</v>
      </c>
      <c r="AI13" s="491"/>
      <c r="AJ13" s="166">
        <v>15</v>
      </c>
      <c r="AK13" s="166">
        <v>1082.2222222222197</v>
      </c>
      <c r="AL13" s="166">
        <v>72.148148148147982</v>
      </c>
      <c r="AM13" s="182">
        <f t="shared" si="8"/>
        <v>15</v>
      </c>
      <c r="AN13" s="491"/>
      <c r="AO13" s="166">
        <v>15</v>
      </c>
      <c r="AP13" s="166">
        <v>1107.0967741935465</v>
      </c>
      <c r="AQ13" s="166">
        <v>73.806451612903103</v>
      </c>
      <c r="AR13" s="182">
        <f t="shared" si="9"/>
        <v>14</v>
      </c>
      <c r="AS13" s="491"/>
      <c r="AT13" s="166">
        <v>15</v>
      </c>
      <c r="AU13" s="166">
        <v>1063.9999999999982</v>
      </c>
      <c r="AV13" s="166">
        <v>70.933333333333209</v>
      </c>
      <c r="AW13" s="182">
        <f t="shared" si="10"/>
        <v>16</v>
      </c>
      <c r="AX13" s="491"/>
      <c r="AZ13" s="181" t="e">
        <f>RANK(AX13, $K$7:AX$36)</f>
        <v>#N/A</v>
      </c>
      <c r="BB13" s="182" t="e">
        <f t="shared" si="0"/>
        <v>#N/A</v>
      </c>
    </row>
    <row r="14" spans="1:54">
      <c r="A14" s="79"/>
      <c r="B14" s="479"/>
      <c r="C14" s="182">
        <v>8</v>
      </c>
      <c r="D14" s="203" t="s">
        <v>284</v>
      </c>
      <c r="E14" s="166">
        <v>16</v>
      </c>
      <c r="F14" s="182">
        <v>1440</v>
      </c>
      <c r="G14" s="180">
        <v>90</v>
      </c>
      <c r="H14" s="460"/>
      <c r="I14" s="166">
        <f t="shared" si="1"/>
        <v>16.428571428571427</v>
      </c>
      <c r="J14" s="166">
        <f t="shared" si="2"/>
        <v>1287.9406772089692</v>
      </c>
      <c r="K14" s="180">
        <f t="shared" si="3"/>
        <v>78.472055801682728</v>
      </c>
      <c r="L14" s="460"/>
      <c r="M14" s="181">
        <f>RANK(K14, K$7:$K$36)</f>
        <v>8</v>
      </c>
      <c r="N14" s="462"/>
      <c r="O14" s="462"/>
      <c r="P14" s="166">
        <v>17</v>
      </c>
      <c r="Q14" s="166">
        <v>1279.024390243902</v>
      </c>
      <c r="R14" s="166">
        <v>75.236728837876583</v>
      </c>
      <c r="S14" s="182">
        <f t="shared" si="4"/>
        <v>14</v>
      </c>
      <c r="T14" s="491"/>
      <c r="U14" s="166">
        <v>17</v>
      </c>
      <c r="V14" s="166">
        <v>1279.9999999999993</v>
      </c>
      <c r="W14" s="166">
        <v>75.294117647058783</v>
      </c>
      <c r="X14" s="182">
        <f t="shared" si="5"/>
        <v>11</v>
      </c>
      <c r="Y14" s="491"/>
      <c r="Z14" s="166">
        <v>16</v>
      </c>
      <c r="AA14" s="166">
        <v>1286.6666666666656</v>
      </c>
      <c r="AB14" s="166">
        <v>80.4166666666666</v>
      </c>
      <c r="AC14" s="182">
        <f t="shared" si="6"/>
        <v>8</v>
      </c>
      <c r="AD14" s="491"/>
      <c r="AE14" s="166">
        <v>16</v>
      </c>
      <c r="AF14" s="166">
        <v>1281.9512195121947</v>
      </c>
      <c r="AG14" s="166">
        <v>80.121951219512169</v>
      </c>
      <c r="AH14" s="182">
        <f t="shared" si="7"/>
        <v>9</v>
      </c>
      <c r="AI14" s="491"/>
      <c r="AJ14" s="166">
        <v>16</v>
      </c>
      <c r="AK14" s="166">
        <v>1306.6666666666656</v>
      </c>
      <c r="AL14" s="166">
        <v>81.6666666666666</v>
      </c>
      <c r="AM14" s="182">
        <f t="shared" si="8"/>
        <v>6</v>
      </c>
      <c r="AN14" s="491"/>
      <c r="AO14" s="166">
        <v>17</v>
      </c>
      <c r="AP14" s="166">
        <v>1295.1219512195119</v>
      </c>
      <c r="AQ14" s="166">
        <v>76.183644189383045</v>
      </c>
      <c r="AR14" s="182">
        <f t="shared" si="9"/>
        <v>12</v>
      </c>
      <c r="AS14" s="491"/>
      <c r="AT14" s="166">
        <v>16</v>
      </c>
      <c r="AU14" s="166">
        <v>1286.1538461538455</v>
      </c>
      <c r="AV14" s="166">
        <v>80.384615384615344</v>
      </c>
      <c r="AW14" s="182">
        <f t="shared" si="10"/>
        <v>7</v>
      </c>
      <c r="AX14" s="491"/>
      <c r="AZ14" s="181" t="e">
        <f>RANK(AX14, $K$7:AX$36)</f>
        <v>#N/A</v>
      </c>
      <c r="BB14" s="182" t="e">
        <f t="shared" si="0"/>
        <v>#N/A</v>
      </c>
    </row>
    <row r="15" spans="1:54">
      <c r="A15" s="79"/>
      <c r="B15" s="479"/>
      <c r="C15" s="182">
        <v>9</v>
      </c>
      <c r="D15" s="203" t="s">
        <v>285</v>
      </c>
      <c r="E15" s="166">
        <v>18</v>
      </c>
      <c r="F15" s="182">
        <v>1440</v>
      </c>
      <c r="G15" s="180">
        <v>80</v>
      </c>
      <c r="H15" s="460"/>
      <c r="I15" s="166">
        <f t="shared" si="1"/>
        <v>18</v>
      </c>
      <c r="J15" s="166">
        <f t="shared" si="2"/>
        <v>1182.617463085191</v>
      </c>
      <c r="K15" s="180">
        <f t="shared" si="3"/>
        <v>65.70097017139949</v>
      </c>
      <c r="L15" s="460"/>
      <c r="M15" s="181">
        <f>RANK(K15, K$7:$K$36)</f>
        <v>22</v>
      </c>
      <c r="N15" s="462"/>
      <c r="O15" s="462"/>
      <c r="P15" s="166">
        <v>18</v>
      </c>
      <c r="Q15" s="166">
        <v>1192.6530612244901</v>
      </c>
      <c r="R15" s="166">
        <v>66.258503401360556</v>
      </c>
      <c r="S15" s="182">
        <f t="shared" si="4"/>
        <v>24</v>
      </c>
      <c r="T15" s="491"/>
      <c r="U15" s="166">
        <v>18</v>
      </c>
      <c r="V15" s="166">
        <v>1168.1632653061229</v>
      </c>
      <c r="W15" s="166">
        <v>64.897959183673493</v>
      </c>
      <c r="X15" s="182">
        <f t="shared" si="5"/>
        <v>25</v>
      </c>
      <c r="Y15" s="491"/>
      <c r="Z15" s="166">
        <v>18</v>
      </c>
      <c r="AA15" s="166">
        <v>1202.7906976744184</v>
      </c>
      <c r="AB15" s="166">
        <v>66.821705426356573</v>
      </c>
      <c r="AC15" s="182">
        <f t="shared" si="6"/>
        <v>23</v>
      </c>
      <c r="AD15" s="491"/>
      <c r="AE15" s="166">
        <v>18</v>
      </c>
      <c r="AF15" s="166">
        <v>1196.0869565217392</v>
      </c>
      <c r="AG15" s="166">
        <v>66.449275362318843</v>
      </c>
      <c r="AH15" s="182">
        <f t="shared" si="7"/>
        <v>25</v>
      </c>
      <c r="AI15" s="491"/>
      <c r="AJ15" s="166">
        <v>18</v>
      </c>
      <c r="AK15" s="166">
        <v>1193.4782608695652</v>
      </c>
      <c r="AL15" s="166">
        <v>66.304347826086953</v>
      </c>
      <c r="AM15" s="182">
        <f t="shared" si="8"/>
        <v>23</v>
      </c>
      <c r="AN15" s="491"/>
      <c r="AO15" s="166">
        <v>18</v>
      </c>
      <c r="AP15" s="166">
        <v>1166.4000000000003</v>
      </c>
      <c r="AQ15" s="166">
        <v>64.800000000000011</v>
      </c>
      <c r="AR15" s="182">
        <f t="shared" si="9"/>
        <v>25</v>
      </c>
      <c r="AS15" s="491"/>
      <c r="AT15" s="166">
        <v>18</v>
      </c>
      <c r="AU15" s="166">
        <v>1158.7500000000005</v>
      </c>
      <c r="AV15" s="166">
        <v>64.375000000000028</v>
      </c>
      <c r="AW15" s="182">
        <f t="shared" si="10"/>
        <v>23</v>
      </c>
      <c r="AX15" s="491"/>
      <c r="AZ15" s="181" t="e">
        <f>RANK(AX15, $K$7:AX$36)</f>
        <v>#N/A</v>
      </c>
      <c r="BB15" s="182" t="e">
        <f t="shared" si="0"/>
        <v>#N/A</v>
      </c>
    </row>
    <row r="16" spans="1:54">
      <c r="A16" s="79"/>
      <c r="B16" s="479"/>
      <c r="C16" s="182">
        <v>10</v>
      </c>
      <c r="D16" s="203" t="s">
        <v>286</v>
      </c>
      <c r="E16" s="166">
        <v>18</v>
      </c>
      <c r="F16" s="182">
        <v>1636</v>
      </c>
      <c r="G16" s="180">
        <v>90.9</v>
      </c>
      <c r="H16" s="460"/>
      <c r="I16" s="166">
        <f t="shared" si="1"/>
        <v>18</v>
      </c>
      <c r="J16" s="166">
        <f t="shared" si="2"/>
        <v>1269.8569707886843</v>
      </c>
      <c r="K16" s="180">
        <f t="shared" si="3"/>
        <v>70.54760948826025</v>
      </c>
      <c r="L16" s="460"/>
      <c r="M16" s="181">
        <f>RANK(K16, K$7:$K$36)</f>
        <v>16</v>
      </c>
      <c r="N16" s="462"/>
      <c r="O16" s="462"/>
      <c r="P16" s="166">
        <v>18</v>
      </c>
      <c r="Q16" s="166">
        <v>1288.8888888888896</v>
      </c>
      <c r="R16" s="166">
        <v>71.604938271604979</v>
      </c>
      <c r="S16" s="182">
        <f t="shared" si="4"/>
        <v>19</v>
      </c>
      <c r="T16" s="491"/>
      <c r="U16" s="166">
        <v>18</v>
      </c>
      <c r="V16" s="166">
        <v>1242.8571428571431</v>
      </c>
      <c r="W16" s="166">
        <v>69.047619047619065</v>
      </c>
      <c r="X16" s="182">
        <f t="shared" si="5"/>
        <v>19</v>
      </c>
      <c r="Y16" s="491"/>
      <c r="Z16" s="166">
        <v>18</v>
      </c>
      <c r="AA16" s="166">
        <v>1270.2127659574471</v>
      </c>
      <c r="AB16" s="166">
        <v>70.567375886524843</v>
      </c>
      <c r="AC16" s="182">
        <f t="shared" si="6"/>
        <v>18</v>
      </c>
      <c r="AD16" s="491"/>
      <c r="AE16" s="166">
        <v>18</v>
      </c>
      <c r="AF16" s="166">
        <v>1250.588235294118</v>
      </c>
      <c r="AG16" s="166">
        <v>69.477124183006552</v>
      </c>
      <c r="AH16" s="182">
        <f t="shared" si="7"/>
        <v>22</v>
      </c>
      <c r="AI16" s="491"/>
      <c r="AJ16" s="166">
        <v>18</v>
      </c>
      <c r="AK16" s="166">
        <v>1292.7272727272737</v>
      </c>
      <c r="AL16" s="166">
        <v>71.81818181818187</v>
      </c>
      <c r="AM16" s="182">
        <f t="shared" si="8"/>
        <v>18</v>
      </c>
      <c r="AN16" s="491"/>
      <c r="AO16" s="166">
        <v>18</v>
      </c>
      <c r="AP16" s="166">
        <v>1248.2142857142867</v>
      </c>
      <c r="AQ16" s="166">
        <v>69.345238095238145</v>
      </c>
      <c r="AR16" s="182">
        <f t="shared" si="9"/>
        <v>21</v>
      </c>
      <c r="AS16" s="491"/>
      <c r="AT16" s="166">
        <v>18</v>
      </c>
      <c r="AU16" s="166">
        <v>1295.5102040816332</v>
      </c>
      <c r="AV16" s="166">
        <v>71.972789115646293</v>
      </c>
      <c r="AW16" s="182">
        <f t="shared" si="10"/>
        <v>14</v>
      </c>
      <c r="AX16" s="491"/>
      <c r="AZ16" s="181" t="e">
        <f>RANK(AX16, $K$7:AX$36)</f>
        <v>#N/A</v>
      </c>
      <c r="BB16" s="182" t="e">
        <f t="shared" si="0"/>
        <v>#N/A</v>
      </c>
    </row>
    <row r="17" spans="2:54">
      <c r="B17" s="479"/>
      <c r="C17" s="182">
        <v>11</v>
      </c>
      <c r="D17" s="203" t="s">
        <v>287</v>
      </c>
      <c r="E17" s="166">
        <v>18</v>
      </c>
      <c r="F17" s="182">
        <v>1636</v>
      </c>
      <c r="G17" s="180">
        <v>90.9</v>
      </c>
      <c r="H17" s="460"/>
      <c r="I17" s="166">
        <f t="shared" si="1"/>
        <v>18.142857142857142</v>
      </c>
      <c r="J17" s="166">
        <f t="shared" si="2"/>
        <v>1280.1438950916295</v>
      </c>
      <c r="K17" s="180">
        <f t="shared" si="3"/>
        <v>70.60050108005359</v>
      </c>
      <c r="L17" s="460"/>
      <c r="M17" s="181">
        <f>RANK(K17, K$7:$K$36)</f>
        <v>15</v>
      </c>
      <c r="N17" s="462"/>
      <c r="O17" s="462"/>
      <c r="P17" s="166">
        <v>18</v>
      </c>
      <c r="Q17" s="166">
        <v>1287.1428571428567</v>
      </c>
      <c r="R17" s="166">
        <v>71.507936507936478</v>
      </c>
      <c r="S17" s="182">
        <f t="shared" si="4"/>
        <v>20</v>
      </c>
      <c r="T17" s="491"/>
      <c r="U17" s="166">
        <v>18</v>
      </c>
      <c r="V17" s="166">
        <v>1285.9459459459451</v>
      </c>
      <c r="W17" s="166">
        <v>71.441441441441398</v>
      </c>
      <c r="X17" s="182">
        <f t="shared" si="5"/>
        <v>16</v>
      </c>
      <c r="Y17" s="491"/>
      <c r="Z17" s="166">
        <v>18</v>
      </c>
      <c r="AA17" s="166">
        <v>1282.7027027027016</v>
      </c>
      <c r="AB17" s="166">
        <v>71.261261261261197</v>
      </c>
      <c r="AC17" s="182">
        <f t="shared" si="6"/>
        <v>15</v>
      </c>
      <c r="AD17" s="491"/>
      <c r="AE17" s="166">
        <v>18</v>
      </c>
      <c r="AF17" s="166">
        <v>1270.2439024390239</v>
      </c>
      <c r="AG17" s="166">
        <v>70.56910569105689</v>
      </c>
      <c r="AH17" s="182">
        <f t="shared" si="7"/>
        <v>20</v>
      </c>
      <c r="AI17" s="491"/>
      <c r="AJ17" s="166">
        <v>18</v>
      </c>
      <c r="AK17" s="166">
        <v>1295.3846153846146</v>
      </c>
      <c r="AL17" s="166">
        <v>71.965811965811923</v>
      </c>
      <c r="AM17" s="182">
        <f t="shared" si="8"/>
        <v>17</v>
      </c>
      <c r="AN17" s="491"/>
      <c r="AO17" s="166">
        <v>18</v>
      </c>
      <c r="AP17" s="166">
        <v>1298.0487804878044</v>
      </c>
      <c r="AQ17" s="166">
        <v>72.11382113821135</v>
      </c>
      <c r="AR17" s="182">
        <f t="shared" si="9"/>
        <v>17</v>
      </c>
      <c r="AS17" s="491"/>
      <c r="AT17" s="166">
        <v>19</v>
      </c>
      <c r="AU17" s="166">
        <v>1241.538461538461</v>
      </c>
      <c r="AV17" s="166">
        <v>65.344129554655837</v>
      </c>
      <c r="AW17" s="182">
        <f t="shared" si="10"/>
        <v>22</v>
      </c>
      <c r="AX17" s="491"/>
      <c r="AZ17" s="181" t="e">
        <f>RANK(AX17, $K$7:AX$36)</f>
        <v>#N/A</v>
      </c>
      <c r="BB17" s="182" t="e">
        <f t="shared" si="0"/>
        <v>#N/A</v>
      </c>
    </row>
    <row r="18" spans="2:54">
      <c r="B18" s="479"/>
      <c r="C18" s="182">
        <v>12</v>
      </c>
      <c r="D18" s="203" t="s">
        <v>288</v>
      </c>
      <c r="E18" s="166">
        <v>17</v>
      </c>
      <c r="F18" s="182">
        <v>1500</v>
      </c>
      <c r="G18" s="180">
        <v>88.2</v>
      </c>
      <c r="H18" s="460"/>
      <c r="I18" s="166">
        <f t="shared" si="1"/>
        <v>17.714285714285715</v>
      </c>
      <c r="J18" s="166">
        <f t="shared" si="2"/>
        <v>1288.9484275800057</v>
      </c>
      <c r="K18" s="180">
        <f t="shared" si="3"/>
        <v>72.808681706514463</v>
      </c>
      <c r="L18" s="460"/>
      <c r="M18" s="181">
        <f>RANK(K18, K$7:$K$36)</f>
        <v>13</v>
      </c>
      <c r="N18" s="462"/>
      <c r="O18" s="462"/>
      <c r="P18" s="166">
        <v>17</v>
      </c>
      <c r="Q18" s="166">
        <v>1307.9999999999995</v>
      </c>
      <c r="R18" s="166">
        <v>76.941176470588204</v>
      </c>
      <c r="S18" s="182">
        <f t="shared" si="4"/>
        <v>10</v>
      </c>
      <c r="T18" s="491"/>
      <c r="U18" s="166">
        <v>18</v>
      </c>
      <c r="V18" s="166">
        <v>1313.3333333333323</v>
      </c>
      <c r="W18" s="166">
        <v>72.962962962962905</v>
      </c>
      <c r="X18" s="182">
        <f t="shared" si="5"/>
        <v>14</v>
      </c>
      <c r="Y18" s="491"/>
      <c r="Z18" s="166">
        <v>18</v>
      </c>
      <c r="AA18" s="166">
        <v>1265.4545454545439</v>
      </c>
      <c r="AB18" s="166">
        <v>70.303030303030212</v>
      </c>
      <c r="AC18" s="182">
        <f t="shared" si="6"/>
        <v>19</v>
      </c>
      <c r="AD18" s="491"/>
      <c r="AE18" s="166">
        <v>18</v>
      </c>
      <c r="AF18" s="166">
        <v>1293.1578947368412</v>
      </c>
      <c r="AG18" s="166">
        <v>71.842105263157848</v>
      </c>
      <c r="AH18" s="182">
        <f t="shared" si="7"/>
        <v>17</v>
      </c>
      <c r="AI18" s="491"/>
      <c r="AJ18" s="166">
        <v>18</v>
      </c>
      <c r="AK18" s="166">
        <v>1295.6756756756747</v>
      </c>
      <c r="AL18" s="166">
        <v>71.981981981981932</v>
      </c>
      <c r="AM18" s="182">
        <f t="shared" si="8"/>
        <v>16</v>
      </c>
      <c r="AN18" s="491"/>
      <c r="AO18" s="166">
        <v>18</v>
      </c>
      <c r="AP18" s="166">
        <v>1283.6842105263147</v>
      </c>
      <c r="AQ18" s="166">
        <v>71.315789473684148</v>
      </c>
      <c r="AR18" s="182">
        <f t="shared" si="9"/>
        <v>19</v>
      </c>
      <c r="AS18" s="491"/>
      <c r="AT18" s="166">
        <v>17</v>
      </c>
      <c r="AU18" s="166">
        <v>1263.3333333333323</v>
      </c>
      <c r="AV18" s="166">
        <v>74.31372549019602</v>
      </c>
      <c r="AW18" s="182">
        <f t="shared" si="10"/>
        <v>13</v>
      </c>
      <c r="AX18" s="491"/>
      <c r="AZ18" s="181" t="e">
        <f>RANK(AX18, $K$7:AX$36)</f>
        <v>#N/A</v>
      </c>
      <c r="BB18" s="182" t="e">
        <f t="shared" si="0"/>
        <v>#N/A</v>
      </c>
    </row>
    <row r="19" spans="2:54">
      <c r="B19" s="479"/>
      <c r="C19" s="182">
        <v>13</v>
      </c>
      <c r="D19" s="203" t="s">
        <v>289</v>
      </c>
      <c r="E19" s="166">
        <v>18</v>
      </c>
      <c r="F19" s="182">
        <v>1440</v>
      </c>
      <c r="G19" s="180">
        <v>80</v>
      </c>
      <c r="H19" s="460"/>
      <c r="I19" s="166">
        <f t="shared" si="1"/>
        <v>18.142857142857142</v>
      </c>
      <c r="J19" s="166">
        <f t="shared" si="2"/>
        <v>1330.7425171533646</v>
      </c>
      <c r="K19" s="180">
        <f t="shared" si="3"/>
        <v>73.439357978907779</v>
      </c>
      <c r="L19" s="460"/>
      <c r="M19" s="181">
        <f>RANK(K19, K$7:$K$36)</f>
        <v>12</v>
      </c>
      <c r="N19" s="462"/>
      <c r="O19" s="462"/>
      <c r="P19" s="166">
        <v>19</v>
      </c>
      <c r="Q19" s="166">
        <v>1338.6486486486476</v>
      </c>
      <c r="R19" s="166">
        <v>70.455192034139344</v>
      </c>
      <c r="S19" s="182">
        <f t="shared" si="4"/>
        <v>22</v>
      </c>
      <c r="T19" s="491"/>
      <c r="U19" s="166">
        <v>18</v>
      </c>
      <c r="V19" s="166">
        <v>1299.42857142857</v>
      </c>
      <c r="W19" s="166">
        <v>72.190476190476105</v>
      </c>
      <c r="X19" s="182">
        <f t="shared" si="5"/>
        <v>15</v>
      </c>
      <c r="Y19" s="491"/>
      <c r="Z19" s="166">
        <v>18</v>
      </c>
      <c r="AA19" s="166">
        <v>1358.4375000000016</v>
      </c>
      <c r="AB19" s="166">
        <v>75.468750000000085</v>
      </c>
      <c r="AC19" s="182">
        <f t="shared" si="6"/>
        <v>11</v>
      </c>
      <c r="AD19" s="491"/>
      <c r="AE19" s="166">
        <v>18</v>
      </c>
      <c r="AF19" s="166">
        <v>1302.7272727272741</v>
      </c>
      <c r="AG19" s="166">
        <v>72.373737373737455</v>
      </c>
      <c r="AH19" s="182">
        <f t="shared" si="7"/>
        <v>16</v>
      </c>
      <c r="AI19" s="491"/>
      <c r="AJ19" s="166">
        <v>18</v>
      </c>
      <c r="AK19" s="166">
        <v>1325.9999999999986</v>
      </c>
      <c r="AL19" s="166">
        <v>73.666666666666586</v>
      </c>
      <c r="AM19" s="182">
        <f t="shared" si="8"/>
        <v>13</v>
      </c>
      <c r="AN19" s="491"/>
      <c r="AO19" s="166">
        <v>17</v>
      </c>
      <c r="AP19" s="166">
        <v>1347.5675675675666</v>
      </c>
      <c r="AQ19" s="166">
        <v>79.268680445150977</v>
      </c>
      <c r="AR19" s="182">
        <f t="shared" si="9"/>
        <v>9</v>
      </c>
      <c r="AS19" s="491"/>
      <c r="AT19" s="166">
        <v>19</v>
      </c>
      <c r="AU19" s="166">
        <v>1342.3880597014943</v>
      </c>
      <c r="AV19" s="166">
        <v>70.652003142183915</v>
      </c>
      <c r="AW19" s="182">
        <f t="shared" si="10"/>
        <v>17</v>
      </c>
      <c r="AX19" s="491"/>
      <c r="AZ19" s="181" t="e">
        <f>RANK(AX19, $K$7:AX$36)</f>
        <v>#N/A</v>
      </c>
      <c r="BB19" s="182" t="e">
        <f t="shared" si="0"/>
        <v>#N/A</v>
      </c>
    </row>
    <row r="20" spans="2:54">
      <c r="B20" s="479"/>
      <c r="C20" s="182">
        <v>14</v>
      </c>
      <c r="D20" s="203" t="s">
        <v>290</v>
      </c>
      <c r="E20" s="166">
        <v>15</v>
      </c>
      <c r="F20" s="182">
        <v>1440</v>
      </c>
      <c r="G20" s="180">
        <v>96</v>
      </c>
      <c r="H20" s="460"/>
      <c r="I20" s="166">
        <f t="shared" si="1"/>
        <v>15.857142857142858</v>
      </c>
      <c r="J20" s="166">
        <f t="shared" si="2"/>
        <v>1285.5132318658627</v>
      </c>
      <c r="K20" s="180">
        <f t="shared" si="3"/>
        <v>81.102369199408614</v>
      </c>
      <c r="L20" s="460"/>
      <c r="M20" s="181">
        <f>RANK(K20, K$7:$K$36)</f>
        <v>6</v>
      </c>
      <c r="N20" s="462"/>
      <c r="O20" s="462"/>
      <c r="P20" s="166">
        <v>16</v>
      </c>
      <c r="Q20" s="166">
        <v>1252.2580645161302</v>
      </c>
      <c r="R20" s="166">
        <v>78.266129032258135</v>
      </c>
      <c r="S20" s="182">
        <f t="shared" si="4"/>
        <v>9</v>
      </c>
      <c r="T20" s="491"/>
      <c r="U20" s="166">
        <v>16</v>
      </c>
      <c r="V20" s="166">
        <v>1306.9090909090917</v>
      </c>
      <c r="W20" s="166">
        <v>81.68181818181823</v>
      </c>
      <c r="X20" s="182">
        <f t="shared" si="5"/>
        <v>6</v>
      </c>
      <c r="Y20" s="491"/>
      <c r="Z20" s="166">
        <v>16</v>
      </c>
      <c r="AA20" s="166">
        <v>1299.6000000000004</v>
      </c>
      <c r="AB20" s="166">
        <v>81.225000000000023</v>
      </c>
      <c r="AC20" s="182">
        <f t="shared" si="6"/>
        <v>6</v>
      </c>
      <c r="AD20" s="491"/>
      <c r="AE20" s="166">
        <v>16</v>
      </c>
      <c r="AF20" s="166">
        <v>1283.0769230769238</v>
      </c>
      <c r="AG20" s="166">
        <v>80.192307692307736</v>
      </c>
      <c r="AH20" s="182">
        <f t="shared" si="7"/>
        <v>8</v>
      </c>
      <c r="AI20" s="491"/>
      <c r="AJ20" s="166">
        <v>16</v>
      </c>
      <c r="AK20" s="166">
        <v>1306.0714285714296</v>
      </c>
      <c r="AL20" s="166">
        <v>81.629464285714349</v>
      </c>
      <c r="AM20" s="182">
        <f t="shared" si="8"/>
        <v>7</v>
      </c>
      <c r="AN20" s="491"/>
      <c r="AO20" s="166">
        <v>16</v>
      </c>
      <c r="AP20" s="166">
        <v>1277.5862068965528</v>
      </c>
      <c r="AQ20" s="166">
        <v>79.849137931034548</v>
      </c>
      <c r="AR20" s="182">
        <f t="shared" si="9"/>
        <v>8</v>
      </c>
      <c r="AS20" s="491"/>
      <c r="AT20" s="166">
        <v>15</v>
      </c>
      <c r="AU20" s="166">
        <v>1273.0909090909099</v>
      </c>
      <c r="AV20" s="166">
        <v>84.872727272727332</v>
      </c>
      <c r="AW20" s="182">
        <f t="shared" si="10"/>
        <v>4</v>
      </c>
      <c r="AX20" s="491"/>
      <c r="AZ20" s="181" t="e">
        <f>RANK(AX20, $K$7:AX$36)</f>
        <v>#N/A</v>
      </c>
      <c r="BB20" s="182" t="e">
        <f t="shared" si="0"/>
        <v>#N/A</v>
      </c>
    </row>
    <row r="21" spans="2:54">
      <c r="B21" s="479"/>
      <c r="C21" s="182">
        <v>15</v>
      </c>
      <c r="D21" s="203" t="s">
        <v>291</v>
      </c>
      <c r="E21" s="166">
        <v>17</v>
      </c>
      <c r="F21" s="182">
        <v>1440</v>
      </c>
      <c r="G21" s="180">
        <v>84.7</v>
      </c>
      <c r="H21" s="460"/>
      <c r="I21" s="166">
        <f t="shared" si="1"/>
        <v>16</v>
      </c>
      <c r="J21" s="166">
        <f t="shared" si="2"/>
        <v>1336.0208364939429</v>
      </c>
      <c r="K21" s="180">
        <f t="shared" si="3"/>
        <v>83.501302280871428</v>
      </c>
      <c r="L21" s="460"/>
      <c r="M21" s="181">
        <f>RANK(K21, K$7:$K$36)</f>
        <v>4</v>
      </c>
      <c r="N21" s="462"/>
      <c r="O21" s="462"/>
      <c r="P21" s="166">
        <v>16</v>
      </c>
      <c r="Q21" s="166">
        <v>1340.2173913043478</v>
      </c>
      <c r="R21" s="166">
        <v>83.763586956521735</v>
      </c>
      <c r="S21" s="182">
        <f t="shared" si="4"/>
        <v>5</v>
      </c>
      <c r="T21" s="491"/>
      <c r="U21" s="166">
        <v>16</v>
      </c>
      <c r="V21" s="166">
        <v>1343.8356164383551</v>
      </c>
      <c r="W21" s="166">
        <v>83.989726027397197</v>
      </c>
      <c r="X21" s="182">
        <f t="shared" si="5"/>
        <v>4</v>
      </c>
      <c r="Y21" s="491"/>
      <c r="Z21" s="166">
        <v>16</v>
      </c>
      <c r="AA21" s="166">
        <v>1338.1578947368412</v>
      </c>
      <c r="AB21" s="166">
        <v>83.634868421052573</v>
      </c>
      <c r="AC21" s="182">
        <f t="shared" si="6"/>
        <v>5</v>
      </c>
      <c r="AD21" s="491"/>
      <c r="AE21" s="166">
        <v>16</v>
      </c>
      <c r="AF21" s="166">
        <v>1343.2499999999995</v>
      </c>
      <c r="AG21" s="166">
        <v>83.953124999999972</v>
      </c>
      <c r="AH21" s="182">
        <f t="shared" si="7"/>
        <v>4</v>
      </c>
      <c r="AI21" s="491"/>
      <c r="AJ21" s="166">
        <v>16</v>
      </c>
      <c r="AK21" s="166">
        <v>1338.409090909091</v>
      </c>
      <c r="AL21" s="166">
        <v>83.650568181818187</v>
      </c>
      <c r="AM21" s="182">
        <f t="shared" si="8"/>
        <v>4</v>
      </c>
      <c r="AN21" s="491"/>
      <c r="AO21" s="166">
        <v>16</v>
      </c>
      <c r="AP21" s="166">
        <v>1339.9999999999998</v>
      </c>
      <c r="AQ21" s="166">
        <v>83.749999999999986</v>
      </c>
      <c r="AR21" s="182">
        <f t="shared" si="9"/>
        <v>5</v>
      </c>
      <c r="AS21" s="491"/>
      <c r="AT21" s="166">
        <v>16</v>
      </c>
      <c r="AU21" s="166">
        <v>1308.2758620689654</v>
      </c>
      <c r="AV21" s="166">
        <v>81.767241379310335</v>
      </c>
      <c r="AW21" s="182">
        <f t="shared" si="10"/>
        <v>6</v>
      </c>
      <c r="AX21" s="491"/>
      <c r="AZ21" s="166" t="e">
        <f>RANK(AX21, $K$7:AX$36)</f>
        <v>#N/A</v>
      </c>
      <c r="BB21" s="182" t="e">
        <f t="shared" si="0"/>
        <v>#N/A</v>
      </c>
    </row>
    <row r="22" spans="2:54">
      <c r="B22" s="479"/>
      <c r="C22" s="182">
        <v>16</v>
      </c>
      <c r="D22" s="203" t="s">
        <v>292</v>
      </c>
      <c r="E22" s="166">
        <v>17</v>
      </c>
      <c r="F22" s="182">
        <v>1636</v>
      </c>
      <c r="G22" s="180">
        <v>96.3</v>
      </c>
      <c r="H22" s="460"/>
      <c r="I22" s="166">
        <f t="shared" si="1"/>
        <v>17</v>
      </c>
      <c r="J22" s="166">
        <f t="shared" si="2"/>
        <v>1137.7733044733011</v>
      </c>
      <c r="K22" s="180">
        <f t="shared" si="3"/>
        <v>66.927841439605956</v>
      </c>
      <c r="L22" s="460"/>
      <c r="M22" s="181">
        <f>RANK(K22, K$7:$K$36)</f>
        <v>20</v>
      </c>
      <c r="N22" s="462"/>
      <c r="O22" s="462"/>
      <c r="P22" s="166">
        <v>17</v>
      </c>
      <c r="Q22" s="166">
        <v>1222.4999999999961</v>
      </c>
      <c r="R22" s="166">
        <v>71.911764705882121</v>
      </c>
      <c r="S22" s="182">
        <f t="shared" si="4"/>
        <v>17</v>
      </c>
      <c r="T22" s="491"/>
      <c r="U22" s="166">
        <v>17</v>
      </c>
      <c r="V22" s="166">
        <v>1093.3333333333308</v>
      </c>
      <c r="W22" s="166">
        <v>64.313725490195921</v>
      </c>
      <c r="X22" s="182">
        <f t="shared" si="5"/>
        <v>26</v>
      </c>
      <c r="Y22" s="491"/>
      <c r="Z22" s="166">
        <v>17</v>
      </c>
      <c r="AA22" s="166">
        <v>1084.9999999999968</v>
      </c>
      <c r="AB22" s="166">
        <v>63.823529411764518</v>
      </c>
      <c r="AC22" s="182">
        <f t="shared" si="6"/>
        <v>25</v>
      </c>
      <c r="AD22" s="491"/>
      <c r="AE22" s="166">
        <v>17</v>
      </c>
      <c r="AF22" s="166">
        <v>1279.0909090909042</v>
      </c>
      <c r="AG22" s="166">
        <v>75.240641711229657</v>
      </c>
      <c r="AH22" s="182">
        <f t="shared" si="7"/>
        <v>13</v>
      </c>
      <c r="AI22" s="491"/>
      <c r="AJ22" s="166">
        <v>17</v>
      </c>
      <c r="AK22" s="166">
        <v>1109.9999999999966</v>
      </c>
      <c r="AL22" s="166">
        <v>65.294117647058627</v>
      </c>
      <c r="AM22" s="182">
        <f t="shared" si="8"/>
        <v>25</v>
      </c>
      <c r="AN22" s="491"/>
      <c r="AO22" s="166">
        <v>17</v>
      </c>
      <c r="AP22" s="166">
        <v>1108.8888888888864</v>
      </c>
      <c r="AQ22" s="166">
        <v>65.228758169934494</v>
      </c>
      <c r="AR22" s="182">
        <f t="shared" si="9"/>
        <v>23</v>
      </c>
      <c r="AS22" s="491"/>
      <c r="AT22" s="166">
        <v>17</v>
      </c>
      <c r="AU22" s="166">
        <v>1065.599999999997</v>
      </c>
      <c r="AV22" s="166">
        <v>62.682352941176291</v>
      </c>
      <c r="AW22" s="182">
        <f t="shared" si="10"/>
        <v>24</v>
      </c>
      <c r="AX22" s="491"/>
      <c r="AZ22" s="166" t="e">
        <f>RANK(AX22, $K$7:AX$36)</f>
        <v>#N/A</v>
      </c>
      <c r="BB22" s="182" t="e">
        <f t="shared" si="0"/>
        <v>#N/A</v>
      </c>
    </row>
    <row r="23" spans="2:54">
      <c r="B23" s="479"/>
      <c r="C23" s="182">
        <v>17</v>
      </c>
      <c r="D23" s="203" t="s">
        <v>293</v>
      </c>
      <c r="E23" s="166">
        <v>18</v>
      </c>
      <c r="F23" s="182">
        <v>1440</v>
      </c>
      <c r="G23" s="180">
        <v>80</v>
      </c>
      <c r="H23" s="460"/>
      <c r="I23" s="166">
        <f t="shared" si="1"/>
        <v>17</v>
      </c>
      <c r="J23" s="166">
        <f t="shared" si="2"/>
        <v>1287.0277626552634</v>
      </c>
      <c r="K23" s="180">
        <f t="shared" si="3"/>
        <v>75.707515450309629</v>
      </c>
      <c r="L23" s="460"/>
      <c r="M23" s="181">
        <f>RANK(K23, K$7:$K$36)</f>
        <v>10</v>
      </c>
      <c r="N23" s="462"/>
      <c r="O23" s="462"/>
      <c r="P23" s="166">
        <v>17</v>
      </c>
      <c r="Q23" s="166">
        <v>1307.3076923076931</v>
      </c>
      <c r="R23" s="166">
        <v>76.900452488687833</v>
      </c>
      <c r="S23" s="182">
        <f t="shared" si="4"/>
        <v>11</v>
      </c>
      <c r="T23" s="491"/>
      <c r="U23" s="166">
        <v>17</v>
      </c>
      <c r="V23" s="166">
        <v>1282.9787234042553</v>
      </c>
      <c r="W23" s="166">
        <v>75.469336670838544</v>
      </c>
      <c r="X23" s="182">
        <f t="shared" si="5"/>
        <v>10</v>
      </c>
      <c r="Y23" s="491"/>
      <c r="Z23" s="166">
        <v>17</v>
      </c>
      <c r="AA23" s="166">
        <v>1266.3829787234044</v>
      </c>
      <c r="AB23" s="166">
        <v>74.493116395494383</v>
      </c>
      <c r="AC23" s="182">
        <f t="shared" si="6"/>
        <v>12</v>
      </c>
      <c r="AD23" s="491"/>
      <c r="AE23" s="166">
        <v>17</v>
      </c>
      <c r="AF23" s="166">
        <v>1308.4615384615392</v>
      </c>
      <c r="AG23" s="166">
        <v>76.96832579185525</v>
      </c>
      <c r="AH23" s="182">
        <f t="shared" si="7"/>
        <v>11</v>
      </c>
      <c r="AI23" s="491"/>
      <c r="AJ23" s="166">
        <v>17</v>
      </c>
      <c r="AK23" s="166">
        <v>1298.1818181818192</v>
      </c>
      <c r="AL23" s="166">
        <v>76.363636363636417</v>
      </c>
      <c r="AM23" s="182">
        <f t="shared" si="8"/>
        <v>12</v>
      </c>
      <c r="AN23" s="491"/>
      <c r="AO23" s="166">
        <v>17</v>
      </c>
      <c r="AP23" s="166">
        <v>1249.6551724137939</v>
      </c>
      <c r="AQ23" s="166">
        <v>73.509127789046701</v>
      </c>
      <c r="AR23" s="182">
        <f t="shared" si="9"/>
        <v>15</v>
      </c>
      <c r="AS23" s="491"/>
      <c r="AT23" s="166">
        <v>17</v>
      </c>
      <c r="AU23" s="166">
        <v>1296.2264150943402</v>
      </c>
      <c r="AV23" s="166">
        <v>76.248612652608244</v>
      </c>
      <c r="AW23" s="182">
        <f t="shared" si="10"/>
        <v>11</v>
      </c>
      <c r="AX23" s="491"/>
      <c r="AZ23" s="166" t="e">
        <f>RANK(AX23, $K$7:AX$36)</f>
        <v>#N/A</v>
      </c>
      <c r="BB23" s="182" t="e">
        <f t="shared" si="0"/>
        <v>#N/A</v>
      </c>
    </row>
    <row r="24" spans="2:54">
      <c r="B24" s="479"/>
      <c r="C24" s="182">
        <v>18</v>
      </c>
      <c r="D24" s="203" t="s">
        <v>294</v>
      </c>
      <c r="E24" s="166">
        <v>18</v>
      </c>
      <c r="F24" s="182">
        <v>1500</v>
      </c>
      <c r="G24" s="180">
        <v>83.3</v>
      </c>
      <c r="H24" s="460"/>
      <c r="I24" s="166">
        <f t="shared" si="1"/>
        <v>18</v>
      </c>
      <c r="J24" s="166">
        <f t="shared" si="2"/>
        <v>1282.4231948458951</v>
      </c>
      <c r="K24" s="180">
        <f t="shared" si="3"/>
        <v>71.245733046994161</v>
      </c>
      <c r="L24" s="460"/>
      <c r="M24" s="181">
        <f>RANK(K24, K$7:$K$36)</f>
        <v>14</v>
      </c>
      <c r="N24" s="462"/>
      <c r="O24" s="462"/>
      <c r="P24" s="166">
        <v>18</v>
      </c>
      <c r="Q24" s="166">
        <v>1307.2340425531916</v>
      </c>
      <c r="R24" s="166">
        <v>72.62411347517731</v>
      </c>
      <c r="S24" s="182">
        <f t="shared" si="4"/>
        <v>16</v>
      </c>
      <c r="T24" s="491"/>
      <c r="U24" s="166">
        <v>18</v>
      </c>
      <c r="V24" s="166">
        <v>1253.1818181818182</v>
      </c>
      <c r="W24" s="166">
        <v>69.621212121212125</v>
      </c>
      <c r="X24" s="182">
        <f t="shared" si="5"/>
        <v>18</v>
      </c>
      <c r="Y24" s="491"/>
      <c r="Z24" s="166">
        <v>18</v>
      </c>
      <c r="AA24" s="166">
        <v>1240</v>
      </c>
      <c r="AB24" s="166">
        <v>68.888888888888886</v>
      </c>
      <c r="AC24" s="182">
        <f t="shared" si="6"/>
        <v>22</v>
      </c>
      <c r="AD24" s="491"/>
      <c r="AE24" s="166">
        <v>18</v>
      </c>
      <c r="AF24" s="166">
        <v>1306.9565217391305</v>
      </c>
      <c r="AG24" s="166">
        <v>72.608695652173921</v>
      </c>
      <c r="AH24" s="182">
        <f t="shared" si="7"/>
        <v>15</v>
      </c>
      <c r="AI24" s="491"/>
      <c r="AJ24" s="166">
        <v>18</v>
      </c>
      <c r="AK24" s="166">
        <v>1313.1818181818182</v>
      </c>
      <c r="AL24" s="166">
        <v>72.954545454545453</v>
      </c>
      <c r="AM24" s="182">
        <f t="shared" si="8"/>
        <v>14</v>
      </c>
      <c r="AN24" s="491"/>
      <c r="AO24" s="166">
        <v>18</v>
      </c>
      <c r="AP24" s="166">
        <v>1300.4081632653065</v>
      </c>
      <c r="AQ24" s="166">
        <v>72.244897959183689</v>
      </c>
      <c r="AR24" s="182">
        <f t="shared" si="9"/>
        <v>16</v>
      </c>
      <c r="AS24" s="491"/>
      <c r="AT24" s="166">
        <v>18</v>
      </c>
      <c r="AU24" s="166">
        <v>1256</v>
      </c>
      <c r="AV24" s="166">
        <v>69.777777777777771</v>
      </c>
      <c r="AW24" s="182">
        <f t="shared" si="10"/>
        <v>20</v>
      </c>
      <c r="AX24" s="491"/>
      <c r="AZ24" s="166" t="e">
        <f>RANK(AX24, $K$7:AX$36)</f>
        <v>#N/A</v>
      </c>
      <c r="BB24" s="182" t="e">
        <f t="shared" si="0"/>
        <v>#N/A</v>
      </c>
    </row>
    <row r="25" spans="2:54">
      <c r="B25" s="479"/>
      <c r="C25" s="182">
        <v>19</v>
      </c>
      <c r="D25" s="203" t="s">
        <v>295</v>
      </c>
      <c r="E25" s="166">
        <v>17</v>
      </c>
      <c r="F25" s="182">
        <v>1440</v>
      </c>
      <c r="G25" s="180">
        <v>84.7</v>
      </c>
      <c r="H25" s="460"/>
      <c r="I25" s="166">
        <f t="shared" si="1"/>
        <v>17</v>
      </c>
      <c r="J25" s="166">
        <f t="shared" si="2"/>
        <v>1093.8970677926318</v>
      </c>
      <c r="K25" s="180">
        <f t="shared" si="3"/>
        <v>64.346886340743055</v>
      </c>
      <c r="L25" s="460"/>
      <c r="M25" s="181">
        <f>RANK(K25, K$7:$K$36)</f>
        <v>23</v>
      </c>
      <c r="N25" s="462"/>
      <c r="O25" s="462"/>
      <c r="P25" s="166">
        <v>17</v>
      </c>
      <c r="Q25" s="166">
        <v>1097.7777777777751</v>
      </c>
      <c r="R25" s="166">
        <v>64.575163398692652</v>
      </c>
      <c r="S25" s="182">
        <f t="shared" si="4"/>
        <v>26</v>
      </c>
      <c r="T25" s="491"/>
      <c r="U25" s="166">
        <v>17</v>
      </c>
      <c r="V25" s="166">
        <v>1108.8888888888864</v>
      </c>
      <c r="W25" s="166">
        <v>65.228758169934494</v>
      </c>
      <c r="X25" s="182">
        <f t="shared" si="5"/>
        <v>24</v>
      </c>
      <c r="Y25" s="491"/>
      <c r="Z25" s="166">
        <v>17</v>
      </c>
      <c r="AA25" s="166">
        <v>1084.799999999997</v>
      </c>
      <c r="AB25" s="166">
        <v>63.811764705882176</v>
      </c>
      <c r="AC25" s="182">
        <f t="shared" si="6"/>
        <v>26</v>
      </c>
      <c r="AD25" s="491"/>
      <c r="AE25" s="166">
        <v>17</v>
      </c>
      <c r="AF25" s="166">
        <v>1094.4827586206875</v>
      </c>
      <c r="AG25" s="166">
        <v>64.381338742393382</v>
      </c>
      <c r="AH25" s="182">
        <f t="shared" si="7"/>
        <v>26</v>
      </c>
      <c r="AI25" s="491"/>
      <c r="AJ25" s="166">
        <v>17</v>
      </c>
      <c r="AK25" s="166">
        <v>1109.999999999997</v>
      </c>
      <c r="AL25" s="166">
        <v>65.294117647058656</v>
      </c>
      <c r="AM25" s="182">
        <f t="shared" si="8"/>
        <v>24</v>
      </c>
      <c r="AN25" s="491"/>
      <c r="AO25" s="166">
        <v>17</v>
      </c>
      <c r="AP25" s="166">
        <v>1102.7586206896531</v>
      </c>
      <c r="AQ25" s="166">
        <v>64.868154158214892</v>
      </c>
      <c r="AR25" s="182">
        <f t="shared" si="9"/>
        <v>24</v>
      </c>
      <c r="AS25" s="491"/>
      <c r="AT25" s="166">
        <v>17</v>
      </c>
      <c r="AU25" s="166">
        <v>1058.5714285714262</v>
      </c>
      <c r="AV25" s="166">
        <v>62.268907563025067</v>
      </c>
      <c r="AW25" s="182">
        <f t="shared" si="10"/>
        <v>25</v>
      </c>
      <c r="AX25" s="491"/>
      <c r="AZ25" s="166" t="e">
        <f>RANK(AX25, $K$7:AX$36)</f>
        <v>#N/A</v>
      </c>
      <c r="BB25" s="182" t="e">
        <f t="shared" si="0"/>
        <v>#N/A</v>
      </c>
    </row>
    <row r="26" spans="2:54">
      <c r="B26" s="479"/>
      <c r="C26" s="182">
        <v>20</v>
      </c>
      <c r="D26" s="203" t="s">
        <v>296</v>
      </c>
      <c r="E26" s="166">
        <v>18</v>
      </c>
      <c r="F26" s="182">
        <v>1385</v>
      </c>
      <c r="G26" s="180">
        <v>76.900000000000006</v>
      </c>
      <c r="H26" s="460"/>
      <c r="I26" s="166">
        <f t="shared" si="1"/>
        <v>17</v>
      </c>
      <c r="J26" s="166">
        <f t="shared" si="2"/>
        <v>1196.9612369770609</v>
      </c>
      <c r="K26" s="180">
        <f t="shared" si="3"/>
        <v>70.409484528062407</v>
      </c>
      <c r="L26" s="460"/>
      <c r="M26" s="181">
        <f>RANK(K26, K$7:$K$36)</f>
        <v>17</v>
      </c>
      <c r="N26" s="462"/>
      <c r="O26" s="462"/>
      <c r="P26" s="166">
        <v>17</v>
      </c>
      <c r="Q26" s="166">
        <v>1265.5555555555561</v>
      </c>
      <c r="R26" s="166">
        <v>74.444444444444471</v>
      </c>
      <c r="S26" s="182">
        <f t="shared" si="4"/>
        <v>15</v>
      </c>
      <c r="T26" s="491"/>
      <c r="U26" s="166">
        <v>17</v>
      </c>
      <c r="V26" s="166">
        <v>1157.1428571428576</v>
      </c>
      <c r="W26" s="166">
        <v>68.067226890756331</v>
      </c>
      <c r="X26" s="182">
        <f t="shared" si="5"/>
        <v>22</v>
      </c>
      <c r="Y26" s="491"/>
      <c r="Z26" s="166">
        <v>17</v>
      </c>
      <c r="AA26" s="166">
        <v>1175.9999999999989</v>
      </c>
      <c r="AB26" s="166">
        <v>69.176470588235233</v>
      </c>
      <c r="AC26" s="182">
        <f t="shared" si="6"/>
        <v>20</v>
      </c>
      <c r="AD26" s="491"/>
      <c r="AE26" s="166">
        <v>17</v>
      </c>
      <c r="AF26" s="166">
        <v>1242.3529411764748</v>
      </c>
      <c r="AG26" s="166">
        <v>73.079584775086758</v>
      </c>
      <c r="AH26" s="182">
        <f t="shared" si="7"/>
        <v>14</v>
      </c>
      <c r="AI26" s="491"/>
      <c r="AJ26" s="166">
        <v>17</v>
      </c>
      <c r="AK26" s="166">
        <v>1146.6666666666667</v>
      </c>
      <c r="AL26" s="166">
        <v>67.450980392156865</v>
      </c>
      <c r="AM26" s="182">
        <f t="shared" si="8"/>
        <v>22</v>
      </c>
      <c r="AN26" s="491"/>
      <c r="AO26" s="166">
        <v>17</v>
      </c>
      <c r="AP26" s="166">
        <v>1202.5000000000002</v>
      </c>
      <c r="AQ26" s="166">
        <v>70.735294117647072</v>
      </c>
      <c r="AR26" s="182">
        <f t="shared" si="9"/>
        <v>20</v>
      </c>
      <c r="AS26" s="491"/>
      <c r="AT26" s="166">
        <v>17</v>
      </c>
      <c r="AU26" s="166">
        <v>1188.5106382978724</v>
      </c>
      <c r="AV26" s="166">
        <v>69.912390488110148</v>
      </c>
      <c r="AW26" s="182">
        <f t="shared" si="10"/>
        <v>18</v>
      </c>
      <c r="AX26" s="491"/>
      <c r="AZ26" s="166" t="e">
        <f>RANK(AX26, $K$7:AX$36)</f>
        <v>#N/A</v>
      </c>
      <c r="BB26" s="182" t="e">
        <f t="shared" si="0"/>
        <v>#N/A</v>
      </c>
    </row>
    <row r="27" spans="2:54">
      <c r="B27" s="479"/>
      <c r="C27" s="182">
        <v>21</v>
      </c>
      <c r="D27" s="203" t="s">
        <v>297</v>
      </c>
      <c r="E27" s="166">
        <v>18</v>
      </c>
      <c r="F27" s="182">
        <v>1440</v>
      </c>
      <c r="G27" s="180">
        <v>80</v>
      </c>
      <c r="H27" s="460"/>
      <c r="I27" s="166">
        <f t="shared" si="1"/>
        <v>18.142857142857142</v>
      </c>
      <c r="J27" s="166">
        <f t="shared" si="2"/>
        <v>1276.4556111722293</v>
      </c>
      <c r="K27" s="180">
        <f t="shared" si="3"/>
        <v>70.37934074371428</v>
      </c>
      <c r="L27" s="460"/>
      <c r="M27" s="181">
        <f>RANK(K27, K$7:$K$36)</f>
        <v>18</v>
      </c>
      <c r="N27" s="462"/>
      <c r="O27" s="462"/>
      <c r="P27" s="166">
        <v>18</v>
      </c>
      <c r="Q27" s="166">
        <v>1273.0434782608695</v>
      </c>
      <c r="R27" s="166">
        <v>70.724637681159422</v>
      </c>
      <c r="S27" s="182">
        <f t="shared" si="4"/>
        <v>21</v>
      </c>
      <c r="T27" s="491"/>
      <c r="U27" s="166">
        <v>18</v>
      </c>
      <c r="V27" s="166">
        <v>1274.0425531914896</v>
      </c>
      <c r="W27" s="166">
        <v>70.780141843971649</v>
      </c>
      <c r="X27" s="182">
        <f t="shared" si="5"/>
        <v>17</v>
      </c>
      <c r="Y27" s="491"/>
      <c r="Z27" s="166">
        <v>18</v>
      </c>
      <c r="AA27" s="166">
        <v>1288.571428571428</v>
      </c>
      <c r="AB27" s="166">
        <v>71.587301587301553</v>
      </c>
      <c r="AC27" s="182">
        <f t="shared" si="6"/>
        <v>14</v>
      </c>
      <c r="AD27" s="491"/>
      <c r="AE27" s="166">
        <v>18</v>
      </c>
      <c r="AF27" s="166">
        <v>1262.7272727272727</v>
      </c>
      <c r="AG27" s="166">
        <v>70.151515151515156</v>
      </c>
      <c r="AH27" s="182">
        <f t="shared" si="7"/>
        <v>21</v>
      </c>
      <c r="AI27" s="491"/>
      <c r="AJ27" s="166">
        <v>18</v>
      </c>
      <c r="AK27" s="166">
        <v>1268.7500000000005</v>
      </c>
      <c r="AL27" s="166">
        <v>70.486111111111143</v>
      </c>
      <c r="AM27" s="182">
        <f t="shared" si="8"/>
        <v>20</v>
      </c>
      <c r="AN27" s="491"/>
      <c r="AO27" s="166">
        <v>18</v>
      </c>
      <c r="AP27" s="166">
        <v>1287.6000000000004</v>
      </c>
      <c r="AQ27" s="166">
        <v>71.53333333333336</v>
      </c>
      <c r="AR27" s="182">
        <f t="shared" si="9"/>
        <v>18</v>
      </c>
      <c r="AS27" s="491"/>
      <c r="AT27" s="166">
        <v>19</v>
      </c>
      <c r="AU27" s="166">
        <v>1280.4545454545455</v>
      </c>
      <c r="AV27" s="166">
        <v>67.392344497607652</v>
      </c>
      <c r="AW27" s="182">
        <f t="shared" si="10"/>
        <v>21</v>
      </c>
      <c r="AX27" s="491"/>
      <c r="AZ27" s="166" t="e">
        <f>RANK(AX27, $K$7:AX$36)</f>
        <v>#N/A</v>
      </c>
      <c r="BB27" s="182" t="e">
        <f t="shared" si="0"/>
        <v>#N/A</v>
      </c>
    </row>
    <row r="28" spans="2:54">
      <c r="B28" s="479"/>
      <c r="C28" s="182">
        <v>22</v>
      </c>
      <c r="D28" s="203" t="s">
        <v>298</v>
      </c>
      <c r="E28" s="166">
        <v>15</v>
      </c>
      <c r="F28" s="182">
        <v>1500</v>
      </c>
      <c r="G28" s="180">
        <v>100</v>
      </c>
      <c r="H28" s="460"/>
      <c r="I28" s="166">
        <f t="shared" si="1"/>
        <v>16</v>
      </c>
      <c r="J28" s="166">
        <f t="shared" si="2"/>
        <v>1292.704025939792</v>
      </c>
      <c r="K28" s="180">
        <f t="shared" si="3"/>
        <v>80.794001621237001</v>
      </c>
      <c r="L28" s="460"/>
      <c r="M28" s="181">
        <f>RANK(K28, K$7:$K$36)</f>
        <v>7</v>
      </c>
      <c r="N28" s="462"/>
      <c r="O28" s="462"/>
      <c r="P28" s="166">
        <v>16</v>
      </c>
      <c r="Q28" s="166">
        <v>1301.6666666666656</v>
      </c>
      <c r="R28" s="166">
        <v>81.3541666666666</v>
      </c>
      <c r="S28" s="182">
        <f t="shared" si="4"/>
        <v>7</v>
      </c>
      <c r="T28" s="491"/>
      <c r="U28" s="166">
        <v>16</v>
      </c>
      <c r="V28" s="166">
        <v>1283.2835820895539</v>
      </c>
      <c r="W28" s="166">
        <v>80.205223880597117</v>
      </c>
      <c r="X28" s="182">
        <f t="shared" si="5"/>
        <v>7</v>
      </c>
      <c r="Y28" s="491"/>
      <c r="Z28" s="166">
        <v>16</v>
      </c>
      <c r="AA28" s="166">
        <v>1287.692307692309</v>
      </c>
      <c r="AB28" s="166">
        <v>80.480769230769312</v>
      </c>
      <c r="AC28" s="182">
        <f t="shared" si="6"/>
        <v>7</v>
      </c>
      <c r="AD28" s="491"/>
      <c r="AE28" s="166">
        <v>16</v>
      </c>
      <c r="AF28" s="166">
        <v>1304.3478260869554</v>
      </c>
      <c r="AG28" s="166">
        <v>81.52173913043471</v>
      </c>
      <c r="AH28" s="182">
        <f t="shared" si="7"/>
        <v>7</v>
      </c>
      <c r="AI28" s="491"/>
      <c r="AJ28" s="166">
        <v>16</v>
      </c>
      <c r="AK28" s="166">
        <v>1320.7792207792199</v>
      </c>
      <c r="AL28" s="166">
        <v>82.548701298701246</v>
      </c>
      <c r="AM28" s="182">
        <f t="shared" si="8"/>
        <v>5</v>
      </c>
      <c r="AN28" s="491"/>
      <c r="AO28" s="166">
        <v>16</v>
      </c>
      <c r="AP28" s="166">
        <v>1291.9480519480512</v>
      </c>
      <c r="AQ28" s="166">
        <v>80.746753246753201</v>
      </c>
      <c r="AR28" s="182">
        <f t="shared" si="9"/>
        <v>7</v>
      </c>
      <c r="AS28" s="491"/>
      <c r="AT28" s="166">
        <v>16</v>
      </c>
      <c r="AU28" s="166">
        <v>1259.2105263157887</v>
      </c>
      <c r="AV28" s="166">
        <v>78.700657894736793</v>
      </c>
      <c r="AW28" s="182">
        <f t="shared" si="10"/>
        <v>9</v>
      </c>
      <c r="AX28" s="491"/>
      <c r="AZ28" s="166" t="e">
        <f>RANK(AX28, $K$7:AX$36)</f>
        <v>#N/A</v>
      </c>
      <c r="BB28" s="182" t="e">
        <f t="shared" si="0"/>
        <v>#N/A</v>
      </c>
    </row>
    <row r="29" spans="2:54">
      <c r="B29" s="479"/>
      <c r="C29" s="182">
        <v>23</v>
      </c>
      <c r="D29" s="203" t="s">
        <v>299</v>
      </c>
      <c r="E29" s="166">
        <v>16</v>
      </c>
      <c r="F29" s="182">
        <v>1500</v>
      </c>
      <c r="G29" s="180">
        <v>93.8</v>
      </c>
      <c r="H29" s="460"/>
      <c r="I29" s="166">
        <f t="shared" si="1"/>
        <v>16</v>
      </c>
      <c r="J29" s="166">
        <f t="shared" si="2"/>
        <v>1118.3478260869547</v>
      </c>
      <c r="K29" s="180">
        <f t="shared" si="3"/>
        <v>69.896739130434668</v>
      </c>
      <c r="L29" s="460"/>
      <c r="M29" s="181">
        <f>RANK(K29, K$7:$K$36)</f>
        <v>19</v>
      </c>
      <c r="N29" s="462"/>
      <c r="O29" s="462"/>
      <c r="P29" s="166">
        <v>16</v>
      </c>
      <c r="Q29" s="166">
        <v>1109.999999999997</v>
      </c>
      <c r="R29" s="166">
        <v>69.374999999999815</v>
      </c>
      <c r="S29" s="182">
        <f t="shared" si="4"/>
        <v>23</v>
      </c>
      <c r="T29" s="491"/>
      <c r="U29" s="166">
        <v>16</v>
      </c>
      <c r="V29" s="166">
        <v>1090.4347826086919</v>
      </c>
      <c r="W29" s="166">
        <v>68.152173913043242</v>
      </c>
      <c r="X29" s="182">
        <f t="shared" si="5"/>
        <v>20</v>
      </c>
      <c r="Y29" s="491"/>
      <c r="Z29" s="166">
        <v>16</v>
      </c>
      <c r="AA29" s="166">
        <v>1139.999999999997</v>
      </c>
      <c r="AB29" s="166">
        <v>71.249999999999815</v>
      </c>
      <c r="AC29" s="182">
        <f t="shared" si="6"/>
        <v>17</v>
      </c>
      <c r="AD29" s="491"/>
      <c r="AE29" s="166">
        <v>16</v>
      </c>
      <c r="AF29" s="166">
        <v>1143.0000000000041</v>
      </c>
      <c r="AG29" s="166">
        <v>71.437500000000256</v>
      </c>
      <c r="AH29" s="182">
        <f t="shared" si="7"/>
        <v>18</v>
      </c>
      <c r="AI29" s="491"/>
      <c r="AJ29" s="166">
        <v>16</v>
      </c>
      <c r="AK29" s="166">
        <v>1104.9999999999966</v>
      </c>
      <c r="AL29" s="166">
        <v>69.062499999999787</v>
      </c>
      <c r="AM29" s="182">
        <f t="shared" si="8"/>
        <v>21</v>
      </c>
      <c r="AN29" s="491"/>
      <c r="AO29" s="166">
        <v>16</v>
      </c>
      <c r="AP29" s="166">
        <v>1097.4999999999966</v>
      </c>
      <c r="AQ29" s="166">
        <v>68.593749999999787</v>
      </c>
      <c r="AR29" s="182">
        <f t="shared" si="9"/>
        <v>22</v>
      </c>
      <c r="AS29" s="491"/>
      <c r="AT29" s="166">
        <v>16</v>
      </c>
      <c r="AU29" s="166">
        <v>1142.5000000000002</v>
      </c>
      <c r="AV29" s="166">
        <v>71.406250000000014</v>
      </c>
      <c r="AW29" s="182">
        <f t="shared" si="10"/>
        <v>15</v>
      </c>
      <c r="AX29" s="491"/>
      <c r="AZ29" s="166" t="e">
        <f>RANK(AX29, $K$7:AX$36)</f>
        <v>#N/A</v>
      </c>
      <c r="BB29" s="182" t="e">
        <f t="shared" si="0"/>
        <v>#N/A</v>
      </c>
    </row>
    <row r="30" spans="2:54">
      <c r="B30" s="479"/>
      <c r="C30" s="182">
        <v>24</v>
      </c>
      <c r="D30" s="203" t="s">
        <v>300</v>
      </c>
      <c r="E30" s="166">
        <v>20</v>
      </c>
      <c r="F30" s="182">
        <v>1500</v>
      </c>
      <c r="G30" s="180">
        <v>75</v>
      </c>
      <c r="H30" s="460"/>
      <c r="I30" s="166">
        <f t="shared" si="1"/>
        <v>19.857142857142858</v>
      </c>
      <c r="J30" s="166">
        <f t="shared" si="2"/>
        <v>1101.543482152586</v>
      </c>
      <c r="K30" s="180">
        <f t="shared" si="3"/>
        <v>55.500515068727694</v>
      </c>
      <c r="L30" s="460"/>
      <c r="M30" s="181">
        <f>RANK(K30, K$7:$K$36)</f>
        <v>24</v>
      </c>
      <c r="N30" s="462"/>
      <c r="O30" s="462"/>
      <c r="P30" s="182">
        <v>20</v>
      </c>
      <c r="Q30" s="180">
        <v>1156.2857142857131</v>
      </c>
      <c r="R30" s="180">
        <v>57.814285714285653</v>
      </c>
      <c r="S30" s="182">
        <f t="shared" si="4"/>
        <v>28</v>
      </c>
      <c r="T30" s="491"/>
      <c r="U30" s="182">
        <v>20</v>
      </c>
      <c r="V30" s="180">
        <v>1058.5714285714275</v>
      </c>
      <c r="W30" s="180">
        <v>52.928571428571374</v>
      </c>
      <c r="X30" s="182">
        <f t="shared" si="5"/>
        <v>28</v>
      </c>
      <c r="Y30" s="491"/>
      <c r="Z30" s="182">
        <v>20</v>
      </c>
      <c r="AA30" s="180">
        <v>1084.2857142857131</v>
      </c>
      <c r="AB30" s="180">
        <v>54.214285714285651</v>
      </c>
      <c r="AC30" s="182">
        <f t="shared" si="6"/>
        <v>28</v>
      </c>
      <c r="AD30" s="491"/>
      <c r="AE30" s="182">
        <v>20</v>
      </c>
      <c r="AF30" s="180">
        <v>1099.1666666666656</v>
      </c>
      <c r="AG30" s="180">
        <v>54.958333333333279</v>
      </c>
      <c r="AH30" s="182">
        <f t="shared" si="7"/>
        <v>28</v>
      </c>
      <c r="AI30" s="491"/>
      <c r="AJ30" s="182">
        <v>20</v>
      </c>
      <c r="AK30" s="180">
        <v>1088.2499999999995</v>
      </c>
      <c r="AL30" s="180">
        <v>54.41249999999998</v>
      </c>
      <c r="AM30" s="182">
        <f t="shared" si="8"/>
        <v>28</v>
      </c>
      <c r="AN30" s="491"/>
      <c r="AO30" s="182">
        <v>20</v>
      </c>
      <c r="AP30" s="180">
        <v>1098.1578947368414</v>
      </c>
      <c r="AQ30" s="180">
        <v>54.907894736842067</v>
      </c>
      <c r="AR30" s="182">
        <f t="shared" si="9"/>
        <v>27</v>
      </c>
      <c r="AS30" s="491"/>
      <c r="AT30" s="182">
        <v>19</v>
      </c>
      <c r="AU30" s="180">
        <v>1126.0869565217406</v>
      </c>
      <c r="AV30" s="180">
        <v>59.267734553775824</v>
      </c>
      <c r="AW30" s="182">
        <f t="shared" si="10"/>
        <v>27</v>
      </c>
      <c r="AX30" s="491"/>
      <c r="AZ30" s="166" t="e">
        <f>RANK(AX30, $K$7:AX$36)</f>
        <v>#N/A</v>
      </c>
      <c r="BB30" s="182" t="e">
        <f t="shared" si="0"/>
        <v>#N/A</v>
      </c>
    </row>
    <row r="31" spans="2:54">
      <c r="B31" s="479"/>
      <c r="C31" s="182">
        <v>25</v>
      </c>
      <c r="D31" s="203" t="s">
        <v>301</v>
      </c>
      <c r="E31" s="166">
        <v>17</v>
      </c>
      <c r="F31" s="182">
        <v>1440</v>
      </c>
      <c r="G31" s="180">
        <v>84.7</v>
      </c>
      <c r="H31" s="460"/>
      <c r="I31" s="166"/>
      <c r="J31" s="166"/>
      <c r="K31" s="180"/>
      <c r="L31" s="460"/>
      <c r="M31" s="181" t="e">
        <f>RANK(K31, K$7:$K$36)</f>
        <v>#N/A</v>
      </c>
      <c r="N31" s="462"/>
      <c r="O31" s="462"/>
      <c r="P31" s="182">
        <v>17</v>
      </c>
      <c r="Q31" s="180">
        <v>1298.4782608695652</v>
      </c>
      <c r="R31" s="180">
        <v>76.381074168797952</v>
      </c>
      <c r="S31" s="182">
        <f t="shared" si="4"/>
        <v>13</v>
      </c>
      <c r="T31" s="491"/>
      <c r="U31" s="182">
        <v>17</v>
      </c>
      <c r="V31" s="180">
        <v>1278.5714285714282</v>
      </c>
      <c r="W31" s="180">
        <v>75.210084033613427</v>
      </c>
      <c r="X31" s="182">
        <f t="shared" si="5"/>
        <v>12</v>
      </c>
      <c r="Y31" s="491"/>
      <c r="Z31" s="182">
        <v>17</v>
      </c>
      <c r="AA31" s="180">
        <v>1305.5421686746984</v>
      </c>
      <c r="AB31" s="180">
        <v>76.796598157335197</v>
      </c>
      <c r="AC31" s="182">
        <f t="shared" si="6"/>
        <v>10</v>
      </c>
      <c r="AD31" s="491"/>
      <c r="AE31" s="182">
        <v>17</v>
      </c>
      <c r="AF31" s="180">
        <v>1313.333333333333</v>
      </c>
      <c r="AG31" s="180">
        <v>77.254901960784295</v>
      </c>
      <c r="AH31" s="182">
        <f t="shared" si="7"/>
        <v>10</v>
      </c>
      <c r="AI31" s="491"/>
      <c r="AJ31" s="182">
        <v>17</v>
      </c>
      <c r="AK31" s="180">
        <v>1302.5000000000005</v>
      </c>
      <c r="AL31" s="180">
        <v>76.61764705882355</v>
      </c>
      <c r="AM31" s="182">
        <f t="shared" si="8"/>
        <v>11</v>
      </c>
      <c r="AN31" s="491"/>
      <c r="AO31" s="182">
        <v>17</v>
      </c>
      <c r="AP31" s="180">
        <v>1295.3684210526317</v>
      </c>
      <c r="AQ31" s="180">
        <v>76.198142414860683</v>
      </c>
      <c r="AR31" s="182">
        <f t="shared" si="9"/>
        <v>11</v>
      </c>
      <c r="AS31" s="491"/>
      <c r="AT31" s="182">
        <v>17</v>
      </c>
      <c r="AU31" s="180">
        <v>1291.3636363636365</v>
      </c>
      <c r="AV31" s="180">
        <v>75.962566844919792</v>
      </c>
      <c r="AW31" s="182">
        <f t="shared" si="10"/>
        <v>12</v>
      </c>
      <c r="AX31" s="491"/>
      <c r="AZ31" s="166" t="e">
        <f>RANK(AX31, $K$7:AX$36)</f>
        <v>#N/A</v>
      </c>
      <c r="BB31" s="182" t="e">
        <f t="shared" si="0"/>
        <v>#N/A</v>
      </c>
    </row>
    <row r="32" spans="2:54">
      <c r="B32" s="479"/>
      <c r="C32" s="182">
        <v>26</v>
      </c>
      <c r="D32" s="203" t="s">
        <v>302</v>
      </c>
      <c r="E32" s="166">
        <v>18</v>
      </c>
      <c r="F32" s="182">
        <v>1385</v>
      </c>
      <c r="G32" s="180">
        <v>76.900000000000006</v>
      </c>
      <c r="H32" s="460"/>
      <c r="I32" s="166"/>
      <c r="J32" s="166"/>
      <c r="K32" s="180"/>
      <c r="L32" s="460"/>
      <c r="M32" s="181" t="e">
        <f>RANK(K32, K$7:$K$36)</f>
        <v>#N/A</v>
      </c>
      <c r="N32" s="462"/>
      <c r="O32" s="462"/>
      <c r="P32" s="182">
        <v>19</v>
      </c>
      <c r="Q32" s="180">
        <v>1105.4400000000005</v>
      </c>
      <c r="R32" s="180">
        <v>58.181052631578972</v>
      </c>
      <c r="S32" s="182">
        <f t="shared" si="4"/>
        <v>27</v>
      </c>
      <c r="T32" s="491"/>
      <c r="U32" s="182">
        <v>19</v>
      </c>
      <c r="V32" s="180">
        <v>1098</v>
      </c>
      <c r="W32" s="180">
        <v>57.789473684210527</v>
      </c>
      <c r="X32" s="182">
        <f t="shared" si="5"/>
        <v>27</v>
      </c>
      <c r="Y32" s="491"/>
      <c r="Z32" s="182">
        <v>19</v>
      </c>
      <c r="AA32" s="180">
        <v>1106.37037037037</v>
      </c>
      <c r="AB32" s="180">
        <v>58.230019493177366</v>
      </c>
      <c r="AC32" s="182">
        <f t="shared" si="6"/>
        <v>27</v>
      </c>
      <c r="AD32" s="491"/>
      <c r="AE32" s="182">
        <v>19</v>
      </c>
      <c r="AF32" s="180">
        <v>1080.2962962962958</v>
      </c>
      <c r="AG32" s="180">
        <v>56.857699805068201</v>
      </c>
      <c r="AH32" s="182">
        <f t="shared" si="7"/>
        <v>27</v>
      </c>
      <c r="AI32" s="491"/>
      <c r="AJ32" s="182">
        <v>19</v>
      </c>
      <c r="AK32" s="180">
        <v>1061.9325842696628</v>
      </c>
      <c r="AL32" s="180">
        <v>55.891188645771727</v>
      </c>
      <c r="AM32" s="182">
        <f t="shared" si="8"/>
        <v>27</v>
      </c>
      <c r="AN32" s="491"/>
      <c r="AO32" s="182">
        <v>18</v>
      </c>
      <c r="AP32" s="180">
        <v>1102.8965517241379</v>
      </c>
      <c r="AQ32" s="180">
        <v>61.272030651340998</v>
      </c>
      <c r="AR32" s="182">
        <f t="shared" si="9"/>
        <v>26</v>
      </c>
      <c r="AS32" s="491"/>
      <c r="AT32" s="182">
        <v>18</v>
      </c>
      <c r="AU32" s="180">
        <v>1118.4905660377365</v>
      </c>
      <c r="AV32" s="180">
        <v>62.138364779874252</v>
      </c>
      <c r="AW32" s="182">
        <f t="shared" si="10"/>
        <v>26</v>
      </c>
      <c r="AX32" s="491"/>
      <c r="AZ32" s="166" t="e">
        <f>RANK(AX32, $K$7:AX$36)</f>
        <v>#N/A</v>
      </c>
      <c r="BB32" s="182" t="e">
        <f t="shared" si="0"/>
        <v>#N/A</v>
      </c>
    </row>
    <row r="33" spans="2:54">
      <c r="B33" s="479"/>
      <c r="C33" s="182">
        <v>27</v>
      </c>
      <c r="D33" s="203" t="s">
        <v>303</v>
      </c>
      <c r="E33" s="166">
        <v>18</v>
      </c>
      <c r="F33" s="182">
        <v>1440</v>
      </c>
      <c r="G33" s="180">
        <v>80</v>
      </c>
      <c r="H33" s="460"/>
      <c r="I33" s="166"/>
      <c r="J33" s="166"/>
      <c r="K33" s="180"/>
      <c r="L33" s="460"/>
      <c r="M33" s="181" t="e">
        <f>RANK(K33, K$7:$K$36)</f>
        <v>#N/A</v>
      </c>
      <c r="N33" s="462"/>
      <c r="O33" s="462"/>
      <c r="P33" s="182">
        <v>18</v>
      </c>
      <c r="Q33" s="180">
        <v>1292.5000000000045</v>
      </c>
      <c r="R33" s="180">
        <v>71.805555555555813</v>
      </c>
      <c r="S33" s="182">
        <f t="shared" si="4"/>
        <v>18</v>
      </c>
      <c r="T33" s="491"/>
      <c r="U33" s="182">
        <v>18</v>
      </c>
      <c r="V33" s="180">
        <v>1226.2500000000043</v>
      </c>
      <c r="W33" s="180">
        <v>68.125000000000242</v>
      </c>
      <c r="X33" s="182">
        <f t="shared" si="5"/>
        <v>21</v>
      </c>
      <c r="Y33" s="491"/>
      <c r="Z33" s="182">
        <v>18</v>
      </c>
      <c r="AA33" s="180">
        <v>1241.7857142857185</v>
      </c>
      <c r="AB33" s="180">
        <v>68.988095238095468</v>
      </c>
      <c r="AC33" s="182">
        <f t="shared" si="6"/>
        <v>21</v>
      </c>
      <c r="AD33" s="491"/>
      <c r="AE33" s="182">
        <v>18</v>
      </c>
      <c r="AF33" s="180">
        <v>1216.0714285714294</v>
      </c>
      <c r="AG33" s="180">
        <v>67.559523809523853</v>
      </c>
      <c r="AH33" s="182">
        <f t="shared" si="7"/>
        <v>23</v>
      </c>
      <c r="AI33" s="491"/>
      <c r="AJ33" s="182">
        <v>18</v>
      </c>
      <c r="AK33" s="180">
        <v>1284.0000000000007</v>
      </c>
      <c r="AL33" s="180">
        <v>71.333333333333371</v>
      </c>
      <c r="AM33" s="182">
        <f t="shared" si="8"/>
        <v>19</v>
      </c>
      <c r="AN33" s="491"/>
      <c r="AO33" s="182">
        <v>18</v>
      </c>
      <c r="AP33" s="180">
        <v>1333.9285714285725</v>
      </c>
      <c r="AQ33" s="180">
        <v>74.107142857142918</v>
      </c>
      <c r="AR33" s="182">
        <f t="shared" si="9"/>
        <v>13</v>
      </c>
      <c r="AS33" s="491"/>
      <c r="AT33" s="182">
        <v>18</v>
      </c>
      <c r="AU33" s="180">
        <v>1257.0967741935494</v>
      </c>
      <c r="AV33" s="180">
        <v>69.838709677419416</v>
      </c>
      <c r="AW33" s="182">
        <f t="shared" si="10"/>
        <v>19</v>
      </c>
      <c r="AX33" s="491"/>
      <c r="AZ33" s="166" t="e">
        <f>RANK(AX33, $K$7:AX$36)</f>
        <v>#N/A</v>
      </c>
      <c r="BB33" s="182" t="e">
        <f t="shared" si="0"/>
        <v>#N/A</v>
      </c>
    </row>
    <row r="34" spans="2:54">
      <c r="B34" s="479"/>
      <c r="C34" s="182">
        <v>28</v>
      </c>
      <c r="D34" s="203" t="s">
        <v>304</v>
      </c>
      <c r="E34" s="166">
        <v>17</v>
      </c>
      <c r="F34" s="182">
        <v>1440</v>
      </c>
      <c r="G34" s="180">
        <v>84.7</v>
      </c>
      <c r="H34" s="460"/>
      <c r="I34" s="166"/>
      <c r="J34" s="166"/>
      <c r="K34" s="180"/>
      <c r="L34" s="460"/>
      <c r="M34" s="181" t="e">
        <f>RANK(K34, K$7:$K$36)</f>
        <v>#N/A</v>
      </c>
      <c r="N34" s="462"/>
      <c r="O34" s="462"/>
      <c r="P34" s="182">
        <v>17</v>
      </c>
      <c r="Q34" s="180">
        <v>1375.5223880596998</v>
      </c>
      <c r="R34" s="180">
        <v>80.913081650570575</v>
      </c>
      <c r="S34" s="182">
        <f t="shared" si="4"/>
        <v>8</v>
      </c>
      <c r="T34" s="491"/>
      <c r="U34" s="182">
        <v>17</v>
      </c>
      <c r="V34" s="180">
        <v>1320.4651162790694</v>
      </c>
      <c r="W34" s="180">
        <v>77.674418604651137</v>
      </c>
      <c r="X34" s="182">
        <f t="shared" si="5"/>
        <v>9</v>
      </c>
      <c r="Y34" s="491"/>
      <c r="Z34" s="182">
        <v>19</v>
      </c>
      <c r="AA34" s="180">
        <v>1405.5319148936173</v>
      </c>
      <c r="AB34" s="180">
        <v>73.975363941769331</v>
      </c>
      <c r="AC34" s="182">
        <f t="shared" si="6"/>
        <v>13</v>
      </c>
      <c r="AD34" s="491"/>
      <c r="AE34" s="182">
        <v>17</v>
      </c>
      <c r="AF34" s="180">
        <v>1415.9999999999995</v>
      </c>
      <c r="AG34" s="180">
        <v>83.294117647058798</v>
      </c>
      <c r="AH34" s="182">
        <f t="shared" si="7"/>
        <v>6</v>
      </c>
      <c r="AI34" s="491"/>
      <c r="AJ34" s="182">
        <v>17</v>
      </c>
      <c r="AK34" s="180">
        <v>1382.8571428571399</v>
      </c>
      <c r="AL34" s="180">
        <v>81.344537815125875</v>
      </c>
      <c r="AM34" s="182">
        <f t="shared" si="8"/>
        <v>8</v>
      </c>
      <c r="AN34" s="491"/>
      <c r="AO34" s="182">
        <v>17</v>
      </c>
      <c r="AP34" s="182">
        <v>1415.2941176470558</v>
      </c>
      <c r="AQ34" s="182">
        <v>83.252595155709173</v>
      </c>
      <c r="AR34" s="182">
        <f t="shared" si="9"/>
        <v>6</v>
      </c>
      <c r="AS34" s="491"/>
      <c r="AT34" s="182">
        <v>17</v>
      </c>
      <c r="AU34" s="180">
        <v>1309.7872340425533</v>
      </c>
      <c r="AV34" s="180">
        <v>77.046307884856077</v>
      </c>
      <c r="AW34" s="182">
        <f t="shared" si="10"/>
        <v>10</v>
      </c>
      <c r="AX34" s="491"/>
      <c r="AZ34" s="166" t="e">
        <f>RANK(AX34, $K$7:AX$36)</f>
        <v>#N/A</v>
      </c>
      <c r="BB34" s="182" t="e">
        <f t="shared" si="0"/>
        <v>#N/A</v>
      </c>
    </row>
    <row r="35" spans="2:54">
      <c r="B35" s="479"/>
      <c r="C35" s="182">
        <v>29</v>
      </c>
      <c r="D35" s="203"/>
      <c r="E35" s="166"/>
      <c r="F35" s="182"/>
      <c r="G35" s="180"/>
      <c r="H35" s="460"/>
      <c r="I35" s="182"/>
      <c r="J35" s="182"/>
      <c r="K35" s="182"/>
      <c r="L35" s="460"/>
      <c r="M35" s="181" t="e">
        <f>RANK(K35, K$7:$K$36)</f>
        <v>#N/A</v>
      </c>
      <c r="N35" s="462"/>
      <c r="O35" s="462"/>
      <c r="P35" s="182" t="s">
        <v>244</v>
      </c>
      <c r="Q35" s="182" t="s">
        <v>244</v>
      </c>
      <c r="R35" s="182" t="s">
        <v>244</v>
      </c>
      <c r="S35" s="182" t="e">
        <f t="shared" si="4"/>
        <v>#VALUE!</v>
      </c>
      <c r="T35" s="491"/>
      <c r="U35" s="182"/>
      <c r="V35" s="182"/>
      <c r="W35" s="182"/>
      <c r="X35" s="182" t="e">
        <f t="shared" si="5"/>
        <v>#N/A</v>
      </c>
      <c r="Y35" s="491"/>
      <c r="Z35" s="182"/>
      <c r="AA35" s="182"/>
      <c r="AB35" s="182"/>
      <c r="AC35" s="182" t="e">
        <f t="shared" si="6"/>
        <v>#N/A</v>
      </c>
      <c r="AD35" s="491"/>
      <c r="AE35" s="182"/>
      <c r="AF35" s="182"/>
      <c r="AG35" s="182"/>
      <c r="AH35" s="182" t="e">
        <f t="shared" si="7"/>
        <v>#N/A</v>
      </c>
      <c r="AI35" s="491"/>
      <c r="AJ35" s="182"/>
      <c r="AK35" s="182"/>
      <c r="AL35" s="182"/>
      <c r="AM35" s="182" t="e">
        <f t="shared" si="8"/>
        <v>#N/A</v>
      </c>
      <c r="AN35" s="491"/>
      <c r="AO35" s="182"/>
      <c r="AP35" s="182"/>
      <c r="AQ35" s="182"/>
      <c r="AR35" s="182" t="e">
        <f t="shared" si="9"/>
        <v>#N/A</v>
      </c>
      <c r="AS35" s="491"/>
      <c r="AT35" s="182"/>
      <c r="AU35" s="182"/>
      <c r="AV35" s="182"/>
      <c r="AW35" s="182" t="e">
        <f t="shared" si="10"/>
        <v>#N/A</v>
      </c>
      <c r="AX35" s="491"/>
      <c r="AZ35" s="166" t="e">
        <f>RANK(AX35, $K$7:AX$36)</f>
        <v>#N/A</v>
      </c>
      <c r="BB35" s="182" t="e">
        <f t="shared" si="0"/>
        <v>#N/A</v>
      </c>
    </row>
    <row r="36" spans="2:54">
      <c r="B36" s="479"/>
      <c r="C36" s="182">
        <v>30</v>
      </c>
      <c r="D36" s="203"/>
      <c r="E36" s="166"/>
      <c r="F36" s="182"/>
      <c r="G36" s="180"/>
      <c r="H36" s="461"/>
      <c r="I36" s="182"/>
      <c r="J36" s="182"/>
      <c r="K36" s="182"/>
      <c r="L36" s="461"/>
      <c r="M36" s="181" t="e">
        <f>RANK(K36, K$7:$K$36)</f>
        <v>#N/A</v>
      </c>
      <c r="N36" s="462"/>
      <c r="O36" s="462"/>
      <c r="P36" s="182" t="s">
        <v>244</v>
      </c>
      <c r="Q36" s="182" t="s">
        <v>244</v>
      </c>
      <c r="R36" s="182" t="s">
        <v>244</v>
      </c>
      <c r="S36" s="182" t="e">
        <f t="shared" si="4"/>
        <v>#VALUE!</v>
      </c>
      <c r="T36" s="491"/>
      <c r="U36" s="182"/>
      <c r="V36" s="182"/>
      <c r="W36" s="182"/>
      <c r="X36" s="182" t="e">
        <f t="shared" si="5"/>
        <v>#N/A</v>
      </c>
      <c r="Y36" s="491"/>
      <c r="Z36" s="182"/>
      <c r="AA36" s="182"/>
      <c r="AB36" s="182"/>
      <c r="AC36" s="182" t="e">
        <f t="shared" si="6"/>
        <v>#N/A</v>
      </c>
      <c r="AD36" s="491"/>
      <c r="AE36" s="182"/>
      <c r="AF36" s="182"/>
      <c r="AG36" s="182"/>
      <c r="AH36" s="182" t="e">
        <f t="shared" si="7"/>
        <v>#N/A</v>
      </c>
      <c r="AI36" s="491"/>
      <c r="AJ36" s="182"/>
      <c r="AK36" s="182"/>
      <c r="AL36" s="182"/>
      <c r="AM36" s="182" t="e">
        <f t="shared" si="8"/>
        <v>#N/A</v>
      </c>
      <c r="AN36" s="491"/>
      <c r="AO36" s="182"/>
      <c r="AP36" s="182"/>
      <c r="AQ36" s="182"/>
      <c r="AR36" s="182" t="e">
        <f t="shared" si="9"/>
        <v>#N/A</v>
      </c>
      <c r="AS36" s="491"/>
      <c r="AT36" s="182"/>
      <c r="AU36" s="182"/>
      <c r="AV36" s="182"/>
      <c r="AW36" s="182" t="e">
        <f t="shared" si="10"/>
        <v>#N/A</v>
      </c>
      <c r="AX36" s="491"/>
      <c r="AZ36" s="166" t="e">
        <f>RANK(AX36, $K$7:AX$36)</f>
        <v>#N/A</v>
      </c>
      <c r="BB36" s="182" t="e">
        <f t="shared" si="0"/>
        <v>#N/A</v>
      </c>
    </row>
    <row r="37" spans="2:54" ht="15.75">
      <c r="B37" s="495" t="s">
        <v>201</v>
      </c>
      <c r="C37" s="496"/>
      <c r="D37" s="496"/>
      <c r="E37" s="496"/>
      <c r="F37" s="496"/>
      <c r="G37" s="496"/>
      <c r="H37" s="496"/>
      <c r="I37" s="183"/>
      <c r="J37" s="183"/>
      <c r="K37" s="183"/>
      <c r="L37" s="183"/>
      <c r="M37" s="178"/>
      <c r="N37" s="469" t="s">
        <v>202</v>
      </c>
      <c r="O37" s="469" t="s">
        <v>150</v>
      </c>
      <c r="P37" s="478">
        <f>AT2+1</f>
        <v>46393</v>
      </c>
      <c r="Q37" s="479"/>
      <c r="R37" s="479"/>
      <c r="S37" s="479"/>
      <c r="T37" s="479"/>
      <c r="U37" s="478">
        <f>P37+1</f>
        <v>46394</v>
      </c>
      <c r="V37" s="479"/>
      <c r="W37" s="479"/>
      <c r="X37" s="479"/>
      <c r="Y37" s="479"/>
      <c r="Z37" s="478">
        <f>U37+1</f>
        <v>46395</v>
      </c>
      <c r="AA37" s="479"/>
      <c r="AB37" s="479"/>
      <c r="AC37" s="479"/>
      <c r="AD37" s="479"/>
      <c r="AE37" s="478">
        <f>Z37+1</f>
        <v>46396</v>
      </c>
      <c r="AF37" s="479"/>
      <c r="AG37" s="479"/>
      <c r="AH37" s="479"/>
      <c r="AI37" s="479"/>
      <c r="AJ37" s="478">
        <f>AE37+1</f>
        <v>46397</v>
      </c>
      <c r="AK37" s="479"/>
      <c r="AL37" s="479"/>
      <c r="AM37" s="479"/>
      <c r="AN37" s="479"/>
      <c r="AO37" s="478">
        <f>AJ37+1</f>
        <v>46398</v>
      </c>
      <c r="AP37" s="479"/>
      <c r="AQ37" s="479"/>
      <c r="AR37" s="479"/>
      <c r="AS37" s="479"/>
      <c r="AT37" s="478">
        <f>AO37+1</f>
        <v>46399</v>
      </c>
      <c r="AU37" s="479"/>
      <c r="AV37" s="479"/>
      <c r="AW37" s="479"/>
      <c r="AX37" s="479"/>
    </row>
    <row r="38" spans="2:54" ht="15.75">
      <c r="B38" s="482"/>
      <c r="C38" s="482"/>
      <c r="D38" s="482"/>
      <c r="E38" s="482"/>
      <c r="F38" s="482"/>
      <c r="G38" s="482"/>
      <c r="H38" s="482"/>
      <c r="I38" s="184"/>
      <c r="J38" s="184"/>
      <c r="K38" s="184"/>
      <c r="L38" s="184"/>
      <c r="M38" s="179"/>
      <c r="N38" s="471"/>
      <c r="O38" s="471"/>
      <c r="P38" s="478" t="s">
        <v>203</v>
      </c>
      <c r="Q38" s="479"/>
      <c r="R38" s="479"/>
      <c r="S38" s="479"/>
      <c r="T38" s="479"/>
      <c r="U38" s="478" t="s">
        <v>204</v>
      </c>
      <c r="V38" s="479"/>
      <c r="W38" s="479"/>
      <c r="X38" s="479"/>
      <c r="Y38" s="479"/>
      <c r="Z38" s="478" t="s">
        <v>205</v>
      </c>
      <c r="AA38" s="479"/>
      <c r="AB38" s="479"/>
      <c r="AC38" s="479"/>
      <c r="AD38" s="479"/>
      <c r="AE38" s="478" t="s">
        <v>206</v>
      </c>
      <c r="AF38" s="479"/>
      <c r="AG38" s="479"/>
      <c r="AH38" s="479"/>
      <c r="AI38" s="479"/>
      <c r="AJ38" s="478" t="s">
        <v>207</v>
      </c>
      <c r="AK38" s="479"/>
      <c r="AL38" s="479"/>
      <c r="AM38" s="479"/>
      <c r="AN38" s="479"/>
      <c r="AO38" s="478" t="s">
        <v>157</v>
      </c>
      <c r="AP38" s="479"/>
      <c r="AQ38" s="479"/>
      <c r="AR38" s="479"/>
      <c r="AS38" s="479"/>
      <c r="AT38" s="478" t="s">
        <v>208</v>
      </c>
      <c r="AU38" s="479"/>
      <c r="AV38" s="479"/>
      <c r="AW38" s="479"/>
      <c r="AX38" s="479"/>
    </row>
    <row r="39" spans="2:54">
      <c r="B39" s="462" t="s">
        <v>209</v>
      </c>
      <c r="C39" s="462" t="s">
        <v>210</v>
      </c>
      <c r="D39" s="462"/>
      <c r="E39" s="462" t="s">
        <v>211</v>
      </c>
      <c r="F39" s="462"/>
      <c r="G39" s="462"/>
      <c r="H39" s="463" t="s">
        <v>212</v>
      </c>
      <c r="I39" s="462" t="s">
        <v>213</v>
      </c>
      <c r="J39" s="462"/>
      <c r="K39" s="462"/>
      <c r="L39" s="463" t="s">
        <v>212</v>
      </c>
      <c r="M39" s="469" t="s">
        <v>214</v>
      </c>
      <c r="N39" s="462"/>
      <c r="O39" s="462" t="s">
        <v>215</v>
      </c>
      <c r="P39" s="466" t="s">
        <v>216</v>
      </c>
      <c r="Q39" s="467"/>
      <c r="R39" s="467"/>
      <c r="S39" s="468"/>
      <c r="T39" s="462" t="s">
        <v>212</v>
      </c>
      <c r="U39" s="466" t="s">
        <v>216</v>
      </c>
      <c r="V39" s="467"/>
      <c r="W39" s="467"/>
      <c r="X39" s="468"/>
      <c r="Y39" s="462" t="s">
        <v>212</v>
      </c>
      <c r="Z39" s="466" t="s">
        <v>216</v>
      </c>
      <c r="AA39" s="467"/>
      <c r="AB39" s="467"/>
      <c r="AC39" s="468"/>
      <c r="AD39" s="462" t="s">
        <v>212</v>
      </c>
      <c r="AE39" s="466" t="s">
        <v>216</v>
      </c>
      <c r="AF39" s="467"/>
      <c r="AG39" s="467"/>
      <c r="AH39" s="468"/>
      <c r="AI39" s="462" t="s">
        <v>212</v>
      </c>
      <c r="AJ39" s="466" t="s">
        <v>216</v>
      </c>
      <c r="AK39" s="467"/>
      <c r="AL39" s="467"/>
      <c r="AM39" s="468"/>
      <c r="AN39" s="462" t="s">
        <v>212</v>
      </c>
      <c r="AO39" s="466" t="s">
        <v>216</v>
      </c>
      <c r="AP39" s="467"/>
      <c r="AQ39" s="467"/>
      <c r="AR39" s="468"/>
      <c r="AS39" s="462" t="s">
        <v>212</v>
      </c>
      <c r="AT39" s="466" t="s">
        <v>216</v>
      </c>
      <c r="AU39" s="467"/>
      <c r="AV39" s="467"/>
      <c r="AW39" s="468"/>
      <c r="AX39" s="462" t="s">
        <v>212</v>
      </c>
    </row>
    <row r="40" spans="2:54">
      <c r="B40" s="462"/>
      <c r="C40" s="462"/>
      <c r="D40" s="462"/>
      <c r="E40" s="462" t="s">
        <v>217</v>
      </c>
      <c r="F40" s="462"/>
      <c r="G40" s="462"/>
      <c r="H40" s="464"/>
      <c r="I40" s="462" t="s">
        <v>217</v>
      </c>
      <c r="J40" s="462"/>
      <c r="K40" s="462"/>
      <c r="L40" s="464"/>
      <c r="M40" s="470"/>
      <c r="N40" s="462"/>
      <c r="O40" s="462"/>
      <c r="P40" s="466" t="s">
        <v>218</v>
      </c>
      <c r="Q40" s="467"/>
      <c r="R40" s="467"/>
      <c r="S40" s="468"/>
      <c r="T40" s="462"/>
      <c r="U40" s="466" t="s">
        <v>218</v>
      </c>
      <c r="V40" s="467"/>
      <c r="W40" s="467"/>
      <c r="X40" s="468"/>
      <c r="Y40" s="462"/>
      <c r="Z40" s="466" t="s">
        <v>218</v>
      </c>
      <c r="AA40" s="467"/>
      <c r="AB40" s="467"/>
      <c r="AC40" s="468"/>
      <c r="AD40" s="462"/>
      <c r="AE40" s="466" t="s">
        <v>218</v>
      </c>
      <c r="AF40" s="467"/>
      <c r="AG40" s="467"/>
      <c r="AH40" s="468"/>
      <c r="AI40" s="462"/>
      <c r="AJ40" s="466" t="s">
        <v>218</v>
      </c>
      <c r="AK40" s="467"/>
      <c r="AL40" s="467"/>
      <c r="AM40" s="468"/>
      <c r="AN40" s="462"/>
      <c r="AO40" s="466" t="s">
        <v>218</v>
      </c>
      <c r="AP40" s="467"/>
      <c r="AQ40" s="467"/>
      <c r="AR40" s="468"/>
      <c r="AS40" s="462"/>
      <c r="AT40" s="466" t="s">
        <v>218</v>
      </c>
      <c r="AU40" s="467"/>
      <c r="AV40" s="467"/>
      <c r="AW40" s="468"/>
      <c r="AX40" s="462"/>
    </row>
    <row r="41" spans="2:54">
      <c r="B41" s="462"/>
      <c r="C41" s="462"/>
      <c r="D41" s="462"/>
      <c r="E41" s="271" t="s">
        <v>219</v>
      </c>
      <c r="F41" s="271" t="s">
        <v>220</v>
      </c>
      <c r="G41" s="271" t="s">
        <v>221</v>
      </c>
      <c r="H41" s="465"/>
      <c r="I41" s="271" t="s">
        <v>219</v>
      </c>
      <c r="J41" s="271" t="s">
        <v>220</v>
      </c>
      <c r="K41" s="271" t="s">
        <v>221</v>
      </c>
      <c r="L41" s="465"/>
      <c r="M41" s="471"/>
      <c r="N41" s="462"/>
      <c r="O41" s="462"/>
      <c r="P41" s="271" t="s">
        <v>219</v>
      </c>
      <c r="Q41" s="271" t="s">
        <v>220</v>
      </c>
      <c r="R41" s="271" t="s">
        <v>221</v>
      </c>
      <c r="S41" s="271" t="s">
        <v>214</v>
      </c>
      <c r="T41" s="462"/>
      <c r="U41" s="271" t="s">
        <v>219</v>
      </c>
      <c r="V41" s="271" t="s">
        <v>220</v>
      </c>
      <c r="W41" s="271" t="s">
        <v>221</v>
      </c>
      <c r="X41" s="271" t="s">
        <v>214</v>
      </c>
      <c r="Y41" s="462"/>
      <c r="Z41" s="271" t="s">
        <v>219</v>
      </c>
      <c r="AA41" s="271" t="s">
        <v>220</v>
      </c>
      <c r="AB41" s="271" t="s">
        <v>221</v>
      </c>
      <c r="AC41" s="271" t="s">
        <v>214</v>
      </c>
      <c r="AD41" s="462"/>
      <c r="AE41" s="271" t="s">
        <v>219</v>
      </c>
      <c r="AF41" s="271" t="s">
        <v>220</v>
      </c>
      <c r="AG41" s="271" t="s">
        <v>221</v>
      </c>
      <c r="AH41" s="271" t="s">
        <v>214</v>
      </c>
      <c r="AI41" s="462"/>
      <c r="AJ41" s="271" t="s">
        <v>219</v>
      </c>
      <c r="AK41" s="271" t="s">
        <v>220</v>
      </c>
      <c r="AL41" s="271" t="s">
        <v>221</v>
      </c>
      <c r="AM41" s="271" t="s">
        <v>214</v>
      </c>
      <c r="AN41" s="462"/>
      <c r="AO41" s="271" t="s">
        <v>219</v>
      </c>
      <c r="AP41" s="271" t="s">
        <v>220</v>
      </c>
      <c r="AQ41" s="271" t="s">
        <v>221</v>
      </c>
      <c r="AR41" s="271" t="s">
        <v>214</v>
      </c>
      <c r="AS41" s="462"/>
      <c r="AT41" s="271" t="s">
        <v>219</v>
      </c>
      <c r="AU41" s="271" t="s">
        <v>220</v>
      </c>
      <c r="AV41" s="271" t="s">
        <v>221</v>
      </c>
      <c r="AW41" s="271" t="s">
        <v>214</v>
      </c>
      <c r="AX41" s="462"/>
    </row>
    <row r="42" spans="2:54">
      <c r="B42" s="462" t="s">
        <v>186</v>
      </c>
      <c r="C42" s="182">
        <v>1</v>
      </c>
      <c r="D42" s="203" t="s">
        <v>277</v>
      </c>
      <c r="E42" s="166">
        <v>6</v>
      </c>
      <c r="F42" s="182">
        <v>1500</v>
      </c>
      <c r="G42" s="180">
        <v>250</v>
      </c>
      <c r="H42" s="459">
        <f>AVERAGE(G42:G71)</f>
        <v>97.58620689655173</v>
      </c>
      <c r="I42" s="166">
        <f>AVERAGE(P42,U42,Z42,AE42,AJ42,AO42,AT42)</f>
        <v>6</v>
      </c>
      <c r="J42" s="166">
        <f>AVERAGE(Q42,V42,AA42,AF42,AK42,AP42,AU42)</f>
        <v>1337.5768914503503</v>
      </c>
      <c r="K42" s="180">
        <f>AVERAGE(R42,W42,AB42,AG42,AL42,AQ42,AV42)</f>
        <v>222.92948190839175</v>
      </c>
      <c r="L42" s="459">
        <f>IFERROR(AVERAGE(K42:K71),"-")</f>
        <v>82.61681614911619</v>
      </c>
      <c r="M42" s="181">
        <f>RANK(K42, K$42:$K$71)</f>
        <v>1</v>
      </c>
      <c r="N42" s="462"/>
      <c r="O42" s="462"/>
      <c r="P42" s="166">
        <v>6</v>
      </c>
      <c r="Q42" s="166">
        <v>1349.0808510638299</v>
      </c>
      <c r="R42" s="166">
        <v>224.84680851063831</v>
      </c>
      <c r="S42" s="182">
        <f t="shared" ref="S42:S71" si="11">RANK(R42, R$42:R$71)</f>
        <v>1</v>
      </c>
      <c r="T42" s="491">
        <f>AVERAGE(R42:R71)</f>
        <v>82.956675069593189</v>
      </c>
      <c r="U42" s="166">
        <v>6</v>
      </c>
      <c r="V42" s="166">
        <v>1322.4957983193281</v>
      </c>
      <c r="W42" s="166">
        <v>220.41596638655469</v>
      </c>
      <c r="X42" s="182">
        <f t="shared" ref="X42:X71" si="12">RANK(W42, W$42:W$71)</f>
        <v>1</v>
      </c>
      <c r="Y42" s="491">
        <f>AVERAGE(W42:W71)</f>
        <v>80.968860677219965</v>
      </c>
      <c r="Z42" s="166">
        <v>6</v>
      </c>
      <c r="AA42" s="166">
        <v>1316.1906382978725</v>
      </c>
      <c r="AB42" s="166">
        <v>219.36510638297875</v>
      </c>
      <c r="AC42" s="182">
        <f t="shared" ref="AC42:AC71" si="13">RANK(AB42, AB$42:AB$71)</f>
        <v>1</v>
      </c>
      <c r="AD42" s="491">
        <f>AVERAGE(AB42:AB71)</f>
        <v>82.897447925370983</v>
      </c>
      <c r="AE42" s="166">
        <v>6</v>
      </c>
      <c r="AF42" s="166">
        <v>1337.1777777777775</v>
      </c>
      <c r="AG42" s="166">
        <v>222.86296296296291</v>
      </c>
      <c r="AH42" s="182">
        <f t="shared" ref="AH42:AH71" si="14">RANK(AG42, AG$42:AG$71)</f>
        <v>1</v>
      </c>
      <c r="AI42" s="491">
        <f>AVERAGE(AG42:AG71)</f>
        <v>83.793505113941407</v>
      </c>
      <c r="AJ42" s="166">
        <v>6</v>
      </c>
      <c r="AK42" s="166">
        <v>1356.8948275862067</v>
      </c>
      <c r="AL42" s="166">
        <v>226.14913793103446</v>
      </c>
      <c r="AM42" s="182">
        <f t="shared" ref="AM42:AM71" si="15">RANK(AL42, AL$42:AL$71)</f>
        <v>1</v>
      </c>
      <c r="AN42" s="491">
        <f>AVERAGE(AL42:AL71)</f>
        <v>83.585235442398655</v>
      </c>
      <c r="AO42" s="166">
        <v>6</v>
      </c>
      <c r="AP42" s="166">
        <v>1344.8545454545454</v>
      </c>
      <c r="AQ42" s="166">
        <v>224.14242424242423</v>
      </c>
      <c r="AR42" s="182">
        <f t="shared" ref="AR42:AR71" si="16">RANK(AQ42, AQ$42:AQ$71)</f>
        <v>1</v>
      </c>
      <c r="AS42" s="491">
        <f>AVERAGE(AQ42:AQ71)</f>
        <v>83.89017520778512</v>
      </c>
      <c r="AT42" s="166">
        <v>6</v>
      </c>
      <c r="AU42" s="166">
        <v>1336.3438016528928</v>
      </c>
      <c r="AV42" s="166">
        <v>222.72396694214879</v>
      </c>
      <c r="AW42" s="182">
        <f t="shared" ref="AW42:AW71" si="17">RANK(AV42, AV$42:AV$71)</f>
        <v>1</v>
      </c>
      <c r="AX42" s="491">
        <f>AVERAGE(AV42:AV71)</f>
        <v>82.891375003962835</v>
      </c>
    </row>
    <row r="43" spans="2:54">
      <c r="B43" s="479"/>
      <c r="C43" s="182">
        <v>2</v>
      </c>
      <c r="D43" s="203" t="s">
        <v>278</v>
      </c>
      <c r="E43" s="166">
        <v>6</v>
      </c>
      <c r="F43" s="182">
        <v>1500</v>
      </c>
      <c r="G43" s="180">
        <v>250</v>
      </c>
      <c r="H43" s="460"/>
      <c r="I43" s="166">
        <f t="shared" ref="I43:I65" si="18">AVERAGE(P43,U43,Z43,AE43,AJ43,AO43,AT43)</f>
        <v>7</v>
      </c>
      <c r="J43" s="166">
        <f t="shared" ref="J43:J65" si="19">AVERAGE(Q43,V43,AA43,AF43,AK43,AP43,AU43)</f>
        <v>1492.0169210043127</v>
      </c>
      <c r="K43" s="180">
        <f t="shared" ref="K43:K65" si="20">AVERAGE(R43,W43,AB43,AG43,AL43,AQ43,AV43)</f>
        <v>213.14527442918754</v>
      </c>
      <c r="L43" s="460"/>
      <c r="M43" s="181">
        <f>RANK(K43, K$42:$K$71)</f>
        <v>2</v>
      </c>
      <c r="N43" s="462"/>
      <c r="O43" s="462"/>
      <c r="P43" s="166">
        <v>7</v>
      </c>
      <c r="Q43" s="166">
        <v>1494.3157894736844</v>
      </c>
      <c r="R43" s="166">
        <v>213.47368421052633</v>
      </c>
      <c r="S43" s="182">
        <f t="shared" si="11"/>
        <v>2</v>
      </c>
      <c r="T43" s="491"/>
      <c r="U43" s="166">
        <v>7</v>
      </c>
      <c r="V43" s="166">
        <v>1469.702970297029</v>
      </c>
      <c r="W43" s="166">
        <v>209.95756718528986</v>
      </c>
      <c r="X43" s="182">
        <f t="shared" si="12"/>
        <v>2</v>
      </c>
      <c r="Y43" s="491"/>
      <c r="Z43" s="166">
        <v>7</v>
      </c>
      <c r="AA43" s="166">
        <v>1506.0606060606053</v>
      </c>
      <c r="AB43" s="166">
        <v>215.15151515151504</v>
      </c>
      <c r="AC43" s="182">
        <f t="shared" si="13"/>
        <v>2</v>
      </c>
      <c r="AD43" s="491"/>
      <c r="AE43" s="166">
        <v>7</v>
      </c>
      <c r="AF43" s="166">
        <v>1487.1428571428567</v>
      </c>
      <c r="AG43" s="166">
        <v>212.44897959183666</v>
      </c>
      <c r="AH43" s="182">
        <f t="shared" si="14"/>
        <v>2</v>
      </c>
      <c r="AI43" s="491"/>
      <c r="AJ43" s="166">
        <v>7</v>
      </c>
      <c r="AK43" s="166">
        <v>1497.9069767441858</v>
      </c>
      <c r="AL43" s="166">
        <v>213.98671096345512</v>
      </c>
      <c r="AM43" s="182">
        <f t="shared" si="15"/>
        <v>2</v>
      </c>
      <c r="AN43" s="491"/>
      <c r="AO43" s="166">
        <v>7</v>
      </c>
      <c r="AP43" s="166">
        <v>1498.6666666666667</v>
      </c>
      <c r="AQ43" s="166">
        <v>214.0952380952381</v>
      </c>
      <c r="AR43" s="182">
        <f t="shared" si="16"/>
        <v>2</v>
      </c>
      <c r="AS43" s="491"/>
      <c r="AT43" s="166">
        <v>7</v>
      </c>
      <c r="AU43" s="166">
        <v>1490.3225806451615</v>
      </c>
      <c r="AV43" s="166">
        <v>212.90322580645164</v>
      </c>
      <c r="AW43" s="182">
        <f t="shared" si="17"/>
        <v>2</v>
      </c>
      <c r="AX43" s="491"/>
    </row>
    <row r="44" spans="2:54">
      <c r="B44" s="479"/>
      <c r="C44" s="182">
        <v>3</v>
      </c>
      <c r="D44" s="203" t="s">
        <v>279</v>
      </c>
      <c r="E44" s="166">
        <v>17</v>
      </c>
      <c r="F44" s="182">
        <v>1500</v>
      </c>
      <c r="G44" s="180">
        <v>88.2</v>
      </c>
      <c r="H44" s="460"/>
      <c r="I44" s="166">
        <f t="shared" si="18"/>
        <v>17</v>
      </c>
      <c r="J44" s="166">
        <f t="shared" si="19"/>
        <v>1297.3760563571818</v>
      </c>
      <c r="K44" s="180">
        <f t="shared" si="20"/>
        <v>76.316238609245985</v>
      </c>
      <c r="L44" s="460"/>
      <c r="M44" s="181">
        <f>RANK(K44, K$42:$K$71)</f>
        <v>9</v>
      </c>
      <c r="N44" s="462"/>
      <c r="O44" s="462"/>
      <c r="P44" s="166">
        <v>17</v>
      </c>
      <c r="Q44" s="166">
        <v>1346.796610169491</v>
      </c>
      <c r="R44" s="166">
        <v>79.223330009970056</v>
      </c>
      <c r="S44" s="182">
        <f t="shared" si="11"/>
        <v>9</v>
      </c>
      <c r="T44" s="491"/>
      <c r="U44" s="166">
        <v>17</v>
      </c>
      <c r="V44" s="166">
        <v>1115.9999999999995</v>
      </c>
      <c r="W44" s="166">
        <v>65.647058823529392</v>
      </c>
      <c r="X44" s="182">
        <f t="shared" si="12"/>
        <v>23</v>
      </c>
      <c r="Y44" s="491"/>
      <c r="Z44" s="166">
        <v>17</v>
      </c>
      <c r="AA44" s="166">
        <v>1322.7906976744184</v>
      </c>
      <c r="AB44" s="166">
        <v>77.811217510259908</v>
      </c>
      <c r="AC44" s="182">
        <f t="shared" si="13"/>
        <v>9</v>
      </c>
      <c r="AD44" s="491"/>
      <c r="AE44" s="166">
        <v>17</v>
      </c>
      <c r="AF44" s="166">
        <v>1321.2244897959188</v>
      </c>
      <c r="AG44" s="166">
        <v>77.719087635054052</v>
      </c>
      <c r="AH44" s="182">
        <f t="shared" si="14"/>
        <v>9</v>
      </c>
      <c r="AI44" s="491"/>
      <c r="AJ44" s="166">
        <v>17</v>
      </c>
      <c r="AK44" s="166">
        <v>1306.4516129032254</v>
      </c>
      <c r="AL44" s="166">
        <v>76.850094876660322</v>
      </c>
      <c r="AM44" s="182">
        <f t="shared" si="15"/>
        <v>10</v>
      </c>
      <c r="AN44" s="491"/>
      <c r="AO44" s="166">
        <v>17</v>
      </c>
      <c r="AP44" s="166">
        <v>1354.5454545454545</v>
      </c>
      <c r="AQ44" s="166">
        <v>79.679144385026731</v>
      </c>
      <c r="AR44" s="182">
        <f t="shared" si="16"/>
        <v>9</v>
      </c>
      <c r="AS44" s="491"/>
      <c r="AT44" s="166">
        <v>17</v>
      </c>
      <c r="AU44" s="166">
        <v>1313.8235294117649</v>
      </c>
      <c r="AV44" s="166">
        <v>77.283737024221466</v>
      </c>
      <c r="AW44" s="182">
        <f t="shared" si="17"/>
        <v>9</v>
      </c>
      <c r="AX44" s="491"/>
    </row>
    <row r="45" spans="2:54">
      <c r="B45" s="479"/>
      <c r="C45" s="182">
        <v>4</v>
      </c>
      <c r="D45" s="203" t="s">
        <v>305</v>
      </c>
      <c r="E45" s="166">
        <v>19</v>
      </c>
      <c r="F45" s="182">
        <v>1500</v>
      </c>
      <c r="G45" s="180">
        <v>78.900000000000006</v>
      </c>
      <c r="H45" s="460"/>
      <c r="I45" s="166">
        <f t="shared" si="18"/>
        <v>18</v>
      </c>
      <c r="J45" s="166">
        <f t="shared" si="19"/>
        <v>1307.5544861369538</v>
      </c>
      <c r="K45" s="180">
        <f t="shared" si="20"/>
        <v>72.641915896497423</v>
      </c>
      <c r="L45" s="460"/>
      <c r="M45" s="181">
        <f>RANK(K45, K$42:$K$71)</f>
        <v>15</v>
      </c>
      <c r="N45" s="462"/>
      <c r="O45" s="462"/>
      <c r="P45" s="166">
        <v>18</v>
      </c>
      <c r="Q45" s="166">
        <v>1352.3076923076931</v>
      </c>
      <c r="R45" s="166">
        <v>75.128205128205167</v>
      </c>
      <c r="S45" s="182">
        <f t="shared" si="11"/>
        <v>13</v>
      </c>
      <c r="T45" s="491"/>
      <c r="U45" s="166">
        <v>18</v>
      </c>
      <c r="V45" s="166">
        <v>1170.0000000000043</v>
      </c>
      <c r="W45" s="166">
        <v>65.000000000000242</v>
      </c>
      <c r="X45" s="182">
        <f t="shared" si="12"/>
        <v>24</v>
      </c>
      <c r="Y45" s="491"/>
      <c r="Z45" s="166">
        <v>18</v>
      </c>
      <c r="AA45" s="166">
        <v>1322.1052631578957</v>
      </c>
      <c r="AB45" s="166">
        <v>73.450292397660874</v>
      </c>
      <c r="AC45" s="182">
        <f t="shared" si="13"/>
        <v>15</v>
      </c>
      <c r="AD45" s="491"/>
      <c r="AE45" s="166">
        <v>18</v>
      </c>
      <c r="AF45" s="166">
        <v>1317.2093023255811</v>
      </c>
      <c r="AG45" s="166">
        <v>73.178294573643399</v>
      </c>
      <c r="AH45" s="182">
        <f t="shared" si="14"/>
        <v>15</v>
      </c>
      <c r="AI45" s="491"/>
      <c r="AJ45" s="166">
        <v>18</v>
      </c>
      <c r="AK45" s="166">
        <v>1348.1632653061229</v>
      </c>
      <c r="AL45" s="166">
        <v>74.897959183673493</v>
      </c>
      <c r="AM45" s="182">
        <f t="shared" si="15"/>
        <v>12</v>
      </c>
      <c r="AN45" s="491"/>
      <c r="AO45" s="166">
        <v>18</v>
      </c>
      <c r="AP45" s="166">
        <v>1312.0754716981139</v>
      </c>
      <c r="AQ45" s="166">
        <v>72.893081761006329</v>
      </c>
      <c r="AR45" s="182">
        <f t="shared" si="16"/>
        <v>15</v>
      </c>
      <c r="AS45" s="491"/>
      <c r="AT45" s="166">
        <v>18</v>
      </c>
      <c r="AU45" s="166">
        <v>1331.0204081632658</v>
      </c>
      <c r="AV45" s="166">
        <v>73.945578231292544</v>
      </c>
      <c r="AW45" s="182">
        <f t="shared" si="17"/>
        <v>12</v>
      </c>
      <c r="AX45" s="491"/>
    </row>
    <row r="46" spans="2:54">
      <c r="B46" s="479"/>
      <c r="C46" s="182">
        <v>5</v>
      </c>
      <c r="D46" s="203" t="s">
        <v>281</v>
      </c>
      <c r="E46" s="166">
        <v>16</v>
      </c>
      <c r="F46" s="182">
        <v>1500</v>
      </c>
      <c r="G46" s="180">
        <v>93.8</v>
      </c>
      <c r="H46" s="460"/>
      <c r="I46" s="166">
        <f t="shared" si="18"/>
        <v>16</v>
      </c>
      <c r="J46" s="166">
        <f t="shared" si="19"/>
        <v>1280.4190605313063</v>
      </c>
      <c r="K46" s="180">
        <f t="shared" si="20"/>
        <v>80.026191283206643</v>
      </c>
      <c r="L46" s="460"/>
      <c r="M46" s="181">
        <f>RANK(K46, K$42:$K$71)</f>
        <v>6</v>
      </c>
      <c r="N46" s="462"/>
      <c r="O46" s="462"/>
      <c r="P46" s="166">
        <v>16</v>
      </c>
      <c r="Q46" s="166">
        <v>1323.4615384615392</v>
      </c>
      <c r="R46" s="166">
        <v>82.716346153846203</v>
      </c>
      <c r="S46" s="182">
        <f t="shared" si="11"/>
        <v>5</v>
      </c>
      <c r="T46" s="491"/>
      <c r="U46" s="166">
        <v>16</v>
      </c>
      <c r="V46" s="166">
        <v>1058.5714285714323</v>
      </c>
      <c r="W46" s="166">
        <v>66.160714285714519</v>
      </c>
      <c r="X46" s="182">
        <f t="shared" si="12"/>
        <v>22</v>
      </c>
      <c r="Y46" s="491"/>
      <c r="Z46" s="166">
        <v>16</v>
      </c>
      <c r="AA46" s="166">
        <v>1337.3076923076931</v>
      </c>
      <c r="AB46" s="166">
        <v>83.581730769230816</v>
      </c>
      <c r="AC46" s="182">
        <f t="shared" si="13"/>
        <v>5</v>
      </c>
      <c r="AD46" s="491"/>
      <c r="AE46" s="166">
        <v>16</v>
      </c>
      <c r="AF46" s="166">
        <v>1333.4999999999995</v>
      </c>
      <c r="AG46" s="166">
        <v>83.343749999999972</v>
      </c>
      <c r="AH46" s="182">
        <f t="shared" si="14"/>
        <v>7</v>
      </c>
      <c r="AI46" s="491"/>
      <c r="AJ46" s="166">
        <v>16</v>
      </c>
      <c r="AK46" s="166">
        <v>1295.0000000000005</v>
      </c>
      <c r="AL46" s="166">
        <v>80.937500000000028</v>
      </c>
      <c r="AM46" s="182">
        <f t="shared" si="15"/>
        <v>7</v>
      </c>
      <c r="AN46" s="491"/>
      <c r="AO46" s="166">
        <v>16</v>
      </c>
      <c r="AP46" s="166">
        <v>1299.1836734693882</v>
      </c>
      <c r="AQ46" s="166">
        <v>81.198979591836761</v>
      </c>
      <c r="AR46" s="182">
        <f t="shared" si="16"/>
        <v>6</v>
      </c>
      <c r="AS46" s="491"/>
      <c r="AT46" s="166">
        <v>16</v>
      </c>
      <c r="AU46" s="166">
        <v>1315.909090909091</v>
      </c>
      <c r="AV46" s="166">
        <v>82.244318181818187</v>
      </c>
      <c r="AW46" s="182">
        <f t="shared" si="17"/>
        <v>6</v>
      </c>
      <c r="AX46" s="491"/>
    </row>
    <row r="47" spans="2:54">
      <c r="B47" s="479"/>
      <c r="C47" s="182">
        <v>6</v>
      </c>
      <c r="D47" s="203" t="s">
        <v>282</v>
      </c>
      <c r="E47" s="166">
        <v>16</v>
      </c>
      <c r="F47" s="182">
        <v>1565</v>
      </c>
      <c r="G47" s="180">
        <v>97.8</v>
      </c>
      <c r="H47" s="460"/>
      <c r="I47" s="166">
        <f t="shared" si="18"/>
        <v>15</v>
      </c>
      <c r="J47" s="166">
        <f t="shared" si="19"/>
        <v>1342.4256065887382</v>
      </c>
      <c r="K47" s="180">
        <f t="shared" si="20"/>
        <v>89.495040439249223</v>
      </c>
      <c r="L47" s="460"/>
      <c r="M47" s="181">
        <f>RANK(K47, K$42:$K$71)</f>
        <v>3</v>
      </c>
      <c r="N47" s="462"/>
      <c r="O47" s="462"/>
      <c r="P47" s="166">
        <v>15</v>
      </c>
      <c r="Q47" s="166">
        <v>1380.7228915662645</v>
      </c>
      <c r="R47" s="166">
        <v>92.048192771084302</v>
      </c>
      <c r="S47" s="182">
        <f t="shared" si="11"/>
        <v>3</v>
      </c>
      <c r="T47" s="491"/>
      <c r="U47" s="166">
        <v>15</v>
      </c>
      <c r="V47" s="166">
        <v>1152.6315789473726</v>
      </c>
      <c r="W47" s="166">
        <v>76.842105263158174</v>
      </c>
      <c r="X47" s="182">
        <f t="shared" si="12"/>
        <v>7</v>
      </c>
      <c r="Y47" s="491"/>
      <c r="Z47" s="166">
        <v>15</v>
      </c>
      <c r="AA47" s="166">
        <v>1377.7777777777774</v>
      </c>
      <c r="AB47" s="166">
        <v>91.851851851851819</v>
      </c>
      <c r="AC47" s="182">
        <f t="shared" si="13"/>
        <v>3</v>
      </c>
      <c r="AD47" s="491"/>
      <c r="AE47" s="166">
        <v>15</v>
      </c>
      <c r="AF47" s="166">
        <v>1379.9999999999986</v>
      </c>
      <c r="AG47" s="166">
        <v>91.999999999999915</v>
      </c>
      <c r="AH47" s="182">
        <f t="shared" si="14"/>
        <v>3</v>
      </c>
      <c r="AI47" s="491"/>
      <c r="AJ47" s="166">
        <v>15</v>
      </c>
      <c r="AK47" s="166">
        <v>1360.6896551724135</v>
      </c>
      <c r="AL47" s="166">
        <v>90.712643678160902</v>
      </c>
      <c r="AM47" s="182">
        <f t="shared" si="15"/>
        <v>3</v>
      </c>
      <c r="AN47" s="491"/>
      <c r="AO47" s="166">
        <v>15</v>
      </c>
      <c r="AP47" s="166">
        <v>1369.7727272727273</v>
      </c>
      <c r="AQ47" s="166">
        <v>91.318181818181813</v>
      </c>
      <c r="AR47" s="182">
        <f t="shared" si="16"/>
        <v>3</v>
      </c>
      <c r="AS47" s="491"/>
      <c r="AT47" s="166">
        <v>15</v>
      </c>
      <c r="AU47" s="166">
        <v>1375.3846153846146</v>
      </c>
      <c r="AV47" s="166">
        <v>91.692307692307637</v>
      </c>
      <c r="AW47" s="182">
        <f t="shared" si="17"/>
        <v>3</v>
      </c>
      <c r="AX47" s="491"/>
    </row>
    <row r="48" spans="2:54">
      <c r="B48" s="479"/>
      <c r="C48" s="182">
        <v>7</v>
      </c>
      <c r="D48" s="203" t="s">
        <v>283</v>
      </c>
      <c r="E48" s="166">
        <v>14</v>
      </c>
      <c r="F48" s="182">
        <v>1440</v>
      </c>
      <c r="G48" s="180">
        <v>102.9</v>
      </c>
      <c r="H48" s="460"/>
      <c r="I48" s="166">
        <f t="shared" si="18"/>
        <v>15</v>
      </c>
      <c r="J48" s="166">
        <f t="shared" si="19"/>
        <v>1125.3377666522392</v>
      </c>
      <c r="K48" s="180">
        <f t="shared" si="20"/>
        <v>75.022517776815945</v>
      </c>
      <c r="L48" s="460"/>
      <c r="M48" s="181">
        <f>RANK(K48, K$42:$K$71)</f>
        <v>13</v>
      </c>
      <c r="N48" s="462"/>
      <c r="O48" s="462"/>
      <c r="P48" s="166">
        <v>15</v>
      </c>
      <c r="Q48" s="166">
        <v>1085.8064516129016</v>
      </c>
      <c r="R48" s="166">
        <v>72.387096774193438</v>
      </c>
      <c r="S48" s="182">
        <f t="shared" si="11"/>
        <v>16</v>
      </c>
      <c r="T48" s="491"/>
      <c r="U48" s="166">
        <v>15</v>
      </c>
      <c r="V48" s="166">
        <v>1123.4482758620668</v>
      </c>
      <c r="W48" s="166">
        <v>74.89655172413778</v>
      </c>
      <c r="X48" s="182">
        <f t="shared" si="12"/>
        <v>12</v>
      </c>
      <c r="Y48" s="491"/>
      <c r="Z48" s="166">
        <v>15</v>
      </c>
      <c r="AA48" s="166">
        <v>1088.8888888888864</v>
      </c>
      <c r="AB48" s="166">
        <v>72.592592592592425</v>
      </c>
      <c r="AC48" s="182">
        <f t="shared" si="13"/>
        <v>17</v>
      </c>
      <c r="AD48" s="491"/>
      <c r="AE48" s="166">
        <v>15</v>
      </c>
      <c r="AF48" s="166">
        <v>1278.2608695652218</v>
      </c>
      <c r="AG48" s="166">
        <v>85.217391304348126</v>
      </c>
      <c r="AH48" s="182">
        <f t="shared" si="14"/>
        <v>5</v>
      </c>
      <c r="AI48" s="491"/>
      <c r="AJ48" s="166">
        <v>15</v>
      </c>
      <c r="AK48" s="166">
        <v>1126.1538461538432</v>
      </c>
      <c r="AL48" s="166">
        <v>75.076923076922881</v>
      </c>
      <c r="AM48" s="182">
        <f t="shared" si="15"/>
        <v>11</v>
      </c>
      <c r="AN48" s="491"/>
      <c r="AO48" s="166">
        <v>15</v>
      </c>
      <c r="AP48" s="166">
        <v>1096.8749999999984</v>
      </c>
      <c r="AQ48" s="166">
        <v>73.124999999999901</v>
      </c>
      <c r="AR48" s="182">
        <f t="shared" si="16"/>
        <v>14</v>
      </c>
      <c r="AS48" s="491"/>
      <c r="AT48" s="166">
        <v>15</v>
      </c>
      <c r="AU48" s="166">
        <v>1077.9310344827563</v>
      </c>
      <c r="AV48" s="166">
        <v>71.862068965517082</v>
      </c>
      <c r="AW48" s="182">
        <f t="shared" si="17"/>
        <v>15</v>
      </c>
      <c r="AX48" s="491"/>
    </row>
    <row r="49" spans="2:50">
      <c r="B49" s="479"/>
      <c r="C49" s="182">
        <v>8</v>
      </c>
      <c r="D49" s="203" t="s">
        <v>284</v>
      </c>
      <c r="E49" s="166">
        <v>16</v>
      </c>
      <c r="F49" s="182">
        <v>1440</v>
      </c>
      <c r="G49" s="180">
        <v>90</v>
      </c>
      <c r="H49" s="460"/>
      <c r="I49" s="166">
        <f t="shared" si="18"/>
        <v>16</v>
      </c>
      <c r="J49" s="166">
        <f t="shared" si="19"/>
        <v>1278.4455269041725</v>
      </c>
      <c r="K49" s="180">
        <f t="shared" si="20"/>
        <v>79.902845431510784</v>
      </c>
      <c r="L49" s="460"/>
      <c r="M49" s="181">
        <f>RANK(K49, K$42:$K$71)</f>
        <v>7</v>
      </c>
      <c r="N49" s="462"/>
      <c r="O49" s="462"/>
      <c r="P49" s="166">
        <v>16</v>
      </c>
      <c r="Q49" s="166">
        <v>1313.6842105263147</v>
      </c>
      <c r="R49" s="166">
        <v>82.105263157894669</v>
      </c>
      <c r="S49" s="182">
        <f t="shared" si="11"/>
        <v>6</v>
      </c>
      <c r="T49" s="491"/>
      <c r="U49" s="166">
        <v>16</v>
      </c>
      <c r="V49" s="166">
        <v>1284.6153846153838</v>
      </c>
      <c r="W49" s="166">
        <v>80.28846153846149</v>
      </c>
      <c r="X49" s="182">
        <f t="shared" si="12"/>
        <v>6</v>
      </c>
      <c r="Y49" s="491"/>
      <c r="Z49" s="166">
        <v>16</v>
      </c>
      <c r="AA49" s="166">
        <v>1287.2727272727257</v>
      </c>
      <c r="AB49" s="166">
        <v>80.454545454545354</v>
      </c>
      <c r="AC49" s="182">
        <f t="shared" si="13"/>
        <v>8</v>
      </c>
      <c r="AD49" s="491"/>
      <c r="AE49" s="166">
        <v>16</v>
      </c>
      <c r="AF49" s="166">
        <v>1234.7368421052572</v>
      </c>
      <c r="AG49" s="166">
        <v>77.171052631578576</v>
      </c>
      <c r="AH49" s="182">
        <f t="shared" si="14"/>
        <v>10</v>
      </c>
      <c r="AI49" s="491"/>
      <c r="AJ49" s="166">
        <v>16</v>
      </c>
      <c r="AK49" s="166">
        <v>1250.0000000000043</v>
      </c>
      <c r="AL49" s="166">
        <v>78.12500000000027</v>
      </c>
      <c r="AM49" s="182">
        <f t="shared" si="15"/>
        <v>8</v>
      </c>
      <c r="AN49" s="491"/>
      <c r="AO49" s="166">
        <v>16</v>
      </c>
      <c r="AP49" s="166">
        <v>1277.1428571428567</v>
      </c>
      <c r="AQ49" s="166">
        <v>79.821428571428541</v>
      </c>
      <c r="AR49" s="182">
        <f t="shared" si="16"/>
        <v>8</v>
      </c>
      <c r="AS49" s="491"/>
      <c r="AT49" s="166">
        <v>16</v>
      </c>
      <c r="AU49" s="166">
        <v>1301.6666666666656</v>
      </c>
      <c r="AV49" s="166">
        <v>81.3541666666666</v>
      </c>
      <c r="AW49" s="182">
        <f t="shared" si="17"/>
        <v>7</v>
      </c>
      <c r="AX49" s="491"/>
    </row>
    <row r="50" spans="2:50">
      <c r="B50" s="479"/>
      <c r="C50" s="182">
        <v>9</v>
      </c>
      <c r="D50" s="203" t="s">
        <v>285</v>
      </c>
      <c r="E50" s="166">
        <v>18</v>
      </c>
      <c r="F50" s="182">
        <v>1440</v>
      </c>
      <c r="G50" s="180">
        <v>80</v>
      </c>
      <c r="H50" s="460"/>
      <c r="I50" s="166">
        <f t="shared" si="18"/>
        <v>18</v>
      </c>
      <c r="J50" s="166">
        <f t="shared" si="19"/>
        <v>1225.3605493416144</v>
      </c>
      <c r="K50" s="180">
        <f t="shared" si="20"/>
        <v>68.075586074534129</v>
      </c>
      <c r="L50" s="460"/>
      <c r="M50" s="181">
        <f>RANK(K50, K$42:$K$71)</f>
        <v>24</v>
      </c>
      <c r="N50" s="462"/>
      <c r="O50" s="462"/>
      <c r="P50" s="166">
        <v>18</v>
      </c>
      <c r="Q50" s="166">
        <v>1264</v>
      </c>
      <c r="R50" s="166">
        <v>70.222222222222229</v>
      </c>
      <c r="S50" s="182">
        <f t="shared" si="11"/>
        <v>20</v>
      </c>
      <c r="T50" s="491"/>
      <c r="U50" s="166">
        <v>18</v>
      </c>
      <c r="V50" s="166">
        <v>1238.7500000000005</v>
      </c>
      <c r="W50" s="166">
        <v>68.819444444444471</v>
      </c>
      <c r="X50" s="182">
        <f t="shared" si="12"/>
        <v>19</v>
      </c>
      <c r="Y50" s="491"/>
      <c r="Z50" s="166">
        <v>18</v>
      </c>
      <c r="AA50" s="166">
        <v>1165.909090909091</v>
      </c>
      <c r="AB50" s="166">
        <v>64.77272727272728</v>
      </c>
      <c r="AC50" s="182">
        <f t="shared" si="13"/>
        <v>25</v>
      </c>
      <c r="AD50" s="491"/>
      <c r="AE50" s="166">
        <v>18</v>
      </c>
      <c r="AF50" s="166">
        <v>1147.3469387755104</v>
      </c>
      <c r="AG50" s="166">
        <v>63.741496598639465</v>
      </c>
      <c r="AH50" s="182">
        <f t="shared" si="14"/>
        <v>25</v>
      </c>
      <c r="AI50" s="491"/>
      <c r="AJ50" s="166">
        <v>18</v>
      </c>
      <c r="AK50" s="166">
        <v>1221.9512195121947</v>
      </c>
      <c r="AL50" s="166">
        <v>67.886178861788594</v>
      </c>
      <c r="AM50" s="182">
        <f t="shared" si="15"/>
        <v>23</v>
      </c>
      <c r="AN50" s="491"/>
      <c r="AO50" s="166">
        <v>18</v>
      </c>
      <c r="AP50" s="166">
        <v>1280.9302325581393</v>
      </c>
      <c r="AQ50" s="166">
        <v>71.16279069767441</v>
      </c>
      <c r="AR50" s="182">
        <f t="shared" si="16"/>
        <v>21</v>
      </c>
      <c r="AS50" s="491"/>
      <c r="AT50" s="166">
        <v>18</v>
      </c>
      <c r="AU50" s="166">
        <v>1258.6363636363635</v>
      </c>
      <c r="AV50" s="166">
        <v>69.924242424242422</v>
      </c>
      <c r="AW50" s="182">
        <f t="shared" si="17"/>
        <v>18</v>
      </c>
      <c r="AX50" s="491"/>
    </row>
    <row r="51" spans="2:50">
      <c r="B51" s="479"/>
      <c r="C51" s="182">
        <v>10</v>
      </c>
      <c r="D51" s="203" t="s">
        <v>286</v>
      </c>
      <c r="E51" s="166">
        <v>18</v>
      </c>
      <c r="F51" s="182">
        <v>1636</v>
      </c>
      <c r="G51" s="180">
        <v>90.9</v>
      </c>
      <c r="H51" s="460"/>
      <c r="I51" s="166">
        <f t="shared" si="18"/>
        <v>18</v>
      </c>
      <c r="J51" s="166">
        <f t="shared" si="19"/>
        <v>1287.6792024400722</v>
      </c>
      <c r="K51" s="180">
        <f t="shared" si="20"/>
        <v>71.53773346889291</v>
      </c>
      <c r="L51" s="460"/>
      <c r="M51" s="181">
        <f>RANK(K51, K$42:$K$71)</f>
        <v>18</v>
      </c>
      <c r="N51" s="462"/>
      <c r="O51" s="462"/>
      <c r="P51" s="166">
        <v>18</v>
      </c>
      <c r="Q51" s="166">
        <v>1274.444444444445</v>
      </c>
      <c r="R51" s="166">
        <v>70.802469135802497</v>
      </c>
      <c r="S51" s="182">
        <f t="shared" si="11"/>
        <v>19</v>
      </c>
      <c r="T51" s="491"/>
      <c r="U51" s="166">
        <v>18</v>
      </c>
      <c r="V51" s="166">
        <v>1302.5000000000005</v>
      </c>
      <c r="W51" s="166">
        <v>72.361111111111143</v>
      </c>
      <c r="X51" s="182">
        <f t="shared" si="12"/>
        <v>14</v>
      </c>
      <c r="Y51" s="491"/>
      <c r="Z51" s="166">
        <v>18</v>
      </c>
      <c r="AA51" s="166">
        <v>1309.090909090909</v>
      </c>
      <c r="AB51" s="166">
        <v>72.72727272727272</v>
      </c>
      <c r="AC51" s="182">
        <f t="shared" si="13"/>
        <v>16</v>
      </c>
      <c r="AD51" s="491"/>
      <c r="AE51" s="166">
        <v>18</v>
      </c>
      <c r="AF51" s="166">
        <v>1285.0000000000002</v>
      </c>
      <c r="AG51" s="166">
        <v>71.3888888888889</v>
      </c>
      <c r="AH51" s="182">
        <f t="shared" si="14"/>
        <v>18</v>
      </c>
      <c r="AI51" s="491"/>
      <c r="AJ51" s="166">
        <v>18</v>
      </c>
      <c r="AK51" s="166">
        <v>1279.5652173913043</v>
      </c>
      <c r="AL51" s="166">
        <v>71.086956521739125</v>
      </c>
      <c r="AM51" s="182">
        <f t="shared" si="15"/>
        <v>20</v>
      </c>
      <c r="AN51" s="491"/>
      <c r="AO51" s="166">
        <v>18</v>
      </c>
      <c r="AP51" s="166">
        <v>1291.1538461538469</v>
      </c>
      <c r="AQ51" s="166">
        <v>71.730769230769269</v>
      </c>
      <c r="AR51" s="182">
        <f t="shared" si="16"/>
        <v>17</v>
      </c>
      <c r="AS51" s="491"/>
      <c r="AT51" s="166">
        <v>18</v>
      </c>
      <c r="AU51" s="166">
        <v>1272.0000000000009</v>
      </c>
      <c r="AV51" s="166">
        <v>70.666666666666714</v>
      </c>
      <c r="AW51" s="182">
        <f t="shared" si="17"/>
        <v>16</v>
      </c>
      <c r="AX51" s="491"/>
    </row>
    <row r="52" spans="2:50">
      <c r="B52" s="479"/>
      <c r="C52" s="182">
        <v>11</v>
      </c>
      <c r="D52" s="203" t="s">
        <v>287</v>
      </c>
      <c r="E52" s="166">
        <v>18</v>
      </c>
      <c r="F52" s="182">
        <v>1636</v>
      </c>
      <c r="G52" s="180">
        <v>90.9</v>
      </c>
      <c r="H52" s="460"/>
      <c r="I52" s="166">
        <f t="shared" si="18"/>
        <v>18.285714285714285</v>
      </c>
      <c r="J52" s="166">
        <f t="shared" si="19"/>
        <v>1281.6962545401077</v>
      </c>
      <c r="K52" s="180">
        <f t="shared" si="20"/>
        <v>70.125918131863187</v>
      </c>
      <c r="L52" s="460"/>
      <c r="M52" s="181">
        <f>RANK(K52, K$42:$K$71)</f>
        <v>20</v>
      </c>
      <c r="N52" s="462"/>
      <c r="O52" s="462"/>
      <c r="P52" s="166">
        <v>19</v>
      </c>
      <c r="Q52" s="166">
        <v>1277.9999999999995</v>
      </c>
      <c r="R52" s="166">
        <v>67.263157894736821</v>
      </c>
      <c r="S52" s="182">
        <f t="shared" si="11"/>
        <v>24</v>
      </c>
      <c r="T52" s="491"/>
      <c r="U52" s="166">
        <v>18</v>
      </c>
      <c r="V52" s="166">
        <v>1270.76923076923</v>
      </c>
      <c r="W52" s="166">
        <v>70.598290598290561</v>
      </c>
      <c r="X52" s="182">
        <f t="shared" si="12"/>
        <v>16</v>
      </c>
      <c r="Y52" s="491"/>
      <c r="Z52" s="166">
        <v>18</v>
      </c>
      <c r="AA52" s="166">
        <v>1294.2857142857129</v>
      </c>
      <c r="AB52" s="166">
        <v>71.904761904761827</v>
      </c>
      <c r="AC52" s="182">
        <f t="shared" si="13"/>
        <v>18</v>
      </c>
      <c r="AD52" s="491"/>
      <c r="AE52" s="166">
        <v>18</v>
      </c>
      <c r="AF52" s="166">
        <v>1292.4324324324314</v>
      </c>
      <c r="AG52" s="166">
        <v>71.801801801801744</v>
      </c>
      <c r="AH52" s="182">
        <f t="shared" si="14"/>
        <v>17</v>
      </c>
      <c r="AI52" s="491"/>
      <c r="AJ52" s="166">
        <v>18</v>
      </c>
      <c r="AK52" s="166">
        <v>1279.9999999999991</v>
      </c>
      <c r="AL52" s="166">
        <v>71.111111111111057</v>
      </c>
      <c r="AM52" s="182">
        <f t="shared" si="15"/>
        <v>19</v>
      </c>
      <c r="AN52" s="491"/>
      <c r="AO52" s="166">
        <v>18</v>
      </c>
      <c r="AP52" s="166">
        <v>1250.2325581395348</v>
      </c>
      <c r="AQ52" s="166">
        <v>69.457364341085267</v>
      </c>
      <c r="AR52" s="182">
        <f t="shared" si="16"/>
        <v>23</v>
      </c>
      <c r="AS52" s="491"/>
      <c r="AT52" s="166">
        <v>19</v>
      </c>
      <c r="AU52" s="166">
        <v>1306.1538461538453</v>
      </c>
      <c r="AV52" s="166">
        <v>68.744939271255021</v>
      </c>
      <c r="AW52" s="182">
        <f t="shared" si="17"/>
        <v>21</v>
      </c>
      <c r="AX52" s="491"/>
    </row>
    <row r="53" spans="2:50">
      <c r="B53" s="479"/>
      <c r="C53" s="182">
        <v>12</v>
      </c>
      <c r="D53" s="203" t="s">
        <v>288</v>
      </c>
      <c r="E53" s="166">
        <v>17</v>
      </c>
      <c r="F53" s="182">
        <v>1500</v>
      </c>
      <c r="G53" s="180">
        <v>88.2</v>
      </c>
      <c r="H53" s="460"/>
      <c r="I53" s="166">
        <f t="shared" si="18"/>
        <v>17</v>
      </c>
      <c r="J53" s="166">
        <f t="shared" si="19"/>
        <v>1271.840912418161</v>
      </c>
      <c r="K53" s="180">
        <f t="shared" si="20"/>
        <v>74.814171318715339</v>
      </c>
      <c r="L53" s="460"/>
      <c r="M53" s="181">
        <f>RANK(K53, K$42:$K$71)</f>
        <v>14</v>
      </c>
      <c r="N53" s="462"/>
      <c r="O53" s="462"/>
      <c r="P53" s="166">
        <v>17</v>
      </c>
      <c r="Q53" s="166">
        <v>1304.2105263157887</v>
      </c>
      <c r="R53" s="166">
        <v>76.718266253869928</v>
      </c>
      <c r="S53" s="182">
        <f t="shared" si="11"/>
        <v>11</v>
      </c>
      <c r="T53" s="491"/>
      <c r="U53" s="166">
        <v>17</v>
      </c>
      <c r="V53" s="166">
        <v>1276.2162162162151</v>
      </c>
      <c r="W53" s="166">
        <v>75.0715421303656</v>
      </c>
      <c r="X53" s="182">
        <f t="shared" si="12"/>
        <v>11</v>
      </c>
      <c r="Y53" s="491"/>
      <c r="Z53" s="166">
        <v>17</v>
      </c>
      <c r="AA53" s="166">
        <v>1261.9354838709658</v>
      </c>
      <c r="AB53" s="166">
        <v>74.231499051233286</v>
      </c>
      <c r="AC53" s="182">
        <f t="shared" si="13"/>
        <v>13</v>
      </c>
      <c r="AD53" s="491"/>
      <c r="AE53" s="166">
        <v>17</v>
      </c>
      <c r="AF53" s="166">
        <v>1289.9999999999982</v>
      </c>
      <c r="AG53" s="166">
        <v>75.882352941176364</v>
      </c>
      <c r="AH53" s="182">
        <f t="shared" si="14"/>
        <v>13</v>
      </c>
      <c r="AI53" s="491"/>
      <c r="AJ53" s="166">
        <v>17</v>
      </c>
      <c r="AK53" s="166">
        <v>1258.1818181818167</v>
      </c>
      <c r="AL53" s="166">
        <v>74.01069518716568</v>
      </c>
      <c r="AM53" s="182">
        <f t="shared" si="15"/>
        <v>14</v>
      </c>
      <c r="AN53" s="491"/>
      <c r="AO53" s="166">
        <v>17</v>
      </c>
      <c r="AP53" s="166">
        <v>1276.6666666666656</v>
      </c>
      <c r="AQ53" s="166">
        <v>75.098039215686214</v>
      </c>
      <c r="AR53" s="182">
        <f t="shared" si="16"/>
        <v>12</v>
      </c>
      <c r="AS53" s="491"/>
      <c r="AT53" s="166">
        <v>17</v>
      </c>
      <c r="AU53" s="166">
        <v>1235.6756756756747</v>
      </c>
      <c r="AV53" s="166">
        <v>72.686804451510284</v>
      </c>
      <c r="AW53" s="182">
        <f t="shared" si="17"/>
        <v>13</v>
      </c>
      <c r="AX53" s="491"/>
    </row>
    <row r="54" spans="2:50">
      <c r="B54" s="479"/>
      <c r="C54" s="182">
        <v>13</v>
      </c>
      <c r="D54" s="203" t="s">
        <v>289</v>
      </c>
      <c r="E54" s="166">
        <v>18</v>
      </c>
      <c r="F54" s="182">
        <v>1440</v>
      </c>
      <c r="G54" s="180">
        <v>80</v>
      </c>
      <c r="H54" s="460"/>
      <c r="I54" s="166">
        <f t="shared" si="18"/>
        <v>18.428571428571427</v>
      </c>
      <c r="J54" s="166">
        <f t="shared" si="19"/>
        <v>1317.9132598966041</v>
      </c>
      <c r="K54" s="180">
        <f t="shared" si="20"/>
        <v>71.573337193565209</v>
      </c>
      <c r="L54" s="460"/>
      <c r="M54" s="181">
        <f>RANK(K54, K$42:$K$71)</f>
        <v>17</v>
      </c>
      <c r="N54" s="462"/>
      <c r="O54" s="462"/>
      <c r="P54" s="166">
        <v>18</v>
      </c>
      <c r="Q54" s="166">
        <v>1304.9999999999989</v>
      </c>
      <c r="R54" s="166">
        <v>72.499999999999943</v>
      </c>
      <c r="S54" s="182">
        <f t="shared" si="11"/>
        <v>15</v>
      </c>
      <c r="T54" s="491"/>
      <c r="U54" s="166">
        <v>18</v>
      </c>
      <c r="V54" s="166">
        <v>1342.9411764705865</v>
      </c>
      <c r="W54" s="166">
        <v>74.607843137254804</v>
      </c>
      <c r="X54" s="182">
        <f t="shared" si="12"/>
        <v>13</v>
      </c>
      <c r="Y54" s="491"/>
      <c r="Z54" s="166">
        <v>18</v>
      </c>
      <c r="AA54" s="166">
        <v>1342.1052631578957</v>
      </c>
      <c r="AB54" s="166">
        <v>74.561403508771988</v>
      </c>
      <c r="AC54" s="182">
        <f t="shared" si="13"/>
        <v>12</v>
      </c>
      <c r="AD54" s="491"/>
      <c r="AE54" s="166">
        <v>19</v>
      </c>
      <c r="AF54" s="166">
        <v>1320.0000000000016</v>
      </c>
      <c r="AG54" s="166">
        <v>69.4736842105264</v>
      </c>
      <c r="AH54" s="182">
        <f t="shared" si="14"/>
        <v>20</v>
      </c>
      <c r="AI54" s="491"/>
      <c r="AJ54" s="166">
        <v>18</v>
      </c>
      <c r="AK54" s="166">
        <v>1299.4520547945197</v>
      </c>
      <c r="AL54" s="166">
        <v>72.19178082191776</v>
      </c>
      <c r="AM54" s="182">
        <f t="shared" si="15"/>
        <v>16</v>
      </c>
      <c r="AN54" s="491"/>
      <c r="AO54" s="166">
        <v>19</v>
      </c>
      <c r="AP54" s="166">
        <v>1322.4657534246564</v>
      </c>
      <c r="AQ54" s="166">
        <v>69.603460706560867</v>
      </c>
      <c r="AR54" s="182">
        <f t="shared" si="16"/>
        <v>22</v>
      </c>
      <c r="AS54" s="491"/>
      <c r="AT54" s="166">
        <v>19</v>
      </c>
      <c r="AU54" s="166">
        <v>1293.4285714285702</v>
      </c>
      <c r="AV54" s="166">
        <v>68.075187969924741</v>
      </c>
      <c r="AW54" s="182">
        <f t="shared" si="17"/>
        <v>22</v>
      </c>
      <c r="AX54" s="491"/>
    </row>
    <row r="55" spans="2:50">
      <c r="B55" s="479"/>
      <c r="C55" s="182">
        <v>14</v>
      </c>
      <c r="D55" s="203" t="s">
        <v>290</v>
      </c>
      <c r="E55" s="166">
        <v>15</v>
      </c>
      <c r="F55" s="182">
        <v>1440</v>
      </c>
      <c r="G55" s="180">
        <v>96</v>
      </c>
      <c r="H55" s="460"/>
      <c r="I55" s="166">
        <f t="shared" si="18"/>
        <v>15</v>
      </c>
      <c r="J55" s="166">
        <f t="shared" si="19"/>
        <v>1287.3644975554632</v>
      </c>
      <c r="K55" s="180">
        <f t="shared" si="20"/>
        <v>85.824299837030892</v>
      </c>
      <c r="L55" s="460"/>
      <c r="M55" s="181">
        <f>RANK(K55, K$42:$K$71)</f>
        <v>4</v>
      </c>
      <c r="N55" s="462"/>
      <c r="O55" s="462"/>
      <c r="P55" s="166">
        <v>15</v>
      </c>
      <c r="Q55" s="166">
        <v>1266.0000000000011</v>
      </c>
      <c r="R55" s="166">
        <v>84.400000000000077</v>
      </c>
      <c r="S55" s="182">
        <f t="shared" si="11"/>
        <v>4</v>
      </c>
      <c r="T55" s="491"/>
      <c r="U55" s="166">
        <v>15</v>
      </c>
      <c r="V55" s="166">
        <v>1279.6721311475421</v>
      </c>
      <c r="W55" s="166">
        <v>85.311475409836149</v>
      </c>
      <c r="X55" s="182">
        <f t="shared" si="12"/>
        <v>3</v>
      </c>
      <c r="Y55" s="491"/>
      <c r="Z55" s="166">
        <v>15</v>
      </c>
      <c r="AA55" s="166">
        <v>1304.7058823529417</v>
      </c>
      <c r="AB55" s="166">
        <v>86.980392156862777</v>
      </c>
      <c r="AC55" s="182">
        <f t="shared" si="13"/>
        <v>4</v>
      </c>
      <c r="AD55" s="491"/>
      <c r="AE55" s="166">
        <v>15</v>
      </c>
      <c r="AF55" s="166">
        <v>1280.0000000000009</v>
      </c>
      <c r="AG55" s="166">
        <v>85.3333333333334</v>
      </c>
      <c r="AH55" s="182">
        <f t="shared" si="14"/>
        <v>4</v>
      </c>
      <c r="AI55" s="491"/>
      <c r="AJ55" s="166">
        <v>15</v>
      </c>
      <c r="AK55" s="166">
        <v>1306.5306122448983</v>
      </c>
      <c r="AL55" s="166">
        <v>87.10204081632655</v>
      </c>
      <c r="AM55" s="182">
        <f t="shared" si="15"/>
        <v>4</v>
      </c>
      <c r="AN55" s="491"/>
      <c r="AO55" s="166">
        <v>15</v>
      </c>
      <c r="AP55" s="166">
        <v>1295.3571428571438</v>
      </c>
      <c r="AQ55" s="166">
        <v>86.357142857142918</v>
      </c>
      <c r="AR55" s="182">
        <f t="shared" si="16"/>
        <v>4</v>
      </c>
      <c r="AS55" s="491"/>
      <c r="AT55" s="166">
        <v>15</v>
      </c>
      <c r="AU55" s="166">
        <v>1279.2857142857151</v>
      </c>
      <c r="AV55" s="166">
        <v>85.285714285714349</v>
      </c>
      <c r="AW55" s="182">
        <f t="shared" si="17"/>
        <v>4</v>
      </c>
      <c r="AX55" s="491"/>
    </row>
    <row r="56" spans="2:50">
      <c r="B56" s="479"/>
      <c r="C56" s="182">
        <v>15</v>
      </c>
      <c r="D56" s="203" t="s">
        <v>291</v>
      </c>
      <c r="E56" s="166">
        <v>17</v>
      </c>
      <c r="F56" s="182">
        <v>1440</v>
      </c>
      <c r="G56" s="180">
        <v>84.7</v>
      </c>
      <c r="H56" s="460"/>
      <c r="I56" s="166">
        <f t="shared" si="18"/>
        <v>16.142857142857142</v>
      </c>
      <c r="J56" s="166">
        <f t="shared" si="19"/>
        <v>1338.544667658869</v>
      </c>
      <c r="K56" s="180">
        <f t="shared" si="20"/>
        <v>82.943705594225534</v>
      </c>
      <c r="L56" s="460"/>
      <c r="M56" s="166">
        <f>RANK(K56, K$42:$K$71)</f>
        <v>5</v>
      </c>
      <c r="N56" s="462"/>
      <c r="O56" s="462"/>
      <c r="P56" s="166">
        <v>17</v>
      </c>
      <c r="Q56" s="166">
        <v>1361.9999999999995</v>
      </c>
      <c r="R56" s="166">
        <v>80.117647058823508</v>
      </c>
      <c r="S56" s="182">
        <f t="shared" si="11"/>
        <v>7</v>
      </c>
      <c r="T56" s="491"/>
      <c r="U56" s="166">
        <v>16</v>
      </c>
      <c r="V56" s="166">
        <v>1329.3506493506486</v>
      </c>
      <c r="W56" s="166">
        <v>83.084415584415538</v>
      </c>
      <c r="X56" s="182">
        <f t="shared" si="12"/>
        <v>4</v>
      </c>
      <c r="Y56" s="491"/>
      <c r="Z56" s="166">
        <v>16</v>
      </c>
      <c r="AA56" s="166">
        <v>1301.4705882352923</v>
      </c>
      <c r="AB56" s="166">
        <v>81.34191176470577</v>
      </c>
      <c r="AC56" s="182">
        <f t="shared" si="13"/>
        <v>7</v>
      </c>
      <c r="AD56" s="491"/>
      <c r="AE56" s="166">
        <v>16</v>
      </c>
      <c r="AF56" s="166">
        <v>1347.945205479451</v>
      </c>
      <c r="AG56" s="166">
        <v>84.24657534246569</v>
      </c>
      <c r="AH56" s="182">
        <f t="shared" si="14"/>
        <v>6</v>
      </c>
      <c r="AI56" s="491"/>
      <c r="AJ56" s="166">
        <v>16</v>
      </c>
      <c r="AK56" s="166">
        <v>1354.1772151898726</v>
      </c>
      <c r="AL56" s="166">
        <v>84.63607594936704</v>
      </c>
      <c r="AM56" s="182">
        <f t="shared" si="15"/>
        <v>5</v>
      </c>
      <c r="AN56" s="491"/>
      <c r="AO56" s="166">
        <v>16</v>
      </c>
      <c r="AP56" s="166">
        <v>1315.6097560975604</v>
      </c>
      <c r="AQ56" s="166">
        <v>82.225609756097526</v>
      </c>
      <c r="AR56" s="182">
        <f t="shared" si="16"/>
        <v>5</v>
      </c>
      <c r="AS56" s="491"/>
      <c r="AT56" s="166">
        <v>16</v>
      </c>
      <c r="AU56" s="166">
        <v>1359.2592592592587</v>
      </c>
      <c r="AV56" s="166">
        <v>84.953703703703667</v>
      </c>
      <c r="AW56" s="182">
        <f t="shared" si="17"/>
        <v>5</v>
      </c>
      <c r="AX56" s="491"/>
    </row>
    <row r="57" spans="2:50">
      <c r="B57" s="479"/>
      <c r="C57" s="182">
        <v>16</v>
      </c>
      <c r="D57" s="203" t="s">
        <v>292</v>
      </c>
      <c r="E57" s="166">
        <v>17</v>
      </c>
      <c r="F57" s="182">
        <v>1636</v>
      </c>
      <c r="G57" s="180">
        <v>96.3</v>
      </c>
      <c r="H57" s="460"/>
      <c r="I57" s="166">
        <f t="shared" si="18"/>
        <v>17</v>
      </c>
      <c r="J57" s="166">
        <f t="shared" si="19"/>
        <v>1091.6507936507933</v>
      </c>
      <c r="K57" s="180">
        <f t="shared" si="20"/>
        <v>64.214752567693722</v>
      </c>
      <c r="L57" s="460"/>
      <c r="M57" s="166">
        <f>RANK(K57, K$42:$K$71)</f>
        <v>25</v>
      </c>
      <c r="N57" s="462"/>
      <c r="O57" s="462"/>
      <c r="P57" s="166">
        <v>17</v>
      </c>
      <c r="Q57" s="166">
        <v>1086.666666666664</v>
      </c>
      <c r="R57" s="166">
        <v>63.921568627450824</v>
      </c>
      <c r="S57" s="182">
        <f t="shared" si="11"/>
        <v>26</v>
      </c>
      <c r="T57" s="491"/>
      <c r="U57" s="166">
        <v>17</v>
      </c>
      <c r="V57" s="166">
        <v>1084.2857142857119</v>
      </c>
      <c r="W57" s="166">
        <v>63.781512605041883</v>
      </c>
      <c r="X57" s="182">
        <f t="shared" si="12"/>
        <v>26</v>
      </c>
      <c r="Y57" s="491"/>
      <c r="Z57" s="166">
        <v>17</v>
      </c>
      <c r="AA57" s="166">
        <v>1104.0000000000039</v>
      </c>
      <c r="AB57" s="166">
        <v>64.941176470588459</v>
      </c>
      <c r="AC57" s="182">
        <f t="shared" si="13"/>
        <v>24</v>
      </c>
      <c r="AD57" s="491"/>
      <c r="AE57" s="166"/>
      <c r="AF57" s="166"/>
      <c r="AG57" s="166"/>
      <c r="AH57" s="182" t="e">
        <f t="shared" si="14"/>
        <v>#N/A</v>
      </c>
      <c r="AI57" s="491"/>
      <c r="AJ57" s="166"/>
      <c r="AK57" s="166"/>
      <c r="AL57" s="166"/>
      <c r="AM57" s="182" t="e">
        <f t="shared" si="15"/>
        <v>#N/A</v>
      </c>
      <c r="AN57" s="491"/>
      <c r="AO57" s="166"/>
      <c r="AP57" s="166"/>
      <c r="AQ57" s="166"/>
      <c r="AR57" s="182" t="e">
        <f t="shared" si="16"/>
        <v>#N/A</v>
      </c>
      <c r="AS57" s="491"/>
      <c r="AT57" s="166"/>
      <c r="AU57" s="166"/>
      <c r="AV57" s="166"/>
      <c r="AW57" s="182" t="e">
        <f t="shared" si="17"/>
        <v>#N/A</v>
      </c>
      <c r="AX57" s="491"/>
    </row>
    <row r="58" spans="2:50">
      <c r="B58" s="479"/>
      <c r="C58" s="182">
        <v>17</v>
      </c>
      <c r="D58" s="203" t="s">
        <v>293</v>
      </c>
      <c r="E58" s="166">
        <v>18</v>
      </c>
      <c r="F58" s="182">
        <v>1440</v>
      </c>
      <c r="G58" s="180">
        <v>80</v>
      </c>
      <c r="H58" s="460"/>
      <c r="I58" s="166">
        <f t="shared" si="18"/>
        <v>17</v>
      </c>
      <c r="J58" s="166">
        <f t="shared" si="19"/>
        <v>1289.4573339703779</v>
      </c>
      <c r="K58" s="180">
        <f t="shared" si="20"/>
        <v>75.850431410022225</v>
      </c>
      <c r="L58" s="460"/>
      <c r="M58" s="166">
        <f>RANK(K58, K$42:$K$71)</f>
        <v>11</v>
      </c>
      <c r="N58" s="462"/>
      <c r="O58" s="462"/>
      <c r="P58" s="166">
        <v>17</v>
      </c>
      <c r="Q58" s="166">
        <v>1263.4615384615392</v>
      </c>
      <c r="R58" s="166">
        <v>74.321266968325844</v>
      </c>
      <c r="S58" s="182">
        <f t="shared" si="11"/>
        <v>14</v>
      </c>
      <c r="T58" s="491"/>
      <c r="U58" s="166">
        <v>17</v>
      </c>
      <c r="V58" s="166">
        <v>1294.8000000000004</v>
      </c>
      <c r="W58" s="166">
        <v>76.164705882352962</v>
      </c>
      <c r="X58" s="182">
        <f t="shared" si="12"/>
        <v>9</v>
      </c>
      <c r="Y58" s="491"/>
      <c r="Z58" s="166">
        <v>17</v>
      </c>
      <c r="AA58" s="166">
        <v>1260.0000000000005</v>
      </c>
      <c r="AB58" s="166">
        <v>74.11764705882355</v>
      </c>
      <c r="AC58" s="182">
        <f t="shared" si="13"/>
        <v>14</v>
      </c>
      <c r="AD58" s="491"/>
      <c r="AE58" s="166">
        <v>17</v>
      </c>
      <c r="AF58" s="166">
        <v>1296.0000000000002</v>
      </c>
      <c r="AG58" s="166">
        <v>76.235294117647072</v>
      </c>
      <c r="AH58" s="182">
        <f t="shared" si="14"/>
        <v>12</v>
      </c>
      <c r="AI58" s="491"/>
      <c r="AJ58" s="166">
        <v>17</v>
      </c>
      <c r="AK58" s="166">
        <v>1313.4782608695652</v>
      </c>
      <c r="AL58" s="166">
        <v>77.26342710997443</v>
      </c>
      <c r="AM58" s="182">
        <f t="shared" si="15"/>
        <v>9</v>
      </c>
      <c r="AN58" s="491"/>
      <c r="AO58" s="166">
        <v>17</v>
      </c>
      <c r="AP58" s="166">
        <v>1298.0769230769238</v>
      </c>
      <c r="AQ58" s="166">
        <v>76.357466063348454</v>
      </c>
      <c r="AR58" s="182">
        <f t="shared" si="16"/>
        <v>10</v>
      </c>
      <c r="AS58" s="491"/>
      <c r="AT58" s="166">
        <v>17</v>
      </c>
      <c r="AU58" s="166">
        <v>1300.3846153846162</v>
      </c>
      <c r="AV58" s="166">
        <v>76.493212669683302</v>
      </c>
      <c r="AW58" s="182">
        <f t="shared" si="17"/>
        <v>10</v>
      </c>
      <c r="AX58" s="491"/>
    </row>
    <row r="59" spans="2:50">
      <c r="B59" s="479"/>
      <c r="C59" s="182">
        <v>18</v>
      </c>
      <c r="D59" s="203" t="s">
        <v>294</v>
      </c>
      <c r="E59" s="166">
        <v>18</v>
      </c>
      <c r="F59" s="182">
        <v>1500</v>
      </c>
      <c r="G59" s="180">
        <v>83.3</v>
      </c>
      <c r="H59" s="460"/>
      <c r="I59" s="166">
        <f t="shared" si="18"/>
        <v>18</v>
      </c>
      <c r="J59" s="166">
        <f t="shared" si="19"/>
        <v>1266.1361844096925</v>
      </c>
      <c r="K59" s="180">
        <f t="shared" si="20"/>
        <v>70.340899133871829</v>
      </c>
      <c r="L59" s="460"/>
      <c r="M59" s="166">
        <f>RANK(K59, K$42:$K$71)</f>
        <v>19</v>
      </c>
      <c r="N59" s="462"/>
      <c r="O59" s="462"/>
      <c r="P59" s="166">
        <v>18</v>
      </c>
      <c r="Q59" s="166">
        <v>1238.1818181818182</v>
      </c>
      <c r="R59" s="166">
        <v>68.787878787878796</v>
      </c>
      <c r="S59" s="182">
        <f t="shared" si="11"/>
        <v>22</v>
      </c>
      <c r="T59" s="491"/>
      <c r="U59" s="166">
        <v>18</v>
      </c>
      <c r="V59" s="166">
        <v>1300</v>
      </c>
      <c r="W59" s="166">
        <v>72.222222222222229</v>
      </c>
      <c r="X59" s="182">
        <f t="shared" si="12"/>
        <v>15</v>
      </c>
      <c r="Y59" s="491"/>
      <c r="Z59" s="166">
        <v>18</v>
      </c>
      <c r="AA59" s="166">
        <v>1271.3513513513503</v>
      </c>
      <c r="AB59" s="166">
        <v>70.630630630630577</v>
      </c>
      <c r="AC59" s="182">
        <f t="shared" si="13"/>
        <v>20</v>
      </c>
      <c r="AD59" s="491"/>
      <c r="AE59" s="166">
        <v>18</v>
      </c>
      <c r="AF59" s="166">
        <v>1247.4418604651162</v>
      </c>
      <c r="AG59" s="166">
        <v>69.302325581395337</v>
      </c>
      <c r="AH59" s="182">
        <f t="shared" si="14"/>
        <v>21</v>
      </c>
      <c r="AI59" s="491"/>
      <c r="AJ59" s="166">
        <v>18</v>
      </c>
      <c r="AK59" s="166">
        <v>1270.4999999999995</v>
      </c>
      <c r="AL59" s="166">
        <v>70.583333333333314</v>
      </c>
      <c r="AM59" s="182">
        <f t="shared" si="15"/>
        <v>21</v>
      </c>
      <c r="AN59" s="491"/>
      <c r="AO59" s="166">
        <v>18</v>
      </c>
      <c r="AP59" s="166">
        <v>1283.4782608695652</v>
      </c>
      <c r="AQ59" s="166">
        <v>71.304347826086953</v>
      </c>
      <c r="AR59" s="182">
        <f t="shared" si="16"/>
        <v>19</v>
      </c>
      <c r="AS59" s="491"/>
      <c r="AT59" s="166">
        <v>18</v>
      </c>
      <c r="AU59" s="166">
        <v>1252</v>
      </c>
      <c r="AV59" s="166">
        <v>69.555555555555557</v>
      </c>
      <c r="AW59" s="182">
        <f t="shared" si="17"/>
        <v>20</v>
      </c>
      <c r="AX59" s="491"/>
    </row>
    <row r="60" spans="2:50">
      <c r="B60" s="479"/>
      <c r="C60" s="182">
        <v>19</v>
      </c>
      <c r="D60" s="203" t="s">
        <v>295</v>
      </c>
      <c r="E60" s="166">
        <v>17</v>
      </c>
      <c r="F60" s="182">
        <v>1440</v>
      </c>
      <c r="G60" s="180">
        <v>84.7</v>
      </c>
      <c r="H60" s="460"/>
      <c r="I60" s="166">
        <f t="shared" si="18"/>
        <v>17</v>
      </c>
      <c r="J60" s="166">
        <f t="shared" si="19"/>
        <v>1084.9105617972598</v>
      </c>
      <c r="K60" s="180">
        <f t="shared" si="20"/>
        <v>63.818268341015276</v>
      </c>
      <c r="L60" s="460"/>
      <c r="M60" s="166">
        <f>RANK(K60, K$42:$K$71)</f>
        <v>26</v>
      </c>
      <c r="N60" s="462"/>
      <c r="O60" s="462"/>
      <c r="P60" s="166">
        <v>17</v>
      </c>
      <c r="Q60" s="166">
        <v>1087.999999999998</v>
      </c>
      <c r="R60" s="166">
        <v>63.999999999999879</v>
      </c>
      <c r="S60" s="182">
        <f t="shared" si="11"/>
        <v>25</v>
      </c>
      <c r="T60" s="491"/>
      <c r="U60" s="166">
        <v>17</v>
      </c>
      <c r="V60" s="166">
        <v>1090.7142857142833</v>
      </c>
      <c r="W60" s="166">
        <v>64.159663865546079</v>
      </c>
      <c r="X60" s="182">
        <f t="shared" si="12"/>
        <v>25</v>
      </c>
      <c r="Y60" s="491"/>
      <c r="Z60" s="166">
        <v>17</v>
      </c>
      <c r="AA60" s="166">
        <v>1084.9999999999968</v>
      </c>
      <c r="AB60" s="166">
        <v>63.823529411764518</v>
      </c>
      <c r="AC60" s="182">
        <f t="shared" si="13"/>
        <v>26</v>
      </c>
      <c r="AD60" s="491"/>
      <c r="AE60" s="166">
        <v>17</v>
      </c>
      <c r="AF60" s="166">
        <v>1103.0769230769201</v>
      </c>
      <c r="AG60" s="166">
        <v>64.886877828054125</v>
      </c>
      <c r="AH60" s="182">
        <f t="shared" si="14"/>
        <v>24</v>
      </c>
      <c r="AI60" s="491"/>
      <c r="AJ60" s="166">
        <v>17</v>
      </c>
      <c r="AK60" s="166">
        <v>1093.6363636363674</v>
      </c>
      <c r="AL60" s="166">
        <v>64.331550802139262</v>
      </c>
      <c r="AM60" s="182">
        <f t="shared" si="15"/>
        <v>25</v>
      </c>
      <c r="AN60" s="491"/>
      <c r="AO60" s="166">
        <v>17</v>
      </c>
      <c r="AP60" s="166">
        <v>1071.7241379310324</v>
      </c>
      <c r="AQ60" s="166">
        <v>63.04259634888426</v>
      </c>
      <c r="AR60" s="182">
        <f t="shared" si="16"/>
        <v>25</v>
      </c>
      <c r="AS60" s="491"/>
      <c r="AT60" s="166">
        <v>17</v>
      </c>
      <c r="AU60" s="166">
        <v>1062.2222222222199</v>
      </c>
      <c r="AV60" s="166">
        <v>62.483660130718818</v>
      </c>
      <c r="AW60" s="182">
        <f t="shared" si="17"/>
        <v>25</v>
      </c>
      <c r="AX60" s="491"/>
    </row>
    <row r="61" spans="2:50">
      <c r="B61" s="479"/>
      <c r="C61" s="182">
        <v>20</v>
      </c>
      <c r="D61" s="203" t="s">
        <v>296</v>
      </c>
      <c r="E61" s="166">
        <v>18</v>
      </c>
      <c r="F61" s="182">
        <v>1385</v>
      </c>
      <c r="G61" s="180">
        <v>76.900000000000006</v>
      </c>
      <c r="H61" s="460"/>
      <c r="I61" s="166">
        <f t="shared" si="18"/>
        <v>17</v>
      </c>
      <c r="J61" s="166">
        <f t="shared" si="19"/>
        <v>1190.4391021163322</v>
      </c>
      <c r="K61" s="180">
        <f t="shared" si="20"/>
        <v>70.025829536254818</v>
      </c>
      <c r="L61" s="460"/>
      <c r="M61" s="166">
        <f>RANK(K61, K$42:$K$71)</f>
        <v>22</v>
      </c>
      <c r="N61" s="462"/>
      <c r="O61" s="462"/>
      <c r="P61" s="166">
        <v>17</v>
      </c>
      <c r="Q61" s="166">
        <v>1191.6000000000004</v>
      </c>
      <c r="R61" s="166">
        <v>70.094117647058852</v>
      </c>
      <c r="S61" s="182">
        <f t="shared" si="11"/>
        <v>21</v>
      </c>
      <c r="T61" s="491"/>
      <c r="U61" s="166">
        <v>17</v>
      </c>
      <c r="V61" s="166">
        <v>1198.8000000000002</v>
      </c>
      <c r="W61" s="166">
        <v>70.517647058823542</v>
      </c>
      <c r="X61" s="182">
        <f t="shared" si="12"/>
        <v>17</v>
      </c>
      <c r="Y61" s="491"/>
      <c r="Z61" s="166">
        <v>17</v>
      </c>
      <c r="AA61" s="166">
        <v>1151.9999999999995</v>
      </c>
      <c r="AB61" s="166">
        <v>67.764705882352914</v>
      </c>
      <c r="AC61" s="182">
        <f t="shared" si="13"/>
        <v>23</v>
      </c>
      <c r="AD61" s="491"/>
      <c r="AE61" s="166">
        <v>17</v>
      </c>
      <c r="AF61" s="166">
        <v>1198.2857142857131</v>
      </c>
      <c r="AG61" s="166">
        <v>70.487394957983128</v>
      </c>
      <c r="AH61" s="182">
        <f t="shared" si="14"/>
        <v>19</v>
      </c>
      <c r="AI61" s="491"/>
      <c r="AJ61" s="166">
        <v>17</v>
      </c>
      <c r="AK61" s="166">
        <v>1217.1428571428567</v>
      </c>
      <c r="AL61" s="166">
        <v>71.596638655462158</v>
      </c>
      <c r="AM61" s="182">
        <f t="shared" si="15"/>
        <v>18</v>
      </c>
      <c r="AN61" s="491"/>
      <c r="AO61" s="166">
        <v>17</v>
      </c>
      <c r="AP61" s="166">
        <v>1176.5217391304348</v>
      </c>
      <c r="AQ61" s="166">
        <v>69.207161125319686</v>
      </c>
      <c r="AR61" s="182">
        <f t="shared" si="16"/>
        <v>24</v>
      </c>
      <c r="AS61" s="491"/>
      <c r="AT61" s="166">
        <v>17</v>
      </c>
      <c r="AU61" s="166">
        <v>1198.7234042553193</v>
      </c>
      <c r="AV61" s="166">
        <v>70.513141426783491</v>
      </c>
      <c r="AW61" s="182">
        <f t="shared" si="17"/>
        <v>17</v>
      </c>
      <c r="AX61" s="491"/>
    </row>
    <row r="62" spans="2:50">
      <c r="B62" s="479"/>
      <c r="C62" s="182">
        <v>21</v>
      </c>
      <c r="D62" s="203" t="s">
        <v>297</v>
      </c>
      <c r="E62" s="166">
        <v>18</v>
      </c>
      <c r="F62" s="182">
        <v>1440</v>
      </c>
      <c r="G62" s="180">
        <v>80</v>
      </c>
      <c r="H62" s="460"/>
      <c r="I62" s="166">
        <f t="shared" si="18"/>
        <v>18.857142857142858</v>
      </c>
      <c r="J62" s="166">
        <f t="shared" si="19"/>
        <v>1289.9582378679547</v>
      </c>
      <c r="K62" s="180">
        <f t="shared" si="20"/>
        <v>68.427765791435107</v>
      </c>
      <c r="L62" s="460"/>
      <c r="M62" s="166">
        <f>RANK(K62, K$42:$K$71)</f>
        <v>23</v>
      </c>
      <c r="N62" s="462"/>
      <c r="O62" s="462"/>
      <c r="P62" s="166">
        <v>19</v>
      </c>
      <c r="Q62" s="166">
        <v>1301.6326530612248</v>
      </c>
      <c r="R62" s="166">
        <v>68.506981740064461</v>
      </c>
      <c r="S62" s="182">
        <f t="shared" si="11"/>
        <v>23</v>
      </c>
      <c r="T62" s="491"/>
      <c r="U62" s="166">
        <v>19</v>
      </c>
      <c r="V62" s="166">
        <v>1258.8679245283026</v>
      </c>
      <c r="W62" s="166">
        <v>66.256206554121192</v>
      </c>
      <c r="X62" s="182">
        <f t="shared" si="12"/>
        <v>21</v>
      </c>
      <c r="Y62" s="491"/>
      <c r="Z62" s="166">
        <v>19</v>
      </c>
      <c r="AA62" s="166">
        <v>1318.571428571428</v>
      </c>
      <c r="AB62" s="166">
        <v>69.398496240601474</v>
      </c>
      <c r="AC62" s="182">
        <f t="shared" si="13"/>
        <v>22</v>
      </c>
      <c r="AD62" s="491"/>
      <c r="AE62" s="166">
        <v>19</v>
      </c>
      <c r="AF62" s="166">
        <v>1310.2325581395348</v>
      </c>
      <c r="AG62" s="166">
        <v>68.959608323133409</v>
      </c>
      <c r="AH62" s="182">
        <f t="shared" si="14"/>
        <v>22</v>
      </c>
      <c r="AI62" s="491"/>
      <c r="AJ62" s="166">
        <v>19</v>
      </c>
      <c r="AK62" s="166">
        <v>1271.1627906976742</v>
      </c>
      <c r="AL62" s="166">
        <v>66.9033047735618</v>
      </c>
      <c r="AM62" s="182">
        <f t="shared" si="15"/>
        <v>24</v>
      </c>
      <c r="AN62" s="491"/>
      <c r="AO62" s="166">
        <v>18</v>
      </c>
      <c r="AP62" s="166">
        <v>1281.3333333333333</v>
      </c>
      <c r="AQ62" s="166">
        <v>71.185185185185176</v>
      </c>
      <c r="AR62" s="182">
        <f t="shared" si="16"/>
        <v>20</v>
      </c>
      <c r="AS62" s="491"/>
      <c r="AT62" s="166">
        <v>19</v>
      </c>
      <c r="AU62" s="166">
        <v>1287.9069767441858</v>
      </c>
      <c r="AV62" s="166">
        <v>67.784577723378206</v>
      </c>
      <c r="AW62" s="182">
        <f t="shared" si="17"/>
        <v>23</v>
      </c>
      <c r="AX62" s="491"/>
    </row>
    <row r="63" spans="2:50">
      <c r="B63" s="479"/>
      <c r="C63" s="182">
        <v>22</v>
      </c>
      <c r="D63" s="203" t="s">
        <v>298</v>
      </c>
      <c r="E63" s="166">
        <v>15</v>
      </c>
      <c r="F63" s="182">
        <v>1500</v>
      </c>
      <c r="G63" s="180">
        <v>100</v>
      </c>
      <c r="H63" s="460"/>
      <c r="I63" s="166">
        <f t="shared" si="18"/>
        <v>16.428571428571427</v>
      </c>
      <c r="J63" s="166">
        <f t="shared" si="19"/>
        <v>1290.0662599641671</v>
      </c>
      <c r="K63" s="180">
        <f t="shared" si="20"/>
        <v>78.836603396282428</v>
      </c>
      <c r="L63" s="460"/>
      <c r="M63" s="166">
        <f>RANK(K63, K$42:$K$71)</f>
        <v>8</v>
      </c>
      <c r="N63" s="462"/>
      <c r="O63" s="462"/>
      <c r="P63" s="166">
        <v>16</v>
      </c>
      <c r="Q63" s="166">
        <v>1274.9999999999991</v>
      </c>
      <c r="R63" s="166">
        <v>79.687499999999943</v>
      </c>
      <c r="S63" s="182">
        <f t="shared" si="11"/>
        <v>8</v>
      </c>
      <c r="T63" s="491"/>
      <c r="U63" s="166">
        <v>16</v>
      </c>
      <c r="V63" s="166">
        <v>1300.2857142857129</v>
      </c>
      <c r="W63" s="166">
        <v>81.267857142857054</v>
      </c>
      <c r="X63" s="182">
        <f t="shared" si="12"/>
        <v>5</v>
      </c>
      <c r="Y63" s="491"/>
      <c r="Z63" s="166">
        <v>16</v>
      </c>
      <c r="AA63" s="166">
        <v>1305.4838709677433</v>
      </c>
      <c r="AB63" s="166">
        <v>81.592741935483957</v>
      </c>
      <c r="AC63" s="182">
        <f t="shared" si="13"/>
        <v>6</v>
      </c>
      <c r="AD63" s="491"/>
      <c r="AE63" s="166">
        <v>16</v>
      </c>
      <c r="AF63" s="166">
        <v>1283.6619718309846</v>
      </c>
      <c r="AG63" s="166">
        <v>80.228873239436538</v>
      </c>
      <c r="AH63" s="182">
        <f t="shared" si="14"/>
        <v>8</v>
      </c>
      <c r="AI63" s="491"/>
      <c r="AJ63" s="166">
        <v>16</v>
      </c>
      <c r="AK63" s="166">
        <v>1295.6521739130421</v>
      </c>
      <c r="AL63" s="166">
        <v>80.978260869565133</v>
      </c>
      <c r="AM63" s="182">
        <f t="shared" si="15"/>
        <v>6</v>
      </c>
      <c r="AN63" s="491"/>
      <c r="AO63" s="166">
        <v>16</v>
      </c>
      <c r="AP63" s="166">
        <v>1298.8732394366184</v>
      </c>
      <c r="AQ63" s="166">
        <v>81.17957746478865</v>
      </c>
      <c r="AR63" s="182">
        <f t="shared" si="16"/>
        <v>7</v>
      </c>
      <c r="AS63" s="491"/>
      <c r="AT63" s="166">
        <v>19</v>
      </c>
      <c r="AU63" s="166">
        <v>1271.5068493150675</v>
      </c>
      <c r="AV63" s="166">
        <v>66.92141312184566</v>
      </c>
      <c r="AW63" s="182">
        <f t="shared" si="17"/>
        <v>24</v>
      </c>
      <c r="AX63" s="491"/>
    </row>
    <row r="64" spans="2:50">
      <c r="B64" s="479"/>
      <c r="C64" s="182">
        <v>23</v>
      </c>
      <c r="D64" s="203" t="s">
        <v>299</v>
      </c>
      <c r="E64" s="166">
        <v>16</v>
      </c>
      <c r="F64" s="182">
        <v>1500</v>
      </c>
      <c r="G64" s="180">
        <v>93.8</v>
      </c>
      <c r="H64" s="460"/>
      <c r="I64" s="166">
        <f t="shared" si="18"/>
        <v>16</v>
      </c>
      <c r="J64" s="166">
        <f t="shared" si="19"/>
        <v>1121.8298515578483</v>
      </c>
      <c r="K64" s="180">
        <f t="shared" si="20"/>
        <v>70.11436572236552</v>
      </c>
      <c r="L64" s="460"/>
      <c r="M64" s="166">
        <f>RANK(K64, K$42:$K$71)</f>
        <v>21</v>
      </c>
      <c r="N64" s="462"/>
      <c r="O64" s="462"/>
      <c r="P64" s="166">
        <v>16</v>
      </c>
      <c r="Q64" s="166">
        <v>1145.4545454545455</v>
      </c>
      <c r="R64" s="166">
        <v>71.590909090909093</v>
      </c>
      <c r="S64" s="182">
        <f t="shared" si="11"/>
        <v>18</v>
      </c>
      <c r="T64" s="491"/>
      <c r="U64" s="166">
        <v>16</v>
      </c>
      <c r="V64" s="166">
        <v>1092.0000000000039</v>
      </c>
      <c r="W64" s="166">
        <v>68.250000000000242</v>
      </c>
      <c r="X64" s="182">
        <f t="shared" si="12"/>
        <v>20</v>
      </c>
      <c r="Y64" s="491"/>
      <c r="Z64" s="166">
        <v>16</v>
      </c>
      <c r="AA64" s="166">
        <v>1127.142857142858</v>
      </c>
      <c r="AB64" s="166">
        <v>70.446428571428626</v>
      </c>
      <c r="AC64" s="182">
        <f t="shared" si="13"/>
        <v>21</v>
      </c>
      <c r="AD64" s="491"/>
      <c r="AE64" s="166">
        <v>16</v>
      </c>
      <c r="AF64" s="166">
        <v>1101.176470588234</v>
      </c>
      <c r="AG64" s="166">
        <v>68.823529411764625</v>
      </c>
      <c r="AH64" s="182">
        <f t="shared" si="14"/>
        <v>23</v>
      </c>
      <c r="AI64" s="491"/>
      <c r="AJ64" s="166">
        <v>16</v>
      </c>
      <c r="AK64" s="166">
        <v>1127.3684210526308</v>
      </c>
      <c r="AL64" s="166">
        <v>70.460526315789423</v>
      </c>
      <c r="AM64" s="182">
        <f t="shared" si="15"/>
        <v>22</v>
      </c>
      <c r="AN64" s="491"/>
      <c r="AO64" s="166">
        <v>16</v>
      </c>
      <c r="AP64" s="166">
        <v>1146.6666666666658</v>
      </c>
      <c r="AQ64" s="166">
        <v>71.666666666666615</v>
      </c>
      <c r="AR64" s="182">
        <f t="shared" si="16"/>
        <v>18</v>
      </c>
      <c r="AS64" s="491"/>
      <c r="AT64" s="166">
        <v>16</v>
      </c>
      <c r="AU64" s="166">
        <v>1112.9999999999995</v>
      </c>
      <c r="AV64" s="166">
        <v>69.562499999999972</v>
      </c>
      <c r="AW64" s="182">
        <f t="shared" si="17"/>
        <v>19</v>
      </c>
      <c r="AX64" s="491"/>
    </row>
    <row r="65" spans="2:50">
      <c r="B65" s="479"/>
      <c r="C65" s="182">
        <v>24</v>
      </c>
      <c r="D65" s="203" t="s">
        <v>300</v>
      </c>
      <c r="E65" s="166">
        <v>20</v>
      </c>
      <c r="F65" s="182">
        <v>1500</v>
      </c>
      <c r="G65" s="180">
        <v>75</v>
      </c>
      <c r="H65" s="460"/>
      <c r="I65" s="166">
        <f t="shared" si="18"/>
        <v>20</v>
      </c>
      <c r="J65" s="166">
        <f t="shared" si="19"/>
        <v>1136.9247036192185</v>
      </c>
      <c r="K65" s="180">
        <f t="shared" si="20"/>
        <v>56.846235180960925</v>
      </c>
      <c r="L65" s="460"/>
      <c r="M65" s="166">
        <f>RANK(K65, K$42:$K$71)</f>
        <v>29</v>
      </c>
      <c r="N65" s="462"/>
      <c r="O65" s="462"/>
      <c r="P65" s="182">
        <v>20</v>
      </c>
      <c r="Q65" s="180">
        <v>1135.8904109589032</v>
      </c>
      <c r="R65" s="180">
        <v>56.794520547945162</v>
      </c>
      <c r="S65" s="182">
        <f t="shared" si="11"/>
        <v>28</v>
      </c>
      <c r="T65" s="491"/>
      <c r="U65" s="182">
        <v>20</v>
      </c>
      <c r="V65" s="180">
        <v>1105.0746268656701</v>
      </c>
      <c r="W65" s="180">
        <v>55.253731343283505</v>
      </c>
      <c r="X65" s="182">
        <f t="shared" si="12"/>
        <v>29</v>
      </c>
      <c r="Y65" s="491"/>
      <c r="Z65" s="182">
        <v>20</v>
      </c>
      <c r="AA65" s="180">
        <v>1134.0983606557388</v>
      </c>
      <c r="AB65" s="180">
        <v>56.704918032786942</v>
      </c>
      <c r="AC65" s="182">
        <f t="shared" si="13"/>
        <v>28</v>
      </c>
      <c r="AD65" s="491"/>
      <c r="AE65" s="182">
        <v>20</v>
      </c>
      <c r="AF65" s="180">
        <v>1139.9999999999984</v>
      </c>
      <c r="AG65" s="180">
        <v>56.999999999999922</v>
      </c>
      <c r="AH65" s="182">
        <f t="shared" si="14"/>
        <v>28</v>
      </c>
      <c r="AI65" s="491"/>
      <c r="AJ65" s="182">
        <v>20</v>
      </c>
      <c r="AK65" s="180">
        <v>1111.8750000000014</v>
      </c>
      <c r="AL65" s="180">
        <v>55.593750000000071</v>
      </c>
      <c r="AM65" s="182">
        <f t="shared" si="15"/>
        <v>28</v>
      </c>
      <c r="AN65" s="491"/>
      <c r="AO65" s="182">
        <v>20</v>
      </c>
      <c r="AP65" s="180">
        <v>1175.6521739130424</v>
      </c>
      <c r="AQ65" s="180">
        <v>58.782608695652115</v>
      </c>
      <c r="AR65" s="182">
        <f t="shared" si="16"/>
        <v>28</v>
      </c>
      <c r="AS65" s="491"/>
      <c r="AT65" s="182">
        <v>20</v>
      </c>
      <c r="AU65" s="180">
        <v>1155.882352941175</v>
      </c>
      <c r="AV65" s="180">
        <v>57.794117647058748</v>
      </c>
      <c r="AW65" s="182">
        <f t="shared" si="17"/>
        <v>28</v>
      </c>
      <c r="AX65" s="491"/>
    </row>
    <row r="66" spans="2:50">
      <c r="B66" s="479"/>
      <c r="C66" s="182">
        <v>25</v>
      </c>
      <c r="D66" s="203" t="s">
        <v>301</v>
      </c>
      <c r="E66" s="166">
        <v>17</v>
      </c>
      <c r="F66" s="182">
        <v>1440</v>
      </c>
      <c r="G66" s="180">
        <v>84.7</v>
      </c>
      <c r="H66" s="460"/>
      <c r="I66" s="166">
        <f t="shared" ref="I66:I68" si="21">AVERAGE(P66,U66,Z66,AE66,AJ66,AO66,AT66)</f>
        <v>17</v>
      </c>
      <c r="J66" s="166">
        <f t="shared" ref="J66:J68" si="22">AVERAGE(Q66,V66,AA66,AF66,AK66,AP66,AU66)</f>
        <v>1282.8871095171537</v>
      </c>
      <c r="K66" s="180">
        <f t="shared" ref="K66:K68" si="23">AVERAGE(R66,W66,AB66,AG66,AL66,AQ66,AV66)</f>
        <v>75.463947618656093</v>
      </c>
      <c r="L66" s="460"/>
      <c r="M66" s="166">
        <f>RANK(K66, K$42:$K$71)</f>
        <v>12</v>
      </c>
      <c r="N66" s="462"/>
      <c r="O66" s="462"/>
      <c r="P66" s="182">
        <v>17</v>
      </c>
      <c r="Q66" s="180">
        <v>1290.3225806451615</v>
      </c>
      <c r="R66" s="180">
        <v>75.901328273244786</v>
      </c>
      <c r="S66" s="182">
        <f t="shared" si="11"/>
        <v>12</v>
      </c>
      <c r="T66" s="491"/>
      <c r="U66" s="182">
        <v>17</v>
      </c>
      <c r="V66" s="180">
        <v>1288.8607594936702</v>
      </c>
      <c r="W66" s="180">
        <v>75.815338793745312</v>
      </c>
      <c r="X66" s="182">
        <f t="shared" si="12"/>
        <v>10</v>
      </c>
      <c r="Y66" s="491"/>
      <c r="Z66" s="182">
        <v>17</v>
      </c>
      <c r="AA66" s="180">
        <v>1293.2432432432422</v>
      </c>
      <c r="AB66" s="180">
        <v>76.07313195548484</v>
      </c>
      <c r="AC66" s="182">
        <f t="shared" si="13"/>
        <v>11</v>
      </c>
      <c r="AD66" s="491"/>
      <c r="AE66" s="182">
        <v>17</v>
      </c>
      <c r="AF66" s="180">
        <v>1268.2499999999995</v>
      </c>
      <c r="AG66" s="180">
        <v>74.602941176470566</v>
      </c>
      <c r="AH66" s="182">
        <f t="shared" si="14"/>
        <v>14</v>
      </c>
      <c r="AI66" s="491"/>
      <c r="AJ66" s="182">
        <v>17</v>
      </c>
      <c r="AK66" s="180">
        <v>1260.7407407407402</v>
      </c>
      <c r="AL66" s="180">
        <v>74.161220043572953</v>
      </c>
      <c r="AM66" s="182">
        <f t="shared" si="15"/>
        <v>13</v>
      </c>
      <c r="AN66" s="491"/>
      <c r="AO66" s="182">
        <v>17</v>
      </c>
      <c r="AP66" s="180">
        <v>1292.0454545454545</v>
      </c>
      <c r="AQ66" s="180">
        <v>76.002673796791441</v>
      </c>
      <c r="AR66" s="182">
        <f t="shared" si="16"/>
        <v>11</v>
      </c>
      <c r="AS66" s="491"/>
      <c r="AT66" s="182">
        <v>17</v>
      </c>
      <c r="AU66" s="180">
        <v>1286.7469879518069</v>
      </c>
      <c r="AV66" s="180">
        <v>75.690999291282765</v>
      </c>
      <c r="AW66" s="182">
        <f t="shared" si="17"/>
        <v>11</v>
      </c>
      <c r="AX66" s="491"/>
    </row>
    <row r="67" spans="2:50">
      <c r="B67" s="479"/>
      <c r="C67" s="182">
        <v>26</v>
      </c>
      <c r="D67" s="203" t="s">
        <v>302</v>
      </c>
      <c r="E67" s="166">
        <v>18</v>
      </c>
      <c r="F67" s="182">
        <v>1385</v>
      </c>
      <c r="G67" s="180">
        <v>76.900000000000006</v>
      </c>
      <c r="H67" s="460"/>
      <c r="I67" s="166">
        <f t="shared" si="21"/>
        <v>18.714285714285715</v>
      </c>
      <c r="J67" s="166">
        <f t="shared" si="22"/>
        <v>1150.6800743644212</v>
      </c>
      <c r="K67" s="180">
        <f t="shared" si="23"/>
        <v>61.505349631151155</v>
      </c>
      <c r="L67" s="460"/>
      <c r="M67" s="166">
        <f>RANK(K67, K$42:$K$71)</f>
        <v>27</v>
      </c>
      <c r="N67" s="462"/>
      <c r="O67" s="462"/>
      <c r="P67" s="182">
        <v>18</v>
      </c>
      <c r="Q67" s="180">
        <v>1139.9999999999984</v>
      </c>
      <c r="R67" s="180">
        <v>63.333333333333243</v>
      </c>
      <c r="S67" s="182">
        <f t="shared" si="11"/>
        <v>27</v>
      </c>
      <c r="T67" s="491"/>
      <c r="U67" s="182">
        <v>19</v>
      </c>
      <c r="V67" s="180">
        <v>1132.6666666666665</v>
      </c>
      <c r="W67" s="180">
        <v>59.614035087719287</v>
      </c>
      <c r="X67" s="182">
        <f t="shared" si="12"/>
        <v>27</v>
      </c>
      <c r="Y67" s="491"/>
      <c r="Z67" s="182">
        <v>19</v>
      </c>
      <c r="AA67" s="180">
        <v>1185.7894736842122</v>
      </c>
      <c r="AB67" s="180">
        <v>62.409972299169063</v>
      </c>
      <c r="AC67" s="182">
        <f t="shared" si="13"/>
        <v>27</v>
      </c>
      <c r="AD67" s="491"/>
      <c r="AE67" s="182">
        <v>18</v>
      </c>
      <c r="AF67" s="180">
        <v>1118.1176470588252</v>
      </c>
      <c r="AG67" s="180">
        <v>62.117647058823621</v>
      </c>
      <c r="AH67" s="182">
        <f t="shared" si="14"/>
        <v>26</v>
      </c>
      <c r="AI67" s="491"/>
      <c r="AJ67" s="182">
        <v>19</v>
      </c>
      <c r="AK67" s="180">
        <v>1136.0869565217372</v>
      </c>
      <c r="AL67" s="180">
        <v>59.794050343249324</v>
      </c>
      <c r="AM67" s="182">
        <f t="shared" si="15"/>
        <v>26</v>
      </c>
      <c r="AN67" s="491"/>
      <c r="AO67" s="182">
        <v>19</v>
      </c>
      <c r="AP67" s="180">
        <v>1182.3529411764705</v>
      </c>
      <c r="AQ67" s="180">
        <v>62.22910216718266</v>
      </c>
      <c r="AR67" s="182">
        <f t="shared" si="16"/>
        <v>26</v>
      </c>
      <c r="AS67" s="491"/>
      <c r="AT67" s="182">
        <v>19</v>
      </c>
      <c r="AU67" s="180">
        <v>1159.7468354430375</v>
      </c>
      <c r="AV67" s="180">
        <v>61.039307128580923</v>
      </c>
      <c r="AW67" s="182">
        <f t="shared" si="17"/>
        <v>26</v>
      </c>
      <c r="AX67" s="491"/>
    </row>
    <row r="68" spans="2:50">
      <c r="B68" s="479"/>
      <c r="C68" s="182">
        <v>27</v>
      </c>
      <c r="D68" s="203" t="s">
        <v>303</v>
      </c>
      <c r="E68" s="166">
        <v>18</v>
      </c>
      <c r="F68" s="182">
        <v>1440</v>
      </c>
      <c r="G68" s="180">
        <v>80</v>
      </c>
      <c r="H68" s="460"/>
      <c r="I68" s="166">
        <f t="shared" si="21"/>
        <v>18</v>
      </c>
      <c r="J68" s="166">
        <f t="shared" si="22"/>
        <v>1294.3028985507249</v>
      </c>
      <c r="K68" s="180">
        <f t="shared" si="23"/>
        <v>71.905716586151385</v>
      </c>
      <c r="L68" s="460"/>
      <c r="M68" s="166">
        <f>RANK(K68, K$42:$K$71)</f>
        <v>16</v>
      </c>
      <c r="N68" s="462"/>
      <c r="O68" s="462"/>
      <c r="P68" s="182">
        <v>18</v>
      </c>
      <c r="Q68" s="180">
        <v>1289.9999999999995</v>
      </c>
      <c r="R68" s="180">
        <v>71.666666666666643</v>
      </c>
      <c r="S68" s="182">
        <f t="shared" si="11"/>
        <v>17</v>
      </c>
      <c r="T68" s="491"/>
      <c r="U68" s="182">
        <v>18</v>
      </c>
      <c r="V68" s="180">
        <v>1260.0000000000011</v>
      </c>
      <c r="W68" s="180">
        <v>70.000000000000057</v>
      </c>
      <c r="X68" s="182">
        <f t="shared" si="12"/>
        <v>18</v>
      </c>
      <c r="Y68" s="491"/>
      <c r="Z68" s="182">
        <v>18</v>
      </c>
      <c r="AA68" s="180">
        <v>1286.4000000000003</v>
      </c>
      <c r="AB68" s="180">
        <v>71.466666666666683</v>
      </c>
      <c r="AC68" s="182">
        <f t="shared" si="13"/>
        <v>19</v>
      </c>
      <c r="AD68" s="491"/>
      <c r="AE68" s="182">
        <v>18</v>
      </c>
      <c r="AF68" s="180">
        <v>1316.0869565217392</v>
      </c>
      <c r="AG68" s="180">
        <v>73.115942028985515</v>
      </c>
      <c r="AH68" s="182">
        <f t="shared" si="14"/>
        <v>16</v>
      </c>
      <c r="AI68" s="491"/>
      <c r="AJ68" s="182">
        <v>18</v>
      </c>
      <c r="AK68" s="180">
        <v>1306.8000000000002</v>
      </c>
      <c r="AL68" s="180">
        <v>72.600000000000009</v>
      </c>
      <c r="AM68" s="182">
        <f t="shared" si="15"/>
        <v>15</v>
      </c>
      <c r="AN68" s="491"/>
      <c r="AO68" s="182">
        <v>18</v>
      </c>
      <c r="AP68" s="180">
        <v>1303.3333333333339</v>
      </c>
      <c r="AQ68" s="180">
        <v>72.407407407407447</v>
      </c>
      <c r="AR68" s="182">
        <f t="shared" si="16"/>
        <v>16</v>
      </c>
      <c r="AS68" s="491"/>
      <c r="AT68" s="182">
        <v>18</v>
      </c>
      <c r="AU68" s="180">
        <v>1297.5000000000005</v>
      </c>
      <c r="AV68" s="180">
        <v>72.083333333333357</v>
      </c>
      <c r="AW68" s="182">
        <f t="shared" si="17"/>
        <v>14</v>
      </c>
      <c r="AX68" s="491"/>
    </row>
    <row r="69" spans="2:50">
      <c r="B69" s="479"/>
      <c r="C69" s="182">
        <v>28</v>
      </c>
      <c r="D69" s="203" t="s">
        <v>304</v>
      </c>
      <c r="E69" s="166">
        <v>17</v>
      </c>
      <c r="F69" s="182">
        <v>1440</v>
      </c>
      <c r="G69" s="180">
        <v>84.7</v>
      </c>
      <c r="H69" s="460"/>
      <c r="I69" s="166">
        <f t="shared" ref="I69:I70" si="24">AVERAGE(P69,U69,Z69,AE69,AJ69,AO69,AT69)</f>
        <v>17.142857142857142</v>
      </c>
      <c r="J69" s="166">
        <f t="shared" ref="J69:J70" si="25">AVERAGE(Q69,V69,AA69,AF69,AK69,AP69,AU69)</f>
        <v>1300.508499701172</v>
      </c>
      <c r="K69" s="180">
        <f t="shared" ref="K69:K70" si="26">AVERAGE(R69,W69,AB69,AG69,AL69,AQ69,AV69)</f>
        <v>75.85408757130358</v>
      </c>
      <c r="L69" s="460"/>
      <c r="M69" s="166">
        <f>RANK(K69, K$42:$K$71)</f>
        <v>10</v>
      </c>
      <c r="N69" s="462"/>
      <c r="O69" s="462"/>
      <c r="P69" s="182">
        <v>18</v>
      </c>
      <c r="Q69" s="180">
        <v>1384.6153846153873</v>
      </c>
      <c r="R69" s="180">
        <v>76.923076923077076</v>
      </c>
      <c r="S69" s="182">
        <f t="shared" si="11"/>
        <v>10</v>
      </c>
      <c r="T69" s="491"/>
      <c r="U69" s="182">
        <v>17</v>
      </c>
      <c r="V69" s="180">
        <v>1297.41935483871</v>
      </c>
      <c r="W69" s="180">
        <v>76.318785578747651</v>
      </c>
      <c r="X69" s="182">
        <f t="shared" si="12"/>
        <v>8</v>
      </c>
      <c r="Y69" s="491"/>
      <c r="Z69" s="182">
        <v>17</v>
      </c>
      <c r="AA69" s="180">
        <v>1313.333333333333</v>
      </c>
      <c r="AB69" s="180">
        <v>77.254901960784295</v>
      </c>
      <c r="AC69" s="182">
        <f t="shared" si="13"/>
        <v>10</v>
      </c>
      <c r="AD69" s="491"/>
      <c r="AE69" s="182">
        <v>17</v>
      </c>
      <c r="AF69" s="180">
        <v>1298.518518518518</v>
      </c>
      <c r="AG69" s="180">
        <v>76.383442265795182</v>
      </c>
      <c r="AH69" s="182">
        <f t="shared" si="14"/>
        <v>11</v>
      </c>
      <c r="AI69" s="491"/>
      <c r="AJ69" s="182">
        <v>17</v>
      </c>
      <c r="AK69" s="180">
        <v>1224.3750000000005</v>
      </c>
      <c r="AL69" s="180">
        <v>72.022058823529434</v>
      </c>
      <c r="AM69" s="182">
        <f t="shared" si="15"/>
        <v>17</v>
      </c>
      <c r="AN69" s="491"/>
      <c r="AO69" s="182">
        <v>17</v>
      </c>
      <c r="AP69" s="180">
        <v>1248.2608695652175</v>
      </c>
      <c r="AQ69" s="180">
        <v>73.427109974424553</v>
      </c>
      <c r="AR69" s="182">
        <f t="shared" si="16"/>
        <v>13</v>
      </c>
      <c r="AS69" s="491"/>
      <c r="AT69" s="182">
        <v>17</v>
      </c>
      <c r="AU69" s="180">
        <v>1337.0370370370365</v>
      </c>
      <c r="AV69" s="180">
        <v>78.649237472766856</v>
      </c>
      <c r="AW69" s="182">
        <f t="shared" si="17"/>
        <v>8</v>
      </c>
      <c r="AX69" s="491"/>
    </row>
    <row r="70" spans="2:50">
      <c r="B70" s="479"/>
      <c r="C70" s="182">
        <v>29</v>
      </c>
      <c r="D70" s="203" t="s">
        <v>306</v>
      </c>
      <c r="E70" s="166">
        <v>21</v>
      </c>
      <c r="F70" s="182">
        <v>1440</v>
      </c>
      <c r="G70" s="180">
        <v>71.400000000000006</v>
      </c>
      <c r="H70" s="460"/>
      <c r="I70" s="166">
        <f t="shared" si="24"/>
        <v>20</v>
      </c>
      <c r="J70" s="166">
        <f t="shared" si="25"/>
        <v>1166.1831688854438</v>
      </c>
      <c r="K70" s="180">
        <f t="shared" si="26"/>
        <v>58.3091584442722</v>
      </c>
      <c r="L70" s="460"/>
      <c r="M70" s="166">
        <f>RANK(K70, K$42:$K$71)</f>
        <v>28</v>
      </c>
      <c r="N70" s="462"/>
      <c r="O70" s="462"/>
      <c r="P70" s="182">
        <v>20</v>
      </c>
      <c r="Q70" s="180">
        <v>1125.2347826086957</v>
      </c>
      <c r="R70" s="180">
        <v>56.261739130434783</v>
      </c>
      <c r="S70" s="182">
        <f t="shared" si="11"/>
        <v>29</v>
      </c>
      <c r="T70" s="491"/>
      <c r="U70" s="182">
        <v>20</v>
      </c>
      <c r="V70" s="182">
        <v>1188.2541176470586</v>
      </c>
      <c r="W70" s="182">
        <v>59.412705882352931</v>
      </c>
      <c r="X70" s="182">
        <f t="shared" si="12"/>
        <v>28</v>
      </c>
      <c r="Y70" s="491"/>
      <c r="Z70" s="182">
        <v>20</v>
      </c>
      <c r="AA70" s="182">
        <v>1132.4444444444484</v>
      </c>
      <c r="AB70" s="182">
        <v>56.622222222222419</v>
      </c>
      <c r="AC70" s="182">
        <f t="shared" si="13"/>
        <v>29</v>
      </c>
      <c r="AD70" s="491"/>
      <c r="AE70" s="182">
        <v>20</v>
      </c>
      <c r="AF70" s="182">
        <v>1165.2923076923075</v>
      </c>
      <c r="AG70" s="182">
        <v>58.264615384615375</v>
      </c>
      <c r="AH70" s="182">
        <f t="shared" si="14"/>
        <v>27</v>
      </c>
      <c r="AI70" s="491"/>
      <c r="AJ70" s="182">
        <v>20</v>
      </c>
      <c r="AK70" s="182">
        <v>1186.753246753246</v>
      </c>
      <c r="AL70" s="182">
        <v>59.337662337662302</v>
      </c>
      <c r="AM70" s="182">
        <f t="shared" si="15"/>
        <v>27</v>
      </c>
      <c r="AN70" s="491"/>
      <c r="AO70" s="182">
        <v>20</v>
      </c>
      <c r="AP70" s="182">
        <v>1204.4869565217389</v>
      </c>
      <c r="AQ70" s="182">
        <v>60.224347826086941</v>
      </c>
      <c r="AR70" s="182">
        <f t="shared" si="16"/>
        <v>27</v>
      </c>
      <c r="AS70" s="491"/>
      <c r="AT70" s="182">
        <v>20</v>
      </c>
      <c r="AU70" s="182">
        <v>1160.8163265306125</v>
      </c>
      <c r="AV70" s="182">
        <v>58.040816326530624</v>
      </c>
      <c r="AW70" s="182">
        <f t="shared" si="17"/>
        <v>27</v>
      </c>
      <c r="AX70" s="491"/>
    </row>
    <row r="71" spans="2:50">
      <c r="B71" s="479"/>
      <c r="C71" s="182">
        <v>30</v>
      </c>
      <c r="D71" s="203"/>
      <c r="E71" s="166"/>
      <c r="F71" s="182"/>
      <c r="G71" s="180"/>
      <c r="H71" s="461"/>
      <c r="I71" s="182"/>
      <c r="J71" s="182"/>
      <c r="K71" s="182"/>
      <c r="L71" s="461"/>
      <c r="M71" s="166" t="e">
        <f>RANK(K71, K$42:$K$71)</f>
        <v>#N/A</v>
      </c>
      <c r="N71" s="462"/>
      <c r="O71" s="462"/>
      <c r="P71" s="182"/>
      <c r="Q71" s="182"/>
      <c r="R71" s="182"/>
      <c r="S71" s="182" t="e">
        <f t="shared" si="11"/>
        <v>#N/A</v>
      </c>
      <c r="T71" s="491"/>
      <c r="U71" s="182"/>
      <c r="V71" s="182"/>
      <c r="W71" s="182"/>
      <c r="X71" s="182" t="e">
        <f t="shared" si="12"/>
        <v>#N/A</v>
      </c>
      <c r="Y71" s="491"/>
      <c r="Z71" s="182"/>
      <c r="AA71" s="182"/>
      <c r="AB71" s="182"/>
      <c r="AC71" s="182" t="e">
        <f t="shared" si="13"/>
        <v>#N/A</v>
      </c>
      <c r="AD71" s="491"/>
      <c r="AE71" s="182"/>
      <c r="AF71" s="182"/>
      <c r="AG71" s="182"/>
      <c r="AH71" s="182" t="e">
        <f t="shared" si="14"/>
        <v>#N/A</v>
      </c>
      <c r="AI71" s="491"/>
      <c r="AJ71" s="182"/>
      <c r="AK71" s="182"/>
      <c r="AL71" s="182"/>
      <c r="AM71" s="182" t="e">
        <f t="shared" si="15"/>
        <v>#N/A</v>
      </c>
      <c r="AN71" s="491"/>
      <c r="AO71" s="182"/>
      <c r="AP71" s="182"/>
      <c r="AQ71" s="182"/>
      <c r="AR71" s="182" t="e">
        <f t="shared" si="16"/>
        <v>#N/A</v>
      </c>
      <c r="AS71" s="491"/>
      <c r="AT71" s="182"/>
      <c r="AU71" s="182"/>
      <c r="AV71" s="182"/>
      <c r="AW71" s="182" t="e">
        <f t="shared" si="17"/>
        <v>#N/A</v>
      </c>
      <c r="AX71" s="491"/>
    </row>
    <row r="72" spans="2:50" ht="15.75">
      <c r="B72" s="495" t="s">
        <v>201</v>
      </c>
      <c r="C72" s="496"/>
      <c r="D72" s="496"/>
      <c r="E72" s="496"/>
      <c r="F72" s="496"/>
      <c r="G72" s="496"/>
      <c r="H72" s="496"/>
      <c r="I72" s="186"/>
      <c r="J72" s="183"/>
      <c r="K72" s="186"/>
      <c r="L72" s="186"/>
      <c r="M72" s="178"/>
      <c r="N72" s="469" t="s">
        <v>202</v>
      </c>
      <c r="O72" s="469" t="s">
        <v>150</v>
      </c>
      <c r="P72" s="478">
        <f>P37+7</f>
        <v>46400</v>
      </c>
      <c r="Q72" s="479"/>
      <c r="R72" s="479"/>
      <c r="S72" s="479"/>
      <c r="T72" s="479"/>
      <c r="U72" s="475">
        <f>P72+1</f>
        <v>46401</v>
      </c>
      <c r="V72" s="476"/>
      <c r="W72" s="476"/>
      <c r="X72" s="476"/>
      <c r="Y72" s="477"/>
      <c r="Z72" s="475">
        <f>U72+1</f>
        <v>46402</v>
      </c>
      <c r="AA72" s="476"/>
      <c r="AB72" s="476"/>
      <c r="AC72" s="476"/>
      <c r="AD72" s="477"/>
      <c r="AE72" s="475">
        <f>Z72+1</f>
        <v>46403</v>
      </c>
      <c r="AF72" s="476"/>
      <c r="AG72" s="476"/>
      <c r="AH72" s="476"/>
      <c r="AI72" s="477"/>
      <c r="AJ72" s="475">
        <f>AE72+1</f>
        <v>46404</v>
      </c>
      <c r="AK72" s="476"/>
      <c r="AL72" s="476"/>
      <c r="AM72" s="476"/>
      <c r="AN72" s="477"/>
      <c r="AO72" s="475">
        <f>AJ72+1</f>
        <v>46405</v>
      </c>
      <c r="AP72" s="476"/>
      <c r="AQ72" s="476"/>
      <c r="AR72" s="476"/>
      <c r="AS72" s="477"/>
      <c r="AT72" s="475">
        <f>AO72+1</f>
        <v>46406</v>
      </c>
      <c r="AU72" s="476"/>
      <c r="AV72" s="476"/>
      <c r="AW72" s="476"/>
      <c r="AX72" s="477"/>
    </row>
    <row r="73" spans="2:50" ht="15.75">
      <c r="B73" s="482"/>
      <c r="C73" s="482"/>
      <c r="D73" s="482"/>
      <c r="E73" s="482"/>
      <c r="F73" s="482"/>
      <c r="G73" s="482"/>
      <c r="H73" s="482"/>
      <c r="I73" s="184"/>
      <c r="J73" s="184"/>
      <c r="K73" s="184"/>
      <c r="L73" s="184"/>
      <c r="M73" s="179"/>
      <c r="N73" s="471"/>
      <c r="O73" s="471"/>
      <c r="P73" s="478" t="s">
        <v>203</v>
      </c>
      <c r="Q73" s="479"/>
      <c r="R73" s="479"/>
      <c r="S73" s="479"/>
      <c r="T73" s="479"/>
      <c r="U73" s="478" t="s">
        <v>204</v>
      </c>
      <c r="V73" s="479"/>
      <c r="W73" s="479"/>
      <c r="X73" s="479"/>
      <c r="Y73" s="479"/>
      <c r="Z73" s="478" t="s">
        <v>205</v>
      </c>
      <c r="AA73" s="479"/>
      <c r="AB73" s="479"/>
      <c r="AC73" s="479"/>
      <c r="AD73" s="479"/>
      <c r="AE73" s="478" t="s">
        <v>206</v>
      </c>
      <c r="AF73" s="479"/>
      <c r="AG73" s="479"/>
      <c r="AH73" s="479"/>
      <c r="AI73" s="479"/>
      <c r="AJ73" s="478" t="s">
        <v>207</v>
      </c>
      <c r="AK73" s="479"/>
      <c r="AL73" s="479"/>
      <c r="AM73" s="479"/>
      <c r="AN73" s="479"/>
      <c r="AO73" s="478" t="s">
        <v>157</v>
      </c>
      <c r="AP73" s="479"/>
      <c r="AQ73" s="479"/>
      <c r="AR73" s="479"/>
      <c r="AS73" s="479"/>
      <c r="AT73" s="478" t="s">
        <v>208</v>
      </c>
      <c r="AU73" s="479"/>
      <c r="AV73" s="479"/>
      <c r="AW73" s="479"/>
      <c r="AX73" s="479"/>
    </row>
    <row r="74" spans="2:50">
      <c r="B74" s="462" t="s">
        <v>209</v>
      </c>
      <c r="C74" s="462" t="s">
        <v>210</v>
      </c>
      <c r="D74" s="462"/>
      <c r="E74" s="462" t="s">
        <v>211</v>
      </c>
      <c r="F74" s="462"/>
      <c r="G74" s="462"/>
      <c r="H74" s="463" t="s">
        <v>212</v>
      </c>
      <c r="I74" s="462" t="s">
        <v>213</v>
      </c>
      <c r="J74" s="462"/>
      <c r="K74" s="462"/>
      <c r="L74" s="463" t="s">
        <v>212</v>
      </c>
      <c r="M74" s="469" t="s">
        <v>214</v>
      </c>
      <c r="N74" s="462"/>
      <c r="O74" s="462" t="s">
        <v>215</v>
      </c>
      <c r="P74" s="466" t="s">
        <v>216</v>
      </c>
      <c r="Q74" s="467"/>
      <c r="R74" s="467"/>
      <c r="S74" s="468"/>
      <c r="T74" s="462" t="s">
        <v>212</v>
      </c>
      <c r="U74" s="466" t="s">
        <v>216</v>
      </c>
      <c r="V74" s="467"/>
      <c r="W74" s="467"/>
      <c r="X74" s="468"/>
      <c r="Y74" s="462" t="s">
        <v>212</v>
      </c>
      <c r="Z74" s="466" t="s">
        <v>216</v>
      </c>
      <c r="AA74" s="467"/>
      <c r="AB74" s="467"/>
      <c r="AC74" s="468"/>
      <c r="AD74" s="462" t="s">
        <v>212</v>
      </c>
      <c r="AE74" s="466" t="s">
        <v>216</v>
      </c>
      <c r="AF74" s="467"/>
      <c r="AG74" s="467"/>
      <c r="AH74" s="468"/>
      <c r="AI74" s="462" t="s">
        <v>212</v>
      </c>
      <c r="AJ74" s="466" t="s">
        <v>216</v>
      </c>
      <c r="AK74" s="467"/>
      <c r="AL74" s="467"/>
      <c r="AM74" s="468"/>
      <c r="AN74" s="462" t="s">
        <v>212</v>
      </c>
      <c r="AO74" s="466" t="s">
        <v>216</v>
      </c>
      <c r="AP74" s="467"/>
      <c r="AQ74" s="467"/>
      <c r="AR74" s="468"/>
      <c r="AS74" s="462" t="s">
        <v>212</v>
      </c>
      <c r="AT74" s="466" t="s">
        <v>216</v>
      </c>
      <c r="AU74" s="467"/>
      <c r="AV74" s="467"/>
      <c r="AW74" s="468"/>
      <c r="AX74" s="462" t="s">
        <v>212</v>
      </c>
    </row>
    <row r="75" spans="2:50">
      <c r="B75" s="462"/>
      <c r="C75" s="462"/>
      <c r="D75" s="462"/>
      <c r="E75" s="462" t="s">
        <v>217</v>
      </c>
      <c r="F75" s="462"/>
      <c r="G75" s="462"/>
      <c r="H75" s="464"/>
      <c r="I75" s="462" t="s">
        <v>217</v>
      </c>
      <c r="J75" s="462"/>
      <c r="K75" s="462"/>
      <c r="L75" s="464"/>
      <c r="M75" s="470"/>
      <c r="N75" s="462"/>
      <c r="O75" s="462"/>
      <c r="P75" s="466" t="s">
        <v>218</v>
      </c>
      <c r="Q75" s="467"/>
      <c r="R75" s="467"/>
      <c r="S75" s="468"/>
      <c r="T75" s="462"/>
      <c r="U75" s="466" t="s">
        <v>218</v>
      </c>
      <c r="V75" s="467"/>
      <c r="W75" s="467"/>
      <c r="X75" s="468"/>
      <c r="Y75" s="462"/>
      <c r="Z75" s="466" t="s">
        <v>218</v>
      </c>
      <c r="AA75" s="467"/>
      <c r="AB75" s="467"/>
      <c r="AC75" s="468"/>
      <c r="AD75" s="462"/>
      <c r="AE75" s="466" t="s">
        <v>218</v>
      </c>
      <c r="AF75" s="467"/>
      <c r="AG75" s="467"/>
      <c r="AH75" s="468"/>
      <c r="AI75" s="462"/>
      <c r="AJ75" s="466" t="s">
        <v>218</v>
      </c>
      <c r="AK75" s="467"/>
      <c r="AL75" s="467"/>
      <c r="AM75" s="468"/>
      <c r="AN75" s="462"/>
      <c r="AO75" s="466" t="s">
        <v>218</v>
      </c>
      <c r="AP75" s="467"/>
      <c r="AQ75" s="467"/>
      <c r="AR75" s="468"/>
      <c r="AS75" s="462"/>
      <c r="AT75" s="466" t="s">
        <v>218</v>
      </c>
      <c r="AU75" s="467"/>
      <c r="AV75" s="467"/>
      <c r="AW75" s="468"/>
      <c r="AX75" s="462"/>
    </row>
    <row r="76" spans="2:50">
      <c r="B76" s="462"/>
      <c r="C76" s="462"/>
      <c r="D76" s="462"/>
      <c r="E76" s="271" t="s">
        <v>219</v>
      </c>
      <c r="F76" s="271" t="s">
        <v>220</v>
      </c>
      <c r="G76" s="271" t="s">
        <v>221</v>
      </c>
      <c r="H76" s="465"/>
      <c r="I76" s="271" t="s">
        <v>219</v>
      </c>
      <c r="J76" s="271" t="s">
        <v>220</v>
      </c>
      <c r="K76" s="271" t="s">
        <v>221</v>
      </c>
      <c r="L76" s="465"/>
      <c r="M76" s="471"/>
      <c r="N76" s="462"/>
      <c r="O76" s="462"/>
      <c r="P76" s="271" t="s">
        <v>219</v>
      </c>
      <c r="Q76" s="271" t="s">
        <v>220</v>
      </c>
      <c r="R76" s="271" t="s">
        <v>221</v>
      </c>
      <c r="S76" s="271" t="s">
        <v>214</v>
      </c>
      <c r="T76" s="462"/>
      <c r="U76" s="271" t="s">
        <v>219</v>
      </c>
      <c r="V76" s="271" t="s">
        <v>220</v>
      </c>
      <c r="W76" s="271" t="s">
        <v>221</v>
      </c>
      <c r="X76" s="271" t="s">
        <v>214</v>
      </c>
      <c r="Y76" s="462"/>
      <c r="Z76" s="271" t="s">
        <v>219</v>
      </c>
      <c r="AA76" s="271" t="s">
        <v>220</v>
      </c>
      <c r="AB76" s="271" t="s">
        <v>221</v>
      </c>
      <c r="AC76" s="271" t="s">
        <v>214</v>
      </c>
      <c r="AD76" s="462"/>
      <c r="AE76" s="271" t="s">
        <v>219</v>
      </c>
      <c r="AF76" s="271" t="s">
        <v>220</v>
      </c>
      <c r="AG76" s="271" t="s">
        <v>221</v>
      </c>
      <c r="AH76" s="271" t="s">
        <v>214</v>
      </c>
      <c r="AI76" s="462"/>
      <c r="AJ76" s="271" t="s">
        <v>219</v>
      </c>
      <c r="AK76" s="271" t="s">
        <v>220</v>
      </c>
      <c r="AL76" s="271" t="s">
        <v>221</v>
      </c>
      <c r="AM76" s="271" t="s">
        <v>214</v>
      </c>
      <c r="AN76" s="462"/>
      <c r="AO76" s="271" t="s">
        <v>219</v>
      </c>
      <c r="AP76" s="271" t="s">
        <v>220</v>
      </c>
      <c r="AQ76" s="271" t="s">
        <v>221</v>
      </c>
      <c r="AR76" s="271" t="s">
        <v>214</v>
      </c>
      <c r="AS76" s="462"/>
      <c r="AT76" s="271" t="s">
        <v>219</v>
      </c>
      <c r="AU76" s="271" t="s">
        <v>220</v>
      </c>
      <c r="AV76" s="271" t="s">
        <v>221</v>
      </c>
      <c r="AW76" s="271" t="s">
        <v>214</v>
      </c>
      <c r="AX76" s="462"/>
    </row>
    <row r="77" spans="2:50">
      <c r="B77" s="462" t="s">
        <v>186</v>
      </c>
      <c r="C77" s="182">
        <v>1</v>
      </c>
      <c r="D77" s="203" t="s">
        <v>277</v>
      </c>
      <c r="E77" s="166">
        <v>6</v>
      </c>
      <c r="F77" s="182">
        <v>1500</v>
      </c>
      <c r="G77" s="180">
        <v>250</v>
      </c>
      <c r="H77" s="459">
        <f>AVERAGE(G77:G106)</f>
        <v>97.632142857142867</v>
      </c>
      <c r="I77" s="166">
        <f>AVERAGE(P77,U77,Z77,AE77,AJ77,AO77,AT77)</f>
        <v>6</v>
      </c>
      <c r="J77" s="166">
        <f>AVERAGE(Q77,V77,AA77,AF77,AK77,AP77,AU77)</f>
        <v>1388.9898926715018</v>
      </c>
      <c r="K77" s="180">
        <f>AVERAGE(R77,W77,AB77,AG77,AL77,AQ77,AV77)</f>
        <v>231.49831544525031</v>
      </c>
      <c r="L77" s="459">
        <f>IFERROR(AVERAGE(K77:K106),"-")</f>
        <v>81.431949464822324</v>
      </c>
      <c r="M77" s="181">
        <f>RANK(K77, K$77:$K$106)</f>
        <v>1</v>
      </c>
      <c r="N77" s="462"/>
      <c r="O77" s="462"/>
      <c r="P77" s="166">
        <v>6</v>
      </c>
      <c r="Q77" s="166">
        <v>1357.2379746835445</v>
      </c>
      <c r="R77" s="166">
        <v>226.20632911392408</v>
      </c>
      <c r="S77" s="182">
        <f>RANK(R77, R$77:R$106)</f>
        <v>1</v>
      </c>
      <c r="T77" s="491">
        <f>AVERAGE(R77:R106)</f>
        <v>81.494258390995995</v>
      </c>
      <c r="U77" s="166">
        <v>6</v>
      </c>
      <c r="V77" s="166">
        <v>1375.1522292993632</v>
      </c>
      <c r="W77" s="166">
        <v>229.19203821656052</v>
      </c>
      <c r="X77" s="182">
        <f>RANK(W77, W$77:W$106)</f>
        <v>1</v>
      </c>
      <c r="Y77" s="491">
        <f>AVERAGE(W77:W106)</f>
        <v>80.999821021889744</v>
      </c>
      <c r="Z77" s="166">
        <v>6</v>
      </c>
      <c r="AA77" s="166">
        <v>1402.8140939597315</v>
      </c>
      <c r="AB77" s="166">
        <v>233.80234899328858</v>
      </c>
      <c r="AC77" s="182">
        <f>RANK(AB77, AB$77:AB$106)</f>
        <v>1</v>
      </c>
      <c r="AD77" s="491">
        <f>AVERAGE(AB77:AB106)</f>
        <v>81.429261125540719</v>
      </c>
      <c r="AE77" s="166">
        <v>6</v>
      </c>
      <c r="AF77" s="166">
        <v>1406.1779359430604</v>
      </c>
      <c r="AG77" s="166">
        <v>234.36298932384341</v>
      </c>
      <c r="AH77" s="182">
        <f>RANK(AG77, AG$77:AG$106)</f>
        <v>1</v>
      </c>
      <c r="AI77" s="491">
        <f>AVERAGE(AG77:AG106)</f>
        <v>81.84594666080099</v>
      </c>
      <c r="AJ77" s="166">
        <v>6</v>
      </c>
      <c r="AK77" s="166">
        <v>1383.1650000000002</v>
      </c>
      <c r="AL77" s="166">
        <v>230.52750000000003</v>
      </c>
      <c r="AM77" s="182">
        <f>RANK(AL77, AL$77:AL$106)</f>
        <v>1</v>
      </c>
      <c r="AN77" s="491">
        <f>AVERAGE(AL77:AL106)</f>
        <v>81.827695575967923</v>
      </c>
      <c r="AO77" s="166">
        <v>6</v>
      </c>
      <c r="AP77" s="166">
        <v>1393.4148148148145</v>
      </c>
      <c r="AQ77" s="166">
        <v>232.23580246913573</v>
      </c>
      <c r="AR77" s="182">
        <f>RANK(AQ77, AQ$77:AQ$106)</f>
        <v>1</v>
      </c>
      <c r="AS77" s="491">
        <f>AVERAGE(AQ77:AQ106)</f>
        <v>81.60701826200129</v>
      </c>
      <c r="AT77" s="166">
        <v>6</v>
      </c>
      <c r="AU77" s="166">
        <v>1404.9671999999996</v>
      </c>
      <c r="AV77" s="166">
        <v>234.16119999999992</v>
      </c>
      <c r="AW77" s="182">
        <f>RANK(AV77, AV$77:AV$106)</f>
        <v>1</v>
      </c>
      <c r="AX77" s="491">
        <f>AVERAGE(AV77:AV106)</f>
        <v>80.819645216559792</v>
      </c>
    </row>
    <row r="78" spans="2:50">
      <c r="B78" s="479"/>
      <c r="C78" s="182">
        <v>2</v>
      </c>
      <c r="D78" s="203" t="s">
        <v>278</v>
      </c>
      <c r="E78" s="166">
        <v>6</v>
      </c>
      <c r="F78" s="182">
        <v>1500</v>
      </c>
      <c r="G78" s="180">
        <v>250</v>
      </c>
      <c r="H78" s="460"/>
      <c r="I78" s="166">
        <f t="shared" ref="I78:I99" si="27">AVERAGE(P78,U78,Z78,AE78,AJ78,AO78,AT78)</f>
        <v>7</v>
      </c>
      <c r="J78" s="166">
        <f t="shared" ref="J78:J99" si="28">AVERAGE(Q78,V78,AA78,AF78,AK78,AP78,AU78)</f>
        <v>1423.9989608944111</v>
      </c>
      <c r="K78" s="180">
        <f t="shared" ref="K78:K99" si="29">AVERAGE(R78,W78,AB78,AG78,AL78,AQ78,AV78)</f>
        <v>203.4284229849159</v>
      </c>
      <c r="L78" s="460"/>
      <c r="M78" s="181">
        <f>RANK(K78, K$77:$K$106)</f>
        <v>2</v>
      </c>
      <c r="N78" s="462"/>
      <c r="O78" s="462"/>
      <c r="P78" s="166">
        <v>7</v>
      </c>
      <c r="Q78" s="166">
        <v>1443.7113402061859</v>
      </c>
      <c r="R78" s="166">
        <v>206.24447717231229</v>
      </c>
      <c r="S78" s="182">
        <f t="shared" ref="S78:S106" si="30">RANK(R78, R$77:R$106)</f>
        <v>2</v>
      </c>
      <c r="T78" s="491"/>
      <c r="U78" s="166">
        <v>7</v>
      </c>
      <c r="V78" s="166">
        <v>1415.0495049504946</v>
      </c>
      <c r="W78" s="166">
        <v>202.14992927864208</v>
      </c>
      <c r="X78" s="182">
        <f t="shared" ref="X78:X106" si="31">RANK(W78, W$77:W$106)</f>
        <v>2</v>
      </c>
      <c r="Y78" s="491"/>
      <c r="Z78" s="166">
        <v>7</v>
      </c>
      <c r="AA78" s="166">
        <v>1399.3939393939388</v>
      </c>
      <c r="AB78" s="166">
        <v>199.91341991341983</v>
      </c>
      <c r="AC78" s="182">
        <f t="shared" ref="AC78:AC106" si="32">RANK(AB78, AB$77:AB$106)</f>
        <v>2</v>
      </c>
      <c r="AD78" s="491"/>
      <c r="AE78" s="166">
        <v>7</v>
      </c>
      <c r="AF78" s="166">
        <v>1443.5294117647056</v>
      </c>
      <c r="AG78" s="166">
        <v>206.21848739495795</v>
      </c>
      <c r="AH78" s="182">
        <f t="shared" ref="AH78:AH106" si="33">RANK(AG78, AG$77:AG$106)</f>
        <v>2</v>
      </c>
      <c r="AI78" s="491"/>
      <c r="AJ78" s="166">
        <v>7</v>
      </c>
      <c r="AK78" s="166">
        <v>1432.4137931034479</v>
      </c>
      <c r="AL78" s="166">
        <v>204.63054187192114</v>
      </c>
      <c r="AM78" s="182">
        <f t="shared" ref="AM78:AM106" si="34">RANK(AL78, AL$77:AL$106)</f>
        <v>2</v>
      </c>
      <c r="AN78" s="491"/>
      <c r="AO78" s="166">
        <v>7</v>
      </c>
      <c r="AP78" s="166">
        <v>1405.2631578947371</v>
      </c>
      <c r="AQ78" s="166">
        <v>200.75187969924815</v>
      </c>
      <c r="AR78" s="182">
        <f t="shared" ref="AR78:AR106" si="35">RANK(AQ78, AQ$77:AQ$106)</f>
        <v>2</v>
      </c>
      <c r="AS78" s="491"/>
      <c r="AT78" s="166">
        <v>7</v>
      </c>
      <c r="AU78" s="166">
        <v>1428.6315789473686</v>
      </c>
      <c r="AV78" s="166">
        <v>204.0902255639098</v>
      </c>
      <c r="AW78" s="182">
        <f t="shared" ref="AW78:AW106" si="36">RANK(AV78, AV$77:AV$106)</f>
        <v>2</v>
      </c>
      <c r="AX78" s="491"/>
    </row>
    <row r="79" spans="2:50">
      <c r="B79" s="479"/>
      <c r="C79" s="182">
        <v>3</v>
      </c>
      <c r="D79" s="203" t="s">
        <v>279</v>
      </c>
      <c r="E79" s="166">
        <v>17</v>
      </c>
      <c r="F79" s="182">
        <v>1500</v>
      </c>
      <c r="G79" s="180">
        <v>88.2</v>
      </c>
      <c r="H79" s="460"/>
      <c r="I79" s="166">
        <f t="shared" si="27"/>
        <v>17</v>
      </c>
      <c r="J79" s="166">
        <f t="shared" si="28"/>
        <v>1266.24526682241</v>
      </c>
      <c r="K79" s="180">
        <f t="shared" si="29"/>
        <v>74.485015695435891</v>
      </c>
      <c r="L79" s="460"/>
      <c r="M79" s="181">
        <f>RANK(K79, K$77:$K$106)</f>
        <v>12</v>
      </c>
      <c r="N79" s="462"/>
      <c r="O79" s="462"/>
      <c r="P79" s="166">
        <v>17</v>
      </c>
      <c r="Q79" s="166">
        <v>1265.6249999999998</v>
      </c>
      <c r="R79" s="166">
        <v>74.448529411764696</v>
      </c>
      <c r="S79" s="182">
        <f t="shared" si="30"/>
        <v>11</v>
      </c>
      <c r="T79" s="491"/>
      <c r="U79" s="166">
        <v>17</v>
      </c>
      <c r="V79" s="166">
        <v>1296.1904761904759</v>
      </c>
      <c r="W79" s="166">
        <v>76.246498599439761</v>
      </c>
      <c r="X79" s="182">
        <f t="shared" si="31"/>
        <v>9</v>
      </c>
      <c r="Y79" s="491"/>
      <c r="Z79" s="166">
        <v>17</v>
      </c>
      <c r="AA79" s="166">
        <v>1287.6923076923074</v>
      </c>
      <c r="AB79" s="166">
        <v>75.746606334841616</v>
      </c>
      <c r="AC79" s="182">
        <f t="shared" si="32"/>
        <v>11</v>
      </c>
      <c r="AD79" s="491"/>
      <c r="AE79" s="166">
        <v>17</v>
      </c>
      <c r="AF79" s="166">
        <v>1255.3846153846162</v>
      </c>
      <c r="AG79" s="166">
        <v>73.846153846153896</v>
      </c>
      <c r="AH79" s="182">
        <f t="shared" si="33"/>
        <v>12</v>
      </c>
      <c r="AI79" s="491"/>
      <c r="AJ79" s="166">
        <v>17</v>
      </c>
      <c r="AK79" s="166">
        <v>1296.7741935483866</v>
      </c>
      <c r="AL79" s="166">
        <v>76.280834914610978</v>
      </c>
      <c r="AM79" s="182">
        <f t="shared" si="34"/>
        <v>11</v>
      </c>
      <c r="AN79" s="491"/>
      <c r="AO79" s="166">
        <v>17</v>
      </c>
      <c r="AP79" s="166">
        <v>1257.3134328358208</v>
      </c>
      <c r="AQ79" s="166">
        <v>73.95961369622475</v>
      </c>
      <c r="AR79" s="182">
        <f t="shared" si="35"/>
        <v>12</v>
      </c>
      <c r="AS79" s="491"/>
      <c r="AT79" s="166">
        <v>17</v>
      </c>
      <c r="AU79" s="166">
        <v>1204.7368421052636</v>
      </c>
      <c r="AV79" s="166">
        <v>70.866873065015511</v>
      </c>
      <c r="AW79" s="182">
        <f t="shared" si="36"/>
        <v>15</v>
      </c>
      <c r="AX79" s="491"/>
    </row>
    <row r="80" spans="2:50">
      <c r="B80" s="479"/>
      <c r="C80" s="182">
        <v>4</v>
      </c>
      <c r="D80" s="203" t="s">
        <v>305</v>
      </c>
      <c r="E80" s="166">
        <v>19</v>
      </c>
      <c r="F80" s="182">
        <v>1500</v>
      </c>
      <c r="G80" s="180">
        <v>78.900000000000006</v>
      </c>
      <c r="H80" s="460"/>
      <c r="I80" s="166">
        <f t="shared" si="27"/>
        <v>18</v>
      </c>
      <c r="J80" s="166">
        <f t="shared" si="28"/>
        <v>1254.0465497536975</v>
      </c>
      <c r="K80" s="180">
        <f t="shared" si="29"/>
        <v>69.66925276409431</v>
      </c>
      <c r="L80" s="460"/>
      <c r="M80" s="181">
        <f>RANK(K80, K$77:$K$106)</f>
        <v>17</v>
      </c>
      <c r="N80" s="462"/>
      <c r="O80" s="462"/>
      <c r="P80" s="166">
        <v>18</v>
      </c>
      <c r="Q80" s="166">
        <v>1261.2500000000005</v>
      </c>
      <c r="R80" s="166">
        <v>70.069444444444471</v>
      </c>
      <c r="S80" s="182">
        <f t="shared" si="30"/>
        <v>16</v>
      </c>
      <c r="T80" s="491"/>
      <c r="U80" s="166">
        <v>18</v>
      </c>
      <c r="V80" s="166">
        <v>1266.3829787234044</v>
      </c>
      <c r="W80" s="166">
        <v>70.354609929078023</v>
      </c>
      <c r="X80" s="182">
        <f t="shared" si="31"/>
        <v>16</v>
      </c>
      <c r="Y80" s="491"/>
      <c r="Z80" s="166">
        <v>18</v>
      </c>
      <c r="AA80" s="166">
        <v>1258.8000000000004</v>
      </c>
      <c r="AB80" s="166">
        <v>69.933333333333351</v>
      </c>
      <c r="AC80" s="182">
        <f t="shared" si="32"/>
        <v>17</v>
      </c>
      <c r="AD80" s="491"/>
      <c r="AE80" s="166">
        <v>18</v>
      </c>
      <c r="AF80" s="166">
        <v>1254.8936170212748</v>
      </c>
      <c r="AG80" s="166">
        <v>69.716312056737493</v>
      </c>
      <c r="AH80" s="182">
        <f t="shared" si="33"/>
        <v>18</v>
      </c>
      <c r="AI80" s="491"/>
      <c r="AJ80" s="166">
        <v>18</v>
      </c>
      <c r="AK80" s="166">
        <v>1266.1224489795923</v>
      </c>
      <c r="AL80" s="166">
        <v>70.340136054421791</v>
      </c>
      <c r="AM80" s="182">
        <f t="shared" si="34"/>
        <v>17</v>
      </c>
      <c r="AN80" s="491"/>
      <c r="AO80" s="166">
        <v>18</v>
      </c>
      <c r="AP80" s="166">
        <v>1248.2352941176475</v>
      </c>
      <c r="AQ80" s="166">
        <v>69.346405228758201</v>
      </c>
      <c r="AR80" s="182">
        <f t="shared" si="35"/>
        <v>16</v>
      </c>
      <c r="AS80" s="491"/>
      <c r="AT80" s="166">
        <v>18</v>
      </c>
      <c r="AU80" s="166">
        <v>1222.6415094339629</v>
      </c>
      <c r="AV80" s="166">
        <v>67.924528301886824</v>
      </c>
      <c r="AW80" s="182">
        <f t="shared" si="36"/>
        <v>18</v>
      </c>
      <c r="AX80" s="491"/>
    </row>
    <row r="81" spans="2:50">
      <c r="B81" s="479"/>
      <c r="C81" s="182">
        <v>5</v>
      </c>
      <c r="D81" s="203" t="s">
        <v>281</v>
      </c>
      <c r="E81" s="166">
        <v>16</v>
      </c>
      <c r="F81" s="182">
        <v>1500</v>
      </c>
      <c r="G81" s="180">
        <v>93.8</v>
      </c>
      <c r="H81" s="460"/>
      <c r="I81" s="166">
        <f t="shared" si="27"/>
        <v>16</v>
      </c>
      <c r="J81" s="166">
        <f t="shared" si="28"/>
        <v>1260.1782796913228</v>
      </c>
      <c r="K81" s="180">
        <f t="shared" si="29"/>
        <v>78.761142480707676</v>
      </c>
      <c r="L81" s="460"/>
      <c r="M81" s="181">
        <f>RANK(K81, K$77:$K$106)</f>
        <v>7</v>
      </c>
      <c r="N81" s="462"/>
      <c r="O81" s="462"/>
      <c r="P81" s="166">
        <v>16</v>
      </c>
      <c r="Q81" s="166">
        <v>1286.0869565217392</v>
      </c>
      <c r="R81" s="166">
        <v>80.380434782608702</v>
      </c>
      <c r="S81" s="182">
        <f t="shared" si="30"/>
        <v>5</v>
      </c>
      <c r="T81" s="491"/>
      <c r="U81" s="166">
        <v>16</v>
      </c>
      <c r="V81" s="166">
        <v>1243.6363636363635</v>
      </c>
      <c r="W81" s="166">
        <v>77.72727272727272</v>
      </c>
      <c r="X81" s="182">
        <f t="shared" si="31"/>
        <v>7</v>
      </c>
      <c r="Y81" s="491"/>
      <c r="Z81" s="166">
        <v>16</v>
      </c>
      <c r="AA81" s="166">
        <v>1261.3333333333333</v>
      </c>
      <c r="AB81" s="166">
        <v>78.833333333333329</v>
      </c>
      <c r="AC81" s="182">
        <f t="shared" si="32"/>
        <v>7</v>
      </c>
      <c r="AD81" s="491"/>
      <c r="AE81" s="166">
        <v>16</v>
      </c>
      <c r="AF81" s="166">
        <v>1259.9999999999995</v>
      </c>
      <c r="AG81" s="166">
        <v>78.749999999999972</v>
      </c>
      <c r="AH81" s="182">
        <f t="shared" si="33"/>
        <v>7</v>
      </c>
      <c r="AI81" s="491"/>
      <c r="AJ81" s="166">
        <v>16</v>
      </c>
      <c r="AK81" s="166">
        <v>1273.0434782608695</v>
      </c>
      <c r="AL81" s="166">
        <v>79.565217391304344</v>
      </c>
      <c r="AM81" s="182">
        <f t="shared" si="34"/>
        <v>8</v>
      </c>
      <c r="AN81" s="491"/>
      <c r="AO81" s="166">
        <v>16</v>
      </c>
      <c r="AP81" s="166">
        <v>1274.3478260869565</v>
      </c>
      <c r="AQ81" s="166">
        <v>79.646739130434781</v>
      </c>
      <c r="AR81" s="182">
        <f t="shared" si="35"/>
        <v>6</v>
      </c>
      <c r="AS81" s="491"/>
      <c r="AT81" s="166">
        <v>16</v>
      </c>
      <c r="AU81" s="166">
        <v>1222.7999999999984</v>
      </c>
      <c r="AV81" s="166">
        <v>76.424999999999898</v>
      </c>
      <c r="AW81" s="182">
        <f t="shared" si="36"/>
        <v>8</v>
      </c>
      <c r="AX81" s="491"/>
    </row>
    <row r="82" spans="2:50">
      <c r="B82" s="479"/>
      <c r="C82" s="182">
        <v>6</v>
      </c>
      <c r="D82" s="203" t="s">
        <v>282</v>
      </c>
      <c r="E82" s="166">
        <v>16</v>
      </c>
      <c r="F82" s="182">
        <v>1565</v>
      </c>
      <c r="G82" s="180">
        <v>97.8</v>
      </c>
      <c r="H82" s="460"/>
      <c r="I82" s="166">
        <f t="shared" si="27"/>
        <v>15</v>
      </c>
      <c r="J82" s="166">
        <f t="shared" si="28"/>
        <v>1326.9950142736523</v>
      </c>
      <c r="K82" s="180">
        <f t="shared" si="29"/>
        <v>88.466334284910133</v>
      </c>
      <c r="L82" s="460"/>
      <c r="M82" s="181">
        <f>RANK(K82, K$77:$K$106)</f>
        <v>3</v>
      </c>
      <c r="N82" s="462"/>
      <c r="O82" s="462"/>
      <c r="P82" s="166">
        <v>15</v>
      </c>
      <c r="Q82" s="166">
        <v>1315.8000000000015</v>
      </c>
      <c r="R82" s="166">
        <v>87.720000000000098</v>
      </c>
      <c r="S82" s="182">
        <f t="shared" si="30"/>
        <v>3</v>
      </c>
      <c r="T82" s="491"/>
      <c r="U82" s="166">
        <v>15</v>
      </c>
      <c r="V82" s="166">
        <v>1323.3620689655165</v>
      </c>
      <c r="W82" s="166">
        <v>88.224137931034434</v>
      </c>
      <c r="X82" s="182">
        <f t="shared" si="31"/>
        <v>3</v>
      </c>
      <c r="Y82" s="491"/>
      <c r="Z82" s="166">
        <v>15</v>
      </c>
      <c r="AA82" s="166">
        <v>1328.6379310344819</v>
      </c>
      <c r="AB82" s="166">
        <v>88.575862068965463</v>
      </c>
      <c r="AC82" s="182">
        <f t="shared" si="32"/>
        <v>3</v>
      </c>
      <c r="AD82" s="491"/>
      <c r="AE82" s="166">
        <v>15</v>
      </c>
      <c r="AF82" s="166">
        <v>1334.9411764705885</v>
      </c>
      <c r="AG82" s="166">
        <v>88.996078431372567</v>
      </c>
      <c r="AH82" s="182">
        <f t="shared" si="33"/>
        <v>3</v>
      </c>
      <c r="AI82" s="491"/>
      <c r="AJ82" s="166">
        <v>15</v>
      </c>
      <c r="AK82" s="166">
        <v>1323.381818181819</v>
      </c>
      <c r="AL82" s="166">
        <v>88.225454545454596</v>
      </c>
      <c r="AM82" s="182">
        <f t="shared" si="34"/>
        <v>3</v>
      </c>
      <c r="AN82" s="491"/>
      <c r="AO82" s="166">
        <v>15</v>
      </c>
      <c r="AP82" s="166">
        <v>1324.8421052631588</v>
      </c>
      <c r="AQ82" s="166">
        <v>88.322807017543923</v>
      </c>
      <c r="AR82" s="182">
        <f t="shared" si="35"/>
        <v>3</v>
      </c>
      <c r="AS82" s="491"/>
      <c r="AT82" s="166">
        <v>15</v>
      </c>
      <c r="AU82" s="166">
        <v>1337.9999999999995</v>
      </c>
      <c r="AV82" s="166">
        <v>89.199999999999974</v>
      </c>
      <c r="AW82" s="182">
        <f t="shared" si="36"/>
        <v>3</v>
      </c>
      <c r="AX82" s="491"/>
    </row>
    <row r="83" spans="2:50">
      <c r="B83" s="479"/>
      <c r="C83" s="182">
        <v>7</v>
      </c>
      <c r="D83" s="203" t="s">
        <v>283</v>
      </c>
      <c r="E83" s="166">
        <v>14</v>
      </c>
      <c r="F83" s="182">
        <v>1440</v>
      </c>
      <c r="G83" s="180">
        <v>102.9</v>
      </c>
      <c r="H83" s="460"/>
      <c r="I83" s="166">
        <f t="shared" si="27"/>
        <v>14</v>
      </c>
      <c r="J83" s="166">
        <f t="shared" si="28"/>
        <v>1070.7357885683002</v>
      </c>
      <c r="K83" s="180">
        <f t="shared" si="29"/>
        <v>76.481127754878599</v>
      </c>
      <c r="L83" s="460"/>
      <c r="M83" s="181">
        <f>RANK(K83, K$77:$K$106)</f>
        <v>8</v>
      </c>
      <c r="N83" s="462"/>
      <c r="O83" s="462"/>
      <c r="P83" s="166">
        <v>14</v>
      </c>
      <c r="Q83" s="166">
        <v>1082.1428571428548</v>
      </c>
      <c r="R83" s="166">
        <v>77.295918367346772</v>
      </c>
      <c r="S83" s="182">
        <f t="shared" si="30"/>
        <v>9</v>
      </c>
      <c r="T83" s="491"/>
      <c r="U83" s="166">
        <v>14</v>
      </c>
      <c r="V83" s="166">
        <v>1051.1111111111086</v>
      </c>
      <c r="W83" s="166">
        <v>75.079365079364905</v>
      </c>
      <c r="X83" s="182">
        <f t="shared" si="31"/>
        <v>10</v>
      </c>
      <c r="Y83" s="491"/>
      <c r="Z83" s="166">
        <v>14</v>
      </c>
      <c r="AA83" s="166">
        <v>1062.4999999999968</v>
      </c>
      <c r="AB83" s="166">
        <v>75.892857142856911</v>
      </c>
      <c r="AC83" s="182">
        <f t="shared" si="32"/>
        <v>10</v>
      </c>
      <c r="AD83" s="491"/>
      <c r="AE83" s="166">
        <v>14</v>
      </c>
      <c r="AF83" s="166">
        <v>1162.5000000000118</v>
      </c>
      <c r="AG83" s="166">
        <v>83.03571428571513</v>
      </c>
      <c r="AH83" s="182">
        <f t="shared" si="33"/>
        <v>4</v>
      </c>
      <c r="AI83" s="491"/>
      <c r="AJ83" s="166">
        <v>14</v>
      </c>
      <c r="AK83" s="166">
        <v>1069.9999999999968</v>
      </c>
      <c r="AL83" s="166">
        <v>76.428571428571203</v>
      </c>
      <c r="AM83" s="182">
        <f t="shared" si="34"/>
        <v>10</v>
      </c>
      <c r="AN83" s="491"/>
      <c r="AO83" s="166">
        <v>14</v>
      </c>
      <c r="AP83" s="166">
        <v>1055.1724137931014</v>
      </c>
      <c r="AQ83" s="166">
        <v>75.369458128078676</v>
      </c>
      <c r="AR83" s="182">
        <f t="shared" si="35"/>
        <v>10</v>
      </c>
      <c r="AS83" s="491"/>
      <c r="AT83" s="166">
        <v>14</v>
      </c>
      <c r="AU83" s="166">
        <v>1011.7241379310326</v>
      </c>
      <c r="AV83" s="166">
        <v>72.266009852216612</v>
      </c>
      <c r="AW83" s="182">
        <f t="shared" si="36"/>
        <v>13</v>
      </c>
      <c r="AX83" s="491"/>
    </row>
    <row r="84" spans="2:50">
      <c r="B84" s="479"/>
      <c r="C84" s="182">
        <v>8</v>
      </c>
      <c r="D84" s="203" t="s">
        <v>284</v>
      </c>
      <c r="E84" s="166">
        <v>16</v>
      </c>
      <c r="F84" s="182">
        <v>1440</v>
      </c>
      <c r="G84" s="180">
        <v>90</v>
      </c>
      <c r="H84" s="460"/>
      <c r="I84" s="166">
        <f t="shared" si="27"/>
        <v>15.142857142857142</v>
      </c>
      <c r="J84" s="166">
        <f t="shared" si="28"/>
        <v>1206.8977691864293</v>
      </c>
      <c r="K84" s="180">
        <f t="shared" si="29"/>
        <v>79.730684612428618</v>
      </c>
      <c r="L84" s="460"/>
      <c r="M84" s="181">
        <f>RANK(K84, K$77:$K$106)</f>
        <v>5</v>
      </c>
      <c r="N84" s="462"/>
      <c r="O84" s="462"/>
      <c r="P84" s="166">
        <v>15</v>
      </c>
      <c r="Q84" s="166">
        <v>1199.9999999999991</v>
      </c>
      <c r="R84" s="166">
        <v>79.999999999999943</v>
      </c>
      <c r="S84" s="182">
        <f t="shared" si="30"/>
        <v>6</v>
      </c>
      <c r="T84" s="491"/>
      <c r="U84" s="166">
        <v>15</v>
      </c>
      <c r="V84" s="166">
        <v>1216.2162162162153</v>
      </c>
      <c r="W84" s="166">
        <v>81.081081081081024</v>
      </c>
      <c r="X84" s="182">
        <f t="shared" si="31"/>
        <v>5</v>
      </c>
      <c r="Y84" s="491"/>
      <c r="Z84" s="166">
        <v>15</v>
      </c>
      <c r="AA84" s="166">
        <v>1211.2499999999982</v>
      </c>
      <c r="AB84" s="166">
        <v>80.749999999999872</v>
      </c>
      <c r="AC84" s="182">
        <f t="shared" si="32"/>
        <v>5</v>
      </c>
      <c r="AD84" s="491"/>
      <c r="AE84" s="166">
        <v>16</v>
      </c>
      <c r="AF84" s="166">
        <v>1224.9999999999934</v>
      </c>
      <c r="AG84" s="166">
        <v>76.562499999999588</v>
      </c>
      <c r="AH84" s="182">
        <f t="shared" si="33"/>
        <v>9</v>
      </c>
      <c r="AI84" s="491"/>
      <c r="AJ84" s="166">
        <v>15</v>
      </c>
      <c r="AK84" s="166">
        <v>1215.882352941175</v>
      </c>
      <c r="AL84" s="166">
        <v>81.058823529411669</v>
      </c>
      <c r="AM84" s="182">
        <f t="shared" si="34"/>
        <v>6</v>
      </c>
      <c r="AN84" s="491"/>
      <c r="AO84" s="166">
        <v>15</v>
      </c>
      <c r="AP84" s="166">
        <v>1194.1463414634143</v>
      </c>
      <c r="AQ84" s="166">
        <v>79.609756097560947</v>
      </c>
      <c r="AR84" s="182">
        <f t="shared" si="35"/>
        <v>7</v>
      </c>
      <c r="AS84" s="491"/>
      <c r="AT84" s="166">
        <v>15</v>
      </c>
      <c r="AU84" s="166">
        <v>1185.7894736842097</v>
      </c>
      <c r="AV84" s="166">
        <v>79.052631578947313</v>
      </c>
      <c r="AW84" s="182">
        <f t="shared" si="36"/>
        <v>4</v>
      </c>
      <c r="AX84" s="491"/>
    </row>
    <row r="85" spans="2:50">
      <c r="B85" s="479"/>
      <c r="C85" s="182">
        <v>9</v>
      </c>
      <c r="D85" s="203" t="s">
        <v>285</v>
      </c>
      <c r="E85" s="166">
        <v>18</v>
      </c>
      <c r="F85" s="182">
        <v>1440</v>
      </c>
      <c r="G85" s="180">
        <v>80</v>
      </c>
      <c r="H85" s="460"/>
      <c r="I85" s="166">
        <f t="shared" si="27"/>
        <v>18</v>
      </c>
      <c r="J85" s="166">
        <f t="shared" si="28"/>
        <v>1182.8292891363506</v>
      </c>
      <c r="K85" s="180">
        <f t="shared" si="29"/>
        <v>65.712738285352827</v>
      </c>
      <c r="L85" s="460"/>
      <c r="M85" s="181">
        <f>RANK(K85, K$77:$K$106)</f>
        <v>23</v>
      </c>
      <c r="N85" s="462"/>
      <c r="O85" s="462"/>
      <c r="P85" s="166">
        <v>18</v>
      </c>
      <c r="Q85" s="166">
        <v>1200</v>
      </c>
      <c r="R85" s="166">
        <v>66.666666666666671</v>
      </c>
      <c r="S85" s="182">
        <f t="shared" si="30"/>
        <v>22</v>
      </c>
      <c r="T85" s="491"/>
      <c r="U85" s="166">
        <v>18</v>
      </c>
      <c r="V85" s="166">
        <v>1181.3333333333335</v>
      </c>
      <c r="W85" s="166">
        <v>65.629629629629633</v>
      </c>
      <c r="X85" s="182">
        <f t="shared" si="31"/>
        <v>23</v>
      </c>
      <c r="Y85" s="491"/>
      <c r="Z85" s="166">
        <v>18</v>
      </c>
      <c r="AA85" s="166">
        <v>1156.9230769230762</v>
      </c>
      <c r="AB85" s="166">
        <v>64.27350427350423</v>
      </c>
      <c r="AC85" s="182">
        <f t="shared" si="32"/>
        <v>23</v>
      </c>
      <c r="AD85" s="491"/>
      <c r="AE85" s="166">
        <v>18</v>
      </c>
      <c r="AF85" s="166">
        <v>1209.7674418604647</v>
      </c>
      <c r="AG85" s="166">
        <v>67.209302325581376</v>
      </c>
      <c r="AH85" s="182">
        <f t="shared" si="33"/>
        <v>22</v>
      </c>
      <c r="AI85" s="491"/>
      <c r="AJ85" s="166">
        <v>18</v>
      </c>
      <c r="AK85" s="166">
        <v>1141.5789473684204</v>
      </c>
      <c r="AL85" s="166">
        <v>63.42105263157891</v>
      </c>
      <c r="AM85" s="182">
        <f t="shared" si="34"/>
        <v>24</v>
      </c>
      <c r="AN85" s="491"/>
      <c r="AO85" s="166">
        <v>18</v>
      </c>
      <c r="AP85" s="166">
        <v>1209.7674418604647</v>
      </c>
      <c r="AQ85" s="166">
        <v>67.209302325581376</v>
      </c>
      <c r="AR85" s="182">
        <f t="shared" si="35"/>
        <v>23</v>
      </c>
      <c r="AS85" s="491"/>
      <c r="AT85" s="166">
        <v>18</v>
      </c>
      <c r="AU85" s="166">
        <v>1180.4347826086957</v>
      </c>
      <c r="AV85" s="166">
        <v>65.579710144927546</v>
      </c>
      <c r="AW85" s="182">
        <f t="shared" si="36"/>
        <v>23</v>
      </c>
      <c r="AX85" s="491"/>
    </row>
    <row r="86" spans="2:50">
      <c r="B86" s="479"/>
      <c r="C86" s="182">
        <v>10</v>
      </c>
      <c r="D86" s="203" t="s">
        <v>286</v>
      </c>
      <c r="E86" s="166">
        <v>18</v>
      </c>
      <c r="F86" s="182">
        <v>1636</v>
      </c>
      <c r="G86" s="180">
        <v>90.9</v>
      </c>
      <c r="H86" s="460"/>
      <c r="I86" s="166">
        <f t="shared" si="27"/>
        <v>18</v>
      </c>
      <c r="J86" s="166">
        <f t="shared" si="28"/>
        <v>1227.8507468432567</v>
      </c>
      <c r="K86" s="180">
        <f t="shared" si="29"/>
        <v>68.21393038018094</v>
      </c>
      <c r="L86" s="460"/>
      <c r="M86" s="181">
        <f>RANK(K86, K$77:$K$106)</f>
        <v>18</v>
      </c>
      <c r="N86" s="462"/>
      <c r="O86" s="462"/>
      <c r="P86" s="166">
        <v>18</v>
      </c>
      <c r="Q86" s="166">
        <v>1249.6153846153852</v>
      </c>
      <c r="R86" s="166">
        <v>69.423076923076962</v>
      </c>
      <c r="S86" s="182">
        <f t="shared" si="30"/>
        <v>17</v>
      </c>
      <c r="T86" s="491"/>
      <c r="U86" s="166">
        <v>18</v>
      </c>
      <c r="V86" s="166">
        <v>1223.2653061224491</v>
      </c>
      <c r="W86" s="166">
        <v>67.959183673469397</v>
      </c>
      <c r="X86" s="182">
        <f t="shared" si="31"/>
        <v>18</v>
      </c>
      <c r="Y86" s="491"/>
      <c r="Z86" s="166">
        <v>18</v>
      </c>
      <c r="AA86" s="166">
        <v>1215.7142857142853</v>
      </c>
      <c r="AB86" s="166">
        <v>67.539682539682516</v>
      </c>
      <c r="AC86" s="182">
        <f t="shared" si="32"/>
        <v>20</v>
      </c>
      <c r="AD86" s="491"/>
      <c r="AE86" s="166">
        <v>18</v>
      </c>
      <c r="AF86" s="166">
        <v>1266.3829787234044</v>
      </c>
      <c r="AG86" s="166">
        <v>70.354609929078023</v>
      </c>
      <c r="AH86" s="182">
        <f t="shared" si="33"/>
        <v>17</v>
      </c>
      <c r="AI86" s="491"/>
      <c r="AJ86" s="166">
        <v>18</v>
      </c>
      <c r="AK86" s="166">
        <v>1231.2500000000005</v>
      </c>
      <c r="AL86" s="166">
        <v>68.4027777777778</v>
      </c>
      <c r="AM86" s="182">
        <f t="shared" si="34"/>
        <v>20</v>
      </c>
      <c r="AN86" s="491"/>
      <c r="AO86" s="166">
        <v>18</v>
      </c>
      <c r="AP86" s="166">
        <v>1208.7272727272734</v>
      </c>
      <c r="AQ86" s="166">
        <v>67.151515151515184</v>
      </c>
      <c r="AR86" s="182">
        <f t="shared" si="35"/>
        <v>24</v>
      </c>
      <c r="AS86" s="491"/>
      <c r="AT86" s="166">
        <v>18</v>
      </c>
      <c r="AU86" s="166">
        <v>1200.0000000000007</v>
      </c>
      <c r="AV86" s="166">
        <v>66.6666666666667</v>
      </c>
      <c r="AW86" s="182">
        <f t="shared" si="36"/>
        <v>20</v>
      </c>
      <c r="AX86" s="491"/>
    </row>
    <row r="87" spans="2:50">
      <c r="B87" s="479"/>
      <c r="C87" s="182">
        <v>11</v>
      </c>
      <c r="D87" s="203" t="s">
        <v>287</v>
      </c>
      <c r="E87" s="166">
        <v>18</v>
      </c>
      <c r="F87" s="182">
        <v>1636</v>
      </c>
      <c r="G87" s="180">
        <v>90.9</v>
      </c>
      <c r="H87" s="460"/>
      <c r="I87" s="166">
        <f t="shared" si="27"/>
        <v>18.714285714285715</v>
      </c>
      <c r="J87" s="166">
        <f t="shared" si="28"/>
        <v>1219.105180174947</v>
      </c>
      <c r="K87" s="180">
        <f t="shared" si="29"/>
        <v>65.158534574691188</v>
      </c>
      <c r="L87" s="460"/>
      <c r="M87" s="181">
        <f>RANK(K87, K$77:$K$106)</f>
        <v>24</v>
      </c>
      <c r="N87" s="462"/>
      <c r="O87" s="462"/>
      <c r="P87" s="166">
        <v>18</v>
      </c>
      <c r="Q87" s="166">
        <v>1205.9999999999995</v>
      </c>
      <c r="R87" s="166">
        <v>66.999999999999972</v>
      </c>
      <c r="S87" s="182">
        <f t="shared" si="30"/>
        <v>21</v>
      </c>
      <c r="T87" s="491"/>
      <c r="U87" s="166">
        <v>19</v>
      </c>
      <c r="V87" s="166">
        <v>1232.3076923076915</v>
      </c>
      <c r="W87" s="166">
        <v>64.858299595141659</v>
      </c>
      <c r="X87" s="182">
        <f t="shared" si="31"/>
        <v>24</v>
      </c>
      <c r="Y87" s="491"/>
      <c r="Z87" s="166">
        <v>19</v>
      </c>
      <c r="AA87" s="166">
        <v>1201.8181818181802</v>
      </c>
      <c r="AB87" s="166">
        <v>63.253588516746326</v>
      </c>
      <c r="AC87" s="182">
        <f t="shared" si="32"/>
        <v>24</v>
      </c>
      <c r="AD87" s="491"/>
      <c r="AE87" s="166">
        <v>19</v>
      </c>
      <c r="AF87" s="166">
        <v>1224.3243243243232</v>
      </c>
      <c r="AG87" s="166">
        <v>64.438122332859123</v>
      </c>
      <c r="AH87" s="182">
        <f t="shared" si="33"/>
        <v>24</v>
      </c>
      <c r="AI87" s="491"/>
      <c r="AJ87" s="166">
        <v>19</v>
      </c>
      <c r="AK87" s="166">
        <v>1254.5454545454529</v>
      </c>
      <c r="AL87" s="166">
        <v>66.028708133971207</v>
      </c>
      <c r="AM87" s="182">
        <f t="shared" si="34"/>
        <v>23</v>
      </c>
      <c r="AN87" s="491"/>
      <c r="AO87" s="166">
        <v>19</v>
      </c>
      <c r="AP87" s="166">
        <v>1238.4615384615377</v>
      </c>
      <c r="AQ87" s="166">
        <v>65.182186234817777</v>
      </c>
      <c r="AR87" s="182">
        <f t="shared" si="35"/>
        <v>25</v>
      </c>
      <c r="AS87" s="491"/>
      <c r="AT87" s="166">
        <v>18</v>
      </c>
      <c r="AU87" s="166">
        <v>1176.2790697674418</v>
      </c>
      <c r="AV87" s="166">
        <v>65.348837209302317</v>
      </c>
      <c r="AW87" s="182">
        <f t="shared" si="36"/>
        <v>24</v>
      </c>
      <c r="AX87" s="491"/>
    </row>
    <row r="88" spans="2:50">
      <c r="B88" s="479"/>
      <c r="C88" s="182">
        <v>12</v>
      </c>
      <c r="D88" s="203" t="s">
        <v>288</v>
      </c>
      <c r="E88" s="166">
        <v>17</v>
      </c>
      <c r="F88" s="182">
        <v>1500</v>
      </c>
      <c r="G88" s="180">
        <v>88.2</v>
      </c>
      <c r="H88" s="460"/>
      <c r="I88" s="166">
        <f t="shared" si="27"/>
        <v>17</v>
      </c>
      <c r="J88" s="166">
        <f t="shared" si="28"/>
        <v>1268.2833133253282</v>
      </c>
      <c r="K88" s="180">
        <f t="shared" si="29"/>
        <v>74.604900783842851</v>
      </c>
      <c r="L88" s="460"/>
      <c r="M88" s="181">
        <f>RANK(K88, K$77:$K$106)</f>
        <v>11</v>
      </c>
      <c r="N88" s="462"/>
      <c r="O88" s="462"/>
      <c r="P88" s="166">
        <v>17</v>
      </c>
      <c r="Q88" s="166">
        <v>1297.0588235294101</v>
      </c>
      <c r="R88" s="166">
        <v>76.297577854671189</v>
      </c>
      <c r="S88" s="182">
        <f t="shared" si="30"/>
        <v>10</v>
      </c>
      <c r="T88" s="491"/>
      <c r="U88" s="166">
        <v>17</v>
      </c>
      <c r="V88" s="166">
        <v>1272.3529411764689</v>
      </c>
      <c r="W88" s="166">
        <v>74.844290657439345</v>
      </c>
      <c r="X88" s="182">
        <f t="shared" si="31"/>
        <v>11</v>
      </c>
      <c r="Y88" s="491"/>
      <c r="Z88" s="166">
        <v>17</v>
      </c>
      <c r="AA88" s="166">
        <v>1272.8571428571402</v>
      </c>
      <c r="AB88" s="166">
        <v>74.873949579831773</v>
      </c>
      <c r="AC88" s="182">
        <f t="shared" si="32"/>
        <v>12</v>
      </c>
      <c r="AD88" s="491"/>
      <c r="AE88" s="166">
        <v>17</v>
      </c>
      <c r="AF88" s="166">
        <v>1285.7142857142844</v>
      </c>
      <c r="AG88" s="166">
        <v>75.630252100840266</v>
      </c>
      <c r="AH88" s="182">
        <f t="shared" si="33"/>
        <v>11</v>
      </c>
      <c r="AI88" s="491"/>
      <c r="AJ88" s="166">
        <v>17</v>
      </c>
      <c r="AK88" s="166">
        <v>1235.2941176470572</v>
      </c>
      <c r="AL88" s="166">
        <v>72.664359861591606</v>
      </c>
      <c r="AM88" s="182">
        <f t="shared" si="34"/>
        <v>14</v>
      </c>
      <c r="AN88" s="491"/>
      <c r="AO88" s="166">
        <v>17</v>
      </c>
      <c r="AP88" s="166">
        <v>1275.8823529411748</v>
      </c>
      <c r="AQ88" s="166">
        <v>75.051903114186757</v>
      </c>
      <c r="AR88" s="182">
        <f t="shared" si="35"/>
        <v>11</v>
      </c>
      <c r="AS88" s="491"/>
      <c r="AT88" s="166">
        <v>17</v>
      </c>
      <c r="AU88" s="166">
        <v>1238.823529411763</v>
      </c>
      <c r="AV88" s="166">
        <v>72.871972318339004</v>
      </c>
      <c r="AW88" s="182">
        <f t="shared" si="36"/>
        <v>12</v>
      </c>
      <c r="AX88" s="491"/>
    </row>
    <row r="89" spans="2:50">
      <c r="B89" s="479"/>
      <c r="C89" s="182">
        <v>13</v>
      </c>
      <c r="D89" s="203" t="s">
        <v>289</v>
      </c>
      <c r="E89" s="166">
        <v>18</v>
      </c>
      <c r="F89" s="182">
        <v>1440</v>
      </c>
      <c r="G89" s="180">
        <v>80</v>
      </c>
      <c r="H89" s="460"/>
      <c r="I89" s="166">
        <f t="shared" si="27"/>
        <v>18.714285714285715</v>
      </c>
      <c r="J89" s="166">
        <f t="shared" si="28"/>
        <v>1330.5087051143157</v>
      </c>
      <c r="K89" s="180">
        <f t="shared" si="29"/>
        <v>71.120895812655064</v>
      </c>
      <c r="L89" s="460"/>
      <c r="M89" s="181">
        <f>RANK(K89, K$77:$K$106)</f>
        <v>16</v>
      </c>
      <c r="N89" s="462"/>
      <c r="O89" s="462"/>
      <c r="P89" s="166">
        <v>18</v>
      </c>
      <c r="Q89" s="166">
        <v>1316.4705882352957</v>
      </c>
      <c r="R89" s="166">
        <v>73.137254901960873</v>
      </c>
      <c r="S89" s="182">
        <f t="shared" si="30"/>
        <v>14</v>
      </c>
      <c r="T89" s="491"/>
      <c r="U89" s="166">
        <v>18</v>
      </c>
      <c r="V89" s="166">
        <v>1302.8571428571443</v>
      </c>
      <c r="W89" s="166">
        <v>72.380952380952465</v>
      </c>
      <c r="X89" s="182">
        <f t="shared" si="31"/>
        <v>14</v>
      </c>
      <c r="Y89" s="491"/>
      <c r="Z89" s="166">
        <v>19</v>
      </c>
      <c r="AA89" s="166">
        <v>1374.3396226415102</v>
      </c>
      <c r="AB89" s="166">
        <v>72.333664349553175</v>
      </c>
      <c r="AC89" s="182">
        <f t="shared" si="32"/>
        <v>16</v>
      </c>
      <c r="AD89" s="491"/>
      <c r="AE89" s="166">
        <v>19</v>
      </c>
      <c r="AF89" s="166">
        <v>1341.2903225806465</v>
      </c>
      <c r="AG89" s="166">
        <v>70.594227504244557</v>
      </c>
      <c r="AH89" s="182">
        <f t="shared" si="33"/>
        <v>16</v>
      </c>
      <c r="AI89" s="491"/>
      <c r="AJ89" s="166">
        <v>19</v>
      </c>
      <c r="AK89" s="166">
        <v>1338.0952380952394</v>
      </c>
      <c r="AL89" s="166">
        <v>70.426065162907335</v>
      </c>
      <c r="AM89" s="182">
        <f t="shared" si="34"/>
        <v>16</v>
      </c>
      <c r="AN89" s="491"/>
      <c r="AO89" s="166">
        <v>19</v>
      </c>
      <c r="AP89" s="166">
        <v>1303.2352941176455</v>
      </c>
      <c r="AQ89" s="166">
        <v>68.591331269349766</v>
      </c>
      <c r="AR89" s="182">
        <f t="shared" si="35"/>
        <v>18</v>
      </c>
      <c r="AS89" s="491"/>
      <c r="AT89" s="166">
        <v>19</v>
      </c>
      <c r="AU89" s="166">
        <v>1337.2727272727286</v>
      </c>
      <c r="AV89" s="166">
        <v>70.382775119617293</v>
      </c>
      <c r="AW89" s="182">
        <f t="shared" si="36"/>
        <v>17</v>
      </c>
      <c r="AX89" s="491"/>
    </row>
    <row r="90" spans="2:50">
      <c r="B90" s="479"/>
      <c r="C90" s="182">
        <v>14</v>
      </c>
      <c r="D90" s="203" t="s">
        <v>290</v>
      </c>
      <c r="E90" s="166">
        <v>15</v>
      </c>
      <c r="F90" s="182">
        <v>1440</v>
      </c>
      <c r="G90" s="180">
        <v>96</v>
      </c>
      <c r="H90" s="460"/>
      <c r="I90" s="166">
        <f t="shared" si="27"/>
        <v>15</v>
      </c>
      <c r="J90" s="166">
        <f t="shared" si="28"/>
        <v>1217.6255483346492</v>
      </c>
      <c r="K90" s="180">
        <f t="shared" si="29"/>
        <v>81.175036555643302</v>
      </c>
      <c r="L90" s="460"/>
      <c r="M90" s="181">
        <f>RANK(K90, K$77:$K$106)</f>
        <v>4</v>
      </c>
      <c r="N90" s="462"/>
      <c r="O90" s="462"/>
      <c r="P90" s="166">
        <v>15</v>
      </c>
      <c r="Q90" s="166">
        <v>1235.7894736842115</v>
      </c>
      <c r="R90" s="166">
        <v>82.38596491228077</v>
      </c>
      <c r="S90" s="182">
        <f t="shared" si="30"/>
        <v>4</v>
      </c>
      <c r="T90" s="491"/>
      <c r="U90" s="166">
        <v>15</v>
      </c>
      <c r="V90" s="166">
        <v>1256.6666666666674</v>
      </c>
      <c r="W90" s="166">
        <v>83.777777777777828</v>
      </c>
      <c r="X90" s="182">
        <f t="shared" si="31"/>
        <v>4</v>
      </c>
      <c r="Y90" s="491"/>
      <c r="Z90" s="166">
        <v>15</v>
      </c>
      <c r="AA90" s="166">
        <v>1226.5384615384623</v>
      </c>
      <c r="AB90" s="166">
        <v>81.769230769230816</v>
      </c>
      <c r="AC90" s="182">
        <f t="shared" si="32"/>
        <v>4</v>
      </c>
      <c r="AD90" s="491"/>
      <c r="AE90" s="166">
        <v>15</v>
      </c>
      <c r="AF90" s="166">
        <v>1210.0000000000007</v>
      </c>
      <c r="AG90" s="166">
        <v>80.666666666666714</v>
      </c>
      <c r="AH90" s="182">
        <f t="shared" si="33"/>
        <v>5</v>
      </c>
      <c r="AI90" s="491"/>
      <c r="AJ90" s="166">
        <v>15</v>
      </c>
      <c r="AK90" s="166">
        <v>1217.1428571428576</v>
      </c>
      <c r="AL90" s="166">
        <v>81.142857142857167</v>
      </c>
      <c r="AM90" s="182">
        <f t="shared" si="34"/>
        <v>5</v>
      </c>
      <c r="AN90" s="491"/>
      <c r="AO90" s="166">
        <v>15</v>
      </c>
      <c r="AP90" s="166">
        <v>1224.8275862068974</v>
      </c>
      <c r="AQ90" s="166">
        <v>81.655172413793167</v>
      </c>
      <c r="AR90" s="182">
        <f t="shared" si="35"/>
        <v>4</v>
      </c>
      <c r="AS90" s="491"/>
      <c r="AT90" s="166">
        <v>15</v>
      </c>
      <c r="AU90" s="166">
        <v>1152.4137931034493</v>
      </c>
      <c r="AV90" s="166">
        <v>76.827586206896612</v>
      </c>
      <c r="AW90" s="182">
        <f t="shared" si="36"/>
        <v>7</v>
      </c>
      <c r="AX90" s="491"/>
    </row>
    <row r="91" spans="2:50">
      <c r="B91" s="479"/>
      <c r="C91" s="182">
        <v>15</v>
      </c>
      <c r="D91" s="203" t="s">
        <v>291</v>
      </c>
      <c r="E91" s="166">
        <v>17</v>
      </c>
      <c r="F91" s="182">
        <v>1440</v>
      </c>
      <c r="G91" s="180">
        <v>84.7</v>
      </c>
      <c r="H91" s="460"/>
      <c r="I91" s="166">
        <f t="shared" si="27"/>
        <v>16</v>
      </c>
      <c r="J91" s="166">
        <f t="shared" si="28"/>
        <v>1274.0738044716547</v>
      </c>
      <c r="K91" s="180">
        <f t="shared" si="29"/>
        <v>79.629612779478421</v>
      </c>
      <c r="L91" s="460"/>
      <c r="M91" s="181">
        <f>RANK(K91, K$77:$K$106)</f>
        <v>6</v>
      </c>
      <c r="N91" s="462"/>
      <c r="O91" s="462"/>
      <c r="P91" s="166">
        <v>16</v>
      </c>
      <c r="Q91" s="166">
        <v>1269.2857142857138</v>
      </c>
      <c r="R91" s="166">
        <v>79.33035714285711</v>
      </c>
      <c r="S91" s="182">
        <f t="shared" si="30"/>
        <v>7</v>
      </c>
      <c r="T91" s="491"/>
      <c r="U91" s="166">
        <v>16</v>
      </c>
      <c r="V91" s="166">
        <v>1250.1265822784803</v>
      </c>
      <c r="W91" s="166">
        <v>78.13291139240502</v>
      </c>
      <c r="X91" s="182">
        <f t="shared" si="31"/>
        <v>6</v>
      </c>
      <c r="Y91" s="491"/>
      <c r="Z91" s="166">
        <v>16</v>
      </c>
      <c r="AA91" s="166">
        <v>1266.0869565217379</v>
      </c>
      <c r="AB91" s="166">
        <v>79.130434782608617</v>
      </c>
      <c r="AC91" s="182">
        <f t="shared" si="32"/>
        <v>6</v>
      </c>
      <c r="AD91" s="491"/>
      <c r="AE91" s="166">
        <v>16</v>
      </c>
      <c r="AF91" s="166">
        <v>1265.1428571428557</v>
      </c>
      <c r="AG91" s="166">
        <v>79.071428571428484</v>
      </c>
      <c r="AH91" s="182">
        <f t="shared" si="33"/>
        <v>6</v>
      </c>
      <c r="AI91" s="491"/>
      <c r="AJ91" s="166">
        <v>16</v>
      </c>
      <c r="AK91" s="166">
        <v>1310.2499999999995</v>
      </c>
      <c r="AL91" s="166">
        <v>81.890624999999972</v>
      </c>
      <c r="AM91" s="182">
        <f t="shared" si="34"/>
        <v>4</v>
      </c>
      <c r="AN91" s="491"/>
      <c r="AO91" s="166">
        <v>16</v>
      </c>
      <c r="AP91" s="166">
        <v>1295.555555555555</v>
      </c>
      <c r="AQ91" s="166">
        <v>80.972222222222186</v>
      </c>
      <c r="AR91" s="182">
        <f t="shared" si="35"/>
        <v>5</v>
      </c>
      <c r="AS91" s="491"/>
      <c r="AT91" s="166">
        <v>16</v>
      </c>
      <c r="AU91" s="166">
        <v>1262.0689655172412</v>
      </c>
      <c r="AV91" s="166">
        <v>78.879310344827573</v>
      </c>
      <c r="AW91" s="182">
        <f t="shared" si="36"/>
        <v>5</v>
      </c>
      <c r="AX91" s="491"/>
    </row>
    <row r="92" spans="2:50">
      <c r="B92" s="479"/>
      <c r="C92" s="182">
        <v>16</v>
      </c>
      <c r="D92" s="203" t="s">
        <v>293</v>
      </c>
      <c r="E92" s="166">
        <v>18</v>
      </c>
      <c r="F92" s="182">
        <v>1440</v>
      </c>
      <c r="G92" s="180">
        <v>80</v>
      </c>
      <c r="H92" s="460"/>
      <c r="I92" s="166">
        <f t="shared" si="27"/>
        <v>17</v>
      </c>
      <c r="J92" s="166">
        <f t="shared" si="28"/>
        <v>1242.3997040817922</v>
      </c>
      <c r="K92" s="180">
        <f t="shared" si="29"/>
        <v>73.082335534223063</v>
      </c>
      <c r="L92" s="460"/>
      <c r="M92" s="181">
        <f>RANK(K92, K$77:$K$106)</f>
        <v>13</v>
      </c>
      <c r="N92" s="462"/>
      <c r="O92" s="462"/>
      <c r="P92" s="166">
        <v>17</v>
      </c>
      <c r="Q92" s="166">
        <v>1252.0754716981103</v>
      </c>
      <c r="R92" s="166">
        <v>73.651498335182964</v>
      </c>
      <c r="S92" s="182">
        <f t="shared" si="30"/>
        <v>12</v>
      </c>
      <c r="T92" s="491"/>
      <c r="U92" s="166">
        <v>17</v>
      </c>
      <c r="V92" s="166">
        <v>1220.0000000000005</v>
      </c>
      <c r="W92" s="166">
        <v>71.76470588235297</v>
      </c>
      <c r="X92" s="182">
        <f t="shared" si="31"/>
        <v>15</v>
      </c>
      <c r="Y92" s="491"/>
      <c r="Z92" s="166">
        <v>17</v>
      </c>
      <c r="AA92" s="166">
        <v>1261.4285714285711</v>
      </c>
      <c r="AB92" s="166">
        <v>74.201680672268893</v>
      </c>
      <c r="AC92" s="182">
        <f t="shared" si="32"/>
        <v>13</v>
      </c>
      <c r="AD92" s="491"/>
      <c r="AE92" s="166">
        <v>17</v>
      </c>
      <c r="AF92" s="166">
        <v>1228.1632653061229</v>
      </c>
      <c r="AG92" s="166">
        <v>72.244897959183703</v>
      </c>
      <c r="AH92" s="182">
        <f t="shared" si="33"/>
        <v>13</v>
      </c>
      <c r="AI92" s="491"/>
      <c r="AJ92" s="166">
        <v>17</v>
      </c>
      <c r="AK92" s="166">
        <v>1251.0638297872342</v>
      </c>
      <c r="AL92" s="166">
        <v>73.591989987484368</v>
      </c>
      <c r="AM92" s="182">
        <f t="shared" si="34"/>
        <v>13</v>
      </c>
      <c r="AN92" s="491"/>
      <c r="AO92" s="166">
        <v>17</v>
      </c>
      <c r="AP92" s="166">
        <v>1193.4545454545428</v>
      </c>
      <c r="AQ92" s="166">
        <v>70.203208556149576</v>
      </c>
      <c r="AR92" s="182">
        <f t="shared" si="35"/>
        <v>15</v>
      </c>
      <c r="AS92" s="491"/>
      <c r="AT92" s="166">
        <v>17</v>
      </c>
      <c r="AU92" s="166">
        <v>1290.6122448979638</v>
      </c>
      <c r="AV92" s="166">
        <v>75.91836734693905</v>
      </c>
      <c r="AW92" s="182">
        <f t="shared" si="36"/>
        <v>9</v>
      </c>
      <c r="AX92" s="491"/>
    </row>
    <row r="93" spans="2:50">
      <c r="B93" s="479"/>
      <c r="C93" s="182">
        <v>17</v>
      </c>
      <c r="D93" s="203" t="s">
        <v>294</v>
      </c>
      <c r="E93" s="166">
        <v>18</v>
      </c>
      <c r="F93" s="182">
        <v>1500</v>
      </c>
      <c r="G93" s="180">
        <v>83.3</v>
      </c>
      <c r="H93" s="460"/>
      <c r="I93" s="166">
        <f t="shared" si="27"/>
        <v>18</v>
      </c>
      <c r="J93" s="166">
        <f t="shared" si="28"/>
        <v>1220.2485687879896</v>
      </c>
      <c r="K93" s="180">
        <f t="shared" si="29"/>
        <v>67.791587154888319</v>
      </c>
      <c r="L93" s="460"/>
      <c r="M93" s="181">
        <f>RANK(K93, K$77:$K$106)</f>
        <v>21</v>
      </c>
      <c r="N93" s="462"/>
      <c r="O93" s="462"/>
      <c r="P93" s="166">
        <v>18</v>
      </c>
      <c r="Q93" s="166">
        <v>1239.512195121951</v>
      </c>
      <c r="R93" s="166">
        <v>68.861788617886162</v>
      </c>
      <c r="S93" s="182">
        <f t="shared" si="30"/>
        <v>19</v>
      </c>
      <c r="T93" s="491"/>
      <c r="U93" s="166">
        <v>18</v>
      </c>
      <c r="V93" s="166">
        <v>1209.7674418604647</v>
      </c>
      <c r="W93" s="166">
        <v>67.209302325581376</v>
      </c>
      <c r="X93" s="182">
        <f t="shared" si="31"/>
        <v>20</v>
      </c>
      <c r="Y93" s="491"/>
      <c r="Z93" s="166">
        <v>18</v>
      </c>
      <c r="AA93" s="166">
        <v>1193.8461538461531</v>
      </c>
      <c r="AB93" s="166">
        <v>66.324786324786288</v>
      </c>
      <c r="AC93" s="182">
        <f t="shared" si="32"/>
        <v>22</v>
      </c>
      <c r="AD93" s="491"/>
      <c r="AE93" s="166">
        <v>18</v>
      </c>
      <c r="AF93" s="166">
        <v>1221.9512195121947</v>
      </c>
      <c r="AG93" s="166">
        <v>67.886178861788594</v>
      </c>
      <c r="AH93" s="182">
        <f t="shared" si="33"/>
        <v>21</v>
      </c>
      <c r="AI93" s="491"/>
      <c r="AJ93" s="166">
        <v>18</v>
      </c>
      <c r="AK93" s="166">
        <v>1259.9999999999993</v>
      </c>
      <c r="AL93" s="166">
        <v>69.999999999999957</v>
      </c>
      <c r="AM93" s="182">
        <f t="shared" si="34"/>
        <v>18</v>
      </c>
      <c r="AN93" s="491"/>
      <c r="AO93" s="166">
        <v>18</v>
      </c>
      <c r="AP93" s="166">
        <v>1212.2727272727273</v>
      </c>
      <c r="AQ93" s="166">
        <v>67.348484848484844</v>
      </c>
      <c r="AR93" s="182">
        <f t="shared" si="35"/>
        <v>22</v>
      </c>
      <c r="AS93" s="491"/>
      <c r="AT93" s="166">
        <v>18</v>
      </c>
      <c r="AU93" s="166">
        <v>1204.3902439024387</v>
      </c>
      <c r="AV93" s="166">
        <v>66.910569105691039</v>
      </c>
      <c r="AW93" s="182">
        <f t="shared" si="36"/>
        <v>19</v>
      </c>
      <c r="AX93" s="491"/>
    </row>
    <row r="94" spans="2:50">
      <c r="B94" s="479"/>
      <c r="C94" s="182">
        <v>18</v>
      </c>
      <c r="D94" s="203" t="s">
        <v>295</v>
      </c>
      <c r="E94" s="166">
        <v>17</v>
      </c>
      <c r="F94" s="182">
        <v>1440</v>
      </c>
      <c r="G94" s="180">
        <v>84.7</v>
      </c>
      <c r="H94" s="460"/>
      <c r="I94" s="166">
        <f t="shared" si="27"/>
        <v>17</v>
      </c>
      <c r="J94" s="166">
        <f t="shared" si="28"/>
        <v>1092.1628557777599</v>
      </c>
      <c r="K94" s="180">
        <f t="shared" si="29"/>
        <v>64.244873869279999</v>
      </c>
      <c r="L94" s="460"/>
      <c r="M94" s="181">
        <f>RANK(K94, K$77:$K$106)</f>
        <v>25</v>
      </c>
      <c r="N94" s="462"/>
      <c r="O94" s="462"/>
      <c r="P94" s="166">
        <v>17</v>
      </c>
      <c r="Q94" s="166">
        <v>1038.4615384615358</v>
      </c>
      <c r="R94" s="166">
        <v>61.08597285067858</v>
      </c>
      <c r="S94" s="182">
        <f t="shared" si="30"/>
        <v>26</v>
      </c>
      <c r="T94" s="491"/>
      <c r="U94" s="166">
        <v>17</v>
      </c>
      <c r="V94" s="166">
        <v>1049.9999999999968</v>
      </c>
      <c r="W94" s="166">
        <v>61.764705882352757</v>
      </c>
      <c r="X94" s="182">
        <f t="shared" si="31"/>
        <v>25</v>
      </c>
      <c r="Y94" s="491"/>
      <c r="Z94" s="166">
        <v>17</v>
      </c>
      <c r="AA94" s="166">
        <v>1048.5714285714323</v>
      </c>
      <c r="AB94" s="166">
        <v>61.680672268907784</v>
      </c>
      <c r="AC94" s="182">
        <f t="shared" si="32"/>
        <v>25</v>
      </c>
      <c r="AD94" s="491"/>
      <c r="AE94" s="166">
        <v>17</v>
      </c>
      <c r="AF94" s="166">
        <v>1033.8461538461513</v>
      </c>
      <c r="AG94" s="166">
        <v>60.814479638008898</v>
      </c>
      <c r="AH94" s="182">
        <f t="shared" si="33"/>
        <v>25</v>
      </c>
      <c r="AI94" s="491"/>
      <c r="AJ94" s="166">
        <v>17</v>
      </c>
      <c r="AK94" s="166">
        <v>1074.0000000000036</v>
      </c>
      <c r="AL94" s="166">
        <v>63.17647058823551</v>
      </c>
      <c r="AM94" s="182">
        <f t="shared" si="34"/>
        <v>25</v>
      </c>
      <c r="AN94" s="491"/>
      <c r="AO94" s="166">
        <v>17</v>
      </c>
      <c r="AP94" s="166">
        <v>1158.2608695652054</v>
      </c>
      <c r="AQ94" s="166">
        <v>68.132992327365031</v>
      </c>
      <c r="AR94" s="182">
        <f t="shared" si="35"/>
        <v>19</v>
      </c>
      <c r="AS94" s="491"/>
      <c r="AT94" s="166">
        <v>17</v>
      </c>
      <c r="AU94" s="166">
        <v>1241.9999999999943</v>
      </c>
      <c r="AV94" s="166">
        <v>73.058823529411427</v>
      </c>
      <c r="AW94" s="182">
        <f t="shared" si="36"/>
        <v>11</v>
      </c>
      <c r="AX94" s="491"/>
    </row>
    <row r="95" spans="2:50">
      <c r="B95" s="479"/>
      <c r="C95" s="182">
        <v>19</v>
      </c>
      <c r="D95" s="203" t="s">
        <v>296</v>
      </c>
      <c r="E95" s="166">
        <v>18</v>
      </c>
      <c r="F95" s="182">
        <v>1385</v>
      </c>
      <c r="G95" s="180">
        <v>76.900000000000006</v>
      </c>
      <c r="H95" s="460"/>
      <c r="I95" s="166">
        <f t="shared" si="27"/>
        <v>17</v>
      </c>
      <c r="J95" s="166">
        <f t="shared" si="28"/>
        <v>1129.956688445083</v>
      </c>
      <c r="K95" s="180">
        <f t="shared" si="29"/>
        <v>66.468040496769589</v>
      </c>
      <c r="L95" s="460"/>
      <c r="M95" s="181">
        <f>RANK(K95, K$77:$K$106)</f>
        <v>22</v>
      </c>
      <c r="N95" s="462"/>
      <c r="O95" s="462"/>
      <c r="P95" s="166">
        <v>17</v>
      </c>
      <c r="Q95" s="166">
        <v>1120.8000000000004</v>
      </c>
      <c r="R95" s="166">
        <v>65.929411764705904</v>
      </c>
      <c r="S95" s="182">
        <f t="shared" si="30"/>
        <v>23</v>
      </c>
      <c r="T95" s="491"/>
      <c r="U95" s="166">
        <v>17</v>
      </c>
      <c r="V95" s="166">
        <v>1127.4418604651162</v>
      </c>
      <c r="W95" s="166">
        <v>66.320109439124479</v>
      </c>
      <c r="X95" s="182">
        <f t="shared" si="31"/>
        <v>22</v>
      </c>
      <c r="Y95" s="491"/>
      <c r="Z95" s="166">
        <v>17</v>
      </c>
      <c r="AA95" s="166">
        <v>1154.9999999999991</v>
      </c>
      <c r="AB95" s="166">
        <v>67.941176470588175</v>
      </c>
      <c r="AC95" s="182">
        <f t="shared" si="32"/>
        <v>19</v>
      </c>
      <c r="AD95" s="491"/>
      <c r="AE95" s="166">
        <v>17</v>
      </c>
      <c r="AF95" s="166">
        <v>1138.421052631578</v>
      </c>
      <c r="AG95" s="166">
        <v>66.965944272445768</v>
      </c>
      <c r="AH95" s="182">
        <f t="shared" si="33"/>
        <v>23</v>
      </c>
      <c r="AI95" s="491"/>
      <c r="AJ95" s="166">
        <v>17</v>
      </c>
      <c r="AK95" s="166">
        <v>1142.7272727272727</v>
      </c>
      <c r="AL95" s="166">
        <v>67.219251336898395</v>
      </c>
      <c r="AM95" s="182">
        <f t="shared" si="34"/>
        <v>22</v>
      </c>
      <c r="AN95" s="491"/>
      <c r="AO95" s="166">
        <v>17</v>
      </c>
      <c r="AP95" s="166">
        <v>1147.6595744680851</v>
      </c>
      <c r="AQ95" s="166">
        <v>67.509386733416775</v>
      </c>
      <c r="AR95" s="182">
        <f t="shared" si="35"/>
        <v>21</v>
      </c>
      <c r="AS95" s="491"/>
      <c r="AT95" s="166">
        <v>17</v>
      </c>
      <c r="AU95" s="166">
        <v>1077.6470588235297</v>
      </c>
      <c r="AV95" s="166">
        <v>63.391003460207628</v>
      </c>
      <c r="AW95" s="182">
        <f t="shared" si="36"/>
        <v>25</v>
      </c>
      <c r="AX95" s="491"/>
    </row>
    <row r="96" spans="2:50">
      <c r="B96" s="479"/>
      <c r="C96" s="182">
        <v>20</v>
      </c>
      <c r="D96" s="203" t="s">
        <v>297</v>
      </c>
      <c r="E96" s="166">
        <v>18</v>
      </c>
      <c r="F96" s="182">
        <v>1440</v>
      </c>
      <c r="G96" s="180">
        <v>80</v>
      </c>
      <c r="H96" s="460"/>
      <c r="I96" s="166">
        <f t="shared" si="27"/>
        <v>18</v>
      </c>
      <c r="J96" s="166">
        <f t="shared" si="28"/>
        <v>1225.9188744374544</v>
      </c>
      <c r="K96" s="180">
        <f t="shared" si="29"/>
        <v>68.10660413541413</v>
      </c>
      <c r="L96" s="460"/>
      <c r="M96" s="181">
        <f>RANK(K96, K$77:$K$106)</f>
        <v>19</v>
      </c>
      <c r="N96" s="462"/>
      <c r="O96" s="462"/>
      <c r="P96" s="166">
        <v>18</v>
      </c>
      <c r="Q96" s="166">
        <v>1220.4000000000003</v>
      </c>
      <c r="R96" s="166">
        <v>67.800000000000011</v>
      </c>
      <c r="S96" s="182">
        <f t="shared" si="30"/>
        <v>20</v>
      </c>
      <c r="T96" s="491"/>
      <c r="U96" s="166">
        <v>18</v>
      </c>
      <c r="V96" s="166">
        <v>1220.4255319148938</v>
      </c>
      <c r="W96" s="166">
        <v>67.801418439716315</v>
      </c>
      <c r="X96" s="182">
        <f t="shared" si="31"/>
        <v>19</v>
      </c>
      <c r="Y96" s="491"/>
      <c r="Z96" s="166">
        <v>18</v>
      </c>
      <c r="AA96" s="166">
        <v>1223.9999999999995</v>
      </c>
      <c r="AB96" s="166">
        <v>67.999999999999972</v>
      </c>
      <c r="AC96" s="182">
        <f t="shared" si="32"/>
        <v>18</v>
      </c>
      <c r="AD96" s="491"/>
      <c r="AE96" s="166">
        <v>18</v>
      </c>
      <c r="AF96" s="166">
        <v>1253.0232558139533</v>
      </c>
      <c r="AG96" s="166">
        <v>69.612403100775182</v>
      </c>
      <c r="AH96" s="182">
        <f t="shared" si="33"/>
        <v>19</v>
      </c>
      <c r="AI96" s="491"/>
      <c r="AJ96" s="166">
        <v>18</v>
      </c>
      <c r="AK96" s="166">
        <v>1246.4999999999995</v>
      </c>
      <c r="AL96" s="166">
        <v>69.249999999999972</v>
      </c>
      <c r="AM96" s="182">
        <f t="shared" si="34"/>
        <v>19</v>
      </c>
      <c r="AN96" s="491"/>
      <c r="AO96" s="166">
        <v>18</v>
      </c>
      <c r="AP96" s="166">
        <v>1223.7500000000005</v>
      </c>
      <c r="AQ96" s="166">
        <v>67.986111111111143</v>
      </c>
      <c r="AR96" s="182">
        <f t="shared" si="35"/>
        <v>20</v>
      </c>
      <c r="AS96" s="491"/>
      <c r="AT96" s="166">
        <v>18</v>
      </c>
      <c r="AU96" s="166">
        <v>1193.3333333333333</v>
      </c>
      <c r="AV96" s="166">
        <v>66.296296296296291</v>
      </c>
      <c r="AW96" s="182">
        <f t="shared" si="36"/>
        <v>21</v>
      </c>
      <c r="AX96" s="491"/>
    </row>
    <row r="97" spans="2:50">
      <c r="B97" s="479"/>
      <c r="C97" s="182">
        <v>21</v>
      </c>
      <c r="D97" s="203" t="s">
        <v>298</v>
      </c>
      <c r="E97" s="166">
        <v>15</v>
      </c>
      <c r="F97" s="182">
        <v>1500</v>
      </c>
      <c r="G97" s="180">
        <v>100</v>
      </c>
      <c r="H97" s="460"/>
      <c r="I97" s="166">
        <f t="shared" si="27"/>
        <v>16</v>
      </c>
      <c r="J97" s="166">
        <f t="shared" si="28"/>
        <v>1223.2175375146724</v>
      </c>
      <c r="K97" s="180">
        <f t="shared" si="29"/>
        <v>76.451096094667022</v>
      </c>
      <c r="L97" s="460"/>
      <c r="M97" s="181">
        <f>RANK(K97, K$77:$K$106)</f>
        <v>9</v>
      </c>
      <c r="N97" s="462"/>
      <c r="O97" s="462"/>
      <c r="P97" s="166">
        <v>16</v>
      </c>
      <c r="Q97" s="166">
        <v>1251.6455696202527</v>
      </c>
      <c r="R97" s="166">
        <v>78.227848101265792</v>
      </c>
      <c r="S97" s="182">
        <f t="shared" si="30"/>
        <v>8</v>
      </c>
      <c r="T97" s="491"/>
      <c r="U97" s="166">
        <v>16</v>
      </c>
      <c r="V97" s="166">
        <v>1229.142857142856</v>
      </c>
      <c r="W97" s="166">
        <v>76.821428571428498</v>
      </c>
      <c r="X97" s="182">
        <f t="shared" si="31"/>
        <v>8</v>
      </c>
      <c r="Y97" s="491"/>
      <c r="Z97" s="166">
        <v>16</v>
      </c>
      <c r="AA97" s="166">
        <v>1221.0000000000011</v>
      </c>
      <c r="AB97" s="166">
        <v>76.312500000000071</v>
      </c>
      <c r="AC97" s="182">
        <f t="shared" si="32"/>
        <v>9</v>
      </c>
      <c r="AD97" s="491"/>
      <c r="AE97" s="166">
        <v>16</v>
      </c>
      <c r="AF97" s="166">
        <v>1224.8571428571415</v>
      </c>
      <c r="AG97" s="166">
        <v>76.553571428571345</v>
      </c>
      <c r="AH97" s="182">
        <f t="shared" si="33"/>
        <v>10</v>
      </c>
      <c r="AI97" s="491"/>
      <c r="AJ97" s="166">
        <v>16</v>
      </c>
      <c r="AK97" s="166">
        <v>1237.5000000000014</v>
      </c>
      <c r="AL97" s="166">
        <v>77.343750000000085</v>
      </c>
      <c r="AM97" s="182">
        <f t="shared" si="34"/>
        <v>9</v>
      </c>
      <c r="AN97" s="491"/>
      <c r="AO97" s="166">
        <v>16</v>
      </c>
      <c r="AP97" s="166">
        <v>1229.1666666666658</v>
      </c>
      <c r="AQ97" s="166">
        <v>76.822916666666615</v>
      </c>
      <c r="AR97" s="182">
        <f t="shared" si="35"/>
        <v>9</v>
      </c>
      <c r="AS97" s="491"/>
      <c r="AT97" s="166">
        <v>16</v>
      </c>
      <c r="AU97" s="166">
        <v>1169.2105263157887</v>
      </c>
      <c r="AV97" s="166">
        <v>73.075657894736793</v>
      </c>
      <c r="AW97" s="182">
        <f t="shared" si="36"/>
        <v>10</v>
      </c>
      <c r="AX97" s="491"/>
    </row>
    <row r="98" spans="2:50">
      <c r="B98" s="479"/>
      <c r="C98" s="182">
        <v>22</v>
      </c>
      <c r="D98" s="203" t="s">
        <v>299</v>
      </c>
      <c r="E98" s="166">
        <v>16</v>
      </c>
      <c r="F98" s="182">
        <v>1500</v>
      </c>
      <c r="G98" s="180">
        <v>93.8</v>
      </c>
      <c r="H98" s="460"/>
      <c r="I98" s="166">
        <f t="shared" si="27"/>
        <v>16</v>
      </c>
      <c r="J98" s="166">
        <f t="shared" si="28"/>
        <v>1202.153812501989</v>
      </c>
      <c r="K98" s="180">
        <f t="shared" si="29"/>
        <v>75.134613281374314</v>
      </c>
      <c r="L98" s="460"/>
      <c r="M98" s="181">
        <f>RANK(K98, K$77:$K$106)</f>
        <v>10</v>
      </c>
      <c r="N98" s="462"/>
      <c r="O98" s="462"/>
      <c r="P98" s="166">
        <v>16</v>
      </c>
      <c r="Q98" s="166">
        <v>1045.263157894736</v>
      </c>
      <c r="R98" s="166">
        <v>65.328947368420998</v>
      </c>
      <c r="S98" s="182">
        <f t="shared" si="30"/>
        <v>24</v>
      </c>
      <c r="T98" s="491"/>
      <c r="U98" s="166">
        <v>16</v>
      </c>
      <c r="V98" s="166">
        <v>1066.6666666666658</v>
      </c>
      <c r="W98" s="166">
        <v>66.666666666666615</v>
      </c>
      <c r="X98" s="182">
        <f t="shared" si="31"/>
        <v>21</v>
      </c>
      <c r="Y98" s="491"/>
      <c r="Z98" s="166">
        <v>16</v>
      </c>
      <c r="AA98" s="166">
        <v>1250.4000000000003</v>
      </c>
      <c r="AB98" s="166">
        <v>78.15000000000002</v>
      </c>
      <c r="AC98" s="182">
        <f t="shared" si="32"/>
        <v>8</v>
      </c>
      <c r="AD98" s="491"/>
      <c r="AE98" s="166">
        <v>16</v>
      </c>
      <c r="AF98" s="166">
        <v>1253.6842105263147</v>
      </c>
      <c r="AG98" s="166">
        <v>78.355263157894669</v>
      </c>
      <c r="AH98" s="182">
        <f t="shared" si="33"/>
        <v>8</v>
      </c>
      <c r="AI98" s="491"/>
      <c r="AJ98" s="166">
        <v>16</v>
      </c>
      <c r="AK98" s="166">
        <v>1295.2173913043478</v>
      </c>
      <c r="AL98" s="166">
        <v>80.951086956521735</v>
      </c>
      <c r="AM98" s="182">
        <f t="shared" si="34"/>
        <v>7</v>
      </c>
      <c r="AN98" s="491"/>
      <c r="AO98" s="166">
        <v>16</v>
      </c>
      <c r="AP98" s="166">
        <v>1268.936170212766</v>
      </c>
      <c r="AQ98" s="166">
        <v>79.308510638297875</v>
      </c>
      <c r="AR98" s="182">
        <f t="shared" si="35"/>
        <v>8</v>
      </c>
      <c r="AS98" s="491"/>
      <c r="AT98" s="166">
        <v>16</v>
      </c>
      <c r="AU98" s="166">
        <v>1234.9090909090917</v>
      </c>
      <c r="AV98" s="166">
        <v>77.18181818181823</v>
      </c>
      <c r="AW98" s="182">
        <f t="shared" si="36"/>
        <v>6</v>
      </c>
      <c r="AX98" s="491"/>
    </row>
    <row r="99" spans="2:50">
      <c r="B99" s="479"/>
      <c r="C99" s="182">
        <v>23</v>
      </c>
      <c r="D99" s="203" t="s">
        <v>300</v>
      </c>
      <c r="E99" s="166">
        <v>20</v>
      </c>
      <c r="F99" s="182">
        <v>1500</v>
      </c>
      <c r="G99" s="180">
        <v>75</v>
      </c>
      <c r="H99" s="460"/>
      <c r="I99" s="166">
        <f t="shared" si="27"/>
        <v>20</v>
      </c>
      <c r="J99" s="166">
        <f t="shared" si="28"/>
        <v>1092.2452494426493</v>
      </c>
      <c r="K99" s="180">
        <f t="shared" si="29"/>
        <v>54.612262472132464</v>
      </c>
      <c r="L99" s="460"/>
      <c r="M99" s="181">
        <f>RANK(K99, K$77:$K$106)</f>
        <v>28</v>
      </c>
      <c r="N99" s="462"/>
      <c r="O99" s="462"/>
      <c r="P99" s="166">
        <v>20</v>
      </c>
      <c r="Q99" s="166">
        <v>1107.9452054794513</v>
      </c>
      <c r="R99" s="166">
        <v>55.397260273972563</v>
      </c>
      <c r="S99" s="182">
        <f t="shared" si="30"/>
        <v>27</v>
      </c>
      <c r="T99" s="491"/>
      <c r="U99" s="166">
        <v>20</v>
      </c>
      <c r="V99" s="166">
        <v>1070.7692307692319</v>
      </c>
      <c r="W99" s="166">
        <v>53.53846153846159</v>
      </c>
      <c r="X99" s="182">
        <f t="shared" si="31"/>
        <v>28</v>
      </c>
      <c r="Y99" s="491"/>
      <c r="Z99" s="166">
        <v>20</v>
      </c>
      <c r="AA99" s="166">
        <v>1086.3157894736851</v>
      </c>
      <c r="AB99" s="166">
        <v>54.315789473684255</v>
      </c>
      <c r="AC99" s="182">
        <f t="shared" si="32"/>
        <v>28</v>
      </c>
      <c r="AD99" s="491"/>
      <c r="AE99" s="166">
        <v>20</v>
      </c>
      <c r="AF99" s="166">
        <v>1107.0000000000009</v>
      </c>
      <c r="AG99" s="166">
        <v>55.350000000000044</v>
      </c>
      <c r="AH99" s="182">
        <f t="shared" si="33"/>
        <v>27</v>
      </c>
      <c r="AI99" s="491"/>
      <c r="AJ99" s="166">
        <v>20</v>
      </c>
      <c r="AK99" s="166">
        <v>1092.4137931034493</v>
      </c>
      <c r="AL99" s="166">
        <v>54.620689655172463</v>
      </c>
      <c r="AM99" s="182">
        <f t="shared" si="34"/>
        <v>27</v>
      </c>
      <c r="AN99" s="491"/>
      <c r="AO99" s="166">
        <v>20</v>
      </c>
      <c r="AP99" s="166">
        <v>1103.9999999999989</v>
      </c>
      <c r="AQ99" s="166">
        <v>55.199999999999946</v>
      </c>
      <c r="AR99" s="182">
        <f t="shared" si="35"/>
        <v>28</v>
      </c>
      <c r="AS99" s="491"/>
      <c r="AT99" s="166">
        <v>20</v>
      </c>
      <c r="AU99" s="166">
        <v>1077.2727272727284</v>
      </c>
      <c r="AV99" s="166">
        <v>53.863636363636417</v>
      </c>
      <c r="AW99" s="182">
        <f t="shared" si="36"/>
        <v>28</v>
      </c>
      <c r="AX99" s="491"/>
    </row>
    <row r="100" spans="2:50">
      <c r="B100" s="479"/>
      <c r="C100" s="182">
        <v>24</v>
      </c>
      <c r="D100" s="203" t="s">
        <v>301</v>
      </c>
      <c r="E100" s="166">
        <v>17</v>
      </c>
      <c r="F100" s="182">
        <v>1440</v>
      </c>
      <c r="G100" s="180">
        <v>84.7</v>
      </c>
      <c r="H100" s="460"/>
      <c r="I100" s="166">
        <f t="shared" ref="I100:I101" si="37">AVERAGE(P100,U100,Z100,AE100,AJ100,AO100,AT100)</f>
        <v>17</v>
      </c>
      <c r="J100" s="166">
        <f t="shared" ref="J100:J101" si="38">AVERAGE(Q100,V100,AA100,AF100,AK100,AP100,AU100)</f>
        <v>1226.7584301350762</v>
      </c>
      <c r="K100" s="180">
        <f t="shared" ref="K100:K101" si="39">AVERAGE(R100,W100,AB100,AG100,AL100,AQ100,AV100)</f>
        <v>72.162260596180957</v>
      </c>
      <c r="L100" s="460"/>
      <c r="M100" s="181">
        <f>RANK(K100, K$77:$K$106)</f>
        <v>15</v>
      </c>
      <c r="N100" s="462"/>
      <c r="O100" s="462"/>
      <c r="P100" s="182">
        <v>17</v>
      </c>
      <c r="Q100" s="180">
        <v>1211.8604651162789</v>
      </c>
      <c r="R100" s="180">
        <v>71.285909712722287</v>
      </c>
      <c r="S100" s="182">
        <f t="shared" si="30"/>
        <v>15</v>
      </c>
      <c r="T100" s="491"/>
      <c r="U100" s="182">
        <v>17</v>
      </c>
      <c r="V100" s="180">
        <v>1230.8108108108099</v>
      </c>
      <c r="W100" s="180">
        <v>72.400635930047642</v>
      </c>
      <c r="X100" s="182">
        <f t="shared" si="31"/>
        <v>13</v>
      </c>
      <c r="Y100" s="491"/>
      <c r="Z100" s="182">
        <v>17</v>
      </c>
      <c r="AA100" s="180">
        <v>1251.2903225806463</v>
      </c>
      <c r="AB100" s="180">
        <v>73.605313092979188</v>
      </c>
      <c r="AC100" s="182">
        <f t="shared" si="32"/>
        <v>14</v>
      </c>
      <c r="AD100" s="491"/>
      <c r="AE100" s="182">
        <v>17</v>
      </c>
      <c r="AF100" s="180">
        <v>1226.5714285714273</v>
      </c>
      <c r="AG100" s="180">
        <v>72.151260504201602</v>
      </c>
      <c r="AH100" s="182">
        <f t="shared" si="33"/>
        <v>14</v>
      </c>
      <c r="AI100" s="491"/>
      <c r="AJ100" s="182">
        <v>17</v>
      </c>
      <c r="AK100" s="180">
        <v>1257.4647887323931</v>
      </c>
      <c r="AL100" s="180">
        <v>73.968516984258414</v>
      </c>
      <c r="AM100" s="182">
        <f t="shared" si="34"/>
        <v>12</v>
      </c>
      <c r="AN100" s="491"/>
      <c r="AO100" s="182">
        <v>17</v>
      </c>
      <c r="AP100" s="180">
        <v>1201.5189873417714</v>
      </c>
      <c r="AQ100" s="180">
        <v>70.677587490692432</v>
      </c>
      <c r="AR100" s="182">
        <f t="shared" si="35"/>
        <v>14</v>
      </c>
      <c r="AS100" s="491"/>
      <c r="AT100" s="182">
        <v>17</v>
      </c>
      <c r="AU100" s="180">
        <v>1207.7922077922071</v>
      </c>
      <c r="AV100" s="180">
        <v>71.04660045836512</v>
      </c>
      <c r="AW100" s="182">
        <f t="shared" si="36"/>
        <v>14</v>
      </c>
      <c r="AX100" s="491"/>
    </row>
    <row r="101" spans="2:50">
      <c r="B101" s="479"/>
      <c r="C101" s="182">
        <v>25</v>
      </c>
      <c r="D101" s="203" t="s">
        <v>302</v>
      </c>
      <c r="E101" s="166">
        <v>18</v>
      </c>
      <c r="F101" s="182">
        <v>1385</v>
      </c>
      <c r="G101" s="180">
        <v>76.900000000000006</v>
      </c>
      <c r="H101" s="460"/>
      <c r="I101" s="166">
        <f t="shared" si="37"/>
        <v>18.857142857142858</v>
      </c>
      <c r="J101" s="166">
        <f t="shared" si="38"/>
        <v>1083.7608921044909</v>
      </c>
      <c r="K101" s="180">
        <f t="shared" si="39"/>
        <v>57.502057241748041</v>
      </c>
      <c r="L101" s="460"/>
      <c r="M101" s="181">
        <f>RANK(K101, K$77:$K$106)</f>
        <v>26</v>
      </c>
      <c r="N101" s="462"/>
      <c r="O101" s="462"/>
      <c r="P101" s="182">
        <v>18</v>
      </c>
      <c r="Q101" s="180">
        <v>1106.0526315789466</v>
      </c>
      <c r="R101" s="180">
        <v>61.447368421052587</v>
      </c>
      <c r="S101" s="182">
        <f t="shared" si="30"/>
        <v>25</v>
      </c>
      <c r="T101" s="491"/>
      <c r="U101" s="182">
        <v>19</v>
      </c>
      <c r="V101" s="180">
        <v>1090.6849315068484</v>
      </c>
      <c r="W101" s="180">
        <v>57.404470079307814</v>
      </c>
      <c r="X101" s="182">
        <f t="shared" si="31"/>
        <v>26</v>
      </c>
      <c r="Y101" s="491"/>
      <c r="Z101" s="182">
        <v>19</v>
      </c>
      <c r="AA101" s="180">
        <v>1077.2727272727284</v>
      </c>
      <c r="AB101" s="180">
        <v>56.698564593301491</v>
      </c>
      <c r="AC101" s="182">
        <f t="shared" si="32"/>
        <v>26</v>
      </c>
      <c r="AD101" s="491"/>
      <c r="AE101" s="182">
        <v>19</v>
      </c>
      <c r="AF101" s="180">
        <v>1088.9189189189181</v>
      </c>
      <c r="AG101" s="180">
        <v>57.311522048364111</v>
      </c>
      <c r="AH101" s="182">
        <f t="shared" si="33"/>
        <v>26</v>
      </c>
      <c r="AI101" s="491"/>
      <c r="AJ101" s="182">
        <v>19</v>
      </c>
      <c r="AK101" s="180">
        <v>1073.766233766233</v>
      </c>
      <c r="AL101" s="180">
        <v>56.514012303485949</v>
      </c>
      <c r="AM101" s="182">
        <f t="shared" si="34"/>
        <v>26</v>
      </c>
      <c r="AN101" s="491"/>
      <c r="AO101" s="182">
        <v>19</v>
      </c>
      <c r="AP101" s="180">
        <v>1083.7974683544298</v>
      </c>
      <c r="AQ101" s="180">
        <v>57.041972018654199</v>
      </c>
      <c r="AR101" s="182">
        <f t="shared" si="35"/>
        <v>26</v>
      </c>
      <c r="AS101" s="491"/>
      <c r="AT101" s="182">
        <v>19</v>
      </c>
      <c r="AU101" s="180">
        <v>1065.8333333333326</v>
      </c>
      <c r="AV101" s="180">
        <v>56.096491228070136</v>
      </c>
      <c r="AW101" s="182">
        <f t="shared" si="36"/>
        <v>27</v>
      </c>
      <c r="AX101" s="491"/>
    </row>
    <row r="102" spans="2:50">
      <c r="B102" s="479"/>
      <c r="C102" s="182">
        <v>26</v>
      </c>
      <c r="D102" s="203" t="s">
        <v>303</v>
      </c>
      <c r="E102" s="166">
        <v>18</v>
      </c>
      <c r="F102" s="182">
        <v>1440</v>
      </c>
      <c r="G102" s="180">
        <v>80</v>
      </c>
      <c r="H102" s="460"/>
      <c r="I102" s="166">
        <f t="shared" ref="I102:I104" si="40">AVERAGE(P102,U102,Z102,AE102,AJ102,AO102,AT102)</f>
        <v>18</v>
      </c>
      <c r="J102" s="166">
        <f t="shared" ref="J102:J104" si="41">AVERAGE(Q102,V102,AA102,AF102,AK102,AP102,AU102)</f>
        <v>1224.0623137908394</v>
      </c>
      <c r="K102" s="180">
        <f t="shared" ref="K102:K104" si="42">AVERAGE(R102,W102,AB102,AG102,AL102,AQ102,AV102)</f>
        <v>68.003461877268862</v>
      </c>
      <c r="L102" s="460"/>
      <c r="M102" s="181">
        <f>RANK(K102, K$77:$K$106)</f>
        <v>20</v>
      </c>
      <c r="N102" s="462"/>
      <c r="O102" s="462"/>
      <c r="P102" s="182">
        <v>18</v>
      </c>
      <c r="Q102" s="180">
        <v>1242.5000000000005</v>
      </c>
      <c r="R102" s="180">
        <v>69.0277777777778</v>
      </c>
      <c r="S102" s="182">
        <f t="shared" si="30"/>
        <v>18</v>
      </c>
      <c r="T102" s="491"/>
      <c r="U102" s="182">
        <v>18</v>
      </c>
      <c r="V102" s="180">
        <v>1246.9565217391305</v>
      </c>
      <c r="W102" s="180">
        <v>69.275362318840578</v>
      </c>
      <c r="X102" s="182">
        <f t="shared" si="31"/>
        <v>17</v>
      </c>
      <c r="Y102" s="491"/>
      <c r="Z102" s="182">
        <v>18</v>
      </c>
      <c r="AA102" s="180">
        <v>1199.9999999999995</v>
      </c>
      <c r="AB102" s="180">
        <v>66.666666666666643</v>
      </c>
      <c r="AC102" s="182">
        <f t="shared" si="32"/>
        <v>21</v>
      </c>
      <c r="AD102" s="491"/>
      <c r="AE102" s="182">
        <v>18</v>
      </c>
      <c r="AF102" s="180">
        <v>1242.4390243902435</v>
      </c>
      <c r="AG102" s="180">
        <v>69.024390243902417</v>
      </c>
      <c r="AH102" s="182">
        <f t="shared" si="33"/>
        <v>20</v>
      </c>
      <c r="AI102" s="491"/>
      <c r="AJ102" s="182">
        <v>18</v>
      </c>
      <c r="AK102" s="180">
        <v>1211.7073170731703</v>
      </c>
      <c r="AL102" s="180">
        <v>67.317073170731689</v>
      </c>
      <c r="AM102" s="182">
        <f t="shared" si="34"/>
        <v>21</v>
      </c>
      <c r="AN102" s="491"/>
      <c r="AO102" s="182">
        <v>18</v>
      </c>
      <c r="AP102" s="180">
        <v>1241.3333333333335</v>
      </c>
      <c r="AQ102" s="180">
        <v>68.962962962962976</v>
      </c>
      <c r="AR102" s="182">
        <f t="shared" si="35"/>
        <v>17</v>
      </c>
      <c r="AS102" s="491"/>
      <c r="AT102" s="182">
        <v>18</v>
      </c>
      <c r="AU102" s="180">
        <v>1183.4999999999995</v>
      </c>
      <c r="AV102" s="180">
        <v>65.749999999999972</v>
      </c>
      <c r="AW102" s="182">
        <f t="shared" si="36"/>
        <v>22</v>
      </c>
      <c r="AX102" s="491"/>
    </row>
    <row r="103" spans="2:50">
      <c r="B103" s="479"/>
      <c r="C103" s="182">
        <v>27</v>
      </c>
      <c r="D103" s="203" t="s">
        <v>304</v>
      </c>
      <c r="E103" s="166">
        <v>17</v>
      </c>
      <c r="F103" s="182">
        <v>1440</v>
      </c>
      <c r="G103" s="180">
        <v>84.7</v>
      </c>
      <c r="H103" s="460"/>
      <c r="I103" s="166">
        <f t="shared" si="40"/>
        <v>17</v>
      </c>
      <c r="J103" s="166">
        <f t="shared" si="41"/>
        <v>1232.5606543000463</v>
      </c>
      <c r="K103" s="180">
        <f t="shared" si="42"/>
        <v>72.503567900002722</v>
      </c>
      <c r="L103" s="460"/>
      <c r="M103" s="181">
        <f>RANK(K103, K$77:$K$106)</f>
        <v>14</v>
      </c>
      <c r="N103" s="462"/>
      <c r="O103" s="462"/>
      <c r="P103" s="182">
        <v>17</v>
      </c>
      <c r="Q103" s="180">
        <v>1249.7142857142844</v>
      </c>
      <c r="R103" s="180">
        <v>73.51260504201673</v>
      </c>
      <c r="S103" s="182">
        <f t="shared" si="30"/>
        <v>13</v>
      </c>
      <c r="T103" s="491"/>
      <c r="U103" s="182">
        <v>17</v>
      </c>
      <c r="V103" s="180">
        <v>1237.599999999999</v>
      </c>
      <c r="W103" s="180">
        <v>72.79999999999994</v>
      </c>
      <c r="X103" s="182">
        <f t="shared" si="31"/>
        <v>12</v>
      </c>
      <c r="Y103" s="491"/>
      <c r="Z103" s="182">
        <v>17</v>
      </c>
      <c r="AA103" s="180">
        <v>1239.7058823529428</v>
      </c>
      <c r="AB103" s="180">
        <v>72.923875432526046</v>
      </c>
      <c r="AC103" s="182">
        <f t="shared" si="32"/>
        <v>15</v>
      </c>
      <c r="AD103" s="491"/>
      <c r="AE103" s="182">
        <v>17</v>
      </c>
      <c r="AF103" s="180">
        <v>1207.6056338028156</v>
      </c>
      <c r="AG103" s="180">
        <v>71.03562551781269</v>
      </c>
      <c r="AH103" s="182">
        <f t="shared" si="33"/>
        <v>15</v>
      </c>
      <c r="AI103" s="491"/>
      <c r="AJ103" s="182">
        <v>17</v>
      </c>
      <c r="AK103" s="180">
        <v>1234.8648648648641</v>
      </c>
      <c r="AL103" s="180">
        <v>72.639109697933179</v>
      </c>
      <c r="AM103" s="182">
        <f t="shared" si="34"/>
        <v>15</v>
      </c>
      <c r="AN103" s="491"/>
      <c r="AO103" s="182">
        <v>17</v>
      </c>
      <c r="AP103" s="180">
        <v>1254.3243243243232</v>
      </c>
      <c r="AQ103" s="180">
        <v>73.783783783783718</v>
      </c>
      <c r="AR103" s="182">
        <f t="shared" si="35"/>
        <v>13</v>
      </c>
      <c r="AS103" s="491"/>
      <c r="AT103" s="182">
        <v>17</v>
      </c>
      <c r="AU103" s="180">
        <v>1204.109589041095</v>
      </c>
      <c r="AV103" s="180">
        <v>70.829975825946761</v>
      </c>
      <c r="AW103" s="182">
        <f t="shared" si="36"/>
        <v>16</v>
      </c>
      <c r="AX103" s="491"/>
    </row>
    <row r="104" spans="2:50">
      <c r="B104" s="479"/>
      <c r="C104" s="182">
        <v>28</v>
      </c>
      <c r="D104" s="203" t="s">
        <v>306</v>
      </c>
      <c r="E104" s="166">
        <v>21</v>
      </c>
      <c r="F104" s="182">
        <v>1440</v>
      </c>
      <c r="G104" s="180">
        <v>71.400000000000006</v>
      </c>
      <c r="H104" s="460"/>
      <c r="I104" s="166">
        <f t="shared" si="40"/>
        <v>20.142857142857142</v>
      </c>
      <c r="J104" s="166">
        <f t="shared" si="41"/>
        <v>1125.5856997591034</v>
      </c>
      <c r="K104" s="180">
        <f t="shared" si="42"/>
        <v>55.895879166610243</v>
      </c>
      <c r="L104" s="460"/>
      <c r="M104" s="181">
        <f>RANK(K104, K$77:$K$106)</f>
        <v>27</v>
      </c>
      <c r="N104" s="462"/>
      <c r="O104" s="462"/>
      <c r="P104" s="182">
        <v>21</v>
      </c>
      <c r="Q104" s="180">
        <v>1127.2131147540995</v>
      </c>
      <c r="R104" s="180">
        <v>53.676814988290452</v>
      </c>
      <c r="S104" s="182">
        <f t="shared" si="30"/>
        <v>28</v>
      </c>
      <c r="T104" s="491"/>
      <c r="U104" s="182">
        <v>20</v>
      </c>
      <c r="V104" s="180">
        <v>1131.7948717948711</v>
      </c>
      <c r="W104" s="180">
        <v>56.589743589743556</v>
      </c>
      <c r="X104" s="182">
        <f t="shared" si="31"/>
        <v>27</v>
      </c>
      <c r="Y104" s="491"/>
      <c r="Z104" s="182">
        <v>20</v>
      </c>
      <c r="AA104" s="180">
        <v>1131.5294117647065</v>
      </c>
      <c r="AB104" s="180">
        <v>56.576470588235324</v>
      </c>
      <c r="AC104" s="182">
        <f t="shared" si="32"/>
        <v>27</v>
      </c>
      <c r="AD104" s="491"/>
      <c r="AE104" s="182">
        <v>20</v>
      </c>
      <c r="AF104" s="180">
        <v>1098.5625000000039</v>
      </c>
      <c r="AG104" s="180">
        <v>54.928125000000193</v>
      </c>
      <c r="AH104" s="182">
        <f t="shared" si="33"/>
        <v>28</v>
      </c>
      <c r="AI104" s="491"/>
      <c r="AJ104" s="182">
        <v>20</v>
      </c>
      <c r="AK104" s="180">
        <v>1071.0000000000036</v>
      </c>
      <c r="AL104" s="180">
        <v>53.550000000000182</v>
      </c>
      <c r="AM104" s="182">
        <f t="shared" si="34"/>
        <v>28</v>
      </c>
      <c r="AN104" s="491"/>
      <c r="AO104" s="182">
        <v>20</v>
      </c>
      <c r="AP104" s="180">
        <v>1139.2500000000041</v>
      </c>
      <c r="AQ104" s="180">
        <v>56.962500000000205</v>
      </c>
      <c r="AR104" s="182">
        <f t="shared" si="35"/>
        <v>27</v>
      </c>
      <c r="AS104" s="491"/>
      <c r="AT104" s="182">
        <v>20</v>
      </c>
      <c r="AU104" s="180">
        <v>1179.7500000000355</v>
      </c>
      <c r="AV104" s="180">
        <v>58.987500000001774</v>
      </c>
      <c r="AW104" s="182">
        <f t="shared" si="36"/>
        <v>26</v>
      </c>
      <c r="AX104" s="491"/>
    </row>
    <row r="105" spans="2:50">
      <c r="B105" s="479"/>
      <c r="C105" s="182">
        <v>29</v>
      </c>
      <c r="D105" s="203"/>
      <c r="E105" s="166"/>
      <c r="F105" s="182"/>
      <c r="G105" s="180"/>
      <c r="H105" s="460"/>
      <c r="I105" s="182"/>
      <c r="J105" s="182"/>
      <c r="K105" s="182"/>
      <c r="L105" s="460"/>
      <c r="M105" s="181" t="e">
        <f>RANK(K105, K$77:$K$106)</f>
        <v>#N/A</v>
      </c>
      <c r="N105" s="462"/>
      <c r="O105" s="462"/>
      <c r="P105" s="182"/>
      <c r="Q105" s="182"/>
      <c r="R105" s="182"/>
      <c r="S105" s="182" t="e">
        <f t="shared" si="30"/>
        <v>#N/A</v>
      </c>
      <c r="T105" s="491"/>
      <c r="U105" s="182"/>
      <c r="V105" s="182"/>
      <c r="W105" s="182"/>
      <c r="X105" s="182" t="e">
        <f t="shared" si="31"/>
        <v>#N/A</v>
      </c>
      <c r="Y105" s="491"/>
      <c r="Z105" s="182"/>
      <c r="AA105" s="182"/>
      <c r="AB105" s="182"/>
      <c r="AC105" s="182" t="e">
        <f t="shared" si="32"/>
        <v>#N/A</v>
      </c>
      <c r="AD105" s="491"/>
      <c r="AE105" s="182"/>
      <c r="AF105" s="182"/>
      <c r="AG105" s="182"/>
      <c r="AH105" s="182" t="e">
        <f t="shared" si="33"/>
        <v>#N/A</v>
      </c>
      <c r="AI105" s="491"/>
      <c r="AJ105" s="182"/>
      <c r="AK105" s="182"/>
      <c r="AL105" s="182"/>
      <c r="AM105" s="182" t="e">
        <f t="shared" si="34"/>
        <v>#N/A</v>
      </c>
      <c r="AN105" s="491"/>
      <c r="AO105" s="182"/>
      <c r="AP105" s="182"/>
      <c r="AQ105" s="182"/>
      <c r="AR105" s="182" t="e">
        <f t="shared" si="35"/>
        <v>#N/A</v>
      </c>
      <c r="AS105" s="491"/>
      <c r="AT105" s="182"/>
      <c r="AU105" s="182"/>
      <c r="AV105" s="182"/>
      <c r="AW105" s="182" t="e">
        <f t="shared" si="36"/>
        <v>#N/A</v>
      </c>
      <c r="AX105" s="491"/>
    </row>
    <row r="106" spans="2:50">
      <c r="B106" s="479"/>
      <c r="C106" s="182">
        <v>30</v>
      </c>
      <c r="D106" s="203"/>
      <c r="E106" s="166"/>
      <c r="F106" s="182"/>
      <c r="G106" s="180"/>
      <c r="H106" s="461"/>
      <c r="I106" s="182"/>
      <c r="J106" s="182"/>
      <c r="K106" s="182"/>
      <c r="L106" s="461"/>
      <c r="M106" s="181" t="e">
        <f>RANK(K106, K$77:$K$106)</f>
        <v>#N/A</v>
      </c>
      <c r="N106" s="462"/>
      <c r="O106" s="462"/>
      <c r="P106" s="182"/>
      <c r="Q106" s="182"/>
      <c r="R106" s="182"/>
      <c r="S106" s="182" t="e">
        <f t="shared" si="30"/>
        <v>#N/A</v>
      </c>
      <c r="T106" s="491"/>
      <c r="U106" s="182"/>
      <c r="V106" s="182"/>
      <c r="W106" s="182"/>
      <c r="X106" s="182" t="e">
        <f t="shared" si="31"/>
        <v>#N/A</v>
      </c>
      <c r="Y106" s="491"/>
      <c r="Z106" s="182"/>
      <c r="AA106" s="182"/>
      <c r="AB106" s="182"/>
      <c r="AC106" s="182" t="e">
        <f t="shared" si="32"/>
        <v>#N/A</v>
      </c>
      <c r="AD106" s="491"/>
      <c r="AE106" s="182"/>
      <c r="AF106" s="182"/>
      <c r="AG106" s="182"/>
      <c r="AH106" s="182" t="e">
        <f t="shared" si="33"/>
        <v>#N/A</v>
      </c>
      <c r="AI106" s="491"/>
      <c r="AJ106" s="182"/>
      <c r="AK106" s="182"/>
      <c r="AL106" s="182"/>
      <c r="AM106" s="182" t="e">
        <f t="shared" si="34"/>
        <v>#N/A</v>
      </c>
      <c r="AN106" s="491"/>
      <c r="AO106" s="182"/>
      <c r="AP106" s="182"/>
      <c r="AQ106" s="182"/>
      <c r="AR106" s="182" t="e">
        <f t="shared" si="35"/>
        <v>#N/A</v>
      </c>
      <c r="AS106" s="491"/>
      <c r="AT106" s="182"/>
      <c r="AU106" s="182"/>
      <c r="AV106" s="182"/>
      <c r="AW106" s="182" t="e">
        <f t="shared" si="36"/>
        <v>#N/A</v>
      </c>
      <c r="AX106" s="491"/>
    </row>
    <row r="107" spans="2:50" ht="15.75">
      <c r="B107" s="480" t="s">
        <v>201</v>
      </c>
      <c r="C107" s="481"/>
      <c r="D107" s="481"/>
      <c r="E107" s="481"/>
      <c r="F107" s="481"/>
      <c r="G107" s="481"/>
      <c r="H107" s="481"/>
      <c r="I107" s="186"/>
      <c r="J107" s="186"/>
      <c r="K107" s="186"/>
      <c r="L107" s="186"/>
      <c r="M107" s="185"/>
      <c r="N107" s="469" t="s">
        <v>202</v>
      </c>
      <c r="O107" s="469" t="s">
        <v>150</v>
      </c>
      <c r="P107" s="478">
        <f>P72+7</f>
        <v>46407</v>
      </c>
      <c r="Q107" s="479"/>
      <c r="R107" s="479"/>
      <c r="S107" s="479"/>
      <c r="T107" s="479"/>
      <c r="U107" s="475">
        <f>P107+1</f>
        <v>46408</v>
      </c>
      <c r="V107" s="476"/>
      <c r="W107" s="476"/>
      <c r="X107" s="476"/>
      <c r="Y107" s="477"/>
      <c r="Z107" s="475">
        <f>U107+1</f>
        <v>46409</v>
      </c>
      <c r="AA107" s="476"/>
      <c r="AB107" s="476"/>
      <c r="AC107" s="476"/>
      <c r="AD107" s="477"/>
      <c r="AE107" s="475">
        <f>Z107+1</f>
        <v>46410</v>
      </c>
      <c r="AF107" s="476"/>
      <c r="AG107" s="476"/>
      <c r="AH107" s="476"/>
      <c r="AI107" s="477"/>
      <c r="AJ107" s="475">
        <f>AE107+1</f>
        <v>46411</v>
      </c>
      <c r="AK107" s="476"/>
      <c r="AL107" s="476"/>
      <c r="AM107" s="476"/>
      <c r="AN107" s="477"/>
      <c r="AO107" s="475">
        <f>AJ107+1</f>
        <v>46412</v>
      </c>
      <c r="AP107" s="476"/>
      <c r="AQ107" s="476"/>
      <c r="AR107" s="476"/>
      <c r="AS107" s="477"/>
      <c r="AT107" s="475">
        <f>AO107+1</f>
        <v>46413</v>
      </c>
      <c r="AU107" s="476"/>
      <c r="AV107" s="476"/>
      <c r="AW107" s="476"/>
      <c r="AX107" s="477"/>
    </row>
    <row r="108" spans="2:50" ht="15.75">
      <c r="B108" s="482"/>
      <c r="C108" s="482"/>
      <c r="D108" s="482"/>
      <c r="E108" s="482"/>
      <c r="F108" s="482"/>
      <c r="G108" s="482"/>
      <c r="H108" s="482"/>
      <c r="I108" s="184"/>
      <c r="J108" s="184"/>
      <c r="K108" s="184"/>
      <c r="L108" s="184"/>
      <c r="M108" s="179"/>
      <c r="N108" s="471"/>
      <c r="O108" s="471"/>
      <c r="P108" s="478" t="s">
        <v>203</v>
      </c>
      <c r="Q108" s="479"/>
      <c r="R108" s="479"/>
      <c r="S108" s="479"/>
      <c r="T108" s="479"/>
      <c r="U108" s="478" t="s">
        <v>204</v>
      </c>
      <c r="V108" s="479"/>
      <c r="W108" s="479"/>
      <c r="X108" s="479"/>
      <c r="Y108" s="479"/>
      <c r="Z108" s="478" t="s">
        <v>205</v>
      </c>
      <c r="AA108" s="479"/>
      <c r="AB108" s="479"/>
      <c r="AC108" s="479"/>
      <c r="AD108" s="479"/>
      <c r="AE108" s="478" t="s">
        <v>206</v>
      </c>
      <c r="AF108" s="479"/>
      <c r="AG108" s="479"/>
      <c r="AH108" s="479"/>
      <c r="AI108" s="479"/>
      <c r="AJ108" s="478" t="s">
        <v>207</v>
      </c>
      <c r="AK108" s="479"/>
      <c r="AL108" s="479"/>
      <c r="AM108" s="479"/>
      <c r="AN108" s="479"/>
      <c r="AO108" s="478" t="s">
        <v>157</v>
      </c>
      <c r="AP108" s="479"/>
      <c r="AQ108" s="479"/>
      <c r="AR108" s="479"/>
      <c r="AS108" s="479"/>
      <c r="AT108" s="478" t="s">
        <v>208</v>
      </c>
      <c r="AU108" s="479"/>
      <c r="AV108" s="479"/>
      <c r="AW108" s="479"/>
      <c r="AX108" s="479"/>
    </row>
    <row r="109" spans="2:50">
      <c r="B109" s="462" t="s">
        <v>209</v>
      </c>
      <c r="C109" s="462" t="s">
        <v>210</v>
      </c>
      <c r="D109" s="462"/>
      <c r="E109" s="462" t="s">
        <v>211</v>
      </c>
      <c r="F109" s="462"/>
      <c r="G109" s="462"/>
      <c r="H109" s="463" t="s">
        <v>212</v>
      </c>
      <c r="I109" s="462" t="s">
        <v>213</v>
      </c>
      <c r="J109" s="462"/>
      <c r="K109" s="462"/>
      <c r="L109" s="463" t="s">
        <v>212</v>
      </c>
      <c r="M109" s="469" t="s">
        <v>214</v>
      </c>
      <c r="N109" s="462"/>
      <c r="O109" s="462" t="s">
        <v>215</v>
      </c>
      <c r="P109" s="466" t="s">
        <v>216</v>
      </c>
      <c r="Q109" s="467"/>
      <c r="R109" s="467"/>
      <c r="S109" s="468"/>
      <c r="T109" s="462" t="s">
        <v>212</v>
      </c>
      <c r="U109" s="466" t="s">
        <v>216</v>
      </c>
      <c r="V109" s="467"/>
      <c r="W109" s="467"/>
      <c r="X109" s="468"/>
      <c r="Y109" s="462" t="s">
        <v>212</v>
      </c>
      <c r="Z109" s="466" t="s">
        <v>216</v>
      </c>
      <c r="AA109" s="467"/>
      <c r="AB109" s="467"/>
      <c r="AC109" s="468"/>
      <c r="AD109" s="462" t="s">
        <v>212</v>
      </c>
      <c r="AE109" s="466" t="s">
        <v>216</v>
      </c>
      <c r="AF109" s="467"/>
      <c r="AG109" s="467"/>
      <c r="AH109" s="468"/>
      <c r="AI109" s="462" t="s">
        <v>212</v>
      </c>
      <c r="AJ109" s="466" t="s">
        <v>216</v>
      </c>
      <c r="AK109" s="467"/>
      <c r="AL109" s="467"/>
      <c r="AM109" s="468"/>
      <c r="AN109" s="462" t="s">
        <v>212</v>
      </c>
      <c r="AO109" s="466" t="s">
        <v>216</v>
      </c>
      <c r="AP109" s="467"/>
      <c r="AQ109" s="467"/>
      <c r="AR109" s="468"/>
      <c r="AS109" s="462" t="s">
        <v>212</v>
      </c>
      <c r="AT109" s="466" t="s">
        <v>216</v>
      </c>
      <c r="AU109" s="467"/>
      <c r="AV109" s="467"/>
      <c r="AW109" s="468"/>
      <c r="AX109" s="462" t="s">
        <v>212</v>
      </c>
    </row>
    <row r="110" spans="2:50">
      <c r="B110" s="462"/>
      <c r="C110" s="462"/>
      <c r="D110" s="462"/>
      <c r="E110" s="462" t="s">
        <v>217</v>
      </c>
      <c r="F110" s="462"/>
      <c r="G110" s="462"/>
      <c r="H110" s="464"/>
      <c r="I110" s="462" t="s">
        <v>217</v>
      </c>
      <c r="J110" s="462"/>
      <c r="K110" s="462"/>
      <c r="L110" s="464"/>
      <c r="M110" s="470"/>
      <c r="N110" s="462"/>
      <c r="O110" s="462"/>
      <c r="P110" s="466" t="s">
        <v>218</v>
      </c>
      <c r="Q110" s="467"/>
      <c r="R110" s="467"/>
      <c r="S110" s="468"/>
      <c r="T110" s="462"/>
      <c r="U110" s="466" t="s">
        <v>218</v>
      </c>
      <c r="V110" s="467"/>
      <c r="W110" s="467"/>
      <c r="X110" s="468"/>
      <c r="Y110" s="462"/>
      <c r="Z110" s="466" t="s">
        <v>218</v>
      </c>
      <c r="AA110" s="467"/>
      <c r="AB110" s="467"/>
      <c r="AC110" s="468"/>
      <c r="AD110" s="462"/>
      <c r="AE110" s="466" t="s">
        <v>218</v>
      </c>
      <c r="AF110" s="467"/>
      <c r="AG110" s="467"/>
      <c r="AH110" s="468"/>
      <c r="AI110" s="462"/>
      <c r="AJ110" s="466" t="s">
        <v>218</v>
      </c>
      <c r="AK110" s="467"/>
      <c r="AL110" s="467"/>
      <c r="AM110" s="468"/>
      <c r="AN110" s="462"/>
      <c r="AO110" s="466" t="s">
        <v>218</v>
      </c>
      <c r="AP110" s="467"/>
      <c r="AQ110" s="467"/>
      <c r="AR110" s="468"/>
      <c r="AS110" s="462"/>
      <c r="AT110" s="466" t="s">
        <v>218</v>
      </c>
      <c r="AU110" s="467"/>
      <c r="AV110" s="467"/>
      <c r="AW110" s="468"/>
      <c r="AX110" s="462"/>
    </row>
    <row r="111" spans="2:50">
      <c r="B111" s="462"/>
      <c r="C111" s="462"/>
      <c r="D111" s="462"/>
      <c r="E111" s="271" t="s">
        <v>219</v>
      </c>
      <c r="F111" s="271" t="s">
        <v>220</v>
      </c>
      <c r="G111" s="271" t="s">
        <v>221</v>
      </c>
      <c r="H111" s="465"/>
      <c r="I111" s="271" t="s">
        <v>219</v>
      </c>
      <c r="J111" s="271" t="s">
        <v>220</v>
      </c>
      <c r="K111" s="271" t="s">
        <v>221</v>
      </c>
      <c r="L111" s="465"/>
      <c r="M111" s="471"/>
      <c r="N111" s="462"/>
      <c r="O111" s="462"/>
      <c r="P111" s="271" t="s">
        <v>219</v>
      </c>
      <c r="Q111" s="271" t="s">
        <v>220</v>
      </c>
      <c r="R111" s="271" t="s">
        <v>221</v>
      </c>
      <c r="S111" s="271" t="s">
        <v>214</v>
      </c>
      <c r="T111" s="462"/>
      <c r="U111" s="271" t="s">
        <v>219</v>
      </c>
      <c r="V111" s="271" t="s">
        <v>220</v>
      </c>
      <c r="W111" s="271" t="s">
        <v>221</v>
      </c>
      <c r="X111" s="271" t="s">
        <v>214</v>
      </c>
      <c r="Y111" s="462"/>
      <c r="Z111" s="271" t="s">
        <v>219</v>
      </c>
      <c r="AA111" s="271" t="s">
        <v>220</v>
      </c>
      <c r="AB111" s="271" t="s">
        <v>221</v>
      </c>
      <c r="AC111" s="271" t="s">
        <v>214</v>
      </c>
      <c r="AD111" s="462"/>
      <c r="AE111" s="271" t="s">
        <v>219</v>
      </c>
      <c r="AF111" s="271" t="s">
        <v>220</v>
      </c>
      <c r="AG111" s="271" t="s">
        <v>221</v>
      </c>
      <c r="AH111" s="271" t="s">
        <v>214</v>
      </c>
      <c r="AI111" s="462"/>
      <c r="AJ111" s="271" t="s">
        <v>219</v>
      </c>
      <c r="AK111" s="271" t="s">
        <v>220</v>
      </c>
      <c r="AL111" s="271" t="s">
        <v>221</v>
      </c>
      <c r="AM111" s="271" t="s">
        <v>214</v>
      </c>
      <c r="AN111" s="462"/>
      <c r="AO111" s="271" t="s">
        <v>219</v>
      </c>
      <c r="AP111" s="271" t="s">
        <v>220</v>
      </c>
      <c r="AQ111" s="271" t="s">
        <v>221</v>
      </c>
      <c r="AR111" s="271" t="s">
        <v>214</v>
      </c>
      <c r="AS111" s="462"/>
      <c r="AT111" s="271" t="s">
        <v>219</v>
      </c>
      <c r="AU111" s="271" t="s">
        <v>220</v>
      </c>
      <c r="AV111" s="271" t="s">
        <v>221</v>
      </c>
      <c r="AW111" s="271" t="s">
        <v>214</v>
      </c>
      <c r="AX111" s="462"/>
    </row>
    <row r="112" spans="2:50">
      <c r="B112" s="462" t="s">
        <v>186</v>
      </c>
      <c r="C112" s="182">
        <v>1</v>
      </c>
      <c r="D112" s="203" t="s">
        <v>277</v>
      </c>
      <c r="E112" s="166">
        <v>6</v>
      </c>
      <c r="F112" s="182">
        <v>1500</v>
      </c>
      <c r="G112" s="180">
        <v>250</v>
      </c>
      <c r="H112" s="459">
        <f>AVERAGE(G112:G141)</f>
        <v>96.446666666666673</v>
      </c>
      <c r="I112" s="166">
        <f>AVERAGE(P112,U112,Z112,AE112,AJ112,AO112,AT112)</f>
        <v>6</v>
      </c>
      <c r="J112" s="166">
        <f>AVERAGE(Q112,V112,AA112,AF112,AK112,AP112,AU112)</f>
        <v>1347.5947605500353</v>
      </c>
      <c r="K112" s="180">
        <f>AVERAGE(R112,W112,AB112,AG112,AL112,AQ112,AV112)</f>
        <v>224.59912675833922</v>
      </c>
      <c r="L112" s="459">
        <f>IFERROR(AVERAGE(K112:K141),"-")</f>
        <v>83.23048432593086</v>
      </c>
      <c r="M112" s="181">
        <f>RANK(K112, K$112:$K$141)</f>
        <v>1</v>
      </c>
      <c r="N112" s="462"/>
      <c r="O112" s="462"/>
      <c r="P112" s="166">
        <v>6</v>
      </c>
      <c r="Q112" s="166">
        <v>1457.6303317535535</v>
      </c>
      <c r="R112" s="166">
        <v>242.93838862559224</v>
      </c>
      <c r="S112" s="182">
        <f>RANK(R112, R$112:R$141)</f>
        <v>1</v>
      </c>
      <c r="T112" s="491">
        <f>AVERAGE(R112:R141)</f>
        <v>81.745846151105155</v>
      </c>
      <c r="U112" s="166">
        <v>6</v>
      </c>
      <c r="V112" s="166">
        <v>1334.6610878661093</v>
      </c>
      <c r="W112" s="166">
        <v>222.44351464435155</v>
      </c>
      <c r="X112" s="182">
        <f>RANK(W112, W$112:W$141)</f>
        <v>1</v>
      </c>
      <c r="Y112" s="491">
        <f>AVERAGE(W112:W141)</f>
        <v>82.255141160785826</v>
      </c>
      <c r="Z112" s="166">
        <v>6</v>
      </c>
      <c r="AA112" s="166">
        <v>1324.8620689655174</v>
      </c>
      <c r="AB112" s="166">
        <v>220.81034482758625</v>
      </c>
      <c r="AC112" s="182">
        <f>RANK(AB112, AB$112:AB$141)</f>
        <v>1</v>
      </c>
      <c r="AD112" s="491">
        <f>AVERAGE(AB112:AB141)</f>
        <v>80.810127118530843</v>
      </c>
      <c r="AE112" s="166">
        <v>6</v>
      </c>
      <c r="AF112" s="166">
        <v>1351.2452830188677</v>
      </c>
      <c r="AG112" s="166">
        <v>225.20754716981128</v>
      </c>
      <c r="AH112" s="182">
        <f>RANK(AG112, AG$112:AG$141)</f>
        <v>1</v>
      </c>
      <c r="AI112" s="491">
        <f>AVERAGE(AG112:AG141)</f>
        <v>80.534692058821676</v>
      </c>
      <c r="AJ112" s="166">
        <v>6</v>
      </c>
      <c r="AK112" s="166">
        <v>1308.3428571428569</v>
      </c>
      <c r="AL112" s="166">
        <v>218.05714285714282</v>
      </c>
      <c r="AM112" s="182">
        <f>RANK(AL112, AL$112:AL$141)</f>
        <v>1</v>
      </c>
      <c r="AN112" s="491">
        <f>AVERAGE(AL112:AL141)</f>
        <v>81.650863581509256</v>
      </c>
      <c r="AO112" s="166">
        <v>6</v>
      </c>
      <c r="AP112" s="166">
        <v>1327.7303370786515</v>
      </c>
      <c r="AQ112" s="166">
        <v>221.28838951310857</v>
      </c>
      <c r="AR112" s="182">
        <f>RANK(AQ112, AQ$112:AQ$141)</f>
        <v>1</v>
      </c>
      <c r="AS112" s="491">
        <f>AVERAGE(AQ112:AQ141)</f>
        <v>81.172330539624227</v>
      </c>
      <c r="AT112" s="166">
        <v>6</v>
      </c>
      <c r="AU112" s="166">
        <v>1328.6913580246912</v>
      </c>
      <c r="AV112" s="166">
        <v>221.44855967078186</v>
      </c>
      <c r="AW112" s="182">
        <f>RANK(AV112, AV$112:AV$141)</f>
        <v>1</v>
      </c>
      <c r="AX112" s="491">
        <f>AVERAGE(AV112:AV141)</f>
        <v>81.871596925360606</v>
      </c>
    </row>
    <row r="113" spans="2:50">
      <c r="B113" s="479"/>
      <c r="C113" s="182">
        <v>2</v>
      </c>
      <c r="D113" s="203" t="s">
        <v>278</v>
      </c>
      <c r="E113" s="166">
        <v>6</v>
      </c>
      <c r="F113" s="182">
        <v>1500</v>
      </c>
      <c r="G113" s="180">
        <v>250</v>
      </c>
      <c r="H113" s="460"/>
      <c r="I113" s="166">
        <f t="shared" ref="I113:I135" si="43">AVERAGE(P113,U113,Z113,AE113,AJ113,AO113,AT113)</f>
        <v>7</v>
      </c>
      <c r="J113" s="166">
        <f t="shared" ref="J113:J135" si="44">AVERAGE(Q113,V113,AA113,AF113,AK113,AP113,AU113)</f>
        <v>1484.4790829173212</v>
      </c>
      <c r="K113" s="180">
        <f t="shared" ref="K113:K135" si="45">AVERAGE(R113,W113,AB113,AG113,AL113,AQ113,AV113)</f>
        <v>212.06844041676021</v>
      </c>
      <c r="L113" s="460"/>
      <c r="M113" s="181">
        <f>RANK(K113, K$112:$K$141)</f>
        <v>2</v>
      </c>
      <c r="N113" s="462"/>
      <c r="O113" s="462"/>
      <c r="P113" s="166">
        <v>7</v>
      </c>
      <c r="Q113" s="166">
        <v>1497.5510204081636</v>
      </c>
      <c r="R113" s="166">
        <v>213.93586005830909</v>
      </c>
      <c r="S113" s="182">
        <f t="shared" ref="S113:S141" si="46">RANK(R113, R$112:R$141)</f>
        <v>2</v>
      </c>
      <c r="T113" s="491"/>
      <c r="U113" s="166">
        <v>7</v>
      </c>
      <c r="V113" s="166">
        <v>1499.9999999999993</v>
      </c>
      <c r="W113" s="166">
        <v>214.28571428571419</v>
      </c>
      <c r="X113" s="182">
        <f t="shared" ref="X113:X141" si="47">RANK(W113, W$112:W$141)</f>
        <v>2</v>
      </c>
      <c r="Y113" s="491"/>
      <c r="Z113" s="166">
        <v>7</v>
      </c>
      <c r="AA113" s="166">
        <v>1482.4242424242427</v>
      </c>
      <c r="AB113" s="166">
        <v>211.77489177489181</v>
      </c>
      <c r="AC113" s="182">
        <f t="shared" ref="AC113:AC141" si="48">RANK(AB113, AB$112:AB$141)</f>
        <v>2</v>
      </c>
      <c r="AD113" s="491"/>
      <c r="AE113" s="166">
        <v>7</v>
      </c>
      <c r="AF113" s="166">
        <v>1493.8461538461547</v>
      </c>
      <c r="AG113" s="166">
        <v>213.40659340659354</v>
      </c>
      <c r="AH113" s="182">
        <f t="shared" ref="AH113:AH141" si="49">RANK(AG113, AG$112:AG$141)</f>
        <v>2</v>
      </c>
      <c r="AI113" s="491"/>
      <c r="AJ113" s="166">
        <v>7</v>
      </c>
      <c r="AK113" s="166">
        <v>1491.1111111111106</v>
      </c>
      <c r="AL113" s="166">
        <v>213.01587301587296</v>
      </c>
      <c r="AM113" s="182">
        <f t="shared" ref="AM113:AM141" si="50">RANK(AL113, AL$112:AL$141)</f>
        <v>2</v>
      </c>
      <c r="AN113" s="491"/>
      <c r="AO113" s="166">
        <v>7</v>
      </c>
      <c r="AP113" s="166">
        <v>1469.9999999999998</v>
      </c>
      <c r="AQ113" s="166">
        <v>209.99999999999997</v>
      </c>
      <c r="AR113" s="182">
        <f t="shared" ref="AR113:AR141" si="51">RANK(AQ113, AQ$112:AQ$141)</f>
        <v>2</v>
      </c>
      <c r="AS113" s="491"/>
      <c r="AT113" s="166">
        <v>7</v>
      </c>
      <c r="AU113" s="166">
        <v>1456.4210526315792</v>
      </c>
      <c r="AV113" s="166">
        <v>208.06015037593988</v>
      </c>
      <c r="AW113" s="182">
        <f t="shared" ref="AW113:AW141" si="52">RANK(AV113, AV$112:AV$141)</f>
        <v>2</v>
      </c>
      <c r="AX113" s="491"/>
    </row>
    <row r="114" spans="2:50">
      <c r="B114" s="479"/>
      <c r="C114" s="182">
        <v>3</v>
      </c>
      <c r="D114" s="203" t="s">
        <v>279</v>
      </c>
      <c r="E114" s="166">
        <v>17</v>
      </c>
      <c r="F114" s="182">
        <v>1500</v>
      </c>
      <c r="G114" s="180">
        <v>88.2</v>
      </c>
      <c r="H114" s="460"/>
      <c r="I114" s="166">
        <f t="shared" si="43"/>
        <v>17</v>
      </c>
      <c r="J114" s="166">
        <f t="shared" si="44"/>
        <v>1230.5576213888469</v>
      </c>
      <c r="K114" s="180">
        <f t="shared" si="45"/>
        <v>72.385742434638033</v>
      </c>
      <c r="L114" s="460"/>
      <c r="M114" s="181">
        <f>RANK(K114, K$112:$K$141)</f>
        <v>17</v>
      </c>
      <c r="N114" s="462"/>
      <c r="O114" s="462"/>
      <c r="P114" s="166">
        <v>17</v>
      </c>
      <c r="Q114" s="166">
        <v>1222.0928571428578</v>
      </c>
      <c r="R114" s="166">
        <v>71.887815126050455</v>
      </c>
      <c r="S114" s="182">
        <f t="shared" si="46"/>
        <v>15</v>
      </c>
      <c r="T114" s="491"/>
      <c r="U114" s="166">
        <v>17</v>
      </c>
      <c r="V114" s="166">
        <v>1236.0244897959187</v>
      </c>
      <c r="W114" s="166">
        <v>72.707322929171696</v>
      </c>
      <c r="X114" s="182">
        <f t="shared" si="47"/>
        <v>18</v>
      </c>
      <c r="Y114" s="491"/>
      <c r="Z114" s="166">
        <v>17</v>
      </c>
      <c r="AA114" s="166">
        <v>1203.8095238095236</v>
      </c>
      <c r="AB114" s="166">
        <v>70.812324929971979</v>
      </c>
      <c r="AC114" s="182">
        <f t="shared" si="48"/>
        <v>16</v>
      </c>
      <c r="AD114" s="491"/>
      <c r="AE114" s="166">
        <v>17</v>
      </c>
      <c r="AF114" s="166">
        <v>1231.304347826087</v>
      </c>
      <c r="AG114" s="166">
        <v>72.429667519181592</v>
      </c>
      <c r="AH114" s="182">
        <f t="shared" si="49"/>
        <v>14</v>
      </c>
      <c r="AI114" s="491"/>
      <c r="AJ114" s="166">
        <v>17</v>
      </c>
      <c r="AK114" s="166">
        <v>1219.6721311475405</v>
      </c>
      <c r="AL114" s="166">
        <v>71.745419479267085</v>
      </c>
      <c r="AM114" s="182">
        <f t="shared" si="50"/>
        <v>18</v>
      </c>
      <c r="AN114" s="491"/>
      <c r="AO114" s="166">
        <v>17</v>
      </c>
      <c r="AP114" s="166">
        <v>1240.9999999999993</v>
      </c>
      <c r="AQ114" s="166">
        <v>72.999999999999957</v>
      </c>
      <c r="AR114" s="182">
        <f t="shared" si="51"/>
        <v>15</v>
      </c>
      <c r="AS114" s="491"/>
      <c r="AT114" s="166">
        <v>17</v>
      </c>
      <c r="AU114" s="166">
        <v>1260</v>
      </c>
      <c r="AV114" s="166">
        <v>74.117647058823536</v>
      </c>
      <c r="AW114" s="182">
        <f t="shared" si="52"/>
        <v>15</v>
      </c>
      <c r="AX114" s="491"/>
    </row>
    <row r="115" spans="2:50">
      <c r="B115" s="479"/>
      <c r="C115" s="182">
        <v>4</v>
      </c>
      <c r="D115" s="203" t="s">
        <v>305</v>
      </c>
      <c r="E115" s="166">
        <v>19</v>
      </c>
      <c r="F115" s="182">
        <v>1500</v>
      </c>
      <c r="G115" s="180">
        <v>78.900000000000006</v>
      </c>
      <c r="H115" s="460"/>
      <c r="I115" s="166">
        <f t="shared" si="43"/>
        <v>18</v>
      </c>
      <c r="J115" s="166">
        <f t="shared" si="44"/>
        <v>1330.0072306878089</v>
      </c>
      <c r="K115" s="180">
        <f t="shared" si="45"/>
        <v>73.889290593767186</v>
      </c>
      <c r="L115" s="460"/>
      <c r="M115" s="181">
        <f>RANK(K115, K$112:$K$141)</f>
        <v>13</v>
      </c>
      <c r="N115" s="462"/>
      <c r="O115" s="462"/>
      <c r="P115" s="166">
        <v>18</v>
      </c>
      <c r="Q115" s="166">
        <v>1346.0869565217392</v>
      </c>
      <c r="R115" s="166">
        <v>74.782608695652186</v>
      </c>
      <c r="S115" s="182">
        <f t="shared" si="46"/>
        <v>10</v>
      </c>
      <c r="T115" s="491"/>
      <c r="U115" s="166">
        <v>18</v>
      </c>
      <c r="V115" s="166">
        <v>1347.1428571428567</v>
      </c>
      <c r="W115" s="166">
        <v>74.841269841269821</v>
      </c>
      <c r="X115" s="182">
        <f t="shared" si="47"/>
        <v>11</v>
      </c>
      <c r="Y115" s="491"/>
      <c r="Z115" s="166">
        <v>18</v>
      </c>
      <c r="AA115" s="166">
        <v>1318.5365853658532</v>
      </c>
      <c r="AB115" s="166">
        <v>73.252032520325173</v>
      </c>
      <c r="AC115" s="182">
        <f t="shared" si="48"/>
        <v>13</v>
      </c>
      <c r="AD115" s="491"/>
      <c r="AE115" s="166">
        <v>18</v>
      </c>
      <c r="AF115" s="166">
        <v>1324.6153846153838</v>
      </c>
      <c r="AG115" s="166">
        <v>73.589743589743549</v>
      </c>
      <c r="AH115" s="182">
        <f t="shared" si="49"/>
        <v>10</v>
      </c>
      <c r="AI115" s="491"/>
      <c r="AJ115" s="166">
        <v>18</v>
      </c>
      <c r="AK115" s="166">
        <v>1315.7142857142851</v>
      </c>
      <c r="AL115" s="166">
        <v>73.095238095238059</v>
      </c>
      <c r="AM115" s="182">
        <f t="shared" si="50"/>
        <v>16</v>
      </c>
      <c r="AN115" s="491"/>
      <c r="AO115" s="166">
        <v>18</v>
      </c>
      <c r="AP115" s="166">
        <v>1325.4545454545455</v>
      </c>
      <c r="AQ115" s="166">
        <v>73.63636363636364</v>
      </c>
      <c r="AR115" s="182">
        <f t="shared" si="51"/>
        <v>14</v>
      </c>
      <c r="AS115" s="491"/>
      <c r="AT115" s="166">
        <v>18</v>
      </c>
      <c r="AU115" s="166">
        <v>1332.5000000000005</v>
      </c>
      <c r="AV115" s="166">
        <v>74.0277777777778</v>
      </c>
      <c r="AW115" s="182">
        <f t="shared" si="52"/>
        <v>16</v>
      </c>
      <c r="AX115" s="491"/>
    </row>
    <row r="116" spans="2:50">
      <c r="B116" s="479"/>
      <c r="C116" s="182">
        <v>5</v>
      </c>
      <c r="D116" s="203" t="s">
        <v>281</v>
      </c>
      <c r="E116" s="166">
        <v>16</v>
      </c>
      <c r="F116" s="182">
        <v>1500</v>
      </c>
      <c r="G116" s="180">
        <v>93.8</v>
      </c>
      <c r="H116" s="460"/>
      <c r="I116" s="166">
        <f t="shared" si="43"/>
        <v>16</v>
      </c>
      <c r="J116" s="166">
        <f t="shared" si="44"/>
        <v>1330.7737971410734</v>
      </c>
      <c r="K116" s="180">
        <f t="shared" si="45"/>
        <v>83.173362321317086</v>
      </c>
      <c r="L116" s="460"/>
      <c r="M116" s="181">
        <f>RANK(K116, K$112:$K$141)</f>
        <v>4</v>
      </c>
      <c r="N116" s="462"/>
      <c r="O116" s="462"/>
      <c r="P116" s="166">
        <v>16</v>
      </c>
      <c r="Q116" s="166">
        <v>1289.3333333333333</v>
      </c>
      <c r="R116" s="166">
        <v>80.583333333333329</v>
      </c>
      <c r="S116" s="182">
        <f t="shared" si="46"/>
        <v>5</v>
      </c>
      <c r="T116" s="491"/>
      <c r="U116" s="166">
        <v>16</v>
      </c>
      <c r="V116" s="166">
        <v>1326.6666666666656</v>
      </c>
      <c r="W116" s="166">
        <v>82.9166666666666</v>
      </c>
      <c r="X116" s="182">
        <f t="shared" si="47"/>
        <v>5</v>
      </c>
      <c r="Y116" s="491"/>
      <c r="Z116" s="166">
        <v>16</v>
      </c>
      <c r="AA116" s="166">
        <v>1339.4999999999995</v>
      </c>
      <c r="AB116" s="166">
        <v>83.718749999999972</v>
      </c>
      <c r="AC116" s="182">
        <f t="shared" si="48"/>
        <v>4</v>
      </c>
      <c r="AD116" s="491"/>
      <c r="AE116" s="166">
        <v>16</v>
      </c>
      <c r="AF116" s="166">
        <v>1341.8181818181802</v>
      </c>
      <c r="AG116" s="166">
        <v>83.86363636363626</v>
      </c>
      <c r="AH116" s="182">
        <f t="shared" si="49"/>
        <v>4</v>
      </c>
      <c r="AI116" s="491"/>
      <c r="AJ116" s="166">
        <v>16</v>
      </c>
      <c r="AK116" s="166">
        <v>1356.315789473683</v>
      </c>
      <c r="AL116" s="166">
        <v>84.769736842105189</v>
      </c>
      <c r="AM116" s="182">
        <f t="shared" si="50"/>
        <v>4</v>
      </c>
      <c r="AN116" s="491"/>
      <c r="AO116" s="166">
        <v>16</v>
      </c>
      <c r="AP116" s="166">
        <v>1346.9999999999995</v>
      </c>
      <c r="AQ116" s="166">
        <v>84.187499999999972</v>
      </c>
      <c r="AR116" s="182">
        <f t="shared" si="51"/>
        <v>4</v>
      </c>
      <c r="AS116" s="491"/>
      <c r="AT116" s="166">
        <v>16</v>
      </c>
      <c r="AU116" s="166">
        <v>1314.7826086956522</v>
      </c>
      <c r="AV116" s="166">
        <v>82.173913043478265</v>
      </c>
      <c r="AW116" s="182">
        <f t="shared" si="52"/>
        <v>4</v>
      </c>
      <c r="AX116" s="491"/>
    </row>
    <row r="117" spans="2:50">
      <c r="B117" s="479"/>
      <c r="C117" s="182">
        <v>6</v>
      </c>
      <c r="D117" s="203" t="s">
        <v>282</v>
      </c>
      <c r="E117" s="166">
        <v>16</v>
      </c>
      <c r="F117" s="182">
        <v>1565</v>
      </c>
      <c r="G117" s="180">
        <v>97.8</v>
      </c>
      <c r="H117" s="460"/>
      <c r="I117" s="166">
        <f t="shared" si="43"/>
        <v>15.857142857142858</v>
      </c>
      <c r="J117" s="166">
        <f t="shared" si="44"/>
        <v>1383.5668757098586</v>
      </c>
      <c r="K117" s="180">
        <f t="shared" si="45"/>
        <v>87.285854901934187</v>
      </c>
      <c r="L117" s="460"/>
      <c r="M117" s="181">
        <f>RANK(K117, K$112:$K$141)</f>
        <v>3</v>
      </c>
      <c r="N117" s="462"/>
      <c r="O117" s="462"/>
      <c r="P117" s="166">
        <v>16</v>
      </c>
      <c r="Q117" s="166">
        <v>1388.4507042253506</v>
      </c>
      <c r="R117" s="166">
        <v>86.778169014084412</v>
      </c>
      <c r="S117" s="182">
        <f t="shared" si="46"/>
        <v>3</v>
      </c>
      <c r="T117" s="491"/>
      <c r="U117" s="166">
        <v>15</v>
      </c>
      <c r="V117" s="166">
        <v>1365.7142857142871</v>
      </c>
      <c r="W117" s="166">
        <v>91.047619047619136</v>
      </c>
      <c r="X117" s="182">
        <f t="shared" si="47"/>
        <v>3</v>
      </c>
      <c r="Y117" s="491"/>
      <c r="Z117" s="166">
        <v>16</v>
      </c>
      <c r="AA117" s="166">
        <v>1379.0163934426241</v>
      </c>
      <c r="AB117" s="166">
        <v>86.188524590164008</v>
      </c>
      <c r="AC117" s="182">
        <f t="shared" si="48"/>
        <v>3</v>
      </c>
      <c r="AD117" s="491"/>
      <c r="AE117" s="166">
        <v>16</v>
      </c>
      <c r="AF117" s="166">
        <v>1409.523809523811</v>
      </c>
      <c r="AG117" s="166">
        <v>88.095238095238187</v>
      </c>
      <c r="AH117" s="182">
        <f t="shared" si="49"/>
        <v>3</v>
      </c>
      <c r="AI117" s="491"/>
      <c r="AJ117" s="166">
        <v>16</v>
      </c>
      <c r="AK117" s="166">
        <v>1380.9090909090924</v>
      </c>
      <c r="AL117" s="166">
        <v>86.306818181818272</v>
      </c>
      <c r="AM117" s="182">
        <f t="shared" si="50"/>
        <v>3</v>
      </c>
      <c r="AN117" s="491"/>
      <c r="AO117" s="166">
        <v>16</v>
      </c>
      <c r="AP117" s="166">
        <v>1366.1538461538453</v>
      </c>
      <c r="AQ117" s="166">
        <v>85.38461538461533</v>
      </c>
      <c r="AR117" s="182">
        <f t="shared" si="51"/>
        <v>3</v>
      </c>
      <c r="AS117" s="491"/>
      <c r="AT117" s="166">
        <v>16</v>
      </c>
      <c r="AU117" s="166">
        <v>1395.1999999999989</v>
      </c>
      <c r="AV117" s="166">
        <v>87.199999999999932</v>
      </c>
      <c r="AW117" s="182">
        <f t="shared" si="52"/>
        <v>3</v>
      </c>
      <c r="AX117" s="491"/>
    </row>
    <row r="118" spans="2:50">
      <c r="B118" s="479"/>
      <c r="C118" s="182">
        <v>7</v>
      </c>
      <c r="D118" s="203" t="s">
        <v>283</v>
      </c>
      <c r="E118" s="166">
        <v>14</v>
      </c>
      <c r="F118" s="182">
        <v>1440</v>
      </c>
      <c r="G118" s="180">
        <v>102.9</v>
      </c>
      <c r="H118" s="460"/>
      <c r="I118" s="166">
        <f t="shared" si="43"/>
        <v>15</v>
      </c>
      <c r="J118" s="166">
        <f t="shared" si="44"/>
        <v>1110.0543280991062</v>
      </c>
      <c r="K118" s="180">
        <f t="shared" si="45"/>
        <v>74.00362187327373</v>
      </c>
      <c r="L118" s="460"/>
      <c r="M118" s="181">
        <f>RANK(K118, K$112:$K$141)</f>
        <v>12</v>
      </c>
      <c r="N118" s="462"/>
      <c r="O118" s="462"/>
      <c r="P118" s="166">
        <v>15</v>
      </c>
      <c r="Q118" s="166">
        <v>1030.3448275862047</v>
      </c>
      <c r="R118" s="166">
        <v>68.689655172413651</v>
      </c>
      <c r="S118" s="182">
        <f t="shared" si="46"/>
        <v>23</v>
      </c>
      <c r="T118" s="491"/>
      <c r="U118" s="166">
        <v>15</v>
      </c>
      <c r="V118" s="166">
        <v>1226.0869565217349</v>
      </c>
      <c r="W118" s="166">
        <v>81.739130434782325</v>
      </c>
      <c r="X118" s="182">
        <f t="shared" si="47"/>
        <v>6</v>
      </c>
      <c r="Y118" s="491"/>
      <c r="Z118" s="166">
        <v>15</v>
      </c>
      <c r="AA118" s="166">
        <v>1017.4999999999967</v>
      </c>
      <c r="AB118" s="166">
        <v>67.833333333333115</v>
      </c>
      <c r="AC118" s="182">
        <f t="shared" si="48"/>
        <v>23</v>
      </c>
      <c r="AD118" s="491"/>
      <c r="AE118" s="166">
        <v>15</v>
      </c>
      <c r="AF118" s="166">
        <v>1031.999999999997</v>
      </c>
      <c r="AG118" s="166">
        <v>68.799999999999798</v>
      </c>
      <c r="AH118" s="182">
        <f t="shared" si="49"/>
        <v>22</v>
      </c>
      <c r="AI118" s="491"/>
      <c r="AJ118" s="166">
        <v>15</v>
      </c>
      <c r="AK118" s="166">
        <v>1231.5789473684151</v>
      </c>
      <c r="AL118" s="166">
        <v>82.105263157894342</v>
      </c>
      <c r="AM118" s="182">
        <f t="shared" si="50"/>
        <v>5</v>
      </c>
      <c r="AN118" s="491"/>
      <c r="AO118" s="166">
        <v>15</v>
      </c>
      <c r="AP118" s="166">
        <v>1011.9999999999981</v>
      </c>
      <c r="AQ118" s="166">
        <v>67.466666666666541</v>
      </c>
      <c r="AR118" s="182">
        <f t="shared" si="51"/>
        <v>24</v>
      </c>
      <c r="AS118" s="491"/>
      <c r="AT118" s="166">
        <v>15</v>
      </c>
      <c r="AU118" s="166">
        <v>1220.8695652173956</v>
      </c>
      <c r="AV118" s="166">
        <v>81.391304347826377</v>
      </c>
      <c r="AW118" s="182">
        <f t="shared" si="52"/>
        <v>6</v>
      </c>
      <c r="AX118" s="491"/>
    </row>
    <row r="119" spans="2:50">
      <c r="B119" s="479"/>
      <c r="C119" s="182">
        <v>8</v>
      </c>
      <c r="D119" s="203" t="s">
        <v>284</v>
      </c>
      <c r="E119" s="166">
        <v>16</v>
      </c>
      <c r="F119" s="182">
        <v>1440</v>
      </c>
      <c r="G119" s="180">
        <v>90</v>
      </c>
      <c r="H119" s="460"/>
      <c r="I119" s="166">
        <f t="shared" si="43"/>
        <v>16</v>
      </c>
      <c r="J119" s="166">
        <f t="shared" si="44"/>
        <v>1226.7571840757312</v>
      </c>
      <c r="K119" s="180">
        <f t="shared" si="45"/>
        <v>76.672324004733198</v>
      </c>
      <c r="L119" s="460"/>
      <c r="M119" s="181">
        <f>RANK(K119, K$112:$K$141)</f>
        <v>9</v>
      </c>
      <c r="N119" s="462"/>
      <c r="O119" s="462"/>
      <c r="P119" s="166">
        <v>16</v>
      </c>
      <c r="Q119" s="166">
        <v>1195.1351351351343</v>
      </c>
      <c r="R119" s="166">
        <v>74.695945945945894</v>
      </c>
      <c r="S119" s="182">
        <f t="shared" si="46"/>
        <v>11</v>
      </c>
      <c r="T119" s="491"/>
      <c r="U119" s="166">
        <v>16</v>
      </c>
      <c r="V119" s="166">
        <v>1194.9999999999991</v>
      </c>
      <c r="W119" s="166">
        <v>74.687499999999943</v>
      </c>
      <c r="X119" s="182">
        <f t="shared" si="47"/>
        <v>12</v>
      </c>
      <c r="Y119" s="491"/>
      <c r="Z119" s="166">
        <v>16</v>
      </c>
      <c r="AA119" s="166">
        <v>1219.3548387096753</v>
      </c>
      <c r="AB119" s="166">
        <v>76.209677419354705</v>
      </c>
      <c r="AC119" s="182">
        <f t="shared" si="48"/>
        <v>10</v>
      </c>
      <c r="AD119" s="491"/>
      <c r="AE119" s="166">
        <v>16</v>
      </c>
      <c r="AF119" s="166">
        <v>1214.5454545454531</v>
      </c>
      <c r="AG119" s="166">
        <v>75.909090909090821</v>
      </c>
      <c r="AH119" s="182">
        <f t="shared" si="49"/>
        <v>7</v>
      </c>
      <c r="AI119" s="491"/>
      <c r="AJ119" s="166">
        <v>16</v>
      </c>
      <c r="AK119" s="166">
        <v>1243.1249999999982</v>
      </c>
      <c r="AL119" s="166">
        <v>77.695312499999886</v>
      </c>
      <c r="AM119" s="182">
        <f t="shared" si="50"/>
        <v>7</v>
      </c>
      <c r="AN119" s="491"/>
      <c r="AO119" s="166">
        <v>16</v>
      </c>
      <c r="AP119" s="166">
        <v>1229.2307692307686</v>
      </c>
      <c r="AQ119" s="166">
        <v>76.826923076923038</v>
      </c>
      <c r="AR119" s="182">
        <f t="shared" si="51"/>
        <v>8</v>
      </c>
      <c r="AS119" s="491"/>
      <c r="AT119" s="166">
        <v>16</v>
      </c>
      <c r="AU119" s="166">
        <v>1290.9090909090892</v>
      </c>
      <c r="AV119" s="166">
        <v>80.681818181818073</v>
      </c>
      <c r="AW119" s="182">
        <f t="shared" si="52"/>
        <v>7</v>
      </c>
      <c r="AX119" s="491"/>
    </row>
    <row r="120" spans="2:50">
      <c r="B120" s="479"/>
      <c r="C120" s="182">
        <v>9</v>
      </c>
      <c r="D120" s="203" t="s">
        <v>285</v>
      </c>
      <c r="E120" s="166">
        <v>18</v>
      </c>
      <c r="F120" s="182">
        <v>1440</v>
      </c>
      <c r="G120" s="180">
        <v>80</v>
      </c>
      <c r="H120" s="460"/>
      <c r="I120" s="166">
        <f t="shared" si="43"/>
        <v>17</v>
      </c>
      <c r="J120" s="166">
        <f t="shared" si="44"/>
        <v>1170.5979970895132</v>
      </c>
      <c r="K120" s="180">
        <f t="shared" si="45"/>
        <v>68.858705711147834</v>
      </c>
      <c r="L120" s="460"/>
      <c r="M120" s="181">
        <f>RANK(K120, K$112:$K$141)</f>
        <v>22</v>
      </c>
      <c r="N120" s="462"/>
      <c r="O120" s="462"/>
      <c r="P120" s="166">
        <v>17</v>
      </c>
      <c r="Q120" s="166">
        <v>1163.4782608695652</v>
      </c>
      <c r="R120" s="166">
        <v>68.43989769820972</v>
      </c>
      <c r="S120" s="182">
        <f t="shared" si="46"/>
        <v>25</v>
      </c>
      <c r="T120" s="491"/>
      <c r="U120" s="166">
        <v>17</v>
      </c>
      <c r="V120" s="166">
        <v>1151.7391304347825</v>
      </c>
      <c r="W120" s="166">
        <v>67.749360613810737</v>
      </c>
      <c r="X120" s="182">
        <f t="shared" si="47"/>
        <v>24</v>
      </c>
      <c r="Y120" s="491"/>
      <c r="Z120" s="166">
        <v>17</v>
      </c>
      <c r="AA120" s="166">
        <v>1160.9999999999995</v>
      </c>
      <c r="AB120" s="166">
        <v>68.294117647058798</v>
      </c>
      <c r="AC120" s="182">
        <f t="shared" si="48"/>
        <v>22</v>
      </c>
      <c r="AD120" s="491"/>
      <c r="AE120" s="166">
        <v>17</v>
      </c>
      <c r="AF120" s="166">
        <v>1195.4999999999995</v>
      </c>
      <c r="AG120" s="166">
        <v>70.323529411764682</v>
      </c>
      <c r="AH120" s="182">
        <f t="shared" si="49"/>
        <v>17</v>
      </c>
      <c r="AI120" s="491"/>
      <c r="AJ120" s="166">
        <v>17</v>
      </c>
      <c r="AK120" s="166">
        <v>1168.3333333333323</v>
      </c>
      <c r="AL120" s="166">
        <v>68.725490196078368</v>
      </c>
      <c r="AM120" s="182">
        <f t="shared" si="50"/>
        <v>23</v>
      </c>
      <c r="AN120" s="491"/>
      <c r="AO120" s="166">
        <v>17</v>
      </c>
      <c r="AP120" s="166">
        <v>1207.3170731707312</v>
      </c>
      <c r="AQ120" s="166">
        <v>71.018651362984187</v>
      </c>
      <c r="AR120" s="182">
        <f t="shared" si="51"/>
        <v>18</v>
      </c>
      <c r="AS120" s="491"/>
      <c r="AT120" s="166">
        <v>17</v>
      </c>
      <c r="AU120" s="166">
        <v>1146.8181818181818</v>
      </c>
      <c r="AV120" s="166">
        <v>67.459893048128336</v>
      </c>
      <c r="AW120" s="182">
        <f t="shared" si="52"/>
        <v>24</v>
      </c>
      <c r="AX120" s="491"/>
    </row>
    <row r="121" spans="2:50">
      <c r="B121" s="479"/>
      <c r="C121" s="182">
        <v>10</v>
      </c>
      <c r="D121" s="203" t="s">
        <v>286</v>
      </c>
      <c r="E121" s="166">
        <v>18</v>
      </c>
      <c r="F121" s="182">
        <v>1636</v>
      </c>
      <c r="G121" s="180">
        <v>90.9</v>
      </c>
      <c r="H121" s="460"/>
      <c r="I121" s="166">
        <f t="shared" si="43"/>
        <v>18</v>
      </c>
      <c r="J121" s="166">
        <f t="shared" si="44"/>
        <v>1259.9113748065142</v>
      </c>
      <c r="K121" s="180">
        <f t="shared" si="45"/>
        <v>69.995076378139672</v>
      </c>
      <c r="L121" s="460"/>
      <c r="M121" s="181">
        <f>RANK(K121, K$112:$K$141)</f>
        <v>20</v>
      </c>
      <c r="N121" s="462"/>
      <c r="O121" s="462"/>
      <c r="P121" s="166">
        <v>18</v>
      </c>
      <c r="Q121" s="166">
        <v>1268.7500000000005</v>
      </c>
      <c r="R121" s="166">
        <v>70.486111111111143</v>
      </c>
      <c r="S121" s="182">
        <f t="shared" si="46"/>
        <v>16</v>
      </c>
      <c r="T121" s="491"/>
      <c r="U121" s="166">
        <v>18</v>
      </c>
      <c r="V121" s="166">
        <v>1238.2978723404256</v>
      </c>
      <c r="W121" s="166">
        <v>68.794326241134755</v>
      </c>
      <c r="X121" s="182">
        <f t="shared" si="47"/>
        <v>23</v>
      </c>
      <c r="Y121" s="491"/>
      <c r="Z121" s="166">
        <v>18</v>
      </c>
      <c r="AA121" s="166">
        <v>1268.9999999999995</v>
      </c>
      <c r="AB121" s="166">
        <v>70.499999999999972</v>
      </c>
      <c r="AC121" s="182">
        <f t="shared" si="48"/>
        <v>18</v>
      </c>
      <c r="AD121" s="491"/>
      <c r="AE121" s="166">
        <v>18</v>
      </c>
      <c r="AF121" s="166">
        <v>1265.5813953488371</v>
      </c>
      <c r="AG121" s="166">
        <v>70.310077519379831</v>
      </c>
      <c r="AH121" s="182">
        <f t="shared" si="49"/>
        <v>18</v>
      </c>
      <c r="AI121" s="491"/>
      <c r="AJ121" s="166">
        <v>18</v>
      </c>
      <c r="AK121" s="166">
        <v>1251.627906976744</v>
      </c>
      <c r="AL121" s="166">
        <v>69.534883720930225</v>
      </c>
      <c r="AM121" s="182">
        <f t="shared" si="50"/>
        <v>21</v>
      </c>
      <c r="AN121" s="491"/>
      <c r="AO121" s="166">
        <v>18</v>
      </c>
      <c r="AP121" s="166">
        <v>1260.0000000000005</v>
      </c>
      <c r="AQ121" s="166">
        <v>70.000000000000028</v>
      </c>
      <c r="AR121" s="182">
        <f t="shared" si="51"/>
        <v>21</v>
      </c>
      <c r="AS121" s="491"/>
      <c r="AT121" s="166">
        <v>18</v>
      </c>
      <c r="AU121" s="166">
        <v>1266.1224489795923</v>
      </c>
      <c r="AV121" s="166">
        <v>70.340136054421791</v>
      </c>
      <c r="AW121" s="182">
        <f t="shared" si="52"/>
        <v>21</v>
      </c>
      <c r="AX121" s="491"/>
    </row>
    <row r="122" spans="2:50">
      <c r="B122" s="479"/>
      <c r="C122" s="182">
        <v>11</v>
      </c>
      <c r="D122" s="203" t="s">
        <v>287</v>
      </c>
      <c r="E122" s="166">
        <v>18</v>
      </c>
      <c r="F122" s="182">
        <v>1636</v>
      </c>
      <c r="G122" s="180">
        <v>90.9</v>
      </c>
      <c r="H122" s="460"/>
      <c r="I122" s="166">
        <f t="shared" si="43"/>
        <v>18.857142857142858</v>
      </c>
      <c r="J122" s="166">
        <f t="shared" si="44"/>
        <v>1277.1848315040154</v>
      </c>
      <c r="K122" s="180">
        <f t="shared" si="45"/>
        <v>67.745927446937131</v>
      </c>
      <c r="L122" s="460"/>
      <c r="M122" s="181">
        <f>RANK(K122, K$112:$K$141)</f>
        <v>24</v>
      </c>
      <c r="N122" s="462"/>
      <c r="O122" s="462"/>
      <c r="P122" s="166">
        <v>18</v>
      </c>
      <c r="Q122" s="166">
        <v>1258.4615384615379</v>
      </c>
      <c r="R122" s="166">
        <v>69.914529914529879</v>
      </c>
      <c r="S122" s="182">
        <f t="shared" si="46"/>
        <v>18</v>
      </c>
      <c r="T122" s="491"/>
      <c r="U122" s="166">
        <v>19</v>
      </c>
      <c r="V122" s="166">
        <v>1268.1081081081072</v>
      </c>
      <c r="W122" s="166">
        <v>66.742532005689853</v>
      </c>
      <c r="X122" s="182">
        <f t="shared" si="47"/>
        <v>25</v>
      </c>
      <c r="Y122" s="491"/>
      <c r="Z122" s="166">
        <v>19</v>
      </c>
      <c r="AA122" s="166">
        <v>1316.1290322580626</v>
      </c>
      <c r="AB122" s="166">
        <v>69.269949066213826</v>
      </c>
      <c r="AC122" s="182">
        <f t="shared" si="48"/>
        <v>19</v>
      </c>
      <c r="AD122" s="491"/>
      <c r="AE122" s="166">
        <v>19</v>
      </c>
      <c r="AF122" s="166">
        <v>1235.9999999999989</v>
      </c>
      <c r="AG122" s="166">
        <v>65.052631578947313</v>
      </c>
      <c r="AH122" s="182">
        <f t="shared" si="49"/>
        <v>25</v>
      </c>
      <c r="AI122" s="491"/>
      <c r="AJ122" s="166">
        <v>19</v>
      </c>
      <c r="AK122" s="166">
        <v>1311.9999999999977</v>
      </c>
      <c r="AL122" s="166">
        <v>69.052631578947242</v>
      </c>
      <c r="AM122" s="182">
        <f t="shared" si="50"/>
        <v>22</v>
      </c>
      <c r="AN122" s="491"/>
      <c r="AO122" s="166">
        <v>19</v>
      </c>
      <c r="AP122" s="166">
        <v>1274.2105263157887</v>
      </c>
      <c r="AQ122" s="166">
        <v>67.063711911357302</v>
      </c>
      <c r="AR122" s="182">
        <f t="shared" si="51"/>
        <v>25</v>
      </c>
      <c r="AS122" s="491"/>
      <c r="AT122" s="166">
        <v>19</v>
      </c>
      <c r="AU122" s="166">
        <v>1275.3846153846148</v>
      </c>
      <c r="AV122" s="166">
        <v>67.125506072874458</v>
      </c>
      <c r="AW122" s="182">
        <f t="shared" si="52"/>
        <v>25</v>
      </c>
      <c r="AX122" s="491"/>
    </row>
    <row r="123" spans="2:50">
      <c r="B123" s="479"/>
      <c r="C123" s="182">
        <v>12</v>
      </c>
      <c r="D123" s="203" t="s">
        <v>288</v>
      </c>
      <c r="E123" s="166">
        <v>17</v>
      </c>
      <c r="F123" s="182">
        <v>1500</v>
      </c>
      <c r="G123" s="180">
        <v>88.2</v>
      </c>
      <c r="H123" s="460"/>
      <c r="I123" s="166">
        <f t="shared" si="43"/>
        <v>17</v>
      </c>
      <c r="J123" s="166">
        <f t="shared" si="44"/>
        <v>1245.3076837317983</v>
      </c>
      <c r="K123" s="180">
        <f t="shared" si="45"/>
        <v>73.253393160694017</v>
      </c>
      <c r="L123" s="460"/>
      <c r="M123" s="181">
        <f>RANK(K123, K$112:$K$141)</f>
        <v>16</v>
      </c>
      <c r="N123" s="462"/>
      <c r="O123" s="462"/>
      <c r="P123" s="166">
        <v>17</v>
      </c>
      <c r="Q123" s="166">
        <v>1268.823529411763</v>
      </c>
      <c r="R123" s="166">
        <v>74.636678200691946</v>
      </c>
      <c r="S123" s="182">
        <f t="shared" si="46"/>
        <v>12</v>
      </c>
      <c r="T123" s="491"/>
      <c r="U123" s="166">
        <v>17</v>
      </c>
      <c r="V123" s="166">
        <v>1256.5714285714273</v>
      </c>
      <c r="W123" s="166">
        <v>73.915966386554544</v>
      </c>
      <c r="X123" s="182">
        <f t="shared" si="47"/>
        <v>15</v>
      </c>
      <c r="Y123" s="491"/>
      <c r="Z123" s="166">
        <v>17</v>
      </c>
      <c r="AA123" s="166">
        <v>1111.8749999999984</v>
      </c>
      <c r="AB123" s="166">
        <v>65.404411764705785</v>
      </c>
      <c r="AC123" s="182">
        <f t="shared" si="48"/>
        <v>25</v>
      </c>
      <c r="AD123" s="491"/>
      <c r="AE123" s="166">
        <v>17</v>
      </c>
      <c r="AF123" s="166">
        <v>1250.9090909090894</v>
      </c>
      <c r="AG123" s="166">
        <v>73.58288770053467</v>
      </c>
      <c r="AH123" s="182">
        <f t="shared" si="49"/>
        <v>11</v>
      </c>
      <c r="AI123" s="491"/>
      <c r="AJ123" s="166">
        <v>17</v>
      </c>
      <c r="AK123" s="166">
        <v>1274.4827586206873</v>
      </c>
      <c r="AL123" s="166">
        <v>74.96957403651102</v>
      </c>
      <c r="AM123" s="182">
        <f t="shared" si="50"/>
        <v>13</v>
      </c>
      <c r="AN123" s="491"/>
      <c r="AO123" s="166">
        <v>17</v>
      </c>
      <c r="AP123" s="166">
        <v>1292.7272727272712</v>
      </c>
      <c r="AQ123" s="166">
        <v>76.042780748663006</v>
      </c>
      <c r="AR123" s="182">
        <f t="shared" si="51"/>
        <v>9</v>
      </c>
      <c r="AS123" s="491"/>
      <c r="AT123" s="166">
        <v>17</v>
      </c>
      <c r="AU123" s="166">
        <v>1261.7647058823513</v>
      </c>
      <c r="AV123" s="166">
        <v>74.221453287197136</v>
      </c>
      <c r="AW123" s="182">
        <f t="shared" si="52"/>
        <v>14</v>
      </c>
      <c r="AX123" s="491"/>
    </row>
    <row r="124" spans="2:50">
      <c r="B124" s="479"/>
      <c r="C124" s="182">
        <v>13</v>
      </c>
      <c r="D124" s="203" t="s">
        <v>289</v>
      </c>
      <c r="E124" s="166">
        <v>18</v>
      </c>
      <c r="F124" s="182">
        <v>1440</v>
      </c>
      <c r="G124" s="180">
        <v>80</v>
      </c>
      <c r="H124" s="460"/>
      <c r="I124" s="166">
        <f t="shared" si="43"/>
        <v>18</v>
      </c>
      <c r="J124" s="166">
        <f t="shared" si="44"/>
        <v>1332.9247840969431</v>
      </c>
      <c r="K124" s="180">
        <f t="shared" si="45"/>
        <v>74.051376894274583</v>
      </c>
      <c r="L124" s="460"/>
      <c r="M124" s="181">
        <f>RANK(K124, K$112:$K$141)</f>
        <v>11</v>
      </c>
      <c r="N124" s="462"/>
      <c r="O124" s="462"/>
      <c r="P124" s="166">
        <v>18</v>
      </c>
      <c r="Q124" s="166">
        <v>1352.3809523809537</v>
      </c>
      <c r="R124" s="166">
        <v>75.132275132275197</v>
      </c>
      <c r="S124" s="182">
        <f t="shared" si="46"/>
        <v>8</v>
      </c>
      <c r="T124" s="491"/>
      <c r="U124" s="166">
        <v>18</v>
      </c>
      <c r="V124" s="166">
        <v>1324.1379310344837</v>
      </c>
      <c r="W124" s="166">
        <v>73.56321839080465</v>
      </c>
      <c r="X124" s="182">
        <f t="shared" si="47"/>
        <v>16</v>
      </c>
      <c r="Y124" s="491"/>
      <c r="Z124" s="166">
        <v>18</v>
      </c>
      <c r="AA124" s="166">
        <v>1330.8000000000004</v>
      </c>
      <c r="AB124" s="166">
        <v>73.933333333333351</v>
      </c>
      <c r="AC124" s="182">
        <f t="shared" si="48"/>
        <v>12</v>
      </c>
      <c r="AD124" s="491"/>
      <c r="AE124" s="166">
        <v>18</v>
      </c>
      <c r="AF124" s="166">
        <v>1316.8421052631588</v>
      </c>
      <c r="AG124" s="166">
        <v>73.157894736842152</v>
      </c>
      <c r="AH124" s="182">
        <f t="shared" si="49"/>
        <v>12</v>
      </c>
      <c r="AI124" s="491"/>
      <c r="AJ124" s="166">
        <v>18</v>
      </c>
      <c r="AK124" s="166">
        <v>1346</v>
      </c>
      <c r="AL124" s="166">
        <v>74.777777777777771</v>
      </c>
      <c r="AM124" s="182">
        <f t="shared" si="50"/>
        <v>14</v>
      </c>
      <c r="AN124" s="491"/>
      <c r="AO124" s="166">
        <v>18</v>
      </c>
      <c r="AP124" s="166">
        <v>1330.0000000000014</v>
      </c>
      <c r="AQ124" s="166">
        <v>73.888888888888971</v>
      </c>
      <c r="AR124" s="182">
        <f t="shared" si="51"/>
        <v>13</v>
      </c>
      <c r="AS124" s="491"/>
      <c r="AT124" s="166">
        <v>18</v>
      </c>
      <c r="AU124" s="166">
        <v>1330.3125000000016</v>
      </c>
      <c r="AV124" s="166">
        <v>73.906250000000085</v>
      </c>
      <c r="AW124" s="182">
        <f t="shared" si="52"/>
        <v>17</v>
      </c>
      <c r="AX124" s="491"/>
    </row>
    <row r="125" spans="2:50">
      <c r="B125" s="479"/>
      <c r="C125" s="182">
        <v>14</v>
      </c>
      <c r="D125" s="203" t="s">
        <v>290</v>
      </c>
      <c r="E125" s="166">
        <v>15</v>
      </c>
      <c r="F125" s="182">
        <v>1440</v>
      </c>
      <c r="G125" s="180">
        <v>96</v>
      </c>
      <c r="H125" s="460"/>
      <c r="I125" s="166">
        <f t="shared" si="43"/>
        <v>16.142857142857142</v>
      </c>
      <c r="J125" s="166">
        <f t="shared" si="44"/>
        <v>1282.578458393788</v>
      </c>
      <c r="K125" s="180">
        <f t="shared" si="45"/>
        <v>79.561599542254527</v>
      </c>
      <c r="L125" s="460"/>
      <c r="M125" s="181">
        <f>RANK(K125, K$112:$K$141)</f>
        <v>5</v>
      </c>
      <c r="N125" s="462"/>
      <c r="O125" s="462"/>
      <c r="P125" s="166">
        <v>15</v>
      </c>
      <c r="Q125" s="166">
        <v>1267.0588235294124</v>
      </c>
      <c r="R125" s="166">
        <v>84.470588235294159</v>
      </c>
      <c r="S125" s="182">
        <f t="shared" si="46"/>
        <v>4</v>
      </c>
      <c r="T125" s="491"/>
      <c r="U125" s="166">
        <v>16</v>
      </c>
      <c r="V125" s="166">
        <v>1256.7857142857151</v>
      </c>
      <c r="W125" s="166">
        <v>78.549107142857196</v>
      </c>
      <c r="X125" s="182">
        <f t="shared" si="47"/>
        <v>7</v>
      </c>
      <c r="Y125" s="491"/>
      <c r="Z125" s="166">
        <v>17</v>
      </c>
      <c r="AA125" s="166">
        <v>1320</v>
      </c>
      <c r="AB125" s="166">
        <v>77.647058823529406</v>
      </c>
      <c r="AC125" s="182">
        <f t="shared" si="48"/>
        <v>7</v>
      </c>
      <c r="AD125" s="491"/>
      <c r="AE125" s="166">
        <v>17</v>
      </c>
      <c r="AF125" s="166">
        <v>1257.5510204081636</v>
      </c>
      <c r="AG125" s="166">
        <v>73.973589435774329</v>
      </c>
      <c r="AH125" s="182">
        <f t="shared" si="49"/>
        <v>9</v>
      </c>
      <c r="AI125" s="491"/>
      <c r="AJ125" s="166">
        <v>16</v>
      </c>
      <c r="AK125" s="166">
        <v>1270.4347826086957</v>
      </c>
      <c r="AL125" s="166">
        <v>79.402173913043484</v>
      </c>
      <c r="AM125" s="182">
        <f t="shared" si="50"/>
        <v>6</v>
      </c>
      <c r="AN125" s="491"/>
      <c r="AO125" s="166">
        <v>16</v>
      </c>
      <c r="AP125" s="166">
        <v>1303.0188679245289</v>
      </c>
      <c r="AQ125" s="166">
        <v>81.438679245283055</v>
      </c>
      <c r="AR125" s="182">
        <f t="shared" si="51"/>
        <v>5</v>
      </c>
      <c r="AS125" s="491"/>
      <c r="AT125" s="166">
        <v>16</v>
      </c>
      <c r="AU125" s="166">
        <v>1303.2000000000003</v>
      </c>
      <c r="AV125" s="166">
        <v>81.450000000000017</v>
      </c>
      <c r="AW125" s="182">
        <f t="shared" si="52"/>
        <v>5</v>
      </c>
      <c r="AX125" s="491"/>
    </row>
    <row r="126" spans="2:50">
      <c r="B126" s="479"/>
      <c r="C126" s="182">
        <v>15</v>
      </c>
      <c r="D126" s="203" t="s">
        <v>291</v>
      </c>
      <c r="E126" s="166">
        <v>17</v>
      </c>
      <c r="F126" s="182">
        <v>1440</v>
      </c>
      <c r="G126" s="180">
        <v>84.7</v>
      </c>
      <c r="H126" s="460"/>
      <c r="I126" s="166">
        <f t="shared" si="43"/>
        <v>17</v>
      </c>
      <c r="J126" s="166">
        <f t="shared" si="44"/>
        <v>1330.6843753992591</v>
      </c>
      <c r="K126" s="180">
        <f t="shared" si="45"/>
        <v>78.413921411726619</v>
      </c>
      <c r="L126" s="460"/>
      <c r="M126" s="181">
        <f>RANK(K126, K$112:$K$141)</f>
        <v>6</v>
      </c>
      <c r="N126" s="462"/>
      <c r="O126" s="462"/>
      <c r="P126" s="166">
        <v>18</v>
      </c>
      <c r="Q126" s="166">
        <v>1330.76923076923</v>
      </c>
      <c r="R126" s="166">
        <v>73.931623931623889</v>
      </c>
      <c r="S126" s="182">
        <f t="shared" si="46"/>
        <v>14</v>
      </c>
      <c r="T126" s="491"/>
      <c r="U126" s="166">
        <v>16</v>
      </c>
      <c r="V126" s="166">
        <v>1345.9701492537297</v>
      </c>
      <c r="W126" s="166">
        <v>84.123134328358105</v>
      </c>
      <c r="X126" s="182">
        <f t="shared" si="47"/>
        <v>4</v>
      </c>
      <c r="Y126" s="491"/>
      <c r="Z126" s="166">
        <v>16</v>
      </c>
      <c r="AA126" s="166">
        <v>1320.0000000000014</v>
      </c>
      <c r="AB126" s="166">
        <v>82.500000000000085</v>
      </c>
      <c r="AC126" s="182">
        <f t="shared" si="48"/>
        <v>5</v>
      </c>
      <c r="AD126" s="491"/>
      <c r="AE126" s="166">
        <v>17</v>
      </c>
      <c r="AF126" s="166">
        <v>1243.3333333333378</v>
      </c>
      <c r="AG126" s="166">
        <v>73.137254901961043</v>
      </c>
      <c r="AH126" s="182">
        <f t="shared" si="49"/>
        <v>13</v>
      </c>
      <c r="AI126" s="491"/>
      <c r="AJ126" s="166">
        <v>18</v>
      </c>
      <c r="AK126" s="166">
        <v>1372.0588235294167</v>
      </c>
      <c r="AL126" s="166">
        <v>76.225490196078709</v>
      </c>
      <c r="AM126" s="182">
        <f t="shared" si="50"/>
        <v>11</v>
      </c>
      <c r="AN126" s="491"/>
      <c r="AO126" s="166">
        <v>17</v>
      </c>
      <c r="AP126" s="166">
        <v>1372.9090909090919</v>
      </c>
      <c r="AQ126" s="166">
        <v>80.759358288770116</v>
      </c>
      <c r="AR126" s="182">
        <f t="shared" si="51"/>
        <v>6</v>
      </c>
      <c r="AS126" s="491"/>
      <c r="AT126" s="166">
        <v>17</v>
      </c>
      <c r="AU126" s="166">
        <v>1329.7500000000048</v>
      </c>
      <c r="AV126" s="166">
        <v>78.2205882352944</v>
      </c>
      <c r="AW126" s="182">
        <f t="shared" si="52"/>
        <v>9</v>
      </c>
      <c r="AX126" s="491"/>
    </row>
    <row r="127" spans="2:50">
      <c r="B127" s="479"/>
      <c r="C127" s="182">
        <v>16</v>
      </c>
      <c r="D127" s="203" t="s">
        <v>293</v>
      </c>
      <c r="E127" s="166">
        <v>18</v>
      </c>
      <c r="F127" s="182">
        <v>1440</v>
      </c>
      <c r="G127" s="180">
        <v>80</v>
      </c>
      <c r="H127" s="460"/>
      <c r="I127" s="166">
        <f t="shared" si="43"/>
        <v>17.428571428571427</v>
      </c>
      <c r="J127" s="166">
        <f t="shared" si="44"/>
        <v>1275.9608748671039</v>
      </c>
      <c r="K127" s="180">
        <f t="shared" si="45"/>
        <v>73.255030931995407</v>
      </c>
      <c r="L127" s="460"/>
      <c r="M127" s="181">
        <f>RANK(K127, K$112:$K$141)</f>
        <v>15</v>
      </c>
      <c r="N127" s="462"/>
      <c r="O127" s="462"/>
      <c r="P127" s="166">
        <v>18</v>
      </c>
      <c r="Q127" s="166">
        <v>1250.588235294118</v>
      </c>
      <c r="R127" s="166">
        <v>69.477124183006552</v>
      </c>
      <c r="S127" s="182">
        <f t="shared" si="46"/>
        <v>19</v>
      </c>
      <c r="T127" s="491"/>
      <c r="U127" s="166">
        <v>17</v>
      </c>
      <c r="V127" s="166">
        <v>1276.5957446808513</v>
      </c>
      <c r="W127" s="166">
        <v>75.093867334167726</v>
      </c>
      <c r="X127" s="182">
        <f t="shared" si="47"/>
        <v>10</v>
      </c>
      <c r="Y127" s="491"/>
      <c r="Z127" s="166">
        <v>18</v>
      </c>
      <c r="AA127" s="166">
        <v>1316.842105263157</v>
      </c>
      <c r="AB127" s="166">
        <v>73.157894736842053</v>
      </c>
      <c r="AC127" s="182">
        <f t="shared" si="48"/>
        <v>14</v>
      </c>
      <c r="AD127" s="491"/>
      <c r="AE127" s="166">
        <v>18</v>
      </c>
      <c r="AF127" s="166">
        <v>1291.3636363636365</v>
      </c>
      <c r="AG127" s="166">
        <v>71.742424242424249</v>
      </c>
      <c r="AH127" s="182">
        <f t="shared" si="49"/>
        <v>15</v>
      </c>
      <c r="AI127" s="491"/>
      <c r="AJ127" s="166">
        <v>17</v>
      </c>
      <c r="AK127" s="166">
        <v>1255.8139534883719</v>
      </c>
      <c r="AL127" s="166">
        <v>73.871409028727754</v>
      </c>
      <c r="AM127" s="182">
        <f t="shared" si="50"/>
        <v>15</v>
      </c>
      <c r="AN127" s="491"/>
      <c r="AO127" s="166">
        <v>17</v>
      </c>
      <c r="AP127" s="166">
        <v>1266.1224489795923</v>
      </c>
      <c r="AQ127" s="166">
        <v>74.47779111644661</v>
      </c>
      <c r="AR127" s="182">
        <f t="shared" si="51"/>
        <v>11</v>
      </c>
      <c r="AS127" s="491"/>
      <c r="AT127" s="166">
        <v>17</v>
      </c>
      <c r="AU127" s="166">
        <v>1274.4000000000003</v>
      </c>
      <c r="AV127" s="166">
        <v>74.964705882352959</v>
      </c>
      <c r="AW127" s="182">
        <f t="shared" si="52"/>
        <v>13</v>
      </c>
      <c r="AX127" s="491"/>
    </row>
    <row r="128" spans="2:50">
      <c r="B128" s="479"/>
      <c r="C128" s="182">
        <v>17</v>
      </c>
      <c r="D128" s="203" t="s">
        <v>294</v>
      </c>
      <c r="E128" s="166">
        <v>18</v>
      </c>
      <c r="F128" s="182">
        <v>1500</v>
      </c>
      <c r="G128" s="180">
        <v>83.3</v>
      </c>
      <c r="H128" s="460"/>
      <c r="I128" s="166">
        <f t="shared" si="43"/>
        <v>18</v>
      </c>
      <c r="J128" s="166">
        <f t="shared" si="44"/>
        <v>1264.8562257227202</v>
      </c>
      <c r="K128" s="180">
        <f t="shared" si="45"/>
        <v>70.269790317928909</v>
      </c>
      <c r="L128" s="460"/>
      <c r="M128" s="181">
        <f>RANK(K128, K$112:$K$141)</f>
        <v>18</v>
      </c>
      <c r="N128" s="462"/>
      <c r="O128" s="462"/>
      <c r="P128" s="166">
        <v>18</v>
      </c>
      <c r="Q128" s="166">
        <v>1261.4634146341459</v>
      </c>
      <c r="R128" s="166">
        <v>70.081300813008113</v>
      </c>
      <c r="S128" s="182">
        <f t="shared" si="46"/>
        <v>17</v>
      </c>
      <c r="T128" s="491"/>
      <c r="U128" s="166">
        <v>18</v>
      </c>
      <c r="V128" s="166">
        <v>1276.2162162162151</v>
      </c>
      <c r="W128" s="166">
        <v>70.900900900900837</v>
      </c>
      <c r="X128" s="182">
        <f t="shared" si="47"/>
        <v>19</v>
      </c>
      <c r="Y128" s="491"/>
      <c r="Z128" s="166">
        <v>18</v>
      </c>
      <c r="AA128" s="166">
        <v>1270.9090909090894</v>
      </c>
      <c r="AB128" s="166">
        <v>70.606060606060524</v>
      </c>
      <c r="AC128" s="182">
        <f t="shared" si="48"/>
        <v>17</v>
      </c>
      <c r="AD128" s="491"/>
      <c r="AE128" s="166">
        <v>18</v>
      </c>
      <c r="AF128" s="166">
        <v>1259.9999999999989</v>
      </c>
      <c r="AG128" s="166">
        <v>69.999999999999943</v>
      </c>
      <c r="AH128" s="182">
        <f t="shared" si="49"/>
        <v>19</v>
      </c>
      <c r="AI128" s="491"/>
      <c r="AJ128" s="166">
        <v>18</v>
      </c>
      <c r="AK128" s="166">
        <v>1254.9999999999991</v>
      </c>
      <c r="AL128" s="166">
        <v>69.722222222222172</v>
      </c>
      <c r="AM128" s="182">
        <f t="shared" si="50"/>
        <v>19</v>
      </c>
      <c r="AN128" s="491"/>
      <c r="AO128" s="166">
        <v>18</v>
      </c>
      <c r="AP128" s="166">
        <v>1284.6153846153838</v>
      </c>
      <c r="AQ128" s="166">
        <v>71.36752136752132</v>
      </c>
      <c r="AR128" s="182">
        <f t="shared" si="51"/>
        <v>17</v>
      </c>
      <c r="AS128" s="491"/>
      <c r="AT128" s="166">
        <v>18</v>
      </c>
      <c r="AU128" s="166">
        <v>1245.7894736842097</v>
      </c>
      <c r="AV128" s="166">
        <v>69.210526315789423</v>
      </c>
      <c r="AW128" s="182">
        <f t="shared" si="52"/>
        <v>22</v>
      </c>
      <c r="AX128" s="491"/>
    </row>
    <row r="129" spans="2:50">
      <c r="B129" s="479"/>
      <c r="C129" s="182">
        <v>18</v>
      </c>
      <c r="D129" s="203" t="s">
        <v>295</v>
      </c>
      <c r="E129" s="166">
        <v>17</v>
      </c>
      <c r="F129" s="182">
        <v>1440</v>
      </c>
      <c r="G129" s="180">
        <v>84.7</v>
      </c>
      <c r="H129" s="460"/>
      <c r="I129" s="166">
        <f t="shared" si="43"/>
        <v>17</v>
      </c>
      <c r="J129" s="166">
        <f t="shared" si="44"/>
        <v>1086.7848484848482</v>
      </c>
      <c r="K129" s="180">
        <f t="shared" si="45"/>
        <v>63.928520499108721</v>
      </c>
      <c r="L129" s="460"/>
      <c r="M129" s="181">
        <f>RANK(K129, K$112:$K$141)</f>
        <v>25</v>
      </c>
      <c r="N129" s="462"/>
      <c r="O129" s="462"/>
      <c r="P129" s="166">
        <v>17</v>
      </c>
      <c r="Q129" s="166">
        <v>1120.7999999999968</v>
      </c>
      <c r="R129" s="166">
        <v>65.929411764705691</v>
      </c>
      <c r="S129" s="182">
        <f t="shared" si="46"/>
        <v>26</v>
      </c>
      <c r="T129" s="491"/>
      <c r="U129" s="166">
        <v>17</v>
      </c>
      <c r="V129" s="166">
        <v>1084.799999999997</v>
      </c>
      <c r="W129" s="166">
        <v>63.811764705882176</v>
      </c>
      <c r="X129" s="182">
        <f t="shared" si="47"/>
        <v>27</v>
      </c>
      <c r="Y129" s="491"/>
      <c r="Z129" s="166">
        <v>17</v>
      </c>
      <c r="AA129" s="166">
        <v>1080.0000000000039</v>
      </c>
      <c r="AB129" s="166">
        <v>63.529411764706111</v>
      </c>
      <c r="AC129" s="182">
        <f t="shared" si="48"/>
        <v>26</v>
      </c>
      <c r="AD129" s="491"/>
      <c r="AE129" s="166">
        <v>17</v>
      </c>
      <c r="AF129" s="166">
        <v>1052.7272727272764</v>
      </c>
      <c r="AG129" s="166">
        <v>61.925133689839789</v>
      </c>
      <c r="AH129" s="182">
        <f t="shared" si="49"/>
        <v>27</v>
      </c>
      <c r="AI129" s="491"/>
      <c r="AJ129" s="166">
        <v>17</v>
      </c>
      <c r="AK129" s="166">
        <v>1066.6666666666706</v>
      </c>
      <c r="AL129" s="166">
        <v>62.745098039215918</v>
      </c>
      <c r="AM129" s="182">
        <f t="shared" si="50"/>
        <v>27</v>
      </c>
      <c r="AN129" s="491"/>
      <c r="AO129" s="166">
        <v>17</v>
      </c>
      <c r="AP129" s="166">
        <v>1129.9999999999966</v>
      </c>
      <c r="AQ129" s="166">
        <v>66.470588235293917</v>
      </c>
      <c r="AR129" s="182">
        <f t="shared" si="51"/>
        <v>26</v>
      </c>
      <c r="AS129" s="491"/>
      <c r="AT129" s="166">
        <v>17</v>
      </c>
      <c r="AU129" s="166">
        <v>1072.4999999999966</v>
      </c>
      <c r="AV129" s="166">
        <v>63.088235294117446</v>
      </c>
      <c r="AW129" s="182">
        <f t="shared" si="52"/>
        <v>27</v>
      </c>
      <c r="AX129" s="491"/>
    </row>
    <row r="130" spans="2:50">
      <c r="B130" s="479"/>
      <c r="C130" s="182">
        <v>19</v>
      </c>
      <c r="D130" s="203" t="s">
        <v>296</v>
      </c>
      <c r="E130" s="166">
        <v>18</v>
      </c>
      <c r="F130" s="182">
        <v>1385</v>
      </c>
      <c r="G130" s="180">
        <v>76.900000000000006</v>
      </c>
      <c r="H130" s="460"/>
      <c r="I130" s="166">
        <f t="shared" si="43"/>
        <v>17</v>
      </c>
      <c r="J130" s="166">
        <f t="shared" si="44"/>
        <v>1177.1022046092687</v>
      </c>
      <c r="K130" s="180">
        <f t="shared" si="45"/>
        <v>69.241306153486377</v>
      </c>
      <c r="L130" s="460"/>
      <c r="M130" s="181">
        <f>RANK(K130, K$112:$K$141)</f>
        <v>21</v>
      </c>
      <c r="N130" s="462"/>
      <c r="O130" s="462"/>
      <c r="P130" s="166">
        <v>17</v>
      </c>
      <c r="Q130" s="166">
        <v>1165.5319148936173</v>
      </c>
      <c r="R130" s="166">
        <v>68.56070087609514</v>
      </c>
      <c r="S130" s="182">
        <f t="shared" si="46"/>
        <v>24</v>
      </c>
      <c r="T130" s="491"/>
      <c r="U130" s="166">
        <v>17</v>
      </c>
      <c r="V130" s="166">
        <v>1171.4285714285711</v>
      </c>
      <c r="W130" s="166">
        <v>68.907563025210067</v>
      </c>
      <c r="X130" s="182">
        <f t="shared" si="47"/>
        <v>21</v>
      </c>
      <c r="Y130" s="491"/>
      <c r="Z130" s="166">
        <v>17</v>
      </c>
      <c r="AA130" s="166">
        <v>1174.5454545454529</v>
      </c>
      <c r="AB130" s="166">
        <v>69.090909090908994</v>
      </c>
      <c r="AC130" s="182">
        <f t="shared" si="48"/>
        <v>20</v>
      </c>
      <c r="AD130" s="491"/>
      <c r="AE130" s="166">
        <v>17</v>
      </c>
      <c r="AF130" s="166">
        <v>1175.9999999999989</v>
      </c>
      <c r="AG130" s="166">
        <v>69.176470588235233</v>
      </c>
      <c r="AH130" s="182">
        <f t="shared" si="49"/>
        <v>21</v>
      </c>
      <c r="AI130" s="491"/>
      <c r="AJ130" s="166">
        <v>17</v>
      </c>
      <c r="AK130" s="166">
        <v>1153.1707317073167</v>
      </c>
      <c r="AL130" s="166">
        <v>67.833572453371573</v>
      </c>
      <c r="AM130" s="182">
        <f t="shared" si="50"/>
        <v>25</v>
      </c>
      <c r="AN130" s="491"/>
      <c r="AO130" s="166">
        <v>17</v>
      </c>
      <c r="AP130" s="166">
        <v>1190.6666666666667</v>
      </c>
      <c r="AQ130" s="166">
        <v>70.039215686274517</v>
      </c>
      <c r="AR130" s="182">
        <f t="shared" si="51"/>
        <v>20</v>
      </c>
      <c r="AS130" s="491"/>
      <c r="AT130" s="166">
        <v>17</v>
      </c>
      <c r="AU130" s="166">
        <v>1208.3720930232557</v>
      </c>
      <c r="AV130" s="166">
        <v>71.080711354309159</v>
      </c>
      <c r="AW130" s="182">
        <f t="shared" si="52"/>
        <v>20</v>
      </c>
      <c r="AX130" s="491"/>
    </row>
    <row r="131" spans="2:50">
      <c r="B131" s="479"/>
      <c r="C131" s="182">
        <v>20</v>
      </c>
      <c r="D131" s="203" t="s">
        <v>297</v>
      </c>
      <c r="E131" s="166">
        <v>18</v>
      </c>
      <c r="F131" s="182">
        <v>1440</v>
      </c>
      <c r="G131" s="180">
        <v>80</v>
      </c>
      <c r="H131" s="460"/>
      <c r="I131" s="166">
        <f t="shared" si="43"/>
        <v>17.571428571428573</v>
      </c>
      <c r="J131" s="166">
        <f t="shared" si="44"/>
        <v>1290.8862165985786</v>
      </c>
      <c r="K131" s="180">
        <f t="shared" si="45"/>
        <v>73.634290121851237</v>
      </c>
      <c r="L131" s="460"/>
      <c r="M131" s="181">
        <f>RANK(K131, K$112:$K$141)</f>
        <v>14</v>
      </c>
      <c r="N131" s="462"/>
      <c r="O131" s="462"/>
      <c r="P131" s="166">
        <v>17</v>
      </c>
      <c r="Q131" s="166">
        <v>1276.7441860465115</v>
      </c>
      <c r="R131" s="166">
        <v>75.10259917920655</v>
      </c>
      <c r="S131" s="182">
        <f t="shared" si="46"/>
        <v>9</v>
      </c>
      <c r="T131" s="491"/>
      <c r="U131" s="166">
        <v>17</v>
      </c>
      <c r="V131" s="166">
        <v>1325.4545454545455</v>
      </c>
      <c r="W131" s="166">
        <v>77.967914438502675</v>
      </c>
      <c r="X131" s="182">
        <f t="shared" si="47"/>
        <v>9</v>
      </c>
      <c r="Y131" s="491"/>
      <c r="Z131" s="166">
        <v>19</v>
      </c>
      <c r="AA131" s="166">
        <v>1307.3684210526305</v>
      </c>
      <c r="AB131" s="166">
        <v>68.808864265927923</v>
      </c>
      <c r="AC131" s="182">
        <f t="shared" si="48"/>
        <v>21</v>
      </c>
      <c r="AD131" s="491"/>
      <c r="AE131" s="166">
        <v>19</v>
      </c>
      <c r="AF131" s="166">
        <v>1292.9999999999995</v>
      </c>
      <c r="AG131" s="166">
        <v>68.052631578947341</v>
      </c>
      <c r="AH131" s="182">
        <f t="shared" si="49"/>
        <v>23</v>
      </c>
      <c r="AI131" s="491"/>
      <c r="AJ131" s="166">
        <v>17</v>
      </c>
      <c r="AK131" s="166">
        <v>1284.9999999999991</v>
      </c>
      <c r="AL131" s="166">
        <v>75.588235294117595</v>
      </c>
      <c r="AM131" s="182">
        <f t="shared" si="50"/>
        <v>12</v>
      </c>
      <c r="AN131" s="491"/>
      <c r="AO131" s="166">
        <v>17</v>
      </c>
      <c r="AP131" s="166">
        <v>1258.6363636363635</v>
      </c>
      <c r="AQ131" s="166">
        <v>74.037433155080208</v>
      </c>
      <c r="AR131" s="182">
        <f t="shared" si="51"/>
        <v>12</v>
      </c>
      <c r="AS131" s="491"/>
      <c r="AT131" s="166">
        <v>17</v>
      </c>
      <c r="AU131" s="166">
        <v>1289.9999999999995</v>
      </c>
      <c r="AV131" s="166">
        <v>75.88235294117645</v>
      </c>
      <c r="AW131" s="182">
        <f t="shared" si="52"/>
        <v>11</v>
      </c>
      <c r="AX131" s="491"/>
    </row>
    <row r="132" spans="2:50">
      <c r="B132" s="479"/>
      <c r="C132" s="182">
        <v>21</v>
      </c>
      <c r="D132" s="203" t="s">
        <v>298</v>
      </c>
      <c r="E132" s="166">
        <v>15</v>
      </c>
      <c r="F132" s="182">
        <v>1500</v>
      </c>
      <c r="G132" s="180">
        <v>100</v>
      </c>
      <c r="H132" s="460"/>
      <c r="I132" s="166">
        <f t="shared" si="43"/>
        <v>16.571428571428573</v>
      </c>
      <c r="J132" s="166">
        <f t="shared" si="44"/>
        <v>1276.2244857859489</v>
      </c>
      <c r="K132" s="180">
        <f t="shared" si="45"/>
        <v>77.099704364304472</v>
      </c>
      <c r="L132" s="460"/>
      <c r="M132" s="181">
        <f>RANK(K132, K$112:$K$141)</f>
        <v>7</v>
      </c>
      <c r="N132" s="462"/>
      <c r="O132" s="462"/>
      <c r="P132" s="166">
        <v>17</v>
      </c>
      <c r="Q132" s="166">
        <v>1265.9154929577453</v>
      </c>
      <c r="R132" s="166">
        <v>74.46561723280854</v>
      </c>
      <c r="S132" s="182">
        <f t="shared" si="46"/>
        <v>13</v>
      </c>
      <c r="T132" s="491"/>
      <c r="U132" s="166">
        <v>17</v>
      </c>
      <c r="V132" s="166">
        <v>1268.9552238805954</v>
      </c>
      <c r="W132" s="166">
        <v>74.644424934152667</v>
      </c>
      <c r="X132" s="182">
        <f t="shared" si="47"/>
        <v>13</v>
      </c>
      <c r="Y132" s="491"/>
      <c r="Z132" s="166">
        <v>16</v>
      </c>
      <c r="AA132" s="166">
        <v>1314.6428571428582</v>
      </c>
      <c r="AB132" s="166">
        <v>82.16517857142864</v>
      </c>
      <c r="AC132" s="182">
        <f t="shared" si="48"/>
        <v>6</v>
      </c>
      <c r="AD132" s="491"/>
      <c r="AE132" s="166">
        <v>16</v>
      </c>
      <c r="AF132" s="166">
        <v>1270.169491525425</v>
      </c>
      <c r="AG132" s="166">
        <v>79.385593220339061</v>
      </c>
      <c r="AH132" s="182">
        <f t="shared" si="49"/>
        <v>5</v>
      </c>
      <c r="AI132" s="491"/>
      <c r="AJ132" s="166">
        <v>17</v>
      </c>
      <c r="AK132" s="166">
        <v>1302.7118644067807</v>
      </c>
      <c r="AL132" s="166">
        <v>76.630109670987096</v>
      </c>
      <c r="AM132" s="182">
        <f t="shared" si="50"/>
        <v>10</v>
      </c>
      <c r="AN132" s="491"/>
      <c r="AO132" s="166">
        <v>17</v>
      </c>
      <c r="AP132" s="166">
        <v>1235.2941176470631</v>
      </c>
      <c r="AQ132" s="166">
        <v>72.664359861591947</v>
      </c>
      <c r="AR132" s="182">
        <f t="shared" si="51"/>
        <v>16</v>
      </c>
      <c r="AS132" s="491"/>
      <c r="AT132" s="166">
        <v>16</v>
      </c>
      <c r="AU132" s="166">
        <v>1275.8823529411748</v>
      </c>
      <c r="AV132" s="166">
        <v>79.742647058823422</v>
      </c>
      <c r="AW132" s="182">
        <f t="shared" si="52"/>
        <v>8</v>
      </c>
      <c r="AX132" s="491"/>
    </row>
    <row r="133" spans="2:50">
      <c r="B133" s="479"/>
      <c r="C133" s="182">
        <v>22</v>
      </c>
      <c r="D133" s="203" t="s">
        <v>299</v>
      </c>
      <c r="E133" s="166">
        <v>16</v>
      </c>
      <c r="F133" s="182">
        <v>1500</v>
      </c>
      <c r="G133" s="180">
        <v>93.8</v>
      </c>
      <c r="H133" s="460"/>
      <c r="I133" s="166">
        <f t="shared" si="43"/>
        <v>18</v>
      </c>
      <c r="J133" s="166">
        <f t="shared" si="44"/>
        <v>1227.192538928876</v>
      </c>
      <c r="K133" s="180">
        <f t="shared" si="45"/>
        <v>68.177363273826444</v>
      </c>
      <c r="L133" s="460"/>
      <c r="M133" s="181">
        <f>RANK(K133, K$112:$K$141)</f>
        <v>23</v>
      </c>
      <c r="N133" s="462"/>
      <c r="O133" s="462"/>
      <c r="P133" s="166">
        <v>18</v>
      </c>
      <c r="Q133" s="166">
        <v>1244.3478260869565</v>
      </c>
      <c r="R133" s="166">
        <v>69.130434782608688</v>
      </c>
      <c r="S133" s="182">
        <f t="shared" si="46"/>
        <v>21</v>
      </c>
      <c r="T133" s="491"/>
      <c r="U133" s="166">
        <v>18</v>
      </c>
      <c r="V133" s="166">
        <v>1238.6666666666667</v>
      </c>
      <c r="W133" s="166">
        <v>68.814814814814824</v>
      </c>
      <c r="X133" s="182">
        <f t="shared" si="47"/>
        <v>22</v>
      </c>
      <c r="Y133" s="491"/>
      <c r="Z133" s="166">
        <v>18</v>
      </c>
      <c r="AA133" s="166">
        <v>1209.3333333333333</v>
      </c>
      <c r="AB133" s="166">
        <v>67.185185185185176</v>
      </c>
      <c r="AC133" s="182">
        <f t="shared" si="48"/>
        <v>24</v>
      </c>
      <c r="AD133" s="491"/>
      <c r="AE133" s="166">
        <v>18</v>
      </c>
      <c r="AF133" s="166">
        <v>1211.6129032258077</v>
      </c>
      <c r="AG133" s="166">
        <v>67.311827956989319</v>
      </c>
      <c r="AH133" s="182">
        <f t="shared" si="49"/>
        <v>24</v>
      </c>
      <c r="AI133" s="491"/>
      <c r="AJ133" s="166">
        <v>18</v>
      </c>
      <c r="AK133" s="166">
        <v>1227.1428571428567</v>
      </c>
      <c r="AL133" s="166">
        <v>68.174603174603149</v>
      </c>
      <c r="AM133" s="182">
        <f t="shared" si="50"/>
        <v>24</v>
      </c>
      <c r="AN133" s="491"/>
      <c r="AO133" s="166">
        <v>18</v>
      </c>
      <c r="AP133" s="166">
        <v>1216.7441860465115</v>
      </c>
      <c r="AQ133" s="166">
        <v>67.596899224806194</v>
      </c>
      <c r="AR133" s="182">
        <f t="shared" si="51"/>
        <v>23</v>
      </c>
      <c r="AS133" s="491"/>
      <c r="AT133" s="166">
        <v>18</v>
      </c>
      <c r="AU133" s="166">
        <v>1242.5000000000005</v>
      </c>
      <c r="AV133" s="166">
        <v>69.0277777777778</v>
      </c>
      <c r="AW133" s="182">
        <f t="shared" si="52"/>
        <v>23</v>
      </c>
      <c r="AX133" s="491"/>
    </row>
    <row r="134" spans="2:50">
      <c r="B134" s="479"/>
      <c r="C134" s="182">
        <v>23</v>
      </c>
      <c r="D134" s="203" t="s">
        <v>300</v>
      </c>
      <c r="E134" s="166">
        <v>20</v>
      </c>
      <c r="F134" s="182">
        <v>1500</v>
      </c>
      <c r="G134" s="180">
        <v>75</v>
      </c>
      <c r="H134" s="460"/>
      <c r="I134" s="166">
        <f t="shared" si="43"/>
        <v>20</v>
      </c>
      <c r="J134" s="166">
        <f t="shared" si="44"/>
        <v>1080.0261347096837</v>
      </c>
      <c r="K134" s="180">
        <f t="shared" si="45"/>
        <v>54.001306735484185</v>
      </c>
      <c r="L134" s="460"/>
      <c r="M134" s="181">
        <f>RANK(K134, K$112:$K$141)</f>
        <v>27</v>
      </c>
      <c r="N134" s="462"/>
      <c r="O134" s="462"/>
      <c r="P134" s="166">
        <v>20</v>
      </c>
      <c r="Q134" s="166">
        <v>1071.6923076923088</v>
      </c>
      <c r="R134" s="166">
        <v>53.584615384615439</v>
      </c>
      <c r="S134" s="182">
        <f t="shared" si="46"/>
        <v>30</v>
      </c>
      <c r="T134" s="491"/>
      <c r="U134" s="166">
        <v>20</v>
      </c>
      <c r="V134" s="166">
        <v>1072.1311475409846</v>
      </c>
      <c r="W134" s="166">
        <v>53.606557377049228</v>
      </c>
      <c r="X134" s="182">
        <f t="shared" si="47"/>
        <v>30</v>
      </c>
      <c r="Y134" s="491"/>
      <c r="Z134" s="166">
        <v>20</v>
      </c>
      <c r="AA134" s="166">
        <v>1056.0000000000007</v>
      </c>
      <c r="AB134" s="166">
        <v>52.800000000000033</v>
      </c>
      <c r="AC134" s="182">
        <f t="shared" si="48"/>
        <v>30</v>
      </c>
      <c r="AD134" s="491"/>
      <c r="AE134" s="166">
        <v>20</v>
      </c>
      <c r="AF134" s="166">
        <v>1102.9090909090917</v>
      </c>
      <c r="AG134" s="166">
        <v>55.145454545454584</v>
      </c>
      <c r="AH134" s="182">
        <f t="shared" si="49"/>
        <v>30</v>
      </c>
      <c r="AI134" s="491"/>
      <c r="AJ134" s="166">
        <v>20</v>
      </c>
      <c r="AK134" s="166">
        <v>1101.1111111111118</v>
      </c>
      <c r="AL134" s="166">
        <v>55.055555555555586</v>
      </c>
      <c r="AM134" s="182">
        <f t="shared" si="50"/>
        <v>30</v>
      </c>
      <c r="AN134" s="491"/>
      <c r="AO134" s="166">
        <v>20</v>
      </c>
      <c r="AP134" s="166">
        <v>1070.6250000000014</v>
      </c>
      <c r="AQ134" s="166">
        <v>53.531250000000071</v>
      </c>
      <c r="AR134" s="182">
        <f t="shared" si="51"/>
        <v>30</v>
      </c>
      <c r="AS134" s="491"/>
      <c r="AT134" s="166">
        <v>20</v>
      </c>
      <c r="AU134" s="166">
        <v>1085.7142857142867</v>
      </c>
      <c r="AV134" s="166">
        <v>54.285714285714334</v>
      </c>
      <c r="AW134" s="182">
        <f t="shared" si="52"/>
        <v>30</v>
      </c>
      <c r="AX134" s="491"/>
    </row>
    <row r="135" spans="2:50">
      <c r="B135" s="479"/>
      <c r="C135" s="182">
        <v>24</v>
      </c>
      <c r="D135" s="203" t="s">
        <v>301</v>
      </c>
      <c r="E135" s="166">
        <v>17</v>
      </c>
      <c r="F135" s="182">
        <v>1440</v>
      </c>
      <c r="G135" s="180">
        <v>84.7</v>
      </c>
      <c r="H135" s="460"/>
      <c r="I135" s="166">
        <f t="shared" si="43"/>
        <v>16.857142857142858</v>
      </c>
      <c r="J135" s="166">
        <f t="shared" si="44"/>
        <v>1277.7942492658256</v>
      </c>
      <c r="K135" s="180">
        <f t="shared" si="45"/>
        <v>75.830816615909313</v>
      </c>
      <c r="L135" s="460"/>
      <c r="M135" s="181">
        <f>RANK(K135, K$112:$K$141)</f>
        <v>10</v>
      </c>
      <c r="N135" s="462"/>
      <c r="O135" s="462"/>
      <c r="P135" s="182">
        <v>16</v>
      </c>
      <c r="Q135" s="180">
        <v>1268.9189189189178</v>
      </c>
      <c r="R135" s="180">
        <v>79.307432432432364</v>
      </c>
      <c r="S135" s="182">
        <f t="shared" si="46"/>
        <v>6</v>
      </c>
      <c r="T135" s="491"/>
      <c r="U135" s="182">
        <v>17</v>
      </c>
      <c r="V135" s="180">
        <v>1246.3636363636376</v>
      </c>
      <c r="W135" s="180">
        <v>73.315508021390443</v>
      </c>
      <c r="X135" s="182">
        <f t="shared" si="47"/>
        <v>17</v>
      </c>
      <c r="Y135" s="491"/>
      <c r="Z135" s="182">
        <v>17</v>
      </c>
      <c r="AA135" s="180">
        <v>1302.2222222222231</v>
      </c>
      <c r="AB135" s="180">
        <v>76.601307189542538</v>
      </c>
      <c r="AC135" s="182">
        <f t="shared" si="48"/>
        <v>8</v>
      </c>
      <c r="AD135" s="491"/>
      <c r="AE135" s="182">
        <v>17</v>
      </c>
      <c r="AF135" s="180">
        <v>1258.9830508474586</v>
      </c>
      <c r="AG135" s="180">
        <v>74.057826520438738</v>
      </c>
      <c r="AH135" s="182">
        <f t="shared" si="49"/>
        <v>8</v>
      </c>
      <c r="AI135" s="491"/>
      <c r="AJ135" s="182">
        <v>17</v>
      </c>
      <c r="AK135" s="180">
        <v>1303.5483870967753</v>
      </c>
      <c r="AL135" s="180">
        <v>76.679316888045605</v>
      </c>
      <c r="AM135" s="182">
        <f t="shared" si="50"/>
        <v>9</v>
      </c>
      <c r="AN135" s="491"/>
      <c r="AO135" s="182">
        <v>17</v>
      </c>
      <c r="AP135" s="180">
        <v>1283.8235294117653</v>
      </c>
      <c r="AQ135" s="180">
        <v>75.519031141868552</v>
      </c>
      <c r="AR135" s="182">
        <f t="shared" si="51"/>
        <v>10</v>
      </c>
      <c r="AS135" s="491"/>
      <c r="AT135" s="182">
        <v>17</v>
      </c>
      <c r="AU135" s="180">
        <v>1280.7000000000003</v>
      </c>
      <c r="AV135" s="180">
        <v>75.335294117647081</v>
      </c>
      <c r="AW135" s="182">
        <f t="shared" si="52"/>
        <v>12</v>
      </c>
      <c r="AX135" s="491"/>
    </row>
    <row r="136" spans="2:50">
      <c r="B136" s="479"/>
      <c r="C136" s="182">
        <v>25</v>
      </c>
      <c r="D136" s="203" t="s">
        <v>302</v>
      </c>
      <c r="E136" s="166">
        <v>18</v>
      </c>
      <c r="F136" s="182">
        <v>1385</v>
      </c>
      <c r="G136" s="180">
        <v>76.900000000000006</v>
      </c>
      <c r="H136" s="460"/>
      <c r="I136" s="166">
        <f t="shared" ref="I136:I137" si="53">AVERAGE(P136,U136,Z136,AE136,AJ136,AO136,AT136)</f>
        <v>19</v>
      </c>
      <c r="J136" s="166">
        <f t="shared" ref="J136:J137" si="54">AVERAGE(Q136,V136,AA136,AF136,AK136,AP136,AU136)</f>
        <v>1112.4242015864759</v>
      </c>
      <c r="K136" s="180">
        <f t="shared" ref="K136:K137" si="55">AVERAGE(R136,W136,AB136,AG136,AL136,AQ136,AV136)</f>
        <v>58.548642188761889</v>
      </c>
      <c r="L136" s="460"/>
      <c r="M136" s="181">
        <f>RANK(K136, K$112:$K$141)</f>
        <v>26</v>
      </c>
      <c r="N136" s="462"/>
      <c r="O136" s="462"/>
      <c r="P136" s="182">
        <v>19</v>
      </c>
      <c r="Q136" s="180">
        <v>1102.6086956521729</v>
      </c>
      <c r="R136" s="180">
        <v>58.032036613272254</v>
      </c>
      <c r="S136" s="182">
        <f t="shared" si="46"/>
        <v>29</v>
      </c>
      <c r="T136" s="491"/>
      <c r="U136" s="182">
        <v>19</v>
      </c>
      <c r="V136" s="180">
        <v>1210.8196721311485</v>
      </c>
      <c r="W136" s="180">
        <v>63.727351164797291</v>
      </c>
      <c r="X136" s="182">
        <f t="shared" si="47"/>
        <v>28</v>
      </c>
      <c r="Y136" s="491"/>
      <c r="Z136" s="182">
        <v>19</v>
      </c>
      <c r="AA136" s="180">
        <v>1089.4736842105272</v>
      </c>
      <c r="AB136" s="180">
        <v>57.340720221606695</v>
      </c>
      <c r="AC136" s="182">
        <f t="shared" si="48"/>
        <v>29</v>
      </c>
      <c r="AD136" s="491"/>
      <c r="AE136" s="182">
        <v>19</v>
      </c>
      <c r="AF136" s="180">
        <v>1106.2500000000014</v>
      </c>
      <c r="AG136" s="180">
        <v>58.223684210526386</v>
      </c>
      <c r="AH136" s="182">
        <f t="shared" si="49"/>
        <v>29</v>
      </c>
      <c r="AI136" s="491"/>
      <c r="AJ136" s="182">
        <v>19</v>
      </c>
      <c r="AK136" s="180">
        <v>1094.7692307692321</v>
      </c>
      <c r="AL136" s="180">
        <v>57.619433198380634</v>
      </c>
      <c r="AM136" s="182">
        <f t="shared" si="50"/>
        <v>29</v>
      </c>
      <c r="AN136" s="491"/>
      <c r="AO136" s="182">
        <v>19</v>
      </c>
      <c r="AP136" s="180">
        <v>1113.6363636363649</v>
      </c>
      <c r="AQ136" s="180">
        <v>58.612440191387627</v>
      </c>
      <c r="AR136" s="182">
        <f t="shared" si="51"/>
        <v>29</v>
      </c>
      <c r="AS136" s="491"/>
      <c r="AT136" s="182">
        <v>19</v>
      </c>
      <c r="AU136" s="180">
        <v>1069.4117647058836</v>
      </c>
      <c r="AV136" s="180">
        <v>56.284829721362293</v>
      </c>
      <c r="AW136" s="182">
        <f t="shared" si="52"/>
        <v>29</v>
      </c>
      <c r="AX136" s="491"/>
    </row>
    <row r="137" spans="2:50">
      <c r="B137" s="479"/>
      <c r="C137" s="182">
        <v>26</v>
      </c>
      <c r="D137" s="203" t="s">
        <v>303</v>
      </c>
      <c r="E137" s="166">
        <v>18</v>
      </c>
      <c r="F137" s="182">
        <v>1440</v>
      </c>
      <c r="G137" s="180">
        <v>80</v>
      </c>
      <c r="H137" s="460"/>
      <c r="I137" s="166">
        <f t="shared" si="53"/>
        <v>18</v>
      </c>
      <c r="J137" s="166">
        <f t="shared" si="54"/>
        <v>1264.0339940711317</v>
      </c>
      <c r="K137" s="180">
        <f t="shared" si="55"/>
        <v>70.22411078172955</v>
      </c>
      <c r="L137" s="460"/>
      <c r="M137" s="181">
        <f>RANK(K137, K$112:$K$141)</f>
        <v>19</v>
      </c>
      <c r="N137" s="462"/>
      <c r="O137" s="462"/>
      <c r="P137" s="182">
        <v>18</v>
      </c>
      <c r="Q137" s="180">
        <v>1248.9473684210516</v>
      </c>
      <c r="R137" s="180">
        <v>69.385964912280642</v>
      </c>
      <c r="S137" s="182">
        <f t="shared" si="46"/>
        <v>20</v>
      </c>
      <c r="T137" s="491"/>
      <c r="U137" s="182">
        <v>18</v>
      </c>
      <c r="V137" s="180">
        <v>1268.1081081081072</v>
      </c>
      <c r="W137" s="180">
        <v>70.450450450450404</v>
      </c>
      <c r="X137" s="182">
        <f t="shared" si="47"/>
        <v>20</v>
      </c>
      <c r="Y137" s="491"/>
      <c r="Z137" s="182">
        <v>18</v>
      </c>
      <c r="AA137" s="180">
        <v>1285.1612903225787</v>
      </c>
      <c r="AB137" s="180">
        <v>71.397849462365485</v>
      </c>
      <c r="AC137" s="182">
        <f t="shared" si="48"/>
        <v>15</v>
      </c>
      <c r="AD137" s="491"/>
      <c r="AE137" s="182">
        <v>18</v>
      </c>
      <c r="AF137" s="180">
        <v>1269.0909090909074</v>
      </c>
      <c r="AG137" s="180">
        <v>70.505050505050406</v>
      </c>
      <c r="AH137" s="182">
        <f t="shared" si="49"/>
        <v>16</v>
      </c>
      <c r="AI137" s="491"/>
      <c r="AJ137" s="182">
        <v>18</v>
      </c>
      <c r="AK137" s="180">
        <v>1254.3749999999982</v>
      </c>
      <c r="AL137" s="180">
        <v>69.687499999999901</v>
      </c>
      <c r="AM137" s="182">
        <f t="shared" si="50"/>
        <v>20</v>
      </c>
      <c r="AN137" s="491"/>
      <c r="AO137" s="182">
        <v>18</v>
      </c>
      <c r="AP137" s="180">
        <v>1238.9189189189178</v>
      </c>
      <c r="AQ137" s="180">
        <v>68.828828828828762</v>
      </c>
      <c r="AR137" s="182">
        <f t="shared" si="51"/>
        <v>22</v>
      </c>
      <c r="AS137" s="491"/>
      <c r="AT137" s="182">
        <v>18</v>
      </c>
      <c r="AU137" s="180">
        <v>1283.6363636363619</v>
      </c>
      <c r="AV137" s="180">
        <v>71.313131313131223</v>
      </c>
      <c r="AW137" s="182">
        <f t="shared" si="52"/>
        <v>19</v>
      </c>
      <c r="AX137" s="491"/>
    </row>
    <row r="138" spans="2:50">
      <c r="B138" s="479"/>
      <c r="C138" s="182">
        <v>27</v>
      </c>
      <c r="D138" s="203" t="s">
        <v>304</v>
      </c>
      <c r="E138" s="166">
        <v>17</v>
      </c>
      <c r="F138" s="182">
        <v>1440</v>
      </c>
      <c r="G138" s="180">
        <v>84.7</v>
      </c>
      <c r="H138" s="460"/>
      <c r="I138" s="166">
        <f t="shared" ref="I138" si="56">AVERAGE(P138,U138,Z138,AE138,AJ138,AO138,AT138)</f>
        <v>16</v>
      </c>
      <c r="J138" s="166">
        <f t="shared" ref="J138" si="57">AVERAGE(Q138,V138,AA138,AF138,AK138,AP138,AU138)</f>
        <v>1232.8708954529477</v>
      </c>
      <c r="K138" s="180">
        <f t="shared" ref="K138" si="58">AVERAGE(R138,W138,AB138,AG138,AL138,AQ138,AV138)</f>
        <v>77.054430965809232</v>
      </c>
      <c r="L138" s="460"/>
      <c r="M138" s="181">
        <f>RANK(K138, K$112:$K$141)</f>
        <v>8</v>
      </c>
      <c r="N138" s="462"/>
      <c r="O138" s="462"/>
      <c r="P138" s="182">
        <v>16</v>
      </c>
      <c r="Q138" s="180">
        <v>1210.4347826086944</v>
      </c>
      <c r="R138" s="180">
        <v>75.652173913043399</v>
      </c>
      <c r="S138" s="182">
        <f t="shared" si="46"/>
        <v>7</v>
      </c>
      <c r="T138" s="491"/>
      <c r="U138" s="182">
        <v>16</v>
      </c>
      <c r="V138" s="180">
        <v>1253.2258064516141</v>
      </c>
      <c r="W138" s="180">
        <v>78.326612903225879</v>
      </c>
      <c r="X138" s="182">
        <f t="shared" si="47"/>
        <v>8</v>
      </c>
      <c r="Y138" s="491"/>
      <c r="Z138" s="182">
        <v>16</v>
      </c>
      <c r="AA138" s="180">
        <v>1223.7931034482767</v>
      </c>
      <c r="AB138" s="180">
        <v>76.487068965517295</v>
      </c>
      <c r="AC138" s="182">
        <f t="shared" si="48"/>
        <v>9</v>
      </c>
      <c r="AD138" s="491"/>
      <c r="AE138" s="182">
        <v>16</v>
      </c>
      <c r="AF138" s="180">
        <v>1234.4262295081978</v>
      </c>
      <c r="AG138" s="180">
        <v>77.151639344262364</v>
      </c>
      <c r="AH138" s="182">
        <f t="shared" si="49"/>
        <v>6</v>
      </c>
      <c r="AI138" s="491"/>
      <c r="AJ138" s="182">
        <v>16</v>
      </c>
      <c r="AK138" s="180">
        <v>1234.1538461538476</v>
      </c>
      <c r="AL138" s="180">
        <v>77.134615384615472</v>
      </c>
      <c r="AM138" s="182">
        <f t="shared" si="50"/>
        <v>8</v>
      </c>
      <c r="AN138" s="491"/>
      <c r="AO138" s="182">
        <v>16</v>
      </c>
      <c r="AP138" s="180">
        <v>1230.0000000000016</v>
      </c>
      <c r="AQ138" s="180">
        <v>76.875000000000099</v>
      </c>
      <c r="AR138" s="182">
        <f t="shared" si="51"/>
        <v>7</v>
      </c>
      <c r="AS138" s="491"/>
      <c r="AT138" s="182">
        <v>16</v>
      </c>
      <c r="AU138" s="180">
        <v>1244.0625000000014</v>
      </c>
      <c r="AV138" s="180">
        <v>77.753906250000085</v>
      </c>
      <c r="AW138" s="182">
        <f t="shared" si="52"/>
        <v>10</v>
      </c>
      <c r="AX138" s="491"/>
    </row>
    <row r="139" spans="2:50">
      <c r="B139" s="479"/>
      <c r="C139" s="182">
        <v>28</v>
      </c>
      <c r="D139" s="203" t="s">
        <v>306</v>
      </c>
      <c r="E139" s="166">
        <v>21</v>
      </c>
      <c r="F139" s="182">
        <v>1440</v>
      </c>
      <c r="G139" s="180">
        <v>71.400000000000006</v>
      </c>
      <c r="H139" s="460"/>
      <c r="I139" s="166"/>
      <c r="J139" s="166"/>
      <c r="K139" s="180"/>
      <c r="L139" s="460"/>
      <c r="M139" s="181" t="e">
        <f>RANK(K139, K$112:$K$141)</f>
        <v>#N/A</v>
      </c>
      <c r="N139" s="462"/>
      <c r="O139" s="462"/>
      <c r="P139" s="182">
        <v>20</v>
      </c>
      <c r="Q139" s="180">
        <v>1191.7241379310353</v>
      </c>
      <c r="R139" s="180">
        <v>59.586206896551765</v>
      </c>
      <c r="S139" s="182">
        <f t="shared" si="46"/>
        <v>28</v>
      </c>
      <c r="T139" s="491"/>
      <c r="U139" s="182">
        <v>20</v>
      </c>
      <c r="V139" s="180">
        <v>1202.0172413793111</v>
      </c>
      <c r="W139" s="180">
        <v>60.100862068965554</v>
      </c>
      <c r="X139" s="182">
        <f t="shared" si="47"/>
        <v>29</v>
      </c>
      <c r="Y139" s="491"/>
      <c r="Z139" s="182">
        <v>20</v>
      </c>
      <c r="AA139" s="180">
        <v>1178.4375000000014</v>
      </c>
      <c r="AB139" s="180">
        <v>58.921875000000071</v>
      </c>
      <c r="AC139" s="182">
        <f t="shared" si="48"/>
        <v>28</v>
      </c>
      <c r="AD139" s="491"/>
      <c r="AE139" s="182">
        <v>20</v>
      </c>
      <c r="AF139" s="180">
        <v>1175.4545454545466</v>
      </c>
      <c r="AG139" s="180">
        <v>58.77272727272733</v>
      </c>
      <c r="AH139" s="182">
        <f t="shared" si="49"/>
        <v>28</v>
      </c>
      <c r="AI139" s="491"/>
      <c r="AJ139" s="182">
        <v>20</v>
      </c>
      <c r="AK139" s="180">
        <v>1195.4545454545469</v>
      </c>
      <c r="AL139" s="180">
        <v>59.772727272727344</v>
      </c>
      <c r="AM139" s="182">
        <f t="shared" si="50"/>
        <v>28</v>
      </c>
      <c r="AN139" s="491"/>
      <c r="AO139" s="182">
        <v>20</v>
      </c>
      <c r="AP139" s="180">
        <v>1183.8805970149267</v>
      </c>
      <c r="AQ139" s="180">
        <v>59.194029850746332</v>
      </c>
      <c r="AR139" s="182">
        <f t="shared" si="51"/>
        <v>28</v>
      </c>
      <c r="AS139" s="491"/>
      <c r="AT139" s="182">
        <v>20</v>
      </c>
      <c r="AU139" s="180">
        <v>1182.3529411764721</v>
      </c>
      <c r="AV139" s="180">
        <v>59.117647058823607</v>
      </c>
      <c r="AW139" s="182">
        <f t="shared" si="52"/>
        <v>28</v>
      </c>
      <c r="AX139" s="491"/>
    </row>
    <row r="140" spans="2:50">
      <c r="B140" s="479"/>
      <c r="C140" s="182">
        <v>29</v>
      </c>
      <c r="D140" s="203" t="s">
        <v>307</v>
      </c>
      <c r="E140" s="166">
        <v>18</v>
      </c>
      <c r="F140" s="182">
        <v>1440</v>
      </c>
      <c r="G140" s="180">
        <v>84.7</v>
      </c>
      <c r="H140" s="460"/>
      <c r="I140" s="182"/>
      <c r="J140" s="182"/>
      <c r="K140" s="182"/>
      <c r="L140" s="460"/>
      <c r="M140" s="181" t="e">
        <f>RANK(K140, K$112:$K$141)</f>
        <v>#N/A</v>
      </c>
      <c r="N140" s="462"/>
      <c r="O140" s="462"/>
      <c r="P140" s="182">
        <v>18</v>
      </c>
      <c r="Q140" s="182">
        <v>1240.6097560975604</v>
      </c>
      <c r="R140" s="182">
        <v>68.922764227642247</v>
      </c>
      <c r="S140" s="182">
        <f t="shared" si="46"/>
        <v>22</v>
      </c>
      <c r="T140" s="491"/>
      <c r="U140" s="182">
        <v>17</v>
      </c>
      <c r="V140" s="182">
        <v>1265.7352941176455</v>
      </c>
      <c r="W140" s="182">
        <v>74.455017301037969</v>
      </c>
      <c r="X140" s="182">
        <f t="shared" si="47"/>
        <v>14</v>
      </c>
      <c r="Y140" s="491"/>
      <c r="Z140" s="182">
        <v>17</v>
      </c>
      <c r="AA140" s="182">
        <v>1278.8181818181863</v>
      </c>
      <c r="AB140" s="182">
        <v>75.224598930481548</v>
      </c>
      <c r="AC140" s="182">
        <f t="shared" si="48"/>
        <v>11</v>
      </c>
      <c r="AD140" s="491"/>
      <c r="AE140" s="182">
        <v>18</v>
      </c>
      <c r="AF140" s="182">
        <v>1254.2307692307697</v>
      </c>
      <c r="AG140" s="182">
        <v>69.679487179487211</v>
      </c>
      <c r="AH140" s="182">
        <f t="shared" si="49"/>
        <v>20</v>
      </c>
      <c r="AI140" s="491"/>
      <c r="AJ140" s="182">
        <v>18</v>
      </c>
      <c r="AK140" s="182">
        <v>1314.33962264151</v>
      </c>
      <c r="AL140" s="182">
        <v>73.018867924528337</v>
      </c>
      <c r="AM140" s="182">
        <f t="shared" si="50"/>
        <v>17</v>
      </c>
      <c r="AN140" s="491"/>
      <c r="AO140" s="182">
        <v>18</v>
      </c>
      <c r="AP140" s="182">
        <v>1272.5806451612914</v>
      </c>
      <c r="AQ140" s="182">
        <v>70.698924731182856</v>
      </c>
      <c r="AR140" s="182">
        <f t="shared" si="51"/>
        <v>19</v>
      </c>
      <c r="AS140" s="491"/>
      <c r="AT140" s="182">
        <v>18</v>
      </c>
      <c r="AU140" s="182">
        <v>1311.6923076923092</v>
      </c>
      <c r="AV140" s="182">
        <v>72.871794871794961</v>
      </c>
      <c r="AW140" s="182">
        <f t="shared" si="52"/>
        <v>18</v>
      </c>
      <c r="AX140" s="491"/>
    </row>
    <row r="141" spans="2:50">
      <c r="B141" s="479"/>
      <c r="C141" s="182">
        <v>30</v>
      </c>
      <c r="D141" s="203" t="s">
        <v>308</v>
      </c>
      <c r="E141" s="166">
        <v>20</v>
      </c>
      <c r="F141" s="182">
        <v>1500</v>
      </c>
      <c r="G141" s="180">
        <v>75</v>
      </c>
      <c r="H141" s="461"/>
      <c r="I141" s="182"/>
      <c r="J141" s="182"/>
      <c r="K141" s="182"/>
      <c r="L141" s="461"/>
      <c r="M141" s="181" t="e">
        <f>RANK(K141, K$112:$K$141)</f>
        <v>#N/A</v>
      </c>
      <c r="N141" s="462"/>
      <c r="O141" s="462"/>
      <c r="P141" s="182">
        <v>20</v>
      </c>
      <c r="Q141" s="182">
        <v>1277.0704225352101</v>
      </c>
      <c r="R141" s="182">
        <v>63.853521126760505</v>
      </c>
      <c r="S141" s="182">
        <f t="shared" si="46"/>
        <v>27</v>
      </c>
      <c r="T141" s="491"/>
      <c r="U141" s="182">
        <v>20</v>
      </c>
      <c r="V141" s="182">
        <v>1308.4848484848487</v>
      </c>
      <c r="W141" s="182">
        <v>65.424242424242436</v>
      </c>
      <c r="X141" s="182">
        <f t="shared" si="47"/>
        <v>26</v>
      </c>
      <c r="Y141" s="491"/>
      <c r="Z141" s="182">
        <v>20</v>
      </c>
      <c r="AA141" s="182">
        <v>1256.7627906976741</v>
      </c>
      <c r="AB141" s="182">
        <v>62.838139534883702</v>
      </c>
      <c r="AC141" s="182">
        <f t="shared" si="48"/>
        <v>27</v>
      </c>
      <c r="AD141" s="491"/>
      <c r="AE141" s="182">
        <v>20</v>
      </c>
      <c r="AF141" s="182">
        <v>1281.4285714285722</v>
      </c>
      <c r="AG141" s="182">
        <v>64.071428571428612</v>
      </c>
      <c r="AH141" s="182">
        <f t="shared" si="49"/>
        <v>26</v>
      </c>
      <c r="AI141" s="491"/>
      <c r="AJ141" s="182">
        <v>19</v>
      </c>
      <c r="AK141" s="182">
        <v>1263.7625000000005</v>
      </c>
      <c r="AL141" s="182">
        <v>66.513815789473711</v>
      </c>
      <c r="AM141" s="182">
        <f t="shared" si="50"/>
        <v>26</v>
      </c>
      <c r="AN141" s="491"/>
      <c r="AO141" s="182">
        <v>20</v>
      </c>
      <c r="AP141" s="182">
        <v>1265.0814814814812</v>
      </c>
      <c r="AQ141" s="182">
        <v>63.254074074074062</v>
      </c>
      <c r="AR141" s="182">
        <f t="shared" si="51"/>
        <v>27</v>
      </c>
      <c r="AS141" s="491"/>
      <c r="AT141" s="182">
        <v>20</v>
      </c>
      <c r="AU141" s="182">
        <v>1287.2727272727279</v>
      </c>
      <c r="AV141" s="182">
        <v>64.363636363636402</v>
      </c>
      <c r="AW141" s="182">
        <f t="shared" si="52"/>
        <v>26</v>
      </c>
      <c r="AX141" s="491"/>
    </row>
    <row r="142" spans="2:50" ht="15.75">
      <c r="B142" s="480" t="s">
        <v>201</v>
      </c>
      <c r="C142" s="481"/>
      <c r="D142" s="481"/>
      <c r="E142" s="481"/>
      <c r="F142" s="481"/>
      <c r="G142" s="481"/>
      <c r="H142" s="481"/>
      <c r="I142" s="186"/>
      <c r="J142" s="186"/>
      <c r="K142" s="186"/>
      <c r="L142" s="186"/>
      <c r="M142" s="185"/>
      <c r="N142" s="469" t="s">
        <v>202</v>
      </c>
      <c r="O142" s="469" t="s">
        <v>150</v>
      </c>
      <c r="P142" s="478">
        <f>P107+7</f>
        <v>46414</v>
      </c>
      <c r="Q142" s="479"/>
      <c r="R142" s="479"/>
      <c r="S142" s="479"/>
      <c r="T142" s="479"/>
      <c r="U142" s="475">
        <f>P142+1</f>
        <v>46415</v>
      </c>
      <c r="V142" s="476"/>
      <c r="W142" s="476"/>
      <c r="X142" s="476"/>
      <c r="Y142" s="477"/>
      <c r="Z142" s="475">
        <f>U142+1</f>
        <v>46416</v>
      </c>
      <c r="AA142" s="476"/>
      <c r="AB142" s="476"/>
      <c r="AC142" s="476"/>
      <c r="AD142" s="477"/>
      <c r="AE142" s="475">
        <f>Z142+1</f>
        <v>46417</v>
      </c>
      <c r="AF142" s="476"/>
      <c r="AG142" s="476"/>
      <c r="AH142" s="476"/>
      <c r="AI142" s="477"/>
      <c r="AJ142" s="475">
        <f>AE142+1</f>
        <v>46418</v>
      </c>
      <c r="AK142" s="476"/>
      <c r="AL142" s="476"/>
      <c r="AM142" s="476"/>
      <c r="AN142" s="477"/>
      <c r="AO142" s="475">
        <f>AJ142+1</f>
        <v>46419</v>
      </c>
      <c r="AP142" s="476"/>
      <c r="AQ142" s="476"/>
      <c r="AR142" s="476"/>
      <c r="AS142" s="477"/>
      <c r="AT142" s="475">
        <f>AO142+1</f>
        <v>46420</v>
      </c>
      <c r="AU142" s="476"/>
      <c r="AV142" s="476"/>
      <c r="AW142" s="476"/>
      <c r="AX142" s="477"/>
    </row>
    <row r="143" spans="2:50" ht="15.75">
      <c r="B143" s="482"/>
      <c r="C143" s="482"/>
      <c r="D143" s="482"/>
      <c r="E143" s="482"/>
      <c r="F143" s="482"/>
      <c r="G143" s="482"/>
      <c r="H143" s="482"/>
      <c r="I143" s="184"/>
      <c r="J143" s="184"/>
      <c r="K143" s="184"/>
      <c r="L143" s="184"/>
      <c r="M143" s="179"/>
      <c r="N143" s="471"/>
      <c r="O143" s="471"/>
      <c r="P143" s="478" t="s">
        <v>203</v>
      </c>
      <c r="Q143" s="479"/>
      <c r="R143" s="479"/>
      <c r="S143" s="479"/>
      <c r="T143" s="479"/>
      <c r="U143" s="478" t="s">
        <v>204</v>
      </c>
      <c r="V143" s="479"/>
      <c r="W143" s="479"/>
      <c r="X143" s="479"/>
      <c r="Y143" s="479"/>
      <c r="Z143" s="478" t="s">
        <v>205</v>
      </c>
      <c r="AA143" s="479"/>
      <c r="AB143" s="479"/>
      <c r="AC143" s="479"/>
      <c r="AD143" s="479"/>
      <c r="AE143" s="478" t="s">
        <v>206</v>
      </c>
      <c r="AF143" s="479"/>
      <c r="AG143" s="479"/>
      <c r="AH143" s="479"/>
      <c r="AI143" s="479"/>
      <c r="AJ143" s="478" t="s">
        <v>207</v>
      </c>
      <c r="AK143" s="479"/>
      <c r="AL143" s="479"/>
      <c r="AM143" s="479"/>
      <c r="AN143" s="479"/>
      <c r="AO143" s="478" t="s">
        <v>157</v>
      </c>
      <c r="AP143" s="479"/>
      <c r="AQ143" s="479"/>
      <c r="AR143" s="479"/>
      <c r="AS143" s="479"/>
      <c r="AT143" s="478" t="s">
        <v>208</v>
      </c>
      <c r="AU143" s="479"/>
      <c r="AV143" s="479"/>
      <c r="AW143" s="479"/>
      <c r="AX143" s="479"/>
    </row>
    <row r="144" spans="2:50">
      <c r="B144" s="462" t="s">
        <v>209</v>
      </c>
      <c r="C144" s="462" t="s">
        <v>210</v>
      </c>
      <c r="D144" s="462"/>
      <c r="E144" s="462" t="s">
        <v>211</v>
      </c>
      <c r="F144" s="462"/>
      <c r="G144" s="462"/>
      <c r="H144" s="463" t="s">
        <v>212</v>
      </c>
      <c r="I144" s="462" t="s">
        <v>213</v>
      </c>
      <c r="J144" s="462"/>
      <c r="K144" s="462"/>
      <c r="L144" s="463" t="s">
        <v>212</v>
      </c>
      <c r="M144" s="469" t="s">
        <v>214</v>
      </c>
      <c r="N144" s="462"/>
      <c r="O144" s="462" t="s">
        <v>215</v>
      </c>
      <c r="P144" s="466" t="s">
        <v>216</v>
      </c>
      <c r="Q144" s="467"/>
      <c r="R144" s="467"/>
      <c r="S144" s="468"/>
      <c r="T144" s="462" t="s">
        <v>212</v>
      </c>
      <c r="U144" s="466" t="s">
        <v>216</v>
      </c>
      <c r="V144" s="467"/>
      <c r="W144" s="467"/>
      <c r="X144" s="468"/>
      <c r="Y144" s="462" t="s">
        <v>212</v>
      </c>
      <c r="Z144" s="466" t="s">
        <v>216</v>
      </c>
      <c r="AA144" s="467"/>
      <c r="AB144" s="467"/>
      <c r="AC144" s="468"/>
      <c r="AD144" s="462" t="s">
        <v>212</v>
      </c>
      <c r="AE144" s="466" t="s">
        <v>216</v>
      </c>
      <c r="AF144" s="467"/>
      <c r="AG144" s="467"/>
      <c r="AH144" s="468"/>
      <c r="AI144" s="462" t="s">
        <v>212</v>
      </c>
      <c r="AJ144" s="466" t="s">
        <v>216</v>
      </c>
      <c r="AK144" s="467"/>
      <c r="AL144" s="467"/>
      <c r="AM144" s="468"/>
      <c r="AN144" s="462" t="s">
        <v>212</v>
      </c>
      <c r="AO144" s="466" t="s">
        <v>216</v>
      </c>
      <c r="AP144" s="467"/>
      <c r="AQ144" s="467"/>
      <c r="AR144" s="468"/>
      <c r="AS144" s="462" t="s">
        <v>212</v>
      </c>
      <c r="AT144" s="466" t="s">
        <v>216</v>
      </c>
      <c r="AU144" s="467"/>
      <c r="AV144" s="467"/>
      <c r="AW144" s="468"/>
      <c r="AX144" s="462" t="s">
        <v>212</v>
      </c>
    </row>
    <row r="145" spans="2:50">
      <c r="B145" s="462"/>
      <c r="C145" s="462"/>
      <c r="D145" s="462"/>
      <c r="E145" s="462" t="s">
        <v>217</v>
      </c>
      <c r="F145" s="462"/>
      <c r="G145" s="462"/>
      <c r="H145" s="464"/>
      <c r="I145" s="462" t="s">
        <v>217</v>
      </c>
      <c r="J145" s="462"/>
      <c r="K145" s="462"/>
      <c r="L145" s="464"/>
      <c r="M145" s="470"/>
      <c r="N145" s="462"/>
      <c r="O145" s="462"/>
      <c r="P145" s="466" t="s">
        <v>218</v>
      </c>
      <c r="Q145" s="467"/>
      <c r="R145" s="467"/>
      <c r="S145" s="468"/>
      <c r="T145" s="462"/>
      <c r="U145" s="466" t="s">
        <v>218</v>
      </c>
      <c r="V145" s="467"/>
      <c r="W145" s="467"/>
      <c r="X145" s="468"/>
      <c r="Y145" s="462"/>
      <c r="Z145" s="466" t="s">
        <v>218</v>
      </c>
      <c r="AA145" s="467"/>
      <c r="AB145" s="467"/>
      <c r="AC145" s="468"/>
      <c r="AD145" s="462"/>
      <c r="AE145" s="466" t="s">
        <v>218</v>
      </c>
      <c r="AF145" s="467"/>
      <c r="AG145" s="467"/>
      <c r="AH145" s="468"/>
      <c r="AI145" s="462"/>
      <c r="AJ145" s="466" t="s">
        <v>218</v>
      </c>
      <c r="AK145" s="467"/>
      <c r="AL145" s="467"/>
      <c r="AM145" s="468"/>
      <c r="AN145" s="462"/>
      <c r="AO145" s="466" t="s">
        <v>218</v>
      </c>
      <c r="AP145" s="467"/>
      <c r="AQ145" s="467"/>
      <c r="AR145" s="468"/>
      <c r="AS145" s="462"/>
      <c r="AT145" s="466" t="s">
        <v>218</v>
      </c>
      <c r="AU145" s="467"/>
      <c r="AV145" s="467"/>
      <c r="AW145" s="468"/>
      <c r="AX145" s="462"/>
    </row>
    <row r="146" spans="2:50">
      <c r="B146" s="462"/>
      <c r="C146" s="462"/>
      <c r="D146" s="462"/>
      <c r="E146" s="271" t="s">
        <v>219</v>
      </c>
      <c r="F146" s="271" t="s">
        <v>220</v>
      </c>
      <c r="G146" s="271" t="s">
        <v>221</v>
      </c>
      <c r="H146" s="465"/>
      <c r="I146" s="271" t="s">
        <v>219</v>
      </c>
      <c r="J146" s="271" t="s">
        <v>220</v>
      </c>
      <c r="K146" s="271" t="s">
        <v>221</v>
      </c>
      <c r="L146" s="465"/>
      <c r="M146" s="471"/>
      <c r="N146" s="462"/>
      <c r="O146" s="462"/>
      <c r="P146" s="271" t="s">
        <v>219</v>
      </c>
      <c r="Q146" s="271" t="s">
        <v>220</v>
      </c>
      <c r="R146" s="271" t="s">
        <v>221</v>
      </c>
      <c r="S146" s="271" t="s">
        <v>214</v>
      </c>
      <c r="T146" s="462"/>
      <c r="U146" s="271" t="s">
        <v>219</v>
      </c>
      <c r="V146" s="271" t="s">
        <v>220</v>
      </c>
      <c r="W146" s="271" t="s">
        <v>221</v>
      </c>
      <c r="X146" s="271" t="s">
        <v>214</v>
      </c>
      <c r="Y146" s="462"/>
      <c r="Z146" s="271" t="s">
        <v>219</v>
      </c>
      <c r="AA146" s="271" t="s">
        <v>220</v>
      </c>
      <c r="AB146" s="271" t="s">
        <v>221</v>
      </c>
      <c r="AC146" s="271" t="s">
        <v>214</v>
      </c>
      <c r="AD146" s="462"/>
      <c r="AE146" s="271" t="s">
        <v>219</v>
      </c>
      <c r="AF146" s="271" t="s">
        <v>220</v>
      </c>
      <c r="AG146" s="271" t="s">
        <v>221</v>
      </c>
      <c r="AH146" s="271" t="s">
        <v>214</v>
      </c>
      <c r="AI146" s="462"/>
      <c r="AJ146" s="271" t="s">
        <v>219</v>
      </c>
      <c r="AK146" s="271" t="s">
        <v>220</v>
      </c>
      <c r="AL146" s="271" t="s">
        <v>221</v>
      </c>
      <c r="AM146" s="271" t="s">
        <v>214</v>
      </c>
      <c r="AN146" s="462"/>
      <c r="AO146" s="271" t="s">
        <v>219</v>
      </c>
      <c r="AP146" s="271" t="s">
        <v>220</v>
      </c>
      <c r="AQ146" s="271" t="s">
        <v>221</v>
      </c>
      <c r="AR146" s="271" t="s">
        <v>214</v>
      </c>
      <c r="AS146" s="462"/>
      <c r="AT146" s="271" t="s">
        <v>219</v>
      </c>
      <c r="AU146" s="271" t="s">
        <v>220</v>
      </c>
      <c r="AV146" s="271" t="s">
        <v>221</v>
      </c>
      <c r="AW146" s="271" t="s">
        <v>214</v>
      </c>
      <c r="AX146" s="462"/>
    </row>
    <row r="147" spans="2:50">
      <c r="B147" s="462" t="s">
        <v>186</v>
      </c>
      <c r="C147" s="182">
        <v>1</v>
      </c>
      <c r="D147" s="203"/>
      <c r="E147" s="166"/>
      <c r="F147" s="182"/>
      <c r="G147" s="180"/>
      <c r="H147" s="459" t="e">
        <f>AVERAGE(G147:G176)</f>
        <v>#DIV/0!</v>
      </c>
      <c r="I147" s="166" t="e">
        <f>AVERAGE(P147,U147,Z147,AE147,AJ147,AO147,AT147)</f>
        <v>#DIV/0!</v>
      </c>
      <c r="J147" s="166" t="e">
        <f>AVERAGE(Q147,V147,AA147,AF147,AK147,AP147,AU147)</f>
        <v>#DIV/0!</v>
      </c>
      <c r="K147" s="180" t="e">
        <f>AVERAGE(R147,W147,AB147,AG147,AL147,AQ147,AV147)</f>
        <v>#DIV/0!</v>
      </c>
      <c r="L147" s="459" t="str">
        <f>IFERROR(AVERAGE(K147:K176),"-")</f>
        <v>-</v>
      </c>
      <c r="M147" s="181" t="e">
        <f>RANK(K147, K$147:$K$176)</f>
        <v>#DIV/0!</v>
      </c>
      <c r="N147" s="462"/>
      <c r="O147" s="462"/>
      <c r="P147" s="166"/>
      <c r="Q147" s="166"/>
      <c r="R147" s="166"/>
      <c r="S147" s="182" t="e">
        <f>RANK(R147, R$147:R$176)</f>
        <v>#N/A</v>
      </c>
      <c r="T147" s="491" t="e">
        <f>AVERAGE(R147:R176)</f>
        <v>#DIV/0!</v>
      </c>
      <c r="U147" s="166"/>
      <c r="V147" s="166"/>
      <c r="W147" s="166"/>
      <c r="X147" s="182" t="e">
        <f>RANK(W147, W$147:W$176)</f>
        <v>#N/A</v>
      </c>
      <c r="Y147" s="491" t="e">
        <f>AVERAGE(W147:W176)</f>
        <v>#DIV/0!</v>
      </c>
      <c r="Z147" s="166"/>
      <c r="AA147" s="166"/>
      <c r="AB147" s="166"/>
      <c r="AC147" s="182" t="e">
        <f>RANK(AB147, AB$147:AB$176)</f>
        <v>#N/A</v>
      </c>
      <c r="AD147" s="491" t="e">
        <f>AVERAGE(AB147:AB176)</f>
        <v>#DIV/0!</v>
      </c>
      <c r="AE147" s="166"/>
      <c r="AF147" s="166"/>
      <c r="AG147" s="166"/>
      <c r="AH147" s="182" t="e">
        <f>RANK(AG147, AG$147:AG$176)</f>
        <v>#N/A</v>
      </c>
      <c r="AI147" s="491" t="e">
        <f>AVERAGE(AG147:AG176)</f>
        <v>#DIV/0!</v>
      </c>
      <c r="AJ147" s="166"/>
      <c r="AK147" s="166"/>
      <c r="AL147" s="166"/>
      <c r="AM147" s="182" t="e">
        <f>RANK(AL147, AL$147:AL$176)</f>
        <v>#N/A</v>
      </c>
      <c r="AN147" s="491" t="e">
        <f>AVERAGE(AL147:AL176)</f>
        <v>#DIV/0!</v>
      </c>
      <c r="AO147" s="166"/>
      <c r="AP147" s="166"/>
      <c r="AQ147" s="166"/>
      <c r="AR147" s="182" t="e">
        <f>RANK(AQ147, AQ$147:AQ$176)</f>
        <v>#N/A</v>
      </c>
      <c r="AS147" s="491" t="e">
        <f>AVERAGE(AQ147:AQ176)</f>
        <v>#DIV/0!</v>
      </c>
      <c r="AT147" s="166"/>
      <c r="AU147" s="166"/>
      <c r="AV147" s="166"/>
      <c r="AW147" s="182" t="e">
        <f>RANK(AV147, AV$147:AV$176)</f>
        <v>#N/A</v>
      </c>
      <c r="AX147" s="491" t="e">
        <f>AVERAGE(AV147:AV176)</f>
        <v>#DIV/0!</v>
      </c>
    </row>
    <row r="148" spans="2:50">
      <c r="B148" s="479"/>
      <c r="C148" s="182">
        <v>2</v>
      </c>
      <c r="D148" s="203"/>
      <c r="E148" s="166"/>
      <c r="F148" s="182"/>
      <c r="G148" s="180"/>
      <c r="H148" s="460"/>
      <c r="I148" s="166" t="e">
        <f t="shared" ref="I148:I170" si="59">AVERAGE(P148,U148,Z148,AE148,AJ148,AO148,AT148)</f>
        <v>#DIV/0!</v>
      </c>
      <c r="J148" s="166" t="e">
        <f t="shared" ref="J148:J170" si="60">AVERAGE(Q148,V148,AA148,AF148,AK148,AP148,AU148)</f>
        <v>#DIV/0!</v>
      </c>
      <c r="K148" s="180" t="e">
        <f t="shared" ref="K148:K170" si="61">AVERAGE(R148,W148,AB148,AG148,AL148,AQ148,AV148)</f>
        <v>#DIV/0!</v>
      </c>
      <c r="L148" s="460"/>
      <c r="M148" s="181" t="e">
        <f>RANK(K148, K$147:$K$176)</f>
        <v>#DIV/0!</v>
      </c>
      <c r="N148" s="462"/>
      <c r="O148" s="462"/>
      <c r="P148" s="166"/>
      <c r="Q148" s="166"/>
      <c r="R148" s="166"/>
      <c r="S148" s="182" t="e">
        <f t="shared" ref="S148:S176" si="62">RANK(R148, R$147:R$176)</f>
        <v>#N/A</v>
      </c>
      <c r="T148" s="491"/>
      <c r="U148" s="166"/>
      <c r="V148" s="166"/>
      <c r="W148" s="166"/>
      <c r="X148" s="182" t="e">
        <f t="shared" ref="X148:X176" si="63">RANK(W148, W$147:W$176)</f>
        <v>#N/A</v>
      </c>
      <c r="Y148" s="491"/>
      <c r="Z148" s="166"/>
      <c r="AA148" s="166"/>
      <c r="AB148" s="166"/>
      <c r="AC148" s="182" t="e">
        <f t="shared" ref="AC148:AC176" si="64">RANK(AB148, AB$147:AB$176)</f>
        <v>#N/A</v>
      </c>
      <c r="AD148" s="491"/>
      <c r="AE148" s="166"/>
      <c r="AF148" s="166"/>
      <c r="AG148" s="166"/>
      <c r="AH148" s="182" t="e">
        <f t="shared" ref="AH148:AH176" si="65">RANK(AG148, AG$147:AG$176)</f>
        <v>#N/A</v>
      </c>
      <c r="AI148" s="491"/>
      <c r="AJ148" s="166"/>
      <c r="AK148" s="166"/>
      <c r="AL148" s="166"/>
      <c r="AM148" s="182" t="e">
        <f t="shared" ref="AM148:AM176" si="66">RANK(AL148, AL$147:AL$176)</f>
        <v>#N/A</v>
      </c>
      <c r="AN148" s="491"/>
      <c r="AO148" s="166"/>
      <c r="AP148" s="166"/>
      <c r="AQ148" s="166"/>
      <c r="AR148" s="182" t="e">
        <f t="shared" ref="AR148:AR176" si="67">RANK(AQ148, AQ$147:AQ$176)</f>
        <v>#N/A</v>
      </c>
      <c r="AS148" s="491"/>
      <c r="AT148" s="166"/>
      <c r="AU148" s="166"/>
      <c r="AV148" s="166"/>
      <c r="AW148" s="182" t="e">
        <f t="shared" ref="AW148:AW176" si="68">RANK(AV148, AV$147:AV$176)</f>
        <v>#N/A</v>
      </c>
      <c r="AX148" s="491"/>
    </row>
    <row r="149" spans="2:50">
      <c r="B149" s="479"/>
      <c r="C149" s="182">
        <v>3</v>
      </c>
      <c r="D149" s="203"/>
      <c r="E149" s="166"/>
      <c r="F149" s="182"/>
      <c r="G149" s="180"/>
      <c r="H149" s="460"/>
      <c r="I149" s="166" t="e">
        <f t="shared" si="59"/>
        <v>#DIV/0!</v>
      </c>
      <c r="J149" s="166" t="e">
        <f t="shared" si="60"/>
        <v>#DIV/0!</v>
      </c>
      <c r="K149" s="180" t="e">
        <f t="shared" si="61"/>
        <v>#DIV/0!</v>
      </c>
      <c r="L149" s="460"/>
      <c r="M149" s="181" t="e">
        <f>RANK(K149, K$147:$K$176)</f>
        <v>#DIV/0!</v>
      </c>
      <c r="N149" s="462"/>
      <c r="O149" s="462"/>
      <c r="P149" s="166"/>
      <c r="Q149" s="166"/>
      <c r="R149" s="166"/>
      <c r="S149" s="182" t="e">
        <f t="shared" si="62"/>
        <v>#N/A</v>
      </c>
      <c r="T149" s="491"/>
      <c r="U149" s="166"/>
      <c r="V149" s="166"/>
      <c r="W149" s="166"/>
      <c r="X149" s="182" t="e">
        <f t="shared" si="63"/>
        <v>#N/A</v>
      </c>
      <c r="Y149" s="491"/>
      <c r="Z149" s="166"/>
      <c r="AA149" s="166"/>
      <c r="AB149" s="166"/>
      <c r="AC149" s="182" t="e">
        <f t="shared" si="64"/>
        <v>#N/A</v>
      </c>
      <c r="AD149" s="491"/>
      <c r="AE149" s="166"/>
      <c r="AF149" s="166"/>
      <c r="AG149" s="166"/>
      <c r="AH149" s="182" t="e">
        <f t="shared" si="65"/>
        <v>#N/A</v>
      </c>
      <c r="AI149" s="491"/>
      <c r="AJ149" s="166"/>
      <c r="AK149" s="166"/>
      <c r="AL149" s="166"/>
      <c r="AM149" s="182" t="e">
        <f t="shared" si="66"/>
        <v>#N/A</v>
      </c>
      <c r="AN149" s="491"/>
      <c r="AO149" s="166"/>
      <c r="AP149" s="166"/>
      <c r="AQ149" s="166"/>
      <c r="AR149" s="182" t="e">
        <f t="shared" si="67"/>
        <v>#N/A</v>
      </c>
      <c r="AS149" s="491"/>
      <c r="AT149" s="166"/>
      <c r="AU149" s="166"/>
      <c r="AV149" s="166"/>
      <c r="AW149" s="182" t="e">
        <f t="shared" si="68"/>
        <v>#N/A</v>
      </c>
      <c r="AX149" s="491"/>
    </row>
    <row r="150" spans="2:50">
      <c r="B150" s="479"/>
      <c r="C150" s="182">
        <v>4</v>
      </c>
      <c r="D150" s="203"/>
      <c r="E150" s="166"/>
      <c r="F150" s="182"/>
      <c r="G150" s="180"/>
      <c r="H150" s="460"/>
      <c r="I150" s="166" t="e">
        <f t="shared" si="59"/>
        <v>#DIV/0!</v>
      </c>
      <c r="J150" s="166" t="e">
        <f t="shared" si="60"/>
        <v>#DIV/0!</v>
      </c>
      <c r="K150" s="180" t="e">
        <f t="shared" si="61"/>
        <v>#DIV/0!</v>
      </c>
      <c r="L150" s="460"/>
      <c r="M150" s="181" t="e">
        <f>RANK(K150, K$147:$K$176)</f>
        <v>#DIV/0!</v>
      </c>
      <c r="N150" s="462"/>
      <c r="O150" s="462"/>
      <c r="P150" s="166"/>
      <c r="Q150" s="166"/>
      <c r="R150" s="166"/>
      <c r="S150" s="182" t="e">
        <f t="shared" si="62"/>
        <v>#N/A</v>
      </c>
      <c r="T150" s="491"/>
      <c r="U150" s="166"/>
      <c r="V150" s="166"/>
      <c r="W150" s="166"/>
      <c r="X150" s="182" t="e">
        <f t="shared" si="63"/>
        <v>#N/A</v>
      </c>
      <c r="Y150" s="491"/>
      <c r="Z150" s="166"/>
      <c r="AA150" s="166"/>
      <c r="AB150" s="166"/>
      <c r="AC150" s="182" t="e">
        <f t="shared" si="64"/>
        <v>#N/A</v>
      </c>
      <c r="AD150" s="491"/>
      <c r="AE150" s="166"/>
      <c r="AF150" s="166"/>
      <c r="AG150" s="166"/>
      <c r="AH150" s="182" t="e">
        <f t="shared" si="65"/>
        <v>#N/A</v>
      </c>
      <c r="AI150" s="491"/>
      <c r="AJ150" s="166"/>
      <c r="AK150" s="166"/>
      <c r="AL150" s="166"/>
      <c r="AM150" s="182" t="e">
        <f t="shared" si="66"/>
        <v>#N/A</v>
      </c>
      <c r="AN150" s="491"/>
      <c r="AO150" s="166"/>
      <c r="AP150" s="166"/>
      <c r="AQ150" s="166"/>
      <c r="AR150" s="182" t="e">
        <f t="shared" si="67"/>
        <v>#N/A</v>
      </c>
      <c r="AS150" s="491"/>
      <c r="AT150" s="166"/>
      <c r="AU150" s="166"/>
      <c r="AV150" s="166"/>
      <c r="AW150" s="182" t="e">
        <f t="shared" si="68"/>
        <v>#N/A</v>
      </c>
      <c r="AX150" s="491"/>
    </row>
    <row r="151" spans="2:50">
      <c r="B151" s="479"/>
      <c r="C151" s="182">
        <v>5</v>
      </c>
      <c r="D151" s="203"/>
      <c r="E151" s="166"/>
      <c r="F151" s="182"/>
      <c r="G151" s="180"/>
      <c r="H151" s="460"/>
      <c r="I151" s="166" t="e">
        <f t="shared" si="59"/>
        <v>#DIV/0!</v>
      </c>
      <c r="J151" s="166" t="e">
        <f t="shared" si="60"/>
        <v>#DIV/0!</v>
      </c>
      <c r="K151" s="180" t="e">
        <f t="shared" si="61"/>
        <v>#DIV/0!</v>
      </c>
      <c r="L151" s="460"/>
      <c r="M151" s="181" t="e">
        <f>RANK(K151, K$147:$K$176)</f>
        <v>#DIV/0!</v>
      </c>
      <c r="N151" s="462"/>
      <c r="O151" s="462"/>
      <c r="P151" s="166"/>
      <c r="Q151" s="166"/>
      <c r="R151" s="166"/>
      <c r="S151" s="182" t="e">
        <f t="shared" si="62"/>
        <v>#N/A</v>
      </c>
      <c r="T151" s="491"/>
      <c r="U151" s="166"/>
      <c r="V151" s="166"/>
      <c r="W151" s="166"/>
      <c r="X151" s="182" t="e">
        <f t="shared" si="63"/>
        <v>#N/A</v>
      </c>
      <c r="Y151" s="491"/>
      <c r="Z151" s="166"/>
      <c r="AA151" s="166"/>
      <c r="AB151" s="166"/>
      <c r="AC151" s="182" t="e">
        <f t="shared" si="64"/>
        <v>#N/A</v>
      </c>
      <c r="AD151" s="491"/>
      <c r="AE151" s="166"/>
      <c r="AF151" s="166"/>
      <c r="AG151" s="166"/>
      <c r="AH151" s="182" t="e">
        <f t="shared" si="65"/>
        <v>#N/A</v>
      </c>
      <c r="AI151" s="491"/>
      <c r="AJ151" s="166"/>
      <c r="AK151" s="166"/>
      <c r="AL151" s="166"/>
      <c r="AM151" s="182" t="e">
        <f t="shared" si="66"/>
        <v>#N/A</v>
      </c>
      <c r="AN151" s="491"/>
      <c r="AO151" s="166"/>
      <c r="AP151" s="166"/>
      <c r="AQ151" s="166"/>
      <c r="AR151" s="182" t="e">
        <f t="shared" si="67"/>
        <v>#N/A</v>
      </c>
      <c r="AS151" s="491"/>
      <c r="AT151" s="166"/>
      <c r="AU151" s="166"/>
      <c r="AV151" s="166"/>
      <c r="AW151" s="182" t="e">
        <f t="shared" si="68"/>
        <v>#N/A</v>
      </c>
      <c r="AX151" s="491"/>
    </row>
    <row r="152" spans="2:50">
      <c r="B152" s="479"/>
      <c r="C152" s="182">
        <v>6</v>
      </c>
      <c r="D152" s="203"/>
      <c r="E152" s="166"/>
      <c r="F152" s="182"/>
      <c r="G152" s="180"/>
      <c r="H152" s="460"/>
      <c r="I152" s="166" t="e">
        <f t="shared" si="59"/>
        <v>#DIV/0!</v>
      </c>
      <c r="J152" s="166" t="e">
        <f t="shared" si="60"/>
        <v>#DIV/0!</v>
      </c>
      <c r="K152" s="180" t="e">
        <f t="shared" si="61"/>
        <v>#DIV/0!</v>
      </c>
      <c r="L152" s="460"/>
      <c r="M152" s="181" t="e">
        <f>RANK(K152, K$147:$K$176)</f>
        <v>#DIV/0!</v>
      </c>
      <c r="N152" s="462"/>
      <c r="O152" s="462"/>
      <c r="P152" s="166"/>
      <c r="Q152" s="166"/>
      <c r="R152" s="166"/>
      <c r="S152" s="182" t="e">
        <f t="shared" si="62"/>
        <v>#N/A</v>
      </c>
      <c r="T152" s="491"/>
      <c r="U152" s="166"/>
      <c r="V152" s="166"/>
      <c r="W152" s="166"/>
      <c r="X152" s="182" t="e">
        <f t="shared" si="63"/>
        <v>#N/A</v>
      </c>
      <c r="Y152" s="491"/>
      <c r="Z152" s="166"/>
      <c r="AA152" s="166"/>
      <c r="AB152" s="166"/>
      <c r="AC152" s="182" t="e">
        <f t="shared" si="64"/>
        <v>#N/A</v>
      </c>
      <c r="AD152" s="491"/>
      <c r="AE152" s="166"/>
      <c r="AF152" s="166"/>
      <c r="AG152" s="166"/>
      <c r="AH152" s="182" t="e">
        <f t="shared" si="65"/>
        <v>#N/A</v>
      </c>
      <c r="AI152" s="491"/>
      <c r="AJ152" s="166"/>
      <c r="AK152" s="166"/>
      <c r="AL152" s="166"/>
      <c r="AM152" s="182" t="e">
        <f t="shared" si="66"/>
        <v>#N/A</v>
      </c>
      <c r="AN152" s="491"/>
      <c r="AO152" s="166"/>
      <c r="AP152" s="166"/>
      <c r="AQ152" s="166"/>
      <c r="AR152" s="182" t="e">
        <f t="shared" si="67"/>
        <v>#N/A</v>
      </c>
      <c r="AS152" s="491"/>
      <c r="AT152" s="166"/>
      <c r="AU152" s="166"/>
      <c r="AV152" s="166"/>
      <c r="AW152" s="182" t="e">
        <f t="shared" si="68"/>
        <v>#N/A</v>
      </c>
      <c r="AX152" s="491"/>
    </row>
    <row r="153" spans="2:50">
      <c r="B153" s="479"/>
      <c r="C153" s="182">
        <v>7</v>
      </c>
      <c r="D153" s="203"/>
      <c r="E153" s="166"/>
      <c r="F153" s="182"/>
      <c r="G153" s="180"/>
      <c r="H153" s="460"/>
      <c r="I153" s="166" t="e">
        <f t="shared" si="59"/>
        <v>#DIV/0!</v>
      </c>
      <c r="J153" s="166" t="e">
        <f t="shared" si="60"/>
        <v>#DIV/0!</v>
      </c>
      <c r="K153" s="180" t="e">
        <f t="shared" si="61"/>
        <v>#DIV/0!</v>
      </c>
      <c r="L153" s="460"/>
      <c r="M153" s="181" t="e">
        <f>RANK(K153, K$147:$K$176)</f>
        <v>#DIV/0!</v>
      </c>
      <c r="N153" s="462"/>
      <c r="O153" s="462"/>
      <c r="P153" s="166"/>
      <c r="Q153" s="166"/>
      <c r="R153" s="166"/>
      <c r="S153" s="182" t="e">
        <f t="shared" si="62"/>
        <v>#N/A</v>
      </c>
      <c r="T153" s="491"/>
      <c r="U153" s="166"/>
      <c r="V153" s="166"/>
      <c r="W153" s="166"/>
      <c r="X153" s="182" t="e">
        <f t="shared" si="63"/>
        <v>#N/A</v>
      </c>
      <c r="Y153" s="491"/>
      <c r="Z153" s="166"/>
      <c r="AA153" s="166"/>
      <c r="AB153" s="166"/>
      <c r="AC153" s="182" t="e">
        <f t="shared" si="64"/>
        <v>#N/A</v>
      </c>
      <c r="AD153" s="491"/>
      <c r="AE153" s="166"/>
      <c r="AF153" s="166"/>
      <c r="AG153" s="166"/>
      <c r="AH153" s="182" t="e">
        <f t="shared" si="65"/>
        <v>#N/A</v>
      </c>
      <c r="AI153" s="491"/>
      <c r="AJ153" s="166"/>
      <c r="AK153" s="166"/>
      <c r="AL153" s="166"/>
      <c r="AM153" s="182" t="e">
        <f t="shared" si="66"/>
        <v>#N/A</v>
      </c>
      <c r="AN153" s="491"/>
      <c r="AO153" s="166"/>
      <c r="AP153" s="166"/>
      <c r="AQ153" s="166"/>
      <c r="AR153" s="182" t="e">
        <f t="shared" si="67"/>
        <v>#N/A</v>
      </c>
      <c r="AS153" s="491"/>
      <c r="AT153" s="166"/>
      <c r="AU153" s="166"/>
      <c r="AV153" s="166"/>
      <c r="AW153" s="182" t="e">
        <f t="shared" si="68"/>
        <v>#N/A</v>
      </c>
      <c r="AX153" s="491"/>
    </row>
    <row r="154" spans="2:50">
      <c r="B154" s="479"/>
      <c r="C154" s="182">
        <v>8</v>
      </c>
      <c r="D154" s="203"/>
      <c r="E154" s="166"/>
      <c r="F154" s="182"/>
      <c r="G154" s="180"/>
      <c r="H154" s="460"/>
      <c r="I154" s="166" t="e">
        <f t="shared" si="59"/>
        <v>#DIV/0!</v>
      </c>
      <c r="J154" s="166" t="e">
        <f t="shared" si="60"/>
        <v>#DIV/0!</v>
      </c>
      <c r="K154" s="180" t="e">
        <f t="shared" si="61"/>
        <v>#DIV/0!</v>
      </c>
      <c r="L154" s="460"/>
      <c r="M154" s="181" t="e">
        <f>RANK(K154, K$147:$K$176)</f>
        <v>#DIV/0!</v>
      </c>
      <c r="N154" s="462"/>
      <c r="O154" s="462"/>
      <c r="P154" s="166"/>
      <c r="Q154" s="166"/>
      <c r="R154" s="166"/>
      <c r="S154" s="182" t="e">
        <f t="shared" si="62"/>
        <v>#N/A</v>
      </c>
      <c r="T154" s="491"/>
      <c r="U154" s="166"/>
      <c r="V154" s="166"/>
      <c r="W154" s="166"/>
      <c r="X154" s="182" t="e">
        <f t="shared" si="63"/>
        <v>#N/A</v>
      </c>
      <c r="Y154" s="491"/>
      <c r="Z154" s="166"/>
      <c r="AA154" s="166"/>
      <c r="AB154" s="166"/>
      <c r="AC154" s="182" t="e">
        <f t="shared" si="64"/>
        <v>#N/A</v>
      </c>
      <c r="AD154" s="491"/>
      <c r="AE154" s="166"/>
      <c r="AF154" s="166"/>
      <c r="AG154" s="166"/>
      <c r="AH154" s="182" t="e">
        <f t="shared" si="65"/>
        <v>#N/A</v>
      </c>
      <c r="AI154" s="491"/>
      <c r="AJ154" s="166"/>
      <c r="AK154" s="166"/>
      <c r="AL154" s="166"/>
      <c r="AM154" s="182" t="e">
        <f t="shared" si="66"/>
        <v>#N/A</v>
      </c>
      <c r="AN154" s="491"/>
      <c r="AO154" s="166"/>
      <c r="AP154" s="166"/>
      <c r="AQ154" s="166"/>
      <c r="AR154" s="182" t="e">
        <f t="shared" si="67"/>
        <v>#N/A</v>
      </c>
      <c r="AS154" s="491"/>
      <c r="AT154" s="166"/>
      <c r="AU154" s="166"/>
      <c r="AV154" s="166"/>
      <c r="AW154" s="182" t="e">
        <f t="shared" si="68"/>
        <v>#N/A</v>
      </c>
      <c r="AX154" s="491"/>
    </row>
    <row r="155" spans="2:50">
      <c r="B155" s="479"/>
      <c r="C155" s="182">
        <v>9</v>
      </c>
      <c r="D155" s="203"/>
      <c r="E155" s="166"/>
      <c r="F155" s="182"/>
      <c r="G155" s="180"/>
      <c r="H155" s="460"/>
      <c r="I155" s="166" t="e">
        <f t="shared" si="59"/>
        <v>#DIV/0!</v>
      </c>
      <c r="J155" s="166" t="e">
        <f t="shared" si="60"/>
        <v>#DIV/0!</v>
      </c>
      <c r="K155" s="180" t="e">
        <f t="shared" si="61"/>
        <v>#DIV/0!</v>
      </c>
      <c r="L155" s="460"/>
      <c r="M155" s="181" t="e">
        <f>RANK(K155, K$147:$K$176)</f>
        <v>#DIV/0!</v>
      </c>
      <c r="N155" s="462"/>
      <c r="O155" s="462"/>
      <c r="P155" s="166"/>
      <c r="Q155" s="166"/>
      <c r="R155" s="166"/>
      <c r="S155" s="182" t="e">
        <f t="shared" si="62"/>
        <v>#N/A</v>
      </c>
      <c r="T155" s="491"/>
      <c r="U155" s="166"/>
      <c r="V155" s="166"/>
      <c r="W155" s="166"/>
      <c r="X155" s="182" t="e">
        <f t="shared" si="63"/>
        <v>#N/A</v>
      </c>
      <c r="Y155" s="491"/>
      <c r="Z155" s="166"/>
      <c r="AA155" s="166"/>
      <c r="AB155" s="166"/>
      <c r="AC155" s="182" t="e">
        <f t="shared" si="64"/>
        <v>#N/A</v>
      </c>
      <c r="AD155" s="491"/>
      <c r="AE155" s="166"/>
      <c r="AF155" s="166"/>
      <c r="AG155" s="166"/>
      <c r="AH155" s="182" t="e">
        <f t="shared" si="65"/>
        <v>#N/A</v>
      </c>
      <c r="AI155" s="491"/>
      <c r="AJ155" s="166"/>
      <c r="AK155" s="166"/>
      <c r="AL155" s="166"/>
      <c r="AM155" s="182" t="e">
        <f t="shared" si="66"/>
        <v>#N/A</v>
      </c>
      <c r="AN155" s="491"/>
      <c r="AO155" s="166"/>
      <c r="AP155" s="166"/>
      <c r="AQ155" s="166"/>
      <c r="AR155" s="182" t="e">
        <f t="shared" si="67"/>
        <v>#N/A</v>
      </c>
      <c r="AS155" s="491"/>
      <c r="AT155" s="166"/>
      <c r="AU155" s="166"/>
      <c r="AV155" s="166"/>
      <c r="AW155" s="182" t="e">
        <f t="shared" si="68"/>
        <v>#N/A</v>
      </c>
      <c r="AX155" s="491"/>
    </row>
    <row r="156" spans="2:50">
      <c r="B156" s="479"/>
      <c r="C156" s="182">
        <v>10</v>
      </c>
      <c r="D156" s="203"/>
      <c r="E156" s="166"/>
      <c r="F156" s="182"/>
      <c r="G156" s="180"/>
      <c r="H156" s="460"/>
      <c r="I156" s="166" t="e">
        <f t="shared" si="59"/>
        <v>#DIV/0!</v>
      </c>
      <c r="J156" s="166" t="e">
        <f t="shared" si="60"/>
        <v>#DIV/0!</v>
      </c>
      <c r="K156" s="180" t="e">
        <f t="shared" si="61"/>
        <v>#DIV/0!</v>
      </c>
      <c r="L156" s="460"/>
      <c r="M156" s="181" t="e">
        <f>RANK(K156, K$147:$K$176)</f>
        <v>#DIV/0!</v>
      </c>
      <c r="N156" s="462"/>
      <c r="O156" s="462"/>
      <c r="P156" s="166"/>
      <c r="Q156" s="166"/>
      <c r="R156" s="166"/>
      <c r="S156" s="182" t="e">
        <f t="shared" si="62"/>
        <v>#N/A</v>
      </c>
      <c r="T156" s="491"/>
      <c r="U156" s="166"/>
      <c r="V156" s="166"/>
      <c r="W156" s="166"/>
      <c r="X156" s="182" t="e">
        <f t="shared" si="63"/>
        <v>#N/A</v>
      </c>
      <c r="Y156" s="491"/>
      <c r="Z156" s="166"/>
      <c r="AA156" s="166"/>
      <c r="AB156" s="166"/>
      <c r="AC156" s="182" t="e">
        <f t="shared" si="64"/>
        <v>#N/A</v>
      </c>
      <c r="AD156" s="491"/>
      <c r="AE156" s="166"/>
      <c r="AF156" s="166"/>
      <c r="AG156" s="166"/>
      <c r="AH156" s="182" t="e">
        <f t="shared" si="65"/>
        <v>#N/A</v>
      </c>
      <c r="AI156" s="491"/>
      <c r="AJ156" s="166"/>
      <c r="AK156" s="166"/>
      <c r="AL156" s="166"/>
      <c r="AM156" s="182" t="e">
        <f t="shared" si="66"/>
        <v>#N/A</v>
      </c>
      <c r="AN156" s="491"/>
      <c r="AO156" s="166"/>
      <c r="AP156" s="166"/>
      <c r="AQ156" s="166"/>
      <c r="AR156" s="182" t="e">
        <f t="shared" si="67"/>
        <v>#N/A</v>
      </c>
      <c r="AS156" s="491"/>
      <c r="AT156" s="166"/>
      <c r="AU156" s="166"/>
      <c r="AV156" s="166"/>
      <c r="AW156" s="182" t="e">
        <f t="shared" si="68"/>
        <v>#N/A</v>
      </c>
      <c r="AX156" s="491"/>
    </row>
    <row r="157" spans="2:50">
      <c r="B157" s="479"/>
      <c r="C157" s="182">
        <v>11</v>
      </c>
      <c r="D157" s="203"/>
      <c r="E157" s="166"/>
      <c r="F157" s="182"/>
      <c r="G157" s="180"/>
      <c r="H157" s="460"/>
      <c r="I157" s="166" t="e">
        <f t="shared" si="59"/>
        <v>#DIV/0!</v>
      </c>
      <c r="J157" s="166" t="e">
        <f t="shared" si="60"/>
        <v>#DIV/0!</v>
      </c>
      <c r="K157" s="180" t="e">
        <f t="shared" si="61"/>
        <v>#DIV/0!</v>
      </c>
      <c r="L157" s="460"/>
      <c r="M157" s="181" t="e">
        <f>RANK(K157, K$147:$K$176)</f>
        <v>#DIV/0!</v>
      </c>
      <c r="N157" s="462"/>
      <c r="O157" s="462"/>
      <c r="P157" s="166"/>
      <c r="Q157" s="166"/>
      <c r="R157" s="166"/>
      <c r="S157" s="182" t="e">
        <f t="shared" si="62"/>
        <v>#N/A</v>
      </c>
      <c r="T157" s="491"/>
      <c r="U157" s="166"/>
      <c r="V157" s="166"/>
      <c r="W157" s="166"/>
      <c r="X157" s="182" t="e">
        <f t="shared" si="63"/>
        <v>#N/A</v>
      </c>
      <c r="Y157" s="491"/>
      <c r="Z157" s="166"/>
      <c r="AA157" s="166"/>
      <c r="AB157" s="166"/>
      <c r="AC157" s="182" t="e">
        <f t="shared" si="64"/>
        <v>#N/A</v>
      </c>
      <c r="AD157" s="491"/>
      <c r="AE157" s="166"/>
      <c r="AF157" s="166"/>
      <c r="AG157" s="166"/>
      <c r="AH157" s="182" t="e">
        <f t="shared" si="65"/>
        <v>#N/A</v>
      </c>
      <c r="AI157" s="491"/>
      <c r="AJ157" s="166"/>
      <c r="AK157" s="166"/>
      <c r="AL157" s="166"/>
      <c r="AM157" s="182" t="e">
        <f t="shared" si="66"/>
        <v>#N/A</v>
      </c>
      <c r="AN157" s="491"/>
      <c r="AO157" s="166"/>
      <c r="AP157" s="166"/>
      <c r="AQ157" s="166"/>
      <c r="AR157" s="182" t="e">
        <f t="shared" si="67"/>
        <v>#N/A</v>
      </c>
      <c r="AS157" s="491"/>
      <c r="AT157" s="166"/>
      <c r="AU157" s="166"/>
      <c r="AV157" s="166"/>
      <c r="AW157" s="182" t="e">
        <f t="shared" si="68"/>
        <v>#N/A</v>
      </c>
      <c r="AX157" s="491"/>
    </row>
    <row r="158" spans="2:50">
      <c r="B158" s="479"/>
      <c r="C158" s="182">
        <v>12</v>
      </c>
      <c r="D158" s="203"/>
      <c r="E158" s="166"/>
      <c r="F158" s="182"/>
      <c r="G158" s="180"/>
      <c r="H158" s="460"/>
      <c r="I158" s="166" t="e">
        <f t="shared" si="59"/>
        <v>#DIV/0!</v>
      </c>
      <c r="J158" s="166" t="e">
        <f t="shared" si="60"/>
        <v>#DIV/0!</v>
      </c>
      <c r="K158" s="180" t="e">
        <f t="shared" si="61"/>
        <v>#DIV/0!</v>
      </c>
      <c r="L158" s="460"/>
      <c r="M158" s="181" t="e">
        <f>RANK(K158, K$147:$K$176)</f>
        <v>#DIV/0!</v>
      </c>
      <c r="N158" s="462"/>
      <c r="O158" s="462"/>
      <c r="P158" s="166"/>
      <c r="Q158" s="166"/>
      <c r="R158" s="166"/>
      <c r="S158" s="182" t="e">
        <f t="shared" si="62"/>
        <v>#N/A</v>
      </c>
      <c r="T158" s="491"/>
      <c r="U158" s="166"/>
      <c r="V158" s="166"/>
      <c r="W158" s="166"/>
      <c r="X158" s="182" t="e">
        <f t="shared" si="63"/>
        <v>#N/A</v>
      </c>
      <c r="Y158" s="491"/>
      <c r="Z158" s="166"/>
      <c r="AA158" s="166"/>
      <c r="AB158" s="166"/>
      <c r="AC158" s="182" t="e">
        <f t="shared" si="64"/>
        <v>#N/A</v>
      </c>
      <c r="AD158" s="491"/>
      <c r="AE158" s="166"/>
      <c r="AF158" s="166"/>
      <c r="AG158" s="166"/>
      <c r="AH158" s="182" t="e">
        <f t="shared" si="65"/>
        <v>#N/A</v>
      </c>
      <c r="AI158" s="491"/>
      <c r="AJ158" s="166"/>
      <c r="AK158" s="166"/>
      <c r="AL158" s="166"/>
      <c r="AM158" s="182" t="e">
        <f t="shared" si="66"/>
        <v>#N/A</v>
      </c>
      <c r="AN158" s="491"/>
      <c r="AO158" s="166"/>
      <c r="AP158" s="166"/>
      <c r="AQ158" s="166"/>
      <c r="AR158" s="182" t="e">
        <f t="shared" si="67"/>
        <v>#N/A</v>
      </c>
      <c r="AS158" s="491"/>
      <c r="AT158" s="166"/>
      <c r="AU158" s="166"/>
      <c r="AV158" s="166"/>
      <c r="AW158" s="182" t="e">
        <f t="shared" si="68"/>
        <v>#N/A</v>
      </c>
      <c r="AX158" s="491"/>
    </row>
    <row r="159" spans="2:50">
      <c r="B159" s="479"/>
      <c r="C159" s="182">
        <v>13</v>
      </c>
      <c r="D159" s="203"/>
      <c r="E159" s="166"/>
      <c r="F159" s="182"/>
      <c r="G159" s="180"/>
      <c r="H159" s="460"/>
      <c r="I159" s="166" t="e">
        <f t="shared" si="59"/>
        <v>#DIV/0!</v>
      </c>
      <c r="J159" s="166" t="e">
        <f t="shared" si="60"/>
        <v>#DIV/0!</v>
      </c>
      <c r="K159" s="180" t="e">
        <f t="shared" si="61"/>
        <v>#DIV/0!</v>
      </c>
      <c r="L159" s="460"/>
      <c r="M159" s="181" t="e">
        <f>RANK(K159, K$147:$K$176)</f>
        <v>#DIV/0!</v>
      </c>
      <c r="N159" s="462"/>
      <c r="O159" s="462"/>
      <c r="P159" s="166"/>
      <c r="Q159" s="166"/>
      <c r="R159" s="166"/>
      <c r="S159" s="182" t="e">
        <f t="shared" si="62"/>
        <v>#N/A</v>
      </c>
      <c r="T159" s="491"/>
      <c r="U159" s="166"/>
      <c r="V159" s="166"/>
      <c r="W159" s="166"/>
      <c r="X159" s="182" t="e">
        <f t="shared" si="63"/>
        <v>#N/A</v>
      </c>
      <c r="Y159" s="491"/>
      <c r="Z159" s="166"/>
      <c r="AA159" s="166"/>
      <c r="AB159" s="166"/>
      <c r="AC159" s="182" t="e">
        <f t="shared" si="64"/>
        <v>#N/A</v>
      </c>
      <c r="AD159" s="491"/>
      <c r="AE159" s="166"/>
      <c r="AF159" s="166"/>
      <c r="AG159" s="166"/>
      <c r="AH159" s="182" t="e">
        <f t="shared" si="65"/>
        <v>#N/A</v>
      </c>
      <c r="AI159" s="491"/>
      <c r="AJ159" s="166"/>
      <c r="AK159" s="166"/>
      <c r="AL159" s="166"/>
      <c r="AM159" s="182" t="e">
        <f t="shared" si="66"/>
        <v>#N/A</v>
      </c>
      <c r="AN159" s="491"/>
      <c r="AO159" s="166"/>
      <c r="AP159" s="166"/>
      <c r="AQ159" s="166"/>
      <c r="AR159" s="182" t="e">
        <f t="shared" si="67"/>
        <v>#N/A</v>
      </c>
      <c r="AS159" s="491"/>
      <c r="AT159" s="166"/>
      <c r="AU159" s="166"/>
      <c r="AV159" s="166"/>
      <c r="AW159" s="182" t="e">
        <f t="shared" si="68"/>
        <v>#N/A</v>
      </c>
      <c r="AX159" s="491"/>
    </row>
    <row r="160" spans="2:50">
      <c r="B160" s="479"/>
      <c r="C160" s="182">
        <v>14</v>
      </c>
      <c r="D160" s="203"/>
      <c r="E160" s="166"/>
      <c r="F160" s="182"/>
      <c r="G160" s="180"/>
      <c r="H160" s="460"/>
      <c r="I160" s="166" t="e">
        <f t="shared" si="59"/>
        <v>#DIV/0!</v>
      </c>
      <c r="J160" s="166" t="e">
        <f t="shared" si="60"/>
        <v>#DIV/0!</v>
      </c>
      <c r="K160" s="180" t="e">
        <f t="shared" si="61"/>
        <v>#DIV/0!</v>
      </c>
      <c r="L160" s="460"/>
      <c r="M160" s="181" t="e">
        <f>RANK(K160, K$147:$K$176)</f>
        <v>#DIV/0!</v>
      </c>
      <c r="N160" s="462"/>
      <c r="O160" s="462"/>
      <c r="P160" s="166"/>
      <c r="Q160" s="166"/>
      <c r="R160" s="166"/>
      <c r="S160" s="182" t="e">
        <f t="shared" si="62"/>
        <v>#N/A</v>
      </c>
      <c r="T160" s="491"/>
      <c r="U160" s="166"/>
      <c r="V160" s="166"/>
      <c r="W160" s="166"/>
      <c r="X160" s="182" t="e">
        <f t="shared" si="63"/>
        <v>#N/A</v>
      </c>
      <c r="Y160" s="491"/>
      <c r="Z160" s="166"/>
      <c r="AA160" s="166"/>
      <c r="AB160" s="166"/>
      <c r="AC160" s="182" t="e">
        <f t="shared" si="64"/>
        <v>#N/A</v>
      </c>
      <c r="AD160" s="491"/>
      <c r="AE160" s="166"/>
      <c r="AF160" s="166"/>
      <c r="AG160" s="166"/>
      <c r="AH160" s="182" t="e">
        <f t="shared" si="65"/>
        <v>#N/A</v>
      </c>
      <c r="AI160" s="491"/>
      <c r="AJ160" s="166"/>
      <c r="AK160" s="166"/>
      <c r="AL160" s="166"/>
      <c r="AM160" s="182" t="e">
        <f t="shared" si="66"/>
        <v>#N/A</v>
      </c>
      <c r="AN160" s="491"/>
      <c r="AO160" s="166"/>
      <c r="AP160" s="166"/>
      <c r="AQ160" s="166"/>
      <c r="AR160" s="182" t="e">
        <f t="shared" si="67"/>
        <v>#N/A</v>
      </c>
      <c r="AS160" s="491"/>
      <c r="AT160" s="166"/>
      <c r="AU160" s="166"/>
      <c r="AV160" s="166"/>
      <c r="AW160" s="182" t="e">
        <f t="shared" si="68"/>
        <v>#N/A</v>
      </c>
      <c r="AX160" s="491"/>
    </row>
    <row r="161" spans="2:50">
      <c r="B161" s="479"/>
      <c r="C161" s="182">
        <v>15</v>
      </c>
      <c r="D161" s="203"/>
      <c r="E161" s="166"/>
      <c r="F161" s="182"/>
      <c r="G161" s="180"/>
      <c r="H161" s="460"/>
      <c r="I161" s="166" t="e">
        <f t="shared" si="59"/>
        <v>#DIV/0!</v>
      </c>
      <c r="J161" s="166" t="e">
        <f t="shared" si="60"/>
        <v>#DIV/0!</v>
      </c>
      <c r="K161" s="180" t="e">
        <f t="shared" si="61"/>
        <v>#DIV/0!</v>
      </c>
      <c r="L161" s="460"/>
      <c r="M161" s="166" t="e">
        <f>RANK(K161, K$147:$K$176)</f>
        <v>#DIV/0!</v>
      </c>
      <c r="N161" s="462"/>
      <c r="O161" s="462"/>
      <c r="P161" s="166"/>
      <c r="Q161" s="166"/>
      <c r="R161" s="166"/>
      <c r="S161" s="182" t="e">
        <f t="shared" ref="S161:S175" si="69">RANK(R161, R$147:R$176)</f>
        <v>#N/A</v>
      </c>
      <c r="T161" s="491"/>
      <c r="U161" s="166"/>
      <c r="V161" s="166"/>
      <c r="W161" s="166"/>
      <c r="X161" s="182" t="e">
        <f t="shared" ref="X161:X175" si="70">RANK(W161, W$147:W$176)</f>
        <v>#N/A</v>
      </c>
      <c r="Y161" s="491"/>
      <c r="Z161" s="166"/>
      <c r="AA161" s="166"/>
      <c r="AB161" s="166"/>
      <c r="AC161" s="182" t="e">
        <f t="shared" ref="AC161:AC175" si="71">RANK(AB161, AB$147:AB$176)</f>
        <v>#N/A</v>
      </c>
      <c r="AD161" s="491"/>
      <c r="AE161" s="166"/>
      <c r="AF161" s="166"/>
      <c r="AG161" s="166"/>
      <c r="AH161" s="182" t="e">
        <f t="shared" ref="AH161:AH175" si="72">RANK(AG161, AG$147:AG$176)</f>
        <v>#N/A</v>
      </c>
      <c r="AI161" s="491"/>
      <c r="AJ161" s="166"/>
      <c r="AK161" s="166"/>
      <c r="AL161" s="166"/>
      <c r="AM161" s="182" t="e">
        <f t="shared" ref="AM161:AM175" si="73">RANK(AL161, AL$147:AL$176)</f>
        <v>#N/A</v>
      </c>
      <c r="AN161" s="491"/>
      <c r="AO161" s="166"/>
      <c r="AP161" s="166"/>
      <c r="AQ161" s="166"/>
      <c r="AR161" s="182" t="e">
        <f t="shared" ref="AR161:AR175" si="74">RANK(AQ161, AQ$147:AQ$176)</f>
        <v>#N/A</v>
      </c>
      <c r="AS161" s="491"/>
      <c r="AT161" s="166"/>
      <c r="AU161" s="166"/>
      <c r="AV161" s="166"/>
      <c r="AW161" s="182" t="e">
        <f t="shared" ref="AW161:AW175" si="75">RANK(AV161, AV$147:AV$176)</f>
        <v>#N/A</v>
      </c>
      <c r="AX161" s="491"/>
    </row>
    <row r="162" spans="2:50">
      <c r="B162" s="479"/>
      <c r="C162" s="182">
        <v>16</v>
      </c>
      <c r="D162" s="203"/>
      <c r="E162" s="166"/>
      <c r="F162" s="182"/>
      <c r="G162" s="180"/>
      <c r="H162" s="460"/>
      <c r="I162" s="166" t="e">
        <f t="shared" si="59"/>
        <v>#DIV/0!</v>
      </c>
      <c r="J162" s="166" t="e">
        <f t="shared" si="60"/>
        <v>#DIV/0!</v>
      </c>
      <c r="K162" s="180" t="e">
        <f t="shared" si="61"/>
        <v>#DIV/0!</v>
      </c>
      <c r="L162" s="460"/>
      <c r="M162" s="166" t="e">
        <f>RANK(K162, K$147:$K$176)</f>
        <v>#DIV/0!</v>
      </c>
      <c r="N162" s="462"/>
      <c r="O162" s="462"/>
      <c r="P162" s="166"/>
      <c r="Q162" s="166"/>
      <c r="R162" s="166"/>
      <c r="S162" s="182" t="e">
        <f t="shared" si="69"/>
        <v>#N/A</v>
      </c>
      <c r="T162" s="491"/>
      <c r="U162" s="166"/>
      <c r="V162" s="166"/>
      <c r="W162" s="166"/>
      <c r="X162" s="182" t="e">
        <f t="shared" si="70"/>
        <v>#N/A</v>
      </c>
      <c r="Y162" s="491"/>
      <c r="Z162" s="166"/>
      <c r="AA162" s="166"/>
      <c r="AB162" s="166"/>
      <c r="AC162" s="182" t="e">
        <f t="shared" si="71"/>
        <v>#N/A</v>
      </c>
      <c r="AD162" s="491"/>
      <c r="AE162" s="166"/>
      <c r="AF162" s="166"/>
      <c r="AG162" s="166"/>
      <c r="AH162" s="182" t="e">
        <f t="shared" si="72"/>
        <v>#N/A</v>
      </c>
      <c r="AI162" s="491"/>
      <c r="AJ162" s="166"/>
      <c r="AK162" s="166"/>
      <c r="AL162" s="166"/>
      <c r="AM162" s="182" t="e">
        <f t="shared" si="73"/>
        <v>#N/A</v>
      </c>
      <c r="AN162" s="491"/>
      <c r="AO162" s="166"/>
      <c r="AP162" s="166"/>
      <c r="AQ162" s="166"/>
      <c r="AR162" s="182" t="e">
        <f t="shared" si="74"/>
        <v>#N/A</v>
      </c>
      <c r="AS162" s="491"/>
      <c r="AT162" s="166"/>
      <c r="AU162" s="166"/>
      <c r="AV162" s="166"/>
      <c r="AW162" s="182" t="e">
        <f t="shared" si="75"/>
        <v>#N/A</v>
      </c>
      <c r="AX162" s="491"/>
    </row>
    <row r="163" spans="2:50">
      <c r="B163" s="479"/>
      <c r="C163" s="182">
        <v>17</v>
      </c>
      <c r="D163" s="203"/>
      <c r="E163" s="166"/>
      <c r="F163" s="182"/>
      <c r="G163" s="180"/>
      <c r="H163" s="460"/>
      <c r="I163" s="166" t="e">
        <f t="shared" si="59"/>
        <v>#DIV/0!</v>
      </c>
      <c r="J163" s="166" t="e">
        <f t="shared" si="60"/>
        <v>#DIV/0!</v>
      </c>
      <c r="K163" s="180" t="e">
        <f t="shared" si="61"/>
        <v>#DIV/0!</v>
      </c>
      <c r="L163" s="460"/>
      <c r="M163" s="166" t="e">
        <f>RANK(K163, K$147:$K$176)</f>
        <v>#DIV/0!</v>
      </c>
      <c r="N163" s="462"/>
      <c r="O163" s="462"/>
      <c r="P163" s="166"/>
      <c r="Q163" s="166"/>
      <c r="R163" s="166"/>
      <c r="S163" s="182" t="e">
        <f t="shared" si="69"/>
        <v>#N/A</v>
      </c>
      <c r="T163" s="491"/>
      <c r="U163" s="166"/>
      <c r="V163" s="166"/>
      <c r="W163" s="166"/>
      <c r="X163" s="182" t="e">
        <f t="shared" si="70"/>
        <v>#N/A</v>
      </c>
      <c r="Y163" s="491"/>
      <c r="Z163" s="166"/>
      <c r="AA163" s="166"/>
      <c r="AB163" s="166"/>
      <c r="AC163" s="182" t="e">
        <f t="shared" si="71"/>
        <v>#N/A</v>
      </c>
      <c r="AD163" s="491"/>
      <c r="AE163" s="166"/>
      <c r="AF163" s="166"/>
      <c r="AG163" s="166"/>
      <c r="AH163" s="182" t="e">
        <f t="shared" si="72"/>
        <v>#N/A</v>
      </c>
      <c r="AI163" s="491"/>
      <c r="AJ163" s="166"/>
      <c r="AK163" s="166"/>
      <c r="AL163" s="166"/>
      <c r="AM163" s="182" t="e">
        <f t="shared" si="73"/>
        <v>#N/A</v>
      </c>
      <c r="AN163" s="491"/>
      <c r="AO163" s="166"/>
      <c r="AP163" s="166"/>
      <c r="AQ163" s="166"/>
      <c r="AR163" s="182" t="e">
        <f t="shared" si="74"/>
        <v>#N/A</v>
      </c>
      <c r="AS163" s="491"/>
      <c r="AT163" s="166"/>
      <c r="AU163" s="166"/>
      <c r="AV163" s="166"/>
      <c r="AW163" s="182" t="e">
        <f t="shared" si="75"/>
        <v>#N/A</v>
      </c>
      <c r="AX163" s="491"/>
    </row>
    <row r="164" spans="2:50">
      <c r="B164" s="479"/>
      <c r="C164" s="182">
        <v>18</v>
      </c>
      <c r="D164" s="203"/>
      <c r="E164" s="166"/>
      <c r="F164" s="182"/>
      <c r="G164" s="180"/>
      <c r="H164" s="460"/>
      <c r="I164" s="166" t="e">
        <f t="shared" si="59"/>
        <v>#DIV/0!</v>
      </c>
      <c r="J164" s="166" t="e">
        <f t="shared" si="60"/>
        <v>#DIV/0!</v>
      </c>
      <c r="K164" s="180" t="e">
        <f t="shared" si="61"/>
        <v>#DIV/0!</v>
      </c>
      <c r="L164" s="460"/>
      <c r="M164" s="166" t="e">
        <f>RANK(K164, K$147:$K$176)</f>
        <v>#DIV/0!</v>
      </c>
      <c r="N164" s="462"/>
      <c r="O164" s="462"/>
      <c r="P164" s="166"/>
      <c r="Q164" s="166"/>
      <c r="R164" s="166"/>
      <c r="S164" s="182" t="e">
        <f t="shared" si="69"/>
        <v>#N/A</v>
      </c>
      <c r="T164" s="491"/>
      <c r="U164" s="166"/>
      <c r="V164" s="166"/>
      <c r="W164" s="166"/>
      <c r="X164" s="182" t="e">
        <f t="shared" si="70"/>
        <v>#N/A</v>
      </c>
      <c r="Y164" s="491"/>
      <c r="Z164" s="166"/>
      <c r="AA164" s="166"/>
      <c r="AB164" s="166"/>
      <c r="AC164" s="182" t="e">
        <f t="shared" si="71"/>
        <v>#N/A</v>
      </c>
      <c r="AD164" s="491"/>
      <c r="AE164" s="166"/>
      <c r="AF164" s="166"/>
      <c r="AG164" s="166"/>
      <c r="AH164" s="182" t="e">
        <f t="shared" si="72"/>
        <v>#N/A</v>
      </c>
      <c r="AI164" s="491"/>
      <c r="AJ164" s="166"/>
      <c r="AK164" s="166"/>
      <c r="AL164" s="166"/>
      <c r="AM164" s="182" t="e">
        <f t="shared" si="73"/>
        <v>#N/A</v>
      </c>
      <c r="AN164" s="491"/>
      <c r="AO164" s="166"/>
      <c r="AP164" s="166"/>
      <c r="AQ164" s="166"/>
      <c r="AR164" s="182" t="e">
        <f t="shared" si="74"/>
        <v>#N/A</v>
      </c>
      <c r="AS164" s="491"/>
      <c r="AT164" s="166"/>
      <c r="AU164" s="166"/>
      <c r="AV164" s="166"/>
      <c r="AW164" s="182" t="e">
        <f t="shared" si="75"/>
        <v>#N/A</v>
      </c>
      <c r="AX164" s="491"/>
    </row>
    <row r="165" spans="2:50">
      <c r="B165" s="479"/>
      <c r="C165" s="182">
        <v>19</v>
      </c>
      <c r="D165" s="203"/>
      <c r="E165" s="166"/>
      <c r="F165" s="182"/>
      <c r="G165" s="180"/>
      <c r="H165" s="460"/>
      <c r="I165" s="166" t="e">
        <f t="shared" si="59"/>
        <v>#DIV/0!</v>
      </c>
      <c r="J165" s="166" t="e">
        <f t="shared" si="60"/>
        <v>#DIV/0!</v>
      </c>
      <c r="K165" s="180" t="e">
        <f t="shared" si="61"/>
        <v>#DIV/0!</v>
      </c>
      <c r="L165" s="460"/>
      <c r="M165" s="166" t="e">
        <f>RANK(K165, K$147:$K$176)</f>
        <v>#DIV/0!</v>
      </c>
      <c r="N165" s="462"/>
      <c r="O165" s="462"/>
      <c r="P165" s="166"/>
      <c r="Q165" s="166"/>
      <c r="R165" s="166"/>
      <c r="S165" s="182" t="e">
        <f t="shared" si="69"/>
        <v>#N/A</v>
      </c>
      <c r="T165" s="491"/>
      <c r="U165" s="166"/>
      <c r="V165" s="166"/>
      <c r="W165" s="166"/>
      <c r="X165" s="182" t="e">
        <f t="shared" si="70"/>
        <v>#N/A</v>
      </c>
      <c r="Y165" s="491"/>
      <c r="Z165" s="166"/>
      <c r="AA165" s="166"/>
      <c r="AB165" s="166"/>
      <c r="AC165" s="182" t="e">
        <f t="shared" si="71"/>
        <v>#N/A</v>
      </c>
      <c r="AD165" s="491"/>
      <c r="AE165" s="166"/>
      <c r="AF165" s="166"/>
      <c r="AG165" s="166"/>
      <c r="AH165" s="182" t="e">
        <f t="shared" si="72"/>
        <v>#N/A</v>
      </c>
      <c r="AI165" s="491"/>
      <c r="AJ165" s="166"/>
      <c r="AK165" s="166"/>
      <c r="AL165" s="166"/>
      <c r="AM165" s="182" t="e">
        <f t="shared" si="73"/>
        <v>#N/A</v>
      </c>
      <c r="AN165" s="491"/>
      <c r="AO165" s="166"/>
      <c r="AP165" s="166"/>
      <c r="AQ165" s="166"/>
      <c r="AR165" s="182" t="e">
        <f t="shared" si="74"/>
        <v>#N/A</v>
      </c>
      <c r="AS165" s="491"/>
      <c r="AT165" s="166"/>
      <c r="AU165" s="166"/>
      <c r="AV165" s="166"/>
      <c r="AW165" s="182" t="e">
        <f t="shared" si="75"/>
        <v>#N/A</v>
      </c>
      <c r="AX165" s="491"/>
    </row>
    <row r="166" spans="2:50">
      <c r="B166" s="479"/>
      <c r="C166" s="182">
        <v>20</v>
      </c>
      <c r="D166" s="203"/>
      <c r="E166" s="166"/>
      <c r="F166" s="182"/>
      <c r="G166" s="180"/>
      <c r="H166" s="460"/>
      <c r="I166" s="166" t="e">
        <f t="shared" si="59"/>
        <v>#DIV/0!</v>
      </c>
      <c r="J166" s="166" t="e">
        <f t="shared" si="60"/>
        <v>#DIV/0!</v>
      </c>
      <c r="K166" s="180" t="e">
        <f t="shared" si="61"/>
        <v>#DIV/0!</v>
      </c>
      <c r="L166" s="460"/>
      <c r="M166" s="166" t="e">
        <f>RANK(K166, K$147:$K$176)</f>
        <v>#DIV/0!</v>
      </c>
      <c r="N166" s="462"/>
      <c r="O166" s="462"/>
      <c r="P166" s="166"/>
      <c r="Q166" s="166"/>
      <c r="R166" s="166"/>
      <c r="S166" s="182" t="e">
        <f t="shared" si="69"/>
        <v>#N/A</v>
      </c>
      <c r="T166" s="491"/>
      <c r="U166" s="166"/>
      <c r="V166" s="166"/>
      <c r="W166" s="166"/>
      <c r="X166" s="182" t="e">
        <f t="shared" si="70"/>
        <v>#N/A</v>
      </c>
      <c r="Y166" s="491"/>
      <c r="Z166" s="166"/>
      <c r="AA166" s="166"/>
      <c r="AB166" s="166"/>
      <c r="AC166" s="182" t="e">
        <f t="shared" si="71"/>
        <v>#N/A</v>
      </c>
      <c r="AD166" s="491"/>
      <c r="AE166" s="166"/>
      <c r="AF166" s="166"/>
      <c r="AG166" s="166"/>
      <c r="AH166" s="182" t="e">
        <f t="shared" si="72"/>
        <v>#N/A</v>
      </c>
      <c r="AI166" s="491"/>
      <c r="AJ166" s="166"/>
      <c r="AK166" s="166"/>
      <c r="AL166" s="166"/>
      <c r="AM166" s="182" t="e">
        <f t="shared" si="73"/>
        <v>#N/A</v>
      </c>
      <c r="AN166" s="491"/>
      <c r="AO166" s="166"/>
      <c r="AP166" s="166"/>
      <c r="AQ166" s="166"/>
      <c r="AR166" s="182" t="e">
        <f t="shared" si="74"/>
        <v>#N/A</v>
      </c>
      <c r="AS166" s="491"/>
      <c r="AT166" s="166"/>
      <c r="AU166" s="166"/>
      <c r="AV166" s="166"/>
      <c r="AW166" s="182" t="e">
        <f t="shared" si="75"/>
        <v>#N/A</v>
      </c>
      <c r="AX166" s="491"/>
    </row>
    <row r="167" spans="2:50">
      <c r="B167" s="479"/>
      <c r="C167" s="182">
        <v>21</v>
      </c>
      <c r="D167" s="203"/>
      <c r="E167" s="166"/>
      <c r="F167" s="182"/>
      <c r="G167" s="180"/>
      <c r="H167" s="460"/>
      <c r="I167" s="166" t="e">
        <f t="shared" si="59"/>
        <v>#DIV/0!</v>
      </c>
      <c r="J167" s="166" t="e">
        <f t="shared" si="60"/>
        <v>#DIV/0!</v>
      </c>
      <c r="K167" s="180" t="e">
        <f t="shared" si="61"/>
        <v>#DIV/0!</v>
      </c>
      <c r="L167" s="460"/>
      <c r="M167" s="166" t="e">
        <f>RANK(K167, K$147:$K$176)</f>
        <v>#DIV/0!</v>
      </c>
      <c r="N167" s="462"/>
      <c r="O167" s="462"/>
      <c r="P167" s="166"/>
      <c r="Q167" s="166"/>
      <c r="R167" s="166"/>
      <c r="S167" s="182" t="e">
        <f t="shared" si="69"/>
        <v>#N/A</v>
      </c>
      <c r="T167" s="491"/>
      <c r="U167" s="166"/>
      <c r="V167" s="166"/>
      <c r="W167" s="166"/>
      <c r="X167" s="182" t="e">
        <f t="shared" si="70"/>
        <v>#N/A</v>
      </c>
      <c r="Y167" s="491"/>
      <c r="Z167" s="166"/>
      <c r="AA167" s="166"/>
      <c r="AB167" s="166"/>
      <c r="AC167" s="182" t="e">
        <f t="shared" si="71"/>
        <v>#N/A</v>
      </c>
      <c r="AD167" s="491"/>
      <c r="AE167" s="166"/>
      <c r="AF167" s="166"/>
      <c r="AG167" s="166"/>
      <c r="AH167" s="182" t="e">
        <f t="shared" si="72"/>
        <v>#N/A</v>
      </c>
      <c r="AI167" s="491"/>
      <c r="AJ167" s="166"/>
      <c r="AK167" s="166"/>
      <c r="AL167" s="166"/>
      <c r="AM167" s="182" t="e">
        <f t="shared" si="73"/>
        <v>#N/A</v>
      </c>
      <c r="AN167" s="491"/>
      <c r="AO167" s="166"/>
      <c r="AP167" s="166"/>
      <c r="AQ167" s="166"/>
      <c r="AR167" s="182" t="e">
        <f t="shared" si="74"/>
        <v>#N/A</v>
      </c>
      <c r="AS167" s="491"/>
      <c r="AT167" s="166"/>
      <c r="AU167" s="166"/>
      <c r="AV167" s="166"/>
      <c r="AW167" s="182" t="e">
        <f t="shared" si="75"/>
        <v>#N/A</v>
      </c>
      <c r="AX167" s="491"/>
    </row>
    <row r="168" spans="2:50">
      <c r="B168" s="479"/>
      <c r="C168" s="182">
        <v>22</v>
      </c>
      <c r="D168" s="203"/>
      <c r="E168" s="166"/>
      <c r="F168" s="182"/>
      <c r="G168" s="180"/>
      <c r="H168" s="460"/>
      <c r="I168" s="166" t="e">
        <f t="shared" si="59"/>
        <v>#DIV/0!</v>
      </c>
      <c r="J168" s="166" t="e">
        <f t="shared" si="60"/>
        <v>#DIV/0!</v>
      </c>
      <c r="K168" s="180" t="e">
        <f t="shared" si="61"/>
        <v>#DIV/0!</v>
      </c>
      <c r="L168" s="460"/>
      <c r="M168" s="166" t="e">
        <f>RANK(K168, K$147:$K$176)</f>
        <v>#DIV/0!</v>
      </c>
      <c r="N168" s="462"/>
      <c r="O168" s="462"/>
      <c r="P168" s="166"/>
      <c r="Q168" s="166"/>
      <c r="R168" s="166"/>
      <c r="S168" s="182" t="e">
        <f t="shared" si="69"/>
        <v>#N/A</v>
      </c>
      <c r="T168" s="491"/>
      <c r="U168" s="166"/>
      <c r="V168" s="166"/>
      <c r="W168" s="166"/>
      <c r="X168" s="182" t="e">
        <f t="shared" si="70"/>
        <v>#N/A</v>
      </c>
      <c r="Y168" s="491"/>
      <c r="Z168" s="166"/>
      <c r="AA168" s="166"/>
      <c r="AB168" s="166"/>
      <c r="AC168" s="182" t="e">
        <f t="shared" si="71"/>
        <v>#N/A</v>
      </c>
      <c r="AD168" s="491"/>
      <c r="AE168" s="166"/>
      <c r="AF168" s="166"/>
      <c r="AG168" s="166"/>
      <c r="AH168" s="182" t="e">
        <f t="shared" si="72"/>
        <v>#N/A</v>
      </c>
      <c r="AI168" s="491"/>
      <c r="AJ168" s="166"/>
      <c r="AK168" s="166"/>
      <c r="AL168" s="166"/>
      <c r="AM168" s="182" t="e">
        <f t="shared" si="73"/>
        <v>#N/A</v>
      </c>
      <c r="AN168" s="491"/>
      <c r="AO168" s="166"/>
      <c r="AP168" s="166"/>
      <c r="AQ168" s="166"/>
      <c r="AR168" s="182" t="e">
        <f t="shared" si="74"/>
        <v>#N/A</v>
      </c>
      <c r="AS168" s="491"/>
      <c r="AT168" s="166"/>
      <c r="AU168" s="166"/>
      <c r="AV168" s="166"/>
      <c r="AW168" s="182" t="e">
        <f t="shared" si="75"/>
        <v>#N/A</v>
      </c>
      <c r="AX168" s="491"/>
    </row>
    <row r="169" spans="2:50">
      <c r="B169" s="479"/>
      <c r="C169" s="182">
        <v>23</v>
      </c>
      <c r="D169" s="203"/>
      <c r="E169" s="166"/>
      <c r="F169" s="182"/>
      <c r="G169" s="180"/>
      <c r="H169" s="460"/>
      <c r="I169" s="166" t="e">
        <f t="shared" si="59"/>
        <v>#DIV/0!</v>
      </c>
      <c r="J169" s="166" t="e">
        <f t="shared" si="60"/>
        <v>#DIV/0!</v>
      </c>
      <c r="K169" s="180" t="e">
        <f t="shared" si="61"/>
        <v>#DIV/0!</v>
      </c>
      <c r="L169" s="460"/>
      <c r="M169" s="166" t="e">
        <f>RANK(K169, K$147:$K$176)</f>
        <v>#DIV/0!</v>
      </c>
      <c r="N169" s="462"/>
      <c r="O169" s="462"/>
      <c r="P169" s="166"/>
      <c r="Q169" s="166"/>
      <c r="R169" s="166"/>
      <c r="S169" s="182" t="e">
        <f t="shared" si="69"/>
        <v>#N/A</v>
      </c>
      <c r="T169" s="491"/>
      <c r="U169" s="166"/>
      <c r="V169" s="166"/>
      <c r="W169" s="166"/>
      <c r="X169" s="182" t="e">
        <f t="shared" si="70"/>
        <v>#N/A</v>
      </c>
      <c r="Y169" s="491"/>
      <c r="Z169" s="166"/>
      <c r="AA169" s="166"/>
      <c r="AB169" s="166"/>
      <c r="AC169" s="182" t="e">
        <f t="shared" si="71"/>
        <v>#N/A</v>
      </c>
      <c r="AD169" s="491"/>
      <c r="AE169" s="166"/>
      <c r="AF169" s="166"/>
      <c r="AG169" s="166"/>
      <c r="AH169" s="182" t="e">
        <f t="shared" si="72"/>
        <v>#N/A</v>
      </c>
      <c r="AI169" s="491"/>
      <c r="AJ169" s="166"/>
      <c r="AK169" s="166"/>
      <c r="AL169" s="166"/>
      <c r="AM169" s="182" t="e">
        <f t="shared" si="73"/>
        <v>#N/A</v>
      </c>
      <c r="AN169" s="491"/>
      <c r="AO169" s="166"/>
      <c r="AP169" s="166"/>
      <c r="AQ169" s="166"/>
      <c r="AR169" s="182" t="e">
        <f t="shared" si="74"/>
        <v>#N/A</v>
      </c>
      <c r="AS169" s="491"/>
      <c r="AT169" s="166"/>
      <c r="AU169" s="166"/>
      <c r="AV169" s="166"/>
      <c r="AW169" s="182" t="e">
        <f t="shared" si="75"/>
        <v>#N/A</v>
      </c>
      <c r="AX169" s="491"/>
    </row>
    <row r="170" spans="2:50">
      <c r="B170" s="479"/>
      <c r="C170" s="182">
        <v>24</v>
      </c>
      <c r="D170" s="203"/>
      <c r="E170" s="166"/>
      <c r="F170" s="182"/>
      <c r="G170" s="180"/>
      <c r="H170" s="460"/>
      <c r="I170" s="166" t="e">
        <f t="shared" si="59"/>
        <v>#DIV/0!</v>
      </c>
      <c r="J170" s="166" t="e">
        <f t="shared" si="60"/>
        <v>#DIV/0!</v>
      </c>
      <c r="K170" s="180" t="e">
        <f t="shared" si="61"/>
        <v>#DIV/0!</v>
      </c>
      <c r="L170" s="460"/>
      <c r="M170" s="166" t="e">
        <f>RANK(K170, K$147:$K$176)</f>
        <v>#DIV/0!</v>
      </c>
      <c r="N170" s="462"/>
      <c r="O170" s="462"/>
      <c r="P170" s="182"/>
      <c r="Q170" s="180"/>
      <c r="R170" s="180"/>
      <c r="S170" s="182" t="e">
        <f t="shared" si="69"/>
        <v>#N/A</v>
      </c>
      <c r="T170" s="491"/>
      <c r="U170" s="182"/>
      <c r="V170" s="180"/>
      <c r="W170" s="180"/>
      <c r="X170" s="182" t="e">
        <f t="shared" si="70"/>
        <v>#N/A</v>
      </c>
      <c r="Y170" s="491"/>
      <c r="Z170" s="182"/>
      <c r="AA170" s="180"/>
      <c r="AB170" s="180"/>
      <c r="AC170" s="182" t="e">
        <f t="shared" si="71"/>
        <v>#N/A</v>
      </c>
      <c r="AD170" s="491"/>
      <c r="AE170" s="182"/>
      <c r="AF170" s="180"/>
      <c r="AG170" s="180"/>
      <c r="AH170" s="182" t="e">
        <f t="shared" si="72"/>
        <v>#N/A</v>
      </c>
      <c r="AI170" s="491"/>
      <c r="AJ170" s="182"/>
      <c r="AK170" s="180"/>
      <c r="AL170" s="180"/>
      <c r="AM170" s="182" t="e">
        <f t="shared" si="73"/>
        <v>#N/A</v>
      </c>
      <c r="AN170" s="491"/>
      <c r="AO170" s="182"/>
      <c r="AP170" s="180"/>
      <c r="AQ170" s="180"/>
      <c r="AR170" s="182" t="e">
        <f t="shared" si="74"/>
        <v>#N/A</v>
      </c>
      <c r="AS170" s="491"/>
      <c r="AT170" s="182"/>
      <c r="AU170" s="180"/>
      <c r="AV170" s="180"/>
      <c r="AW170" s="182" t="e">
        <f t="shared" si="75"/>
        <v>#N/A</v>
      </c>
      <c r="AX170" s="491"/>
    </row>
    <row r="171" spans="2:50">
      <c r="B171" s="479"/>
      <c r="C171" s="182">
        <v>25</v>
      </c>
      <c r="D171" s="203"/>
      <c r="E171" s="166"/>
      <c r="F171" s="182"/>
      <c r="G171" s="180"/>
      <c r="H171" s="460"/>
      <c r="I171" s="166" t="e">
        <f t="shared" ref="I171" si="76">AVERAGE(P171,U171,Z171,AE171,AJ171,AO171,AT171)</f>
        <v>#DIV/0!</v>
      </c>
      <c r="J171" s="166" t="e">
        <f t="shared" ref="J171" si="77">AVERAGE(Q171,V171,AA171,AF171,AK171,AP171,AU171)</f>
        <v>#DIV/0!</v>
      </c>
      <c r="K171" s="180" t="e">
        <f t="shared" ref="K171" si="78">AVERAGE(R171,W171,AB171,AG171,AL171,AQ171,AV171)</f>
        <v>#DIV/0!</v>
      </c>
      <c r="L171" s="460"/>
      <c r="M171" s="166" t="e">
        <f>RANK(K171, K$147:$K$176)</f>
        <v>#DIV/0!</v>
      </c>
      <c r="N171" s="462"/>
      <c r="O171" s="462"/>
      <c r="P171" s="182"/>
      <c r="Q171" s="180"/>
      <c r="R171" s="180"/>
      <c r="S171" s="182" t="e">
        <f t="shared" si="69"/>
        <v>#N/A</v>
      </c>
      <c r="T171" s="491"/>
      <c r="U171" s="182"/>
      <c r="V171" s="180"/>
      <c r="W171" s="180"/>
      <c r="X171" s="182" t="e">
        <f t="shared" si="70"/>
        <v>#N/A</v>
      </c>
      <c r="Y171" s="491"/>
      <c r="Z171" s="182"/>
      <c r="AA171" s="180"/>
      <c r="AB171" s="180"/>
      <c r="AC171" s="182" t="e">
        <f t="shared" si="71"/>
        <v>#N/A</v>
      </c>
      <c r="AD171" s="491"/>
      <c r="AE171" s="182"/>
      <c r="AF171" s="180"/>
      <c r="AG171" s="180"/>
      <c r="AH171" s="182" t="e">
        <f t="shared" si="72"/>
        <v>#N/A</v>
      </c>
      <c r="AI171" s="491"/>
      <c r="AJ171" s="182"/>
      <c r="AK171" s="180"/>
      <c r="AL171" s="180"/>
      <c r="AM171" s="182" t="e">
        <f t="shared" si="73"/>
        <v>#N/A</v>
      </c>
      <c r="AN171" s="491"/>
      <c r="AO171" s="182"/>
      <c r="AP171" s="180"/>
      <c r="AQ171" s="180"/>
      <c r="AR171" s="182" t="e">
        <f t="shared" si="74"/>
        <v>#N/A</v>
      </c>
      <c r="AS171" s="491"/>
      <c r="AT171" s="182"/>
      <c r="AU171" s="180"/>
      <c r="AV171" s="180"/>
      <c r="AW171" s="182" t="e">
        <f t="shared" si="75"/>
        <v>#N/A</v>
      </c>
      <c r="AX171" s="491"/>
    </row>
    <row r="172" spans="2:50">
      <c r="B172" s="479"/>
      <c r="C172" s="182">
        <v>26</v>
      </c>
      <c r="D172" s="203"/>
      <c r="E172" s="166"/>
      <c r="F172" s="182"/>
      <c r="G172" s="180"/>
      <c r="H172" s="460"/>
      <c r="I172" s="166" t="e">
        <f t="shared" ref="I172" si="79">AVERAGE(P172,U172,Z172,AE172,AJ172,AO172,AT172)</f>
        <v>#DIV/0!</v>
      </c>
      <c r="J172" s="166" t="e">
        <f t="shared" ref="J172" si="80">AVERAGE(Q172,V172,AA172,AF172,AK172,AP172,AU172)</f>
        <v>#DIV/0!</v>
      </c>
      <c r="K172" s="180" t="e">
        <f t="shared" ref="K172" si="81">AVERAGE(R172,W172,AB172,AG172,AL172,AQ172,AV172)</f>
        <v>#DIV/0!</v>
      </c>
      <c r="L172" s="460"/>
      <c r="M172" s="166" t="e">
        <f>RANK(K172, K$147:$K$176)</f>
        <v>#DIV/0!</v>
      </c>
      <c r="N172" s="462"/>
      <c r="O172" s="462"/>
      <c r="P172" s="182"/>
      <c r="Q172" s="180"/>
      <c r="R172" s="180"/>
      <c r="S172" s="182" t="e">
        <f t="shared" si="69"/>
        <v>#N/A</v>
      </c>
      <c r="T172" s="491"/>
      <c r="U172" s="182"/>
      <c r="V172" s="180"/>
      <c r="W172" s="180"/>
      <c r="X172" s="182" t="e">
        <f t="shared" si="70"/>
        <v>#N/A</v>
      </c>
      <c r="Y172" s="491"/>
      <c r="Z172" s="182"/>
      <c r="AA172" s="180"/>
      <c r="AB172" s="180"/>
      <c r="AC172" s="182" t="e">
        <f t="shared" si="71"/>
        <v>#N/A</v>
      </c>
      <c r="AD172" s="491"/>
      <c r="AE172" s="182"/>
      <c r="AF172" s="180"/>
      <c r="AG172" s="180"/>
      <c r="AH172" s="182" t="e">
        <f t="shared" si="72"/>
        <v>#N/A</v>
      </c>
      <c r="AI172" s="491"/>
      <c r="AJ172" s="182"/>
      <c r="AK172" s="180"/>
      <c r="AL172" s="180"/>
      <c r="AM172" s="182" t="e">
        <f t="shared" si="73"/>
        <v>#N/A</v>
      </c>
      <c r="AN172" s="491"/>
      <c r="AO172" s="182"/>
      <c r="AP172" s="180"/>
      <c r="AQ172" s="180"/>
      <c r="AR172" s="182" t="e">
        <f t="shared" si="74"/>
        <v>#N/A</v>
      </c>
      <c r="AS172" s="491"/>
      <c r="AT172" s="182"/>
      <c r="AU172" s="180"/>
      <c r="AV172" s="180"/>
      <c r="AW172" s="182" t="e">
        <f t="shared" si="75"/>
        <v>#N/A</v>
      </c>
      <c r="AX172" s="491"/>
    </row>
    <row r="173" spans="2:50">
      <c r="B173" s="479"/>
      <c r="C173" s="182">
        <v>27</v>
      </c>
      <c r="D173" s="203"/>
      <c r="E173" s="166"/>
      <c r="F173" s="182"/>
      <c r="G173" s="180"/>
      <c r="H173" s="460"/>
      <c r="I173" s="166" t="e">
        <f t="shared" ref="I173:I174" si="82">AVERAGE(P173,U173,Z173,AE173,AJ173,AO173,AT173)</f>
        <v>#DIV/0!</v>
      </c>
      <c r="J173" s="166" t="e">
        <f t="shared" ref="J173:J174" si="83">AVERAGE(Q173,V173,AA173,AF173,AK173,AP173,AU173)</f>
        <v>#DIV/0!</v>
      </c>
      <c r="K173" s="180" t="e">
        <f t="shared" ref="K173:K174" si="84">AVERAGE(R173,W173,AB173,AG173,AL173,AQ173,AV173)</f>
        <v>#DIV/0!</v>
      </c>
      <c r="L173" s="460"/>
      <c r="M173" s="166" t="e">
        <f>RANK(K173, K$147:$K$176)</f>
        <v>#DIV/0!</v>
      </c>
      <c r="N173" s="462"/>
      <c r="O173" s="462"/>
      <c r="P173" s="182"/>
      <c r="Q173" s="180"/>
      <c r="R173" s="180"/>
      <c r="S173" s="182" t="e">
        <f t="shared" si="69"/>
        <v>#N/A</v>
      </c>
      <c r="T173" s="491"/>
      <c r="U173" s="182"/>
      <c r="V173" s="180"/>
      <c r="W173" s="180"/>
      <c r="X173" s="182" t="e">
        <f t="shared" si="70"/>
        <v>#N/A</v>
      </c>
      <c r="Y173" s="491"/>
      <c r="Z173" s="182"/>
      <c r="AA173" s="180"/>
      <c r="AB173" s="180"/>
      <c r="AC173" s="182" t="e">
        <f t="shared" si="71"/>
        <v>#N/A</v>
      </c>
      <c r="AD173" s="491"/>
      <c r="AE173" s="182"/>
      <c r="AF173" s="180"/>
      <c r="AG173" s="180"/>
      <c r="AH173" s="182" t="e">
        <f t="shared" si="72"/>
        <v>#N/A</v>
      </c>
      <c r="AI173" s="491"/>
      <c r="AJ173" s="182"/>
      <c r="AK173" s="180"/>
      <c r="AL173" s="180"/>
      <c r="AM173" s="182" t="e">
        <f t="shared" si="73"/>
        <v>#N/A</v>
      </c>
      <c r="AN173" s="491"/>
      <c r="AO173" s="182"/>
      <c r="AP173" s="180"/>
      <c r="AQ173" s="180"/>
      <c r="AR173" s="182" t="e">
        <f t="shared" si="74"/>
        <v>#N/A</v>
      </c>
      <c r="AS173" s="491"/>
      <c r="AT173" s="182"/>
      <c r="AU173" s="180"/>
      <c r="AV173" s="180"/>
      <c r="AW173" s="182" t="e">
        <f t="shared" si="75"/>
        <v>#N/A</v>
      </c>
      <c r="AX173" s="491"/>
    </row>
    <row r="174" spans="2:50">
      <c r="B174" s="479"/>
      <c r="C174" s="182">
        <v>28</v>
      </c>
      <c r="D174" s="203"/>
      <c r="E174" s="166"/>
      <c r="F174" s="182"/>
      <c r="G174" s="180"/>
      <c r="H174" s="460"/>
      <c r="I174" s="166" t="e">
        <f t="shared" si="82"/>
        <v>#DIV/0!</v>
      </c>
      <c r="J174" s="166" t="e">
        <f t="shared" si="83"/>
        <v>#DIV/0!</v>
      </c>
      <c r="K174" s="180" t="e">
        <f t="shared" si="84"/>
        <v>#DIV/0!</v>
      </c>
      <c r="L174" s="460"/>
      <c r="M174" s="166" t="e">
        <f>RANK(K174, K$147:$K$176)</f>
        <v>#DIV/0!</v>
      </c>
      <c r="N174" s="462"/>
      <c r="O174" s="462"/>
      <c r="P174" s="182"/>
      <c r="Q174" s="180"/>
      <c r="R174" s="180"/>
      <c r="S174" s="182" t="e">
        <f t="shared" si="69"/>
        <v>#N/A</v>
      </c>
      <c r="T174" s="491"/>
      <c r="U174" s="182"/>
      <c r="V174" s="180"/>
      <c r="W174" s="180"/>
      <c r="X174" s="182" t="e">
        <f t="shared" si="70"/>
        <v>#N/A</v>
      </c>
      <c r="Y174" s="491"/>
      <c r="Z174" s="182"/>
      <c r="AA174" s="180"/>
      <c r="AB174" s="180"/>
      <c r="AC174" s="182" t="e">
        <f t="shared" si="71"/>
        <v>#N/A</v>
      </c>
      <c r="AD174" s="491"/>
      <c r="AE174" s="182"/>
      <c r="AF174" s="180"/>
      <c r="AG174" s="180"/>
      <c r="AH174" s="182" t="e">
        <f t="shared" si="72"/>
        <v>#N/A</v>
      </c>
      <c r="AI174" s="491"/>
      <c r="AJ174" s="182"/>
      <c r="AK174" s="180"/>
      <c r="AL174" s="180"/>
      <c r="AM174" s="182" t="e">
        <f t="shared" si="73"/>
        <v>#N/A</v>
      </c>
      <c r="AN174" s="491"/>
      <c r="AO174" s="182"/>
      <c r="AP174" s="180"/>
      <c r="AQ174" s="180"/>
      <c r="AR174" s="182" t="e">
        <f t="shared" si="74"/>
        <v>#N/A</v>
      </c>
      <c r="AS174" s="491"/>
      <c r="AT174" s="182"/>
      <c r="AU174" s="180"/>
      <c r="AV174" s="180"/>
      <c r="AW174" s="182" t="e">
        <f t="shared" si="75"/>
        <v>#N/A</v>
      </c>
      <c r="AX174" s="491"/>
    </row>
    <row r="175" spans="2:50">
      <c r="B175" s="479"/>
      <c r="C175" s="182">
        <v>29</v>
      </c>
      <c r="D175" s="203"/>
      <c r="E175" s="166"/>
      <c r="F175" s="182"/>
      <c r="G175" s="180"/>
      <c r="H175" s="460"/>
      <c r="I175" s="182"/>
      <c r="J175" s="182"/>
      <c r="K175" s="182"/>
      <c r="L175" s="460"/>
      <c r="M175" s="166" t="e">
        <f>RANK(K175, K$147:$K$176)</f>
        <v>#DIV/0!</v>
      </c>
      <c r="N175" s="462"/>
      <c r="O175" s="462"/>
      <c r="P175" s="182"/>
      <c r="Q175" s="182"/>
      <c r="R175" s="182"/>
      <c r="S175" s="182" t="e">
        <f t="shared" si="69"/>
        <v>#N/A</v>
      </c>
      <c r="T175" s="491"/>
      <c r="U175" s="182"/>
      <c r="V175" s="182"/>
      <c r="W175" s="182"/>
      <c r="X175" s="182" t="e">
        <f t="shared" si="70"/>
        <v>#N/A</v>
      </c>
      <c r="Y175" s="491"/>
      <c r="Z175" s="182"/>
      <c r="AA175" s="182"/>
      <c r="AB175" s="182"/>
      <c r="AC175" s="182" t="e">
        <f t="shared" si="71"/>
        <v>#N/A</v>
      </c>
      <c r="AD175" s="491"/>
      <c r="AE175" s="182"/>
      <c r="AF175" s="182"/>
      <c r="AG175" s="182"/>
      <c r="AH175" s="182" t="e">
        <f t="shared" si="72"/>
        <v>#N/A</v>
      </c>
      <c r="AI175" s="491"/>
      <c r="AJ175" s="182"/>
      <c r="AK175" s="182"/>
      <c r="AL175" s="182"/>
      <c r="AM175" s="182" t="e">
        <f t="shared" si="73"/>
        <v>#N/A</v>
      </c>
      <c r="AN175" s="491"/>
      <c r="AO175" s="182"/>
      <c r="AP175" s="182"/>
      <c r="AQ175" s="182"/>
      <c r="AR175" s="182" t="e">
        <f t="shared" si="74"/>
        <v>#N/A</v>
      </c>
      <c r="AS175" s="491"/>
      <c r="AT175" s="182"/>
      <c r="AU175" s="182"/>
      <c r="AV175" s="182"/>
      <c r="AW175" s="182" t="e">
        <f t="shared" si="75"/>
        <v>#N/A</v>
      </c>
      <c r="AX175" s="491"/>
    </row>
    <row r="176" spans="2:50">
      <c r="B176" s="479"/>
      <c r="C176" s="182">
        <v>30</v>
      </c>
      <c r="D176" s="203"/>
      <c r="E176" s="166"/>
      <c r="F176" s="182"/>
      <c r="G176" s="180"/>
      <c r="H176" s="461"/>
      <c r="I176" s="182"/>
      <c r="J176" s="182"/>
      <c r="K176" s="182"/>
      <c r="L176" s="461"/>
      <c r="M176" s="166" t="e">
        <f>RANK(K176, K$147:$K$176)</f>
        <v>#DIV/0!</v>
      </c>
      <c r="N176" s="462"/>
      <c r="O176" s="462"/>
      <c r="P176" s="182"/>
      <c r="Q176" s="182"/>
      <c r="R176" s="182"/>
      <c r="S176" s="182" t="e">
        <f t="shared" si="62"/>
        <v>#N/A</v>
      </c>
      <c r="T176" s="491"/>
      <c r="U176" s="182"/>
      <c r="V176" s="182"/>
      <c r="W176" s="182"/>
      <c r="X176" s="182" t="e">
        <f t="shared" si="63"/>
        <v>#N/A</v>
      </c>
      <c r="Y176" s="491"/>
      <c r="Z176" s="182"/>
      <c r="AA176" s="182"/>
      <c r="AB176" s="182"/>
      <c r="AC176" s="182" t="e">
        <f t="shared" si="64"/>
        <v>#N/A</v>
      </c>
      <c r="AD176" s="491"/>
      <c r="AE176" s="182"/>
      <c r="AF176" s="182"/>
      <c r="AG176" s="182"/>
      <c r="AH176" s="182" t="e">
        <f t="shared" si="65"/>
        <v>#N/A</v>
      </c>
      <c r="AI176" s="491"/>
      <c r="AJ176" s="182"/>
      <c r="AK176" s="182"/>
      <c r="AL176" s="182"/>
      <c r="AM176" s="182" t="e">
        <f t="shared" si="66"/>
        <v>#N/A</v>
      </c>
      <c r="AN176" s="491"/>
      <c r="AO176" s="182"/>
      <c r="AP176" s="182"/>
      <c r="AQ176" s="182"/>
      <c r="AR176" s="182" t="e">
        <f t="shared" si="67"/>
        <v>#N/A</v>
      </c>
      <c r="AS176" s="491"/>
      <c r="AT176" s="182"/>
      <c r="AU176" s="182"/>
      <c r="AV176" s="182"/>
      <c r="AW176" s="182" t="e">
        <f t="shared" si="68"/>
        <v>#N/A</v>
      </c>
      <c r="AX176" s="491"/>
    </row>
    <row r="177" spans="2:50" ht="15.75">
      <c r="B177" s="480" t="s">
        <v>201</v>
      </c>
      <c r="C177" s="481"/>
      <c r="D177" s="481"/>
      <c r="E177" s="481"/>
      <c r="F177" s="481"/>
      <c r="G177" s="481"/>
      <c r="H177" s="481"/>
      <c r="I177" s="186"/>
      <c r="J177" s="186"/>
      <c r="K177" s="186"/>
      <c r="L177" s="186"/>
      <c r="M177" s="185"/>
      <c r="N177" s="469" t="s">
        <v>202</v>
      </c>
      <c r="O177" s="469" t="s">
        <v>150</v>
      </c>
      <c r="P177" s="478">
        <f>P142+7</f>
        <v>46421</v>
      </c>
      <c r="Q177" s="479"/>
      <c r="R177" s="479"/>
      <c r="S177" s="479"/>
      <c r="T177" s="479"/>
      <c r="U177" s="475">
        <f>P177+1</f>
        <v>46422</v>
      </c>
      <c r="V177" s="476"/>
      <c r="W177" s="476"/>
      <c r="X177" s="476"/>
      <c r="Y177" s="477"/>
      <c r="Z177" s="475">
        <f>U177+1</f>
        <v>46423</v>
      </c>
      <c r="AA177" s="476"/>
      <c r="AB177" s="476"/>
      <c r="AC177" s="476"/>
      <c r="AD177" s="477"/>
      <c r="AE177" s="475">
        <f>Z177+1</f>
        <v>46424</v>
      </c>
      <c r="AF177" s="476"/>
      <c r="AG177" s="476"/>
      <c r="AH177" s="476"/>
      <c r="AI177" s="477"/>
      <c r="AJ177" s="475">
        <f>AE177+1</f>
        <v>46425</v>
      </c>
      <c r="AK177" s="476"/>
      <c r="AL177" s="476"/>
      <c r="AM177" s="476"/>
      <c r="AN177" s="477"/>
      <c r="AO177" s="475">
        <f>AJ177+1</f>
        <v>46426</v>
      </c>
      <c r="AP177" s="476"/>
      <c r="AQ177" s="476"/>
      <c r="AR177" s="476"/>
      <c r="AS177" s="477"/>
      <c r="AT177" s="475">
        <f>AO177+1</f>
        <v>46427</v>
      </c>
      <c r="AU177" s="476"/>
      <c r="AV177" s="476"/>
      <c r="AW177" s="476"/>
      <c r="AX177" s="477"/>
    </row>
    <row r="178" spans="2:50" ht="15.75">
      <c r="B178" s="482"/>
      <c r="C178" s="482"/>
      <c r="D178" s="482"/>
      <c r="E178" s="482"/>
      <c r="F178" s="482"/>
      <c r="G178" s="482"/>
      <c r="H178" s="482"/>
      <c r="I178" s="184"/>
      <c r="J178" s="184"/>
      <c r="K178" s="184"/>
      <c r="L178" s="184"/>
      <c r="M178" s="179"/>
      <c r="N178" s="471"/>
      <c r="O178" s="471"/>
      <c r="P178" s="478" t="s">
        <v>203</v>
      </c>
      <c r="Q178" s="479"/>
      <c r="R178" s="479"/>
      <c r="S178" s="479"/>
      <c r="T178" s="479"/>
      <c r="U178" s="478" t="s">
        <v>204</v>
      </c>
      <c r="V178" s="479"/>
      <c r="W178" s="479"/>
      <c r="X178" s="479"/>
      <c r="Y178" s="479"/>
      <c r="Z178" s="478" t="s">
        <v>205</v>
      </c>
      <c r="AA178" s="479"/>
      <c r="AB178" s="479"/>
      <c r="AC178" s="479"/>
      <c r="AD178" s="479"/>
      <c r="AE178" s="478" t="s">
        <v>206</v>
      </c>
      <c r="AF178" s="479"/>
      <c r="AG178" s="479"/>
      <c r="AH178" s="479"/>
      <c r="AI178" s="479"/>
      <c r="AJ178" s="478" t="s">
        <v>207</v>
      </c>
      <c r="AK178" s="479"/>
      <c r="AL178" s="479"/>
      <c r="AM178" s="479"/>
      <c r="AN178" s="479"/>
      <c r="AO178" s="478" t="s">
        <v>157</v>
      </c>
      <c r="AP178" s="479"/>
      <c r="AQ178" s="479"/>
      <c r="AR178" s="479"/>
      <c r="AS178" s="479"/>
      <c r="AT178" s="478" t="s">
        <v>208</v>
      </c>
      <c r="AU178" s="479"/>
      <c r="AV178" s="479"/>
      <c r="AW178" s="479"/>
      <c r="AX178" s="479"/>
    </row>
    <row r="179" spans="2:50">
      <c r="B179" s="462" t="s">
        <v>209</v>
      </c>
      <c r="C179" s="462" t="s">
        <v>210</v>
      </c>
      <c r="D179" s="462"/>
      <c r="E179" s="462" t="s">
        <v>211</v>
      </c>
      <c r="F179" s="462"/>
      <c r="G179" s="462"/>
      <c r="H179" s="463" t="s">
        <v>212</v>
      </c>
      <c r="I179" s="462" t="s">
        <v>213</v>
      </c>
      <c r="J179" s="462"/>
      <c r="K179" s="462"/>
      <c r="L179" s="463" t="s">
        <v>212</v>
      </c>
      <c r="M179" s="469" t="s">
        <v>214</v>
      </c>
      <c r="N179" s="462"/>
      <c r="O179" s="462" t="s">
        <v>215</v>
      </c>
      <c r="P179" s="466" t="s">
        <v>216</v>
      </c>
      <c r="Q179" s="467"/>
      <c r="R179" s="467"/>
      <c r="S179" s="468"/>
      <c r="T179" s="462" t="s">
        <v>212</v>
      </c>
      <c r="U179" s="466" t="s">
        <v>216</v>
      </c>
      <c r="V179" s="467"/>
      <c r="W179" s="467"/>
      <c r="X179" s="468"/>
      <c r="Y179" s="462" t="s">
        <v>212</v>
      </c>
      <c r="Z179" s="466" t="s">
        <v>216</v>
      </c>
      <c r="AA179" s="467"/>
      <c r="AB179" s="467"/>
      <c r="AC179" s="468"/>
      <c r="AD179" s="462" t="s">
        <v>212</v>
      </c>
      <c r="AE179" s="466" t="s">
        <v>216</v>
      </c>
      <c r="AF179" s="467"/>
      <c r="AG179" s="467"/>
      <c r="AH179" s="468"/>
      <c r="AI179" s="462" t="s">
        <v>212</v>
      </c>
      <c r="AJ179" s="466" t="s">
        <v>216</v>
      </c>
      <c r="AK179" s="467"/>
      <c r="AL179" s="467"/>
      <c r="AM179" s="468"/>
      <c r="AN179" s="462" t="s">
        <v>212</v>
      </c>
      <c r="AO179" s="466" t="s">
        <v>216</v>
      </c>
      <c r="AP179" s="467"/>
      <c r="AQ179" s="467"/>
      <c r="AR179" s="468"/>
      <c r="AS179" s="462" t="s">
        <v>212</v>
      </c>
      <c r="AT179" s="466" t="s">
        <v>216</v>
      </c>
      <c r="AU179" s="467"/>
      <c r="AV179" s="467"/>
      <c r="AW179" s="468"/>
      <c r="AX179" s="462" t="s">
        <v>212</v>
      </c>
    </row>
    <row r="180" spans="2:50">
      <c r="B180" s="462"/>
      <c r="C180" s="462"/>
      <c r="D180" s="462"/>
      <c r="E180" s="462" t="s">
        <v>217</v>
      </c>
      <c r="F180" s="462"/>
      <c r="G180" s="462"/>
      <c r="H180" s="464"/>
      <c r="I180" s="462" t="s">
        <v>217</v>
      </c>
      <c r="J180" s="462"/>
      <c r="K180" s="462"/>
      <c r="L180" s="464"/>
      <c r="M180" s="470"/>
      <c r="N180" s="462"/>
      <c r="O180" s="462"/>
      <c r="P180" s="466" t="s">
        <v>218</v>
      </c>
      <c r="Q180" s="467"/>
      <c r="R180" s="467"/>
      <c r="S180" s="468"/>
      <c r="T180" s="462"/>
      <c r="U180" s="466" t="s">
        <v>218</v>
      </c>
      <c r="V180" s="467"/>
      <c r="W180" s="467"/>
      <c r="X180" s="468"/>
      <c r="Y180" s="462"/>
      <c r="Z180" s="466" t="s">
        <v>218</v>
      </c>
      <c r="AA180" s="467"/>
      <c r="AB180" s="467"/>
      <c r="AC180" s="468"/>
      <c r="AD180" s="462"/>
      <c r="AE180" s="466" t="s">
        <v>218</v>
      </c>
      <c r="AF180" s="467"/>
      <c r="AG180" s="467"/>
      <c r="AH180" s="468"/>
      <c r="AI180" s="462"/>
      <c r="AJ180" s="466" t="s">
        <v>218</v>
      </c>
      <c r="AK180" s="467"/>
      <c r="AL180" s="467"/>
      <c r="AM180" s="468"/>
      <c r="AN180" s="462"/>
      <c r="AO180" s="466" t="s">
        <v>218</v>
      </c>
      <c r="AP180" s="467"/>
      <c r="AQ180" s="467"/>
      <c r="AR180" s="468"/>
      <c r="AS180" s="462"/>
      <c r="AT180" s="466" t="s">
        <v>218</v>
      </c>
      <c r="AU180" s="467"/>
      <c r="AV180" s="467"/>
      <c r="AW180" s="468"/>
      <c r="AX180" s="462"/>
    </row>
    <row r="181" spans="2:50">
      <c r="B181" s="462"/>
      <c r="C181" s="462"/>
      <c r="D181" s="462"/>
      <c r="E181" s="271" t="s">
        <v>219</v>
      </c>
      <c r="F181" s="271" t="s">
        <v>220</v>
      </c>
      <c r="G181" s="271" t="s">
        <v>221</v>
      </c>
      <c r="H181" s="465"/>
      <c r="I181" s="271" t="s">
        <v>219</v>
      </c>
      <c r="J181" s="271" t="s">
        <v>220</v>
      </c>
      <c r="K181" s="271" t="s">
        <v>221</v>
      </c>
      <c r="L181" s="465"/>
      <c r="M181" s="471"/>
      <c r="N181" s="462"/>
      <c r="O181" s="462"/>
      <c r="P181" s="271" t="s">
        <v>219</v>
      </c>
      <c r="Q181" s="271" t="s">
        <v>220</v>
      </c>
      <c r="R181" s="271" t="s">
        <v>221</v>
      </c>
      <c r="S181" s="271" t="s">
        <v>214</v>
      </c>
      <c r="T181" s="462"/>
      <c r="U181" s="271" t="s">
        <v>219</v>
      </c>
      <c r="V181" s="271" t="s">
        <v>220</v>
      </c>
      <c r="W181" s="271" t="s">
        <v>221</v>
      </c>
      <c r="X181" s="271" t="s">
        <v>214</v>
      </c>
      <c r="Y181" s="462"/>
      <c r="Z181" s="271" t="s">
        <v>219</v>
      </c>
      <c r="AA181" s="271" t="s">
        <v>220</v>
      </c>
      <c r="AB181" s="271" t="s">
        <v>221</v>
      </c>
      <c r="AC181" s="271" t="s">
        <v>214</v>
      </c>
      <c r="AD181" s="462"/>
      <c r="AE181" s="271" t="s">
        <v>219</v>
      </c>
      <c r="AF181" s="271" t="s">
        <v>220</v>
      </c>
      <c r="AG181" s="271" t="s">
        <v>221</v>
      </c>
      <c r="AH181" s="271" t="s">
        <v>214</v>
      </c>
      <c r="AI181" s="462"/>
      <c r="AJ181" s="271" t="s">
        <v>219</v>
      </c>
      <c r="AK181" s="271" t="s">
        <v>220</v>
      </c>
      <c r="AL181" s="271" t="s">
        <v>221</v>
      </c>
      <c r="AM181" s="271" t="s">
        <v>214</v>
      </c>
      <c r="AN181" s="462"/>
      <c r="AO181" s="271" t="s">
        <v>219</v>
      </c>
      <c r="AP181" s="271" t="s">
        <v>220</v>
      </c>
      <c r="AQ181" s="271" t="s">
        <v>221</v>
      </c>
      <c r="AR181" s="271" t="s">
        <v>214</v>
      </c>
      <c r="AS181" s="462"/>
      <c r="AT181" s="271" t="s">
        <v>219</v>
      </c>
      <c r="AU181" s="271" t="s">
        <v>220</v>
      </c>
      <c r="AV181" s="271" t="s">
        <v>221</v>
      </c>
      <c r="AW181" s="271" t="s">
        <v>214</v>
      </c>
      <c r="AX181" s="462"/>
    </row>
    <row r="182" spans="2:50">
      <c r="B182" s="462" t="s">
        <v>186</v>
      </c>
      <c r="C182" s="182">
        <v>1</v>
      </c>
      <c r="D182" s="203"/>
      <c r="E182" s="166"/>
      <c r="F182" s="182"/>
      <c r="G182" s="180"/>
      <c r="H182" s="459" t="e">
        <f>AVERAGE(G182:G211)</f>
        <v>#DIV/0!</v>
      </c>
      <c r="I182" s="166" t="e">
        <f>AVERAGE(P182,U182,Z182,AE182,AJ182,AO182,AT182)</f>
        <v>#DIV/0!</v>
      </c>
      <c r="J182" s="166" t="e">
        <f>AVERAGE(Q182,V182,AA182,AF182,AK182,AP182,AU182)</f>
        <v>#DIV/0!</v>
      </c>
      <c r="K182" s="180" t="e">
        <f>AVERAGE(R182,W182,AB182,AG182,AL182,AQ182,AV182)</f>
        <v>#DIV/0!</v>
      </c>
      <c r="L182" s="459" t="str">
        <f>IFERROR(AVERAGE(K182:K211),"-")</f>
        <v>-</v>
      </c>
      <c r="M182" s="181" t="e">
        <f>RANK(K182, K$147:$K$176)</f>
        <v>#DIV/0!</v>
      </c>
      <c r="N182" s="462"/>
      <c r="O182" s="462"/>
      <c r="P182" s="166"/>
      <c r="Q182" s="166"/>
      <c r="R182" s="166"/>
      <c r="S182" s="182" t="e">
        <f>RANK(R182, R$182:R$211)</f>
        <v>#N/A</v>
      </c>
      <c r="T182" s="491" t="e">
        <f>AVERAGE(R182:R211)</f>
        <v>#DIV/0!</v>
      </c>
      <c r="U182" s="166"/>
      <c r="V182" s="166"/>
      <c r="W182" s="166"/>
      <c r="X182" s="182" t="e">
        <f>RANK(W182, W$182:W$211)</f>
        <v>#N/A</v>
      </c>
      <c r="Y182" s="491" t="e">
        <f>AVERAGE(W182:W211)</f>
        <v>#DIV/0!</v>
      </c>
      <c r="Z182" s="166"/>
      <c r="AA182" s="166"/>
      <c r="AB182" s="166"/>
      <c r="AC182" s="182" t="e">
        <f>RANK(AB182, AB$182:AB$211)</f>
        <v>#N/A</v>
      </c>
      <c r="AD182" s="491" t="e">
        <f>AVERAGE(AB182:AB211)</f>
        <v>#DIV/0!</v>
      </c>
      <c r="AE182" s="166"/>
      <c r="AF182" s="166"/>
      <c r="AG182" s="166"/>
      <c r="AH182" s="182" t="e">
        <f>RANK(AG182, AG$182:AG$211)</f>
        <v>#N/A</v>
      </c>
      <c r="AI182" s="491" t="e">
        <f>AVERAGE(AG182:AG211)</f>
        <v>#DIV/0!</v>
      </c>
      <c r="AJ182" s="166"/>
      <c r="AK182" s="166"/>
      <c r="AL182" s="166"/>
      <c r="AM182" s="182" t="e">
        <f>RANK(AL182, AL$182:AL$211)</f>
        <v>#N/A</v>
      </c>
      <c r="AN182" s="491" t="e">
        <f>AVERAGE(AL182:AL211)</f>
        <v>#DIV/0!</v>
      </c>
      <c r="AO182" s="166"/>
      <c r="AP182" s="166"/>
      <c r="AQ182" s="166"/>
      <c r="AR182" s="182" t="e">
        <f>RANK(AQ182, AQ$182:AQ$211)</f>
        <v>#N/A</v>
      </c>
      <c r="AS182" s="491" t="e">
        <f>AVERAGE(AQ182:AQ211)</f>
        <v>#DIV/0!</v>
      </c>
      <c r="AT182" s="166"/>
      <c r="AU182" s="166"/>
      <c r="AV182" s="166"/>
      <c r="AW182" s="182" t="e">
        <f>RANK(AV182, AV$182:AV$211)</f>
        <v>#N/A</v>
      </c>
      <c r="AX182" s="491" t="e">
        <f>AVERAGE(AV182:AV211)</f>
        <v>#DIV/0!</v>
      </c>
    </row>
    <row r="183" spans="2:50">
      <c r="B183" s="479"/>
      <c r="C183" s="182">
        <v>2</v>
      </c>
      <c r="D183" s="203"/>
      <c r="E183" s="166"/>
      <c r="F183" s="182"/>
      <c r="G183" s="180"/>
      <c r="H183" s="460"/>
      <c r="I183" s="166" t="e">
        <f t="shared" ref="I183:I205" si="85">AVERAGE(P183,U183,Z183,AE183,AJ183,AO183,AT183)</f>
        <v>#DIV/0!</v>
      </c>
      <c r="J183" s="166" t="e">
        <f t="shared" ref="J183:J205" si="86">AVERAGE(Q183,V183,AA183,AF183,AK183,AP183,AU183)</f>
        <v>#DIV/0!</v>
      </c>
      <c r="K183" s="180" t="e">
        <f t="shared" ref="K183:K205" si="87">AVERAGE(R183,W183,AB183,AG183,AL183,AQ183,AV183)</f>
        <v>#DIV/0!</v>
      </c>
      <c r="L183" s="460"/>
      <c r="M183" s="181" t="e">
        <f>RANK(K183, K$147:$K$176)</f>
        <v>#DIV/0!</v>
      </c>
      <c r="N183" s="462"/>
      <c r="O183" s="462"/>
      <c r="P183" s="166"/>
      <c r="Q183" s="166"/>
      <c r="R183" s="166"/>
      <c r="S183" s="182" t="e">
        <f t="shared" ref="S183:S211" si="88">RANK(R183, R$182:R$211)</f>
        <v>#N/A</v>
      </c>
      <c r="T183" s="491"/>
      <c r="U183" s="166"/>
      <c r="V183" s="166"/>
      <c r="W183" s="166"/>
      <c r="X183" s="182" t="e">
        <f t="shared" ref="X183:X211" si="89">RANK(W183, W$182:W$211)</f>
        <v>#N/A</v>
      </c>
      <c r="Y183" s="491"/>
      <c r="Z183" s="166"/>
      <c r="AA183" s="166"/>
      <c r="AB183" s="166"/>
      <c r="AC183" s="182" t="e">
        <f t="shared" ref="AC183:AC211" si="90">RANK(AB183, AB$182:AB$211)</f>
        <v>#N/A</v>
      </c>
      <c r="AD183" s="491"/>
      <c r="AE183" s="166"/>
      <c r="AF183" s="166"/>
      <c r="AG183" s="166"/>
      <c r="AH183" s="182" t="e">
        <f t="shared" ref="AH183:AH211" si="91">RANK(AG183, AG$182:AG$211)</f>
        <v>#N/A</v>
      </c>
      <c r="AI183" s="491"/>
      <c r="AJ183" s="166"/>
      <c r="AK183" s="166"/>
      <c r="AL183" s="166"/>
      <c r="AM183" s="182" t="e">
        <f t="shared" ref="AM183:AM211" si="92">RANK(AL183, AL$182:AL$211)</f>
        <v>#N/A</v>
      </c>
      <c r="AN183" s="491"/>
      <c r="AO183" s="166"/>
      <c r="AP183" s="166"/>
      <c r="AQ183" s="166"/>
      <c r="AR183" s="182" t="e">
        <f t="shared" ref="AR183:AR211" si="93">RANK(AQ183, AQ$182:AQ$211)</f>
        <v>#N/A</v>
      </c>
      <c r="AS183" s="491"/>
      <c r="AT183" s="166"/>
      <c r="AU183" s="166"/>
      <c r="AV183" s="166"/>
      <c r="AW183" s="182" t="e">
        <f t="shared" ref="AW183:AW211" si="94">RANK(AV183, AV$182:AV$211)</f>
        <v>#N/A</v>
      </c>
      <c r="AX183" s="491"/>
    </row>
    <row r="184" spans="2:50">
      <c r="B184" s="479"/>
      <c r="C184" s="182">
        <v>3</v>
      </c>
      <c r="D184" s="203"/>
      <c r="E184" s="166"/>
      <c r="F184" s="182"/>
      <c r="G184" s="180"/>
      <c r="H184" s="460"/>
      <c r="I184" s="166" t="e">
        <f t="shared" si="85"/>
        <v>#DIV/0!</v>
      </c>
      <c r="J184" s="166" t="e">
        <f t="shared" si="86"/>
        <v>#DIV/0!</v>
      </c>
      <c r="K184" s="180" t="e">
        <f t="shared" si="87"/>
        <v>#DIV/0!</v>
      </c>
      <c r="L184" s="460"/>
      <c r="M184" s="181" t="e">
        <f>RANK(K184, K$147:$K$176)</f>
        <v>#DIV/0!</v>
      </c>
      <c r="N184" s="462"/>
      <c r="O184" s="462"/>
      <c r="P184" s="166"/>
      <c r="Q184" s="166"/>
      <c r="R184" s="166"/>
      <c r="S184" s="182" t="e">
        <f t="shared" si="88"/>
        <v>#N/A</v>
      </c>
      <c r="T184" s="491"/>
      <c r="U184" s="166"/>
      <c r="V184" s="166"/>
      <c r="W184" s="166"/>
      <c r="X184" s="182" t="e">
        <f t="shared" si="89"/>
        <v>#N/A</v>
      </c>
      <c r="Y184" s="491"/>
      <c r="Z184" s="166"/>
      <c r="AA184" s="166"/>
      <c r="AB184" s="166"/>
      <c r="AC184" s="182" t="e">
        <f t="shared" si="90"/>
        <v>#N/A</v>
      </c>
      <c r="AD184" s="491"/>
      <c r="AE184" s="166"/>
      <c r="AF184" s="166"/>
      <c r="AG184" s="166"/>
      <c r="AH184" s="182" t="e">
        <f t="shared" si="91"/>
        <v>#N/A</v>
      </c>
      <c r="AI184" s="491"/>
      <c r="AJ184" s="166"/>
      <c r="AK184" s="166"/>
      <c r="AL184" s="166"/>
      <c r="AM184" s="182" t="e">
        <f t="shared" si="92"/>
        <v>#N/A</v>
      </c>
      <c r="AN184" s="491"/>
      <c r="AO184" s="166"/>
      <c r="AP184" s="166"/>
      <c r="AQ184" s="166"/>
      <c r="AR184" s="182" t="e">
        <f t="shared" si="93"/>
        <v>#N/A</v>
      </c>
      <c r="AS184" s="491"/>
      <c r="AT184" s="166"/>
      <c r="AU184" s="166"/>
      <c r="AV184" s="166"/>
      <c r="AW184" s="182" t="e">
        <f t="shared" si="94"/>
        <v>#N/A</v>
      </c>
      <c r="AX184" s="491"/>
    </row>
    <row r="185" spans="2:50">
      <c r="B185" s="479"/>
      <c r="C185" s="182">
        <v>4</v>
      </c>
      <c r="D185" s="203"/>
      <c r="E185" s="166"/>
      <c r="F185" s="182"/>
      <c r="G185" s="180"/>
      <c r="H185" s="460"/>
      <c r="I185" s="166" t="e">
        <f t="shared" si="85"/>
        <v>#DIV/0!</v>
      </c>
      <c r="J185" s="166" t="e">
        <f t="shared" si="86"/>
        <v>#DIV/0!</v>
      </c>
      <c r="K185" s="180" t="e">
        <f t="shared" si="87"/>
        <v>#DIV/0!</v>
      </c>
      <c r="L185" s="460"/>
      <c r="M185" s="181" t="e">
        <f>RANK(K185, K$147:$K$176)</f>
        <v>#DIV/0!</v>
      </c>
      <c r="N185" s="462"/>
      <c r="O185" s="462"/>
      <c r="P185" s="166"/>
      <c r="Q185" s="166"/>
      <c r="R185" s="166"/>
      <c r="S185" s="182" t="e">
        <f t="shared" si="88"/>
        <v>#N/A</v>
      </c>
      <c r="T185" s="491"/>
      <c r="U185" s="166"/>
      <c r="V185" s="166"/>
      <c r="W185" s="166"/>
      <c r="X185" s="182" t="e">
        <f t="shared" si="89"/>
        <v>#N/A</v>
      </c>
      <c r="Y185" s="491"/>
      <c r="Z185" s="166"/>
      <c r="AA185" s="166"/>
      <c r="AB185" s="166"/>
      <c r="AC185" s="182" t="e">
        <f t="shared" si="90"/>
        <v>#N/A</v>
      </c>
      <c r="AD185" s="491"/>
      <c r="AE185" s="166"/>
      <c r="AF185" s="166"/>
      <c r="AG185" s="166"/>
      <c r="AH185" s="182" t="e">
        <f t="shared" si="91"/>
        <v>#N/A</v>
      </c>
      <c r="AI185" s="491"/>
      <c r="AJ185" s="166"/>
      <c r="AK185" s="166"/>
      <c r="AL185" s="166"/>
      <c r="AM185" s="182" t="e">
        <f t="shared" si="92"/>
        <v>#N/A</v>
      </c>
      <c r="AN185" s="491"/>
      <c r="AO185" s="166"/>
      <c r="AP185" s="166"/>
      <c r="AQ185" s="166"/>
      <c r="AR185" s="182" t="e">
        <f t="shared" si="93"/>
        <v>#N/A</v>
      </c>
      <c r="AS185" s="491"/>
      <c r="AT185" s="166"/>
      <c r="AU185" s="166"/>
      <c r="AV185" s="166"/>
      <c r="AW185" s="182" t="e">
        <f t="shared" si="94"/>
        <v>#N/A</v>
      </c>
      <c r="AX185" s="491"/>
    </row>
    <row r="186" spans="2:50">
      <c r="B186" s="479"/>
      <c r="C186" s="182">
        <v>5</v>
      </c>
      <c r="D186" s="203"/>
      <c r="E186" s="166"/>
      <c r="F186" s="182"/>
      <c r="G186" s="180"/>
      <c r="H186" s="460"/>
      <c r="I186" s="166" t="e">
        <f t="shared" si="85"/>
        <v>#DIV/0!</v>
      </c>
      <c r="J186" s="166" t="e">
        <f t="shared" si="86"/>
        <v>#DIV/0!</v>
      </c>
      <c r="K186" s="180" t="e">
        <f t="shared" si="87"/>
        <v>#DIV/0!</v>
      </c>
      <c r="L186" s="460"/>
      <c r="M186" s="181" t="e">
        <f>RANK(K186, K$147:$K$176)</f>
        <v>#DIV/0!</v>
      </c>
      <c r="N186" s="462"/>
      <c r="O186" s="462"/>
      <c r="P186" s="166"/>
      <c r="Q186" s="166"/>
      <c r="R186" s="166"/>
      <c r="S186" s="182" t="e">
        <f t="shared" si="88"/>
        <v>#N/A</v>
      </c>
      <c r="T186" s="491"/>
      <c r="U186" s="166"/>
      <c r="V186" s="166"/>
      <c r="W186" s="166"/>
      <c r="X186" s="182" t="e">
        <f t="shared" si="89"/>
        <v>#N/A</v>
      </c>
      <c r="Y186" s="491"/>
      <c r="Z186" s="166"/>
      <c r="AA186" s="166"/>
      <c r="AB186" s="166"/>
      <c r="AC186" s="182" t="e">
        <f t="shared" si="90"/>
        <v>#N/A</v>
      </c>
      <c r="AD186" s="491"/>
      <c r="AE186" s="166"/>
      <c r="AF186" s="166"/>
      <c r="AG186" s="166"/>
      <c r="AH186" s="182" t="e">
        <f t="shared" si="91"/>
        <v>#N/A</v>
      </c>
      <c r="AI186" s="491"/>
      <c r="AJ186" s="166"/>
      <c r="AK186" s="166"/>
      <c r="AL186" s="166"/>
      <c r="AM186" s="182" t="e">
        <f t="shared" si="92"/>
        <v>#N/A</v>
      </c>
      <c r="AN186" s="491"/>
      <c r="AO186" s="166"/>
      <c r="AP186" s="166"/>
      <c r="AQ186" s="166"/>
      <c r="AR186" s="182" t="e">
        <f t="shared" si="93"/>
        <v>#N/A</v>
      </c>
      <c r="AS186" s="491"/>
      <c r="AT186" s="166"/>
      <c r="AU186" s="166"/>
      <c r="AV186" s="166"/>
      <c r="AW186" s="182" t="e">
        <f t="shared" si="94"/>
        <v>#N/A</v>
      </c>
      <c r="AX186" s="491"/>
    </row>
    <row r="187" spans="2:50">
      <c r="B187" s="479"/>
      <c r="C187" s="182">
        <v>6</v>
      </c>
      <c r="D187" s="203"/>
      <c r="E187" s="166"/>
      <c r="F187" s="182"/>
      <c r="G187" s="180"/>
      <c r="H187" s="460"/>
      <c r="I187" s="166" t="e">
        <f t="shared" si="85"/>
        <v>#DIV/0!</v>
      </c>
      <c r="J187" s="166" t="e">
        <f t="shared" si="86"/>
        <v>#DIV/0!</v>
      </c>
      <c r="K187" s="180" t="e">
        <f t="shared" si="87"/>
        <v>#DIV/0!</v>
      </c>
      <c r="L187" s="460"/>
      <c r="M187" s="181" t="e">
        <f>RANK(K187, K$147:$K$176)</f>
        <v>#DIV/0!</v>
      </c>
      <c r="N187" s="462"/>
      <c r="O187" s="462"/>
      <c r="P187" s="166"/>
      <c r="Q187" s="166"/>
      <c r="R187" s="166"/>
      <c r="S187" s="182" t="e">
        <f t="shared" si="88"/>
        <v>#N/A</v>
      </c>
      <c r="T187" s="491"/>
      <c r="U187" s="166"/>
      <c r="V187" s="166"/>
      <c r="W187" s="166"/>
      <c r="X187" s="182" t="e">
        <f t="shared" si="89"/>
        <v>#N/A</v>
      </c>
      <c r="Y187" s="491"/>
      <c r="Z187" s="166"/>
      <c r="AA187" s="166"/>
      <c r="AB187" s="166"/>
      <c r="AC187" s="182" t="e">
        <f t="shared" si="90"/>
        <v>#N/A</v>
      </c>
      <c r="AD187" s="491"/>
      <c r="AE187" s="166"/>
      <c r="AF187" s="166"/>
      <c r="AG187" s="166"/>
      <c r="AH187" s="182" t="e">
        <f t="shared" si="91"/>
        <v>#N/A</v>
      </c>
      <c r="AI187" s="491"/>
      <c r="AJ187" s="166"/>
      <c r="AK187" s="166"/>
      <c r="AL187" s="166"/>
      <c r="AM187" s="182" t="e">
        <f t="shared" si="92"/>
        <v>#N/A</v>
      </c>
      <c r="AN187" s="491"/>
      <c r="AO187" s="166"/>
      <c r="AP187" s="166"/>
      <c r="AQ187" s="166"/>
      <c r="AR187" s="182" t="e">
        <f t="shared" si="93"/>
        <v>#N/A</v>
      </c>
      <c r="AS187" s="491"/>
      <c r="AT187" s="166"/>
      <c r="AU187" s="166"/>
      <c r="AV187" s="166"/>
      <c r="AW187" s="182" t="e">
        <f t="shared" si="94"/>
        <v>#N/A</v>
      </c>
      <c r="AX187" s="491"/>
    </row>
    <row r="188" spans="2:50">
      <c r="B188" s="479"/>
      <c r="C188" s="182">
        <v>7</v>
      </c>
      <c r="D188" s="203"/>
      <c r="E188" s="166"/>
      <c r="F188" s="182"/>
      <c r="G188" s="180"/>
      <c r="H188" s="460"/>
      <c r="I188" s="166" t="e">
        <f t="shared" si="85"/>
        <v>#DIV/0!</v>
      </c>
      <c r="J188" s="166" t="e">
        <f t="shared" si="86"/>
        <v>#DIV/0!</v>
      </c>
      <c r="K188" s="180" t="e">
        <f t="shared" si="87"/>
        <v>#DIV/0!</v>
      </c>
      <c r="L188" s="460"/>
      <c r="M188" s="181" t="e">
        <f>RANK(K188, K$147:$K$176)</f>
        <v>#DIV/0!</v>
      </c>
      <c r="N188" s="462"/>
      <c r="O188" s="462"/>
      <c r="P188" s="166"/>
      <c r="Q188" s="166"/>
      <c r="R188" s="166"/>
      <c r="S188" s="182" t="e">
        <f t="shared" si="88"/>
        <v>#N/A</v>
      </c>
      <c r="T188" s="491"/>
      <c r="U188" s="166"/>
      <c r="V188" s="166"/>
      <c r="W188" s="166"/>
      <c r="X188" s="182" t="e">
        <f t="shared" si="89"/>
        <v>#N/A</v>
      </c>
      <c r="Y188" s="491"/>
      <c r="Z188" s="166"/>
      <c r="AA188" s="166"/>
      <c r="AB188" s="166"/>
      <c r="AC188" s="182" t="e">
        <f t="shared" si="90"/>
        <v>#N/A</v>
      </c>
      <c r="AD188" s="491"/>
      <c r="AE188" s="166"/>
      <c r="AF188" s="166"/>
      <c r="AG188" s="166"/>
      <c r="AH188" s="182" t="e">
        <f t="shared" si="91"/>
        <v>#N/A</v>
      </c>
      <c r="AI188" s="491"/>
      <c r="AJ188" s="166"/>
      <c r="AK188" s="166"/>
      <c r="AL188" s="166"/>
      <c r="AM188" s="182" t="e">
        <f t="shared" si="92"/>
        <v>#N/A</v>
      </c>
      <c r="AN188" s="491"/>
      <c r="AO188" s="166"/>
      <c r="AP188" s="166"/>
      <c r="AQ188" s="166"/>
      <c r="AR188" s="182" t="e">
        <f t="shared" si="93"/>
        <v>#N/A</v>
      </c>
      <c r="AS188" s="491"/>
      <c r="AT188" s="166"/>
      <c r="AU188" s="166"/>
      <c r="AV188" s="166"/>
      <c r="AW188" s="182" t="e">
        <f t="shared" si="94"/>
        <v>#N/A</v>
      </c>
      <c r="AX188" s="491"/>
    </row>
    <row r="189" spans="2:50">
      <c r="B189" s="479"/>
      <c r="C189" s="182">
        <v>8</v>
      </c>
      <c r="D189" s="203"/>
      <c r="E189" s="166"/>
      <c r="F189" s="182"/>
      <c r="G189" s="180"/>
      <c r="H189" s="460"/>
      <c r="I189" s="166" t="e">
        <f t="shared" si="85"/>
        <v>#DIV/0!</v>
      </c>
      <c r="J189" s="166" t="e">
        <f t="shared" si="86"/>
        <v>#DIV/0!</v>
      </c>
      <c r="K189" s="180" t="e">
        <f t="shared" si="87"/>
        <v>#DIV/0!</v>
      </c>
      <c r="L189" s="460"/>
      <c r="M189" s="181" t="e">
        <f>RANK(K189, K$147:$K$176)</f>
        <v>#DIV/0!</v>
      </c>
      <c r="N189" s="462"/>
      <c r="O189" s="462"/>
      <c r="P189" s="166"/>
      <c r="Q189" s="166"/>
      <c r="R189" s="166"/>
      <c r="S189" s="182" t="e">
        <f t="shared" si="88"/>
        <v>#N/A</v>
      </c>
      <c r="T189" s="491"/>
      <c r="U189" s="166"/>
      <c r="V189" s="166"/>
      <c r="W189" s="166"/>
      <c r="X189" s="182" t="e">
        <f t="shared" si="89"/>
        <v>#N/A</v>
      </c>
      <c r="Y189" s="491"/>
      <c r="Z189" s="166"/>
      <c r="AA189" s="166"/>
      <c r="AB189" s="166"/>
      <c r="AC189" s="182" t="e">
        <f t="shared" si="90"/>
        <v>#N/A</v>
      </c>
      <c r="AD189" s="491"/>
      <c r="AE189" s="166"/>
      <c r="AF189" s="166"/>
      <c r="AG189" s="166"/>
      <c r="AH189" s="182" t="e">
        <f t="shared" si="91"/>
        <v>#N/A</v>
      </c>
      <c r="AI189" s="491"/>
      <c r="AJ189" s="166"/>
      <c r="AK189" s="166"/>
      <c r="AL189" s="166"/>
      <c r="AM189" s="182" t="e">
        <f t="shared" si="92"/>
        <v>#N/A</v>
      </c>
      <c r="AN189" s="491"/>
      <c r="AO189" s="166"/>
      <c r="AP189" s="166"/>
      <c r="AQ189" s="166"/>
      <c r="AR189" s="182" t="e">
        <f t="shared" si="93"/>
        <v>#N/A</v>
      </c>
      <c r="AS189" s="491"/>
      <c r="AT189" s="166"/>
      <c r="AU189" s="166"/>
      <c r="AV189" s="166"/>
      <c r="AW189" s="182" t="e">
        <f t="shared" si="94"/>
        <v>#N/A</v>
      </c>
      <c r="AX189" s="491"/>
    </row>
    <row r="190" spans="2:50">
      <c r="B190" s="479"/>
      <c r="C190" s="182">
        <v>9</v>
      </c>
      <c r="D190" s="203"/>
      <c r="E190" s="166"/>
      <c r="F190" s="182"/>
      <c r="G190" s="180"/>
      <c r="H190" s="460"/>
      <c r="I190" s="166" t="e">
        <f t="shared" si="85"/>
        <v>#DIV/0!</v>
      </c>
      <c r="J190" s="166" t="e">
        <f t="shared" si="86"/>
        <v>#DIV/0!</v>
      </c>
      <c r="K190" s="180" t="e">
        <f t="shared" si="87"/>
        <v>#DIV/0!</v>
      </c>
      <c r="L190" s="460"/>
      <c r="M190" s="181" t="e">
        <f>RANK(K190, K$147:$K$176)</f>
        <v>#DIV/0!</v>
      </c>
      <c r="N190" s="462"/>
      <c r="O190" s="462"/>
      <c r="P190" s="166"/>
      <c r="Q190" s="166"/>
      <c r="R190" s="166"/>
      <c r="S190" s="182" t="e">
        <f t="shared" si="88"/>
        <v>#N/A</v>
      </c>
      <c r="T190" s="491"/>
      <c r="U190" s="166"/>
      <c r="V190" s="166"/>
      <c r="W190" s="166"/>
      <c r="X190" s="182" t="e">
        <f t="shared" si="89"/>
        <v>#N/A</v>
      </c>
      <c r="Y190" s="491"/>
      <c r="Z190" s="166"/>
      <c r="AA190" s="166"/>
      <c r="AB190" s="166"/>
      <c r="AC190" s="182" t="e">
        <f t="shared" si="90"/>
        <v>#N/A</v>
      </c>
      <c r="AD190" s="491"/>
      <c r="AE190" s="166"/>
      <c r="AF190" s="166"/>
      <c r="AG190" s="166"/>
      <c r="AH190" s="182" t="e">
        <f t="shared" si="91"/>
        <v>#N/A</v>
      </c>
      <c r="AI190" s="491"/>
      <c r="AJ190" s="166"/>
      <c r="AK190" s="166"/>
      <c r="AL190" s="166"/>
      <c r="AM190" s="182" t="e">
        <f t="shared" si="92"/>
        <v>#N/A</v>
      </c>
      <c r="AN190" s="491"/>
      <c r="AO190" s="166"/>
      <c r="AP190" s="166"/>
      <c r="AQ190" s="166"/>
      <c r="AR190" s="182" t="e">
        <f t="shared" si="93"/>
        <v>#N/A</v>
      </c>
      <c r="AS190" s="491"/>
      <c r="AT190" s="166"/>
      <c r="AU190" s="166"/>
      <c r="AV190" s="166"/>
      <c r="AW190" s="182" t="e">
        <f t="shared" si="94"/>
        <v>#N/A</v>
      </c>
      <c r="AX190" s="491"/>
    </row>
    <row r="191" spans="2:50">
      <c r="B191" s="479"/>
      <c r="C191" s="182">
        <v>10</v>
      </c>
      <c r="D191" s="203"/>
      <c r="E191" s="166"/>
      <c r="F191" s="182"/>
      <c r="G191" s="180"/>
      <c r="H191" s="460"/>
      <c r="I191" s="166" t="e">
        <f t="shared" si="85"/>
        <v>#DIV/0!</v>
      </c>
      <c r="J191" s="166" t="e">
        <f t="shared" si="86"/>
        <v>#DIV/0!</v>
      </c>
      <c r="K191" s="180" t="e">
        <f t="shared" si="87"/>
        <v>#DIV/0!</v>
      </c>
      <c r="L191" s="460"/>
      <c r="M191" s="181" t="e">
        <f>RANK(K191, K$147:$K$176)</f>
        <v>#DIV/0!</v>
      </c>
      <c r="N191" s="462"/>
      <c r="O191" s="462"/>
      <c r="P191" s="166"/>
      <c r="Q191" s="166"/>
      <c r="R191" s="166"/>
      <c r="S191" s="182" t="e">
        <f t="shared" si="88"/>
        <v>#N/A</v>
      </c>
      <c r="T191" s="491"/>
      <c r="U191" s="166"/>
      <c r="V191" s="166"/>
      <c r="W191" s="166"/>
      <c r="X191" s="182" t="e">
        <f t="shared" si="89"/>
        <v>#N/A</v>
      </c>
      <c r="Y191" s="491"/>
      <c r="Z191" s="166"/>
      <c r="AA191" s="166"/>
      <c r="AB191" s="166"/>
      <c r="AC191" s="182" t="e">
        <f t="shared" si="90"/>
        <v>#N/A</v>
      </c>
      <c r="AD191" s="491"/>
      <c r="AE191" s="166"/>
      <c r="AF191" s="166"/>
      <c r="AG191" s="166"/>
      <c r="AH191" s="182" t="e">
        <f t="shared" si="91"/>
        <v>#N/A</v>
      </c>
      <c r="AI191" s="491"/>
      <c r="AJ191" s="166"/>
      <c r="AK191" s="166"/>
      <c r="AL191" s="166"/>
      <c r="AM191" s="182" t="e">
        <f t="shared" si="92"/>
        <v>#N/A</v>
      </c>
      <c r="AN191" s="491"/>
      <c r="AO191" s="166"/>
      <c r="AP191" s="166"/>
      <c r="AQ191" s="166"/>
      <c r="AR191" s="182" t="e">
        <f t="shared" si="93"/>
        <v>#N/A</v>
      </c>
      <c r="AS191" s="491"/>
      <c r="AT191" s="166"/>
      <c r="AU191" s="166"/>
      <c r="AV191" s="166"/>
      <c r="AW191" s="182" t="e">
        <f t="shared" si="94"/>
        <v>#N/A</v>
      </c>
      <c r="AX191" s="491"/>
    </row>
    <row r="192" spans="2:50">
      <c r="B192" s="479"/>
      <c r="C192" s="182">
        <v>11</v>
      </c>
      <c r="D192" s="203"/>
      <c r="E192" s="166"/>
      <c r="F192" s="182"/>
      <c r="G192" s="180"/>
      <c r="H192" s="460"/>
      <c r="I192" s="166" t="e">
        <f t="shared" si="85"/>
        <v>#DIV/0!</v>
      </c>
      <c r="J192" s="166" t="e">
        <f t="shared" si="86"/>
        <v>#DIV/0!</v>
      </c>
      <c r="K192" s="180" t="e">
        <f t="shared" si="87"/>
        <v>#DIV/0!</v>
      </c>
      <c r="L192" s="460"/>
      <c r="M192" s="181" t="e">
        <f>RANK(K192, K$147:$K$176)</f>
        <v>#DIV/0!</v>
      </c>
      <c r="N192" s="462"/>
      <c r="O192" s="462"/>
      <c r="P192" s="166"/>
      <c r="Q192" s="166"/>
      <c r="R192" s="166"/>
      <c r="S192" s="182" t="e">
        <f t="shared" si="88"/>
        <v>#N/A</v>
      </c>
      <c r="T192" s="491"/>
      <c r="U192" s="166"/>
      <c r="V192" s="166"/>
      <c r="W192" s="166"/>
      <c r="X192" s="182" t="e">
        <f t="shared" si="89"/>
        <v>#N/A</v>
      </c>
      <c r="Y192" s="491"/>
      <c r="Z192" s="166"/>
      <c r="AA192" s="166"/>
      <c r="AB192" s="166"/>
      <c r="AC192" s="182" t="e">
        <f t="shared" si="90"/>
        <v>#N/A</v>
      </c>
      <c r="AD192" s="491"/>
      <c r="AE192" s="166"/>
      <c r="AF192" s="166"/>
      <c r="AG192" s="166"/>
      <c r="AH192" s="182" t="e">
        <f t="shared" si="91"/>
        <v>#N/A</v>
      </c>
      <c r="AI192" s="491"/>
      <c r="AJ192" s="166"/>
      <c r="AK192" s="166"/>
      <c r="AL192" s="166"/>
      <c r="AM192" s="182" t="e">
        <f t="shared" si="92"/>
        <v>#N/A</v>
      </c>
      <c r="AN192" s="491"/>
      <c r="AO192" s="166"/>
      <c r="AP192" s="166"/>
      <c r="AQ192" s="166"/>
      <c r="AR192" s="182" t="e">
        <f t="shared" si="93"/>
        <v>#N/A</v>
      </c>
      <c r="AS192" s="491"/>
      <c r="AT192" s="166"/>
      <c r="AU192" s="166"/>
      <c r="AV192" s="166"/>
      <c r="AW192" s="182" t="e">
        <f t="shared" si="94"/>
        <v>#N/A</v>
      </c>
      <c r="AX192" s="491"/>
    </row>
    <row r="193" spans="2:50">
      <c r="B193" s="479"/>
      <c r="C193" s="182">
        <v>12</v>
      </c>
      <c r="D193" s="203"/>
      <c r="E193" s="166"/>
      <c r="F193" s="182"/>
      <c r="G193" s="180"/>
      <c r="H193" s="460"/>
      <c r="I193" s="166" t="e">
        <f t="shared" si="85"/>
        <v>#DIV/0!</v>
      </c>
      <c r="J193" s="166" t="e">
        <f t="shared" si="86"/>
        <v>#DIV/0!</v>
      </c>
      <c r="K193" s="180" t="e">
        <f t="shared" si="87"/>
        <v>#DIV/0!</v>
      </c>
      <c r="L193" s="460"/>
      <c r="M193" s="181" t="e">
        <f>RANK(K193, K$147:$K$176)</f>
        <v>#DIV/0!</v>
      </c>
      <c r="N193" s="462"/>
      <c r="O193" s="462"/>
      <c r="P193" s="166"/>
      <c r="Q193" s="166"/>
      <c r="R193" s="166"/>
      <c r="S193" s="182" t="e">
        <f t="shared" si="88"/>
        <v>#N/A</v>
      </c>
      <c r="T193" s="491"/>
      <c r="U193" s="166"/>
      <c r="V193" s="166"/>
      <c r="W193" s="166"/>
      <c r="X193" s="182" t="e">
        <f t="shared" si="89"/>
        <v>#N/A</v>
      </c>
      <c r="Y193" s="491"/>
      <c r="Z193" s="166"/>
      <c r="AA193" s="166"/>
      <c r="AB193" s="166"/>
      <c r="AC193" s="182" t="e">
        <f t="shared" si="90"/>
        <v>#N/A</v>
      </c>
      <c r="AD193" s="491"/>
      <c r="AE193" s="166"/>
      <c r="AF193" s="166"/>
      <c r="AG193" s="166"/>
      <c r="AH193" s="182" t="e">
        <f t="shared" si="91"/>
        <v>#N/A</v>
      </c>
      <c r="AI193" s="491"/>
      <c r="AJ193" s="166"/>
      <c r="AK193" s="166"/>
      <c r="AL193" s="166"/>
      <c r="AM193" s="182" t="e">
        <f t="shared" si="92"/>
        <v>#N/A</v>
      </c>
      <c r="AN193" s="491"/>
      <c r="AO193" s="166"/>
      <c r="AP193" s="166"/>
      <c r="AQ193" s="166"/>
      <c r="AR193" s="182" t="e">
        <f t="shared" si="93"/>
        <v>#N/A</v>
      </c>
      <c r="AS193" s="491"/>
      <c r="AT193" s="166"/>
      <c r="AU193" s="166"/>
      <c r="AV193" s="166"/>
      <c r="AW193" s="182" t="e">
        <f t="shared" si="94"/>
        <v>#N/A</v>
      </c>
      <c r="AX193" s="491"/>
    </row>
    <row r="194" spans="2:50">
      <c r="B194" s="479"/>
      <c r="C194" s="182">
        <v>13</v>
      </c>
      <c r="D194" s="203"/>
      <c r="E194" s="166"/>
      <c r="F194" s="182"/>
      <c r="G194" s="180"/>
      <c r="H194" s="460"/>
      <c r="I194" s="166" t="e">
        <f t="shared" si="85"/>
        <v>#DIV/0!</v>
      </c>
      <c r="J194" s="166" t="e">
        <f t="shared" si="86"/>
        <v>#DIV/0!</v>
      </c>
      <c r="K194" s="180" t="e">
        <f t="shared" si="87"/>
        <v>#DIV/0!</v>
      </c>
      <c r="L194" s="460"/>
      <c r="M194" s="181" t="e">
        <f>RANK(K194, K$147:$K$176)</f>
        <v>#DIV/0!</v>
      </c>
      <c r="N194" s="462"/>
      <c r="O194" s="462"/>
      <c r="P194" s="166"/>
      <c r="Q194" s="166"/>
      <c r="R194" s="166"/>
      <c r="S194" s="182" t="e">
        <f t="shared" si="88"/>
        <v>#N/A</v>
      </c>
      <c r="T194" s="491"/>
      <c r="U194" s="166"/>
      <c r="V194" s="166"/>
      <c r="W194" s="166"/>
      <c r="X194" s="182" t="e">
        <f t="shared" si="89"/>
        <v>#N/A</v>
      </c>
      <c r="Y194" s="491"/>
      <c r="Z194" s="166"/>
      <c r="AA194" s="166"/>
      <c r="AB194" s="166"/>
      <c r="AC194" s="182" t="e">
        <f t="shared" si="90"/>
        <v>#N/A</v>
      </c>
      <c r="AD194" s="491"/>
      <c r="AE194" s="166"/>
      <c r="AF194" s="166"/>
      <c r="AG194" s="166"/>
      <c r="AH194" s="182" t="e">
        <f t="shared" si="91"/>
        <v>#N/A</v>
      </c>
      <c r="AI194" s="491"/>
      <c r="AJ194" s="166"/>
      <c r="AK194" s="166"/>
      <c r="AL194" s="166"/>
      <c r="AM194" s="182" t="e">
        <f t="shared" si="92"/>
        <v>#N/A</v>
      </c>
      <c r="AN194" s="491"/>
      <c r="AO194" s="166"/>
      <c r="AP194" s="166"/>
      <c r="AQ194" s="166"/>
      <c r="AR194" s="182" t="e">
        <f t="shared" si="93"/>
        <v>#N/A</v>
      </c>
      <c r="AS194" s="491"/>
      <c r="AT194" s="166"/>
      <c r="AU194" s="166"/>
      <c r="AV194" s="166"/>
      <c r="AW194" s="182" t="e">
        <f t="shared" si="94"/>
        <v>#N/A</v>
      </c>
      <c r="AX194" s="491"/>
    </row>
    <row r="195" spans="2:50">
      <c r="B195" s="479"/>
      <c r="C195" s="182">
        <v>14</v>
      </c>
      <c r="D195" s="203"/>
      <c r="E195" s="166"/>
      <c r="F195" s="182"/>
      <c r="G195" s="180"/>
      <c r="H195" s="460"/>
      <c r="I195" s="166" t="e">
        <f t="shared" si="85"/>
        <v>#DIV/0!</v>
      </c>
      <c r="J195" s="166" t="e">
        <f t="shared" si="86"/>
        <v>#DIV/0!</v>
      </c>
      <c r="K195" s="180" t="e">
        <f t="shared" si="87"/>
        <v>#DIV/0!</v>
      </c>
      <c r="L195" s="460"/>
      <c r="M195" s="181" t="e">
        <f>RANK(K195, K$147:$K$176)</f>
        <v>#DIV/0!</v>
      </c>
      <c r="N195" s="462"/>
      <c r="O195" s="462"/>
      <c r="P195" s="166"/>
      <c r="Q195" s="166"/>
      <c r="R195" s="166"/>
      <c r="S195" s="182" t="e">
        <f t="shared" si="88"/>
        <v>#N/A</v>
      </c>
      <c r="T195" s="491"/>
      <c r="U195" s="166"/>
      <c r="V195" s="166"/>
      <c r="W195" s="166"/>
      <c r="X195" s="182" t="e">
        <f t="shared" si="89"/>
        <v>#N/A</v>
      </c>
      <c r="Y195" s="491"/>
      <c r="Z195" s="166"/>
      <c r="AA195" s="166"/>
      <c r="AB195" s="166"/>
      <c r="AC195" s="182" t="e">
        <f t="shared" si="90"/>
        <v>#N/A</v>
      </c>
      <c r="AD195" s="491"/>
      <c r="AE195" s="166"/>
      <c r="AF195" s="166"/>
      <c r="AG195" s="166"/>
      <c r="AH195" s="182" t="e">
        <f t="shared" si="91"/>
        <v>#N/A</v>
      </c>
      <c r="AI195" s="491"/>
      <c r="AJ195" s="166"/>
      <c r="AK195" s="166"/>
      <c r="AL195" s="166"/>
      <c r="AM195" s="182" t="e">
        <f t="shared" si="92"/>
        <v>#N/A</v>
      </c>
      <c r="AN195" s="491"/>
      <c r="AO195" s="166"/>
      <c r="AP195" s="166"/>
      <c r="AQ195" s="166"/>
      <c r="AR195" s="182" t="e">
        <f t="shared" si="93"/>
        <v>#N/A</v>
      </c>
      <c r="AS195" s="491"/>
      <c r="AT195" s="166"/>
      <c r="AU195" s="166"/>
      <c r="AV195" s="166"/>
      <c r="AW195" s="182" t="e">
        <f t="shared" si="94"/>
        <v>#N/A</v>
      </c>
      <c r="AX195" s="491"/>
    </row>
    <row r="196" spans="2:50">
      <c r="B196" s="479"/>
      <c r="C196" s="182">
        <v>15</v>
      </c>
      <c r="D196" s="203"/>
      <c r="E196" s="166"/>
      <c r="F196" s="182"/>
      <c r="G196" s="180"/>
      <c r="H196" s="460"/>
      <c r="I196" s="166" t="e">
        <f t="shared" si="85"/>
        <v>#DIV/0!</v>
      </c>
      <c r="J196" s="166" t="e">
        <f t="shared" si="86"/>
        <v>#DIV/0!</v>
      </c>
      <c r="K196" s="180" t="e">
        <f t="shared" si="87"/>
        <v>#DIV/0!</v>
      </c>
      <c r="L196" s="460"/>
      <c r="M196" s="166" t="e">
        <f>RANK(K196, K$147:$K$176)</f>
        <v>#DIV/0!</v>
      </c>
      <c r="N196" s="462"/>
      <c r="O196" s="462"/>
      <c r="P196" s="166"/>
      <c r="Q196" s="166"/>
      <c r="R196" s="166"/>
      <c r="S196" s="182" t="e">
        <f t="shared" si="88"/>
        <v>#N/A</v>
      </c>
      <c r="T196" s="491"/>
      <c r="U196" s="166"/>
      <c r="V196" s="166"/>
      <c r="W196" s="166"/>
      <c r="X196" s="182" t="e">
        <f t="shared" si="89"/>
        <v>#N/A</v>
      </c>
      <c r="Y196" s="491"/>
      <c r="Z196" s="166"/>
      <c r="AA196" s="166"/>
      <c r="AB196" s="166"/>
      <c r="AC196" s="182" t="e">
        <f t="shared" si="90"/>
        <v>#N/A</v>
      </c>
      <c r="AD196" s="491"/>
      <c r="AE196" s="166"/>
      <c r="AF196" s="166"/>
      <c r="AG196" s="166"/>
      <c r="AH196" s="182" t="e">
        <f t="shared" si="91"/>
        <v>#N/A</v>
      </c>
      <c r="AI196" s="491"/>
      <c r="AJ196" s="166"/>
      <c r="AK196" s="166"/>
      <c r="AL196" s="166"/>
      <c r="AM196" s="182" t="e">
        <f t="shared" si="92"/>
        <v>#N/A</v>
      </c>
      <c r="AN196" s="491"/>
      <c r="AO196" s="166"/>
      <c r="AP196" s="166"/>
      <c r="AQ196" s="166"/>
      <c r="AR196" s="182" t="e">
        <f t="shared" si="93"/>
        <v>#N/A</v>
      </c>
      <c r="AS196" s="491"/>
      <c r="AT196" s="166"/>
      <c r="AU196" s="166"/>
      <c r="AV196" s="166"/>
      <c r="AW196" s="182" t="e">
        <f t="shared" si="94"/>
        <v>#N/A</v>
      </c>
      <c r="AX196" s="491"/>
    </row>
    <row r="197" spans="2:50">
      <c r="B197" s="479"/>
      <c r="C197" s="182">
        <v>16</v>
      </c>
      <c r="D197" s="203"/>
      <c r="E197" s="166"/>
      <c r="F197" s="182"/>
      <c r="G197" s="180"/>
      <c r="H197" s="460"/>
      <c r="I197" s="166" t="e">
        <f t="shared" si="85"/>
        <v>#DIV/0!</v>
      </c>
      <c r="J197" s="166" t="e">
        <f t="shared" si="86"/>
        <v>#DIV/0!</v>
      </c>
      <c r="K197" s="180" t="e">
        <f t="shared" si="87"/>
        <v>#DIV/0!</v>
      </c>
      <c r="L197" s="460"/>
      <c r="M197" s="166" t="e">
        <f>RANK(K197, K$147:$K$176)</f>
        <v>#DIV/0!</v>
      </c>
      <c r="N197" s="462"/>
      <c r="O197" s="462"/>
      <c r="P197" s="166"/>
      <c r="Q197" s="166"/>
      <c r="R197" s="166"/>
      <c r="S197" s="182" t="e">
        <f t="shared" si="88"/>
        <v>#N/A</v>
      </c>
      <c r="T197" s="491"/>
      <c r="U197" s="166"/>
      <c r="V197" s="166"/>
      <c r="W197" s="166"/>
      <c r="X197" s="182" t="e">
        <f t="shared" si="89"/>
        <v>#N/A</v>
      </c>
      <c r="Y197" s="491"/>
      <c r="Z197" s="166"/>
      <c r="AA197" s="166"/>
      <c r="AB197" s="166"/>
      <c r="AC197" s="182" t="e">
        <f t="shared" si="90"/>
        <v>#N/A</v>
      </c>
      <c r="AD197" s="491"/>
      <c r="AE197" s="166"/>
      <c r="AF197" s="166"/>
      <c r="AG197" s="166"/>
      <c r="AH197" s="182" t="e">
        <f t="shared" si="91"/>
        <v>#N/A</v>
      </c>
      <c r="AI197" s="491"/>
      <c r="AJ197" s="166"/>
      <c r="AK197" s="166"/>
      <c r="AL197" s="166"/>
      <c r="AM197" s="182" t="e">
        <f t="shared" si="92"/>
        <v>#N/A</v>
      </c>
      <c r="AN197" s="491"/>
      <c r="AO197" s="166"/>
      <c r="AP197" s="166"/>
      <c r="AQ197" s="166"/>
      <c r="AR197" s="182" t="e">
        <f t="shared" si="93"/>
        <v>#N/A</v>
      </c>
      <c r="AS197" s="491"/>
      <c r="AT197" s="166"/>
      <c r="AU197" s="166"/>
      <c r="AV197" s="166"/>
      <c r="AW197" s="182" t="e">
        <f t="shared" si="94"/>
        <v>#N/A</v>
      </c>
      <c r="AX197" s="491"/>
    </row>
    <row r="198" spans="2:50">
      <c r="B198" s="479"/>
      <c r="C198" s="182">
        <v>17</v>
      </c>
      <c r="D198" s="203"/>
      <c r="E198" s="166"/>
      <c r="F198" s="182"/>
      <c r="G198" s="180"/>
      <c r="H198" s="460"/>
      <c r="I198" s="166" t="e">
        <f t="shared" si="85"/>
        <v>#DIV/0!</v>
      </c>
      <c r="J198" s="166" t="e">
        <f t="shared" si="86"/>
        <v>#DIV/0!</v>
      </c>
      <c r="K198" s="180" t="e">
        <f t="shared" si="87"/>
        <v>#DIV/0!</v>
      </c>
      <c r="L198" s="460"/>
      <c r="M198" s="166" t="e">
        <f>RANK(K198, K$147:$K$176)</f>
        <v>#DIV/0!</v>
      </c>
      <c r="N198" s="462"/>
      <c r="O198" s="462"/>
      <c r="P198" s="166"/>
      <c r="Q198" s="166"/>
      <c r="R198" s="166"/>
      <c r="S198" s="182" t="e">
        <f t="shared" si="88"/>
        <v>#N/A</v>
      </c>
      <c r="T198" s="491"/>
      <c r="U198" s="166"/>
      <c r="V198" s="166"/>
      <c r="W198" s="166"/>
      <c r="X198" s="182" t="e">
        <f t="shared" si="89"/>
        <v>#N/A</v>
      </c>
      <c r="Y198" s="491"/>
      <c r="Z198" s="166"/>
      <c r="AA198" s="166"/>
      <c r="AB198" s="166"/>
      <c r="AC198" s="182" t="e">
        <f t="shared" si="90"/>
        <v>#N/A</v>
      </c>
      <c r="AD198" s="491"/>
      <c r="AE198" s="166"/>
      <c r="AF198" s="166"/>
      <c r="AG198" s="166"/>
      <c r="AH198" s="182" t="e">
        <f t="shared" si="91"/>
        <v>#N/A</v>
      </c>
      <c r="AI198" s="491"/>
      <c r="AJ198" s="166"/>
      <c r="AK198" s="166"/>
      <c r="AL198" s="166"/>
      <c r="AM198" s="182" t="e">
        <f t="shared" si="92"/>
        <v>#N/A</v>
      </c>
      <c r="AN198" s="491"/>
      <c r="AO198" s="166"/>
      <c r="AP198" s="166"/>
      <c r="AQ198" s="166"/>
      <c r="AR198" s="182" t="e">
        <f t="shared" si="93"/>
        <v>#N/A</v>
      </c>
      <c r="AS198" s="491"/>
      <c r="AT198" s="166"/>
      <c r="AU198" s="166"/>
      <c r="AV198" s="166"/>
      <c r="AW198" s="182" t="e">
        <f t="shared" si="94"/>
        <v>#N/A</v>
      </c>
      <c r="AX198" s="491"/>
    </row>
    <row r="199" spans="2:50">
      <c r="B199" s="479"/>
      <c r="C199" s="182">
        <v>18</v>
      </c>
      <c r="D199" s="203"/>
      <c r="E199" s="166"/>
      <c r="F199" s="182"/>
      <c r="G199" s="180"/>
      <c r="H199" s="460"/>
      <c r="I199" s="166" t="e">
        <f t="shared" si="85"/>
        <v>#DIV/0!</v>
      </c>
      <c r="J199" s="166" t="e">
        <f t="shared" si="86"/>
        <v>#DIV/0!</v>
      </c>
      <c r="K199" s="180" t="e">
        <f t="shared" si="87"/>
        <v>#DIV/0!</v>
      </c>
      <c r="L199" s="460"/>
      <c r="M199" s="166" t="e">
        <f>RANK(K199, K$147:$K$176)</f>
        <v>#DIV/0!</v>
      </c>
      <c r="N199" s="462"/>
      <c r="O199" s="462"/>
      <c r="P199" s="166"/>
      <c r="Q199" s="166"/>
      <c r="R199" s="166"/>
      <c r="S199" s="182" t="e">
        <f t="shared" si="88"/>
        <v>#N/A</v>
      </c>
      <c r="T199" s="491"/>
      <c r="U199" s="166"/>
      <c r="V199" s="166"/>
      <c r="W199" s="166"/>
      <c r="X199" s="182" t="e">
        <f t="shared" si="89"/>
        <v>#N/A</v>
      </c>
      <c r="Y199" s="491"/>
      <c r="Z199" s="166"/>
      <c r="AA199" s="166"/>
      <c r="AB199" s="166"/>
      <c r="AC199" s="182" t="e">
        <f t="shared" si="90"/>
        <v>#N/A</v>
      </c>
      <c r="AD199" s="491"/>
      <c r="AE199" s="166"/>
      <c r="AF199" s="166"/>
      <c r="AG199" s="166"/>
      <c r="AH199" s="182" t="e">
        <f t="shared" si="91"/>
        <v>#N/A</v>
      </c>
      <c r="AI199" s="491"/>
      <c r="AJ199" s="166"/>
      <c r="AK199" s="166"/>
      <c r="AL199" s="166"/>
      <c r="AM199" s="182" t="e">
        <f t="shared" si="92"/>
        <v>#N/A</v>
      </c>
      <c r="AN199" s="491"/>
      <c r="AO199" s="166"/>
      <c r="AP199" s="166"/>
      <c r="AQ199" s="166"/>
      <c r="AR199" s="182" t="e">
        <f t="shared" si="93"/>
        <v>#N/A</v>
      </c>
      <c r="AS199" s="491"/>
      <c r="AT199" s="166"/>
      <c r="AU199" s="166"/>
      <c r="AV199" s="166"/>
      <c r="AW199" s="182" t="e">
        <f t="shared" si="94"/>
        <v>#N/A</v>
      </c>
      <c r="AX199" s="491"/>
    </row>
    <row r="200" spans="2:50">
      <c r="B200" s="479"/>
      <c r="C200" s="182">
        <v>19</v>
      </c>
      <c r="D200" s="203"/>
      <c r="E200" s="166"/>
      <c r="F200" s="182"/>
      <c r="G200" s="180"/>
      <c r="H200" s="460"/>
      <c r="I200" s="166" t="e">
        <f t="shared" si="85"/>
        <v>#DIV/0!</v>
      </c>
      <c r="J200" s="166" t="e">
        <f t="shared" si="86"/>
        <v>#DIV/0!</v>
      </c>
      <c r="K200" s="180" t="e">
        <f t="shared" si="87"/>
        <v>#DIV/0!</v>
      </c>
      <c r="L200" s="460"/>
      <c r="M200" s="166" t="e">
        <f>RANK(K200, K$147:$K$176)</f>
        <v>#DIV/0!</v>
      </c>
      <c r="N200" s="462"/>
      <c r="O200" s="462"/>
      <c r="P200" s="166"/>
      <c r="Q200" s="166"/>
      <c r="R200" s="166"/>
      <c r="S200" s="182" t="e">
        <f t="shared" si="88"/>
        <v>#N/A</v>
      </c>
      <c r="T200" s="491"/>
      <c r="U200" s="166"/>
      <c r="V200" s="166"/>
      <c r="W200" s="166"/>
      <c r="X200" s="182" t="e">
        <f t="shared" si="89"/>
        <v>#N/A</v>
      </c>
      <c r="Y200" s="491"/>
      <c r="Z200" s="166"/>
      <c r="AA200" s="166"/>
      <c r="AB200" s="166"/>
      <c r="AC200" s="182" t="e">
        <f t="shared" si="90"/>
        <v>#N/A</v>
      </c>
      <c r="AD200" s="491"/>
      <c r="AE200" s="166"/>
      <c r="AF200" s="166"/>
      <c r="AG200" s="166"/>
      <c r="AH200" s="182" t="e">
        <f t="shared" si="91"/>
        <v>#N/A</v>
      </c>
      <c r="AI200" s="491"/>
      <c r="AJ200" s="166"/>
      <c r="AK200" s="166"/>
      <c r="AL200" s="166"/>
      <c r="AM200" s="182" t="e">
        <f t="shared" si="92"/>
        <v>#N/A</v>
      </c>
      <c r="AN200" s="491"/>
      <c r="AO200" s="166"/>
      <c r="AP200" s="166"/>
      <c r="AQ200" s="166"/>
      <c r="AR200" s="182" t="e">
        <f t="shared" si="93"/>
        <v>#N/A</v>
      </c>
      <c r="AS200" s="491"/>
      <c r="AT200" s="166"/>
      <c r="AU200" s="166"/>
      <c r="AV200" s="166"/>
      <c r="AW200" s="182" t="e">
        <f t="shared" si="94"/>
        <v>#N/A</v>
      </c>
      <c r="AX200" s="491"/>
    </row>
    <row r="201" spans="2:50">
      <c r="B201" s="479"/>
      <c r="C201" s="182">
        <v>20</v>
      </c>
      <c r="D201" s="203"/>
      <c r="E201" s="166"/>
      <c r="F201" s="182"/>
      <c r="G201" s="180"/>
      <c r="H201" s="460"/>
      <c r="I201" s="166" t="e">
        <f t="shared" si="85"/>
        <v>#DIV/0!</v>
      </c>
      <c r="J201" s="166" t="e">
        <f t="shared" si="86"/>
        <v>#DIV/0!</v>
      </c>
      <c r="K201" s="180" t="e">
        <f t="shared" si="87"/>
        <v>#DIV/0!</v>
      </c>
      <c r="L201" s="460"/>
      <c r="M201" s="166" t="e">
        <f>RANK(K201, K$147:$K$176)</f>
        <v>#DIV/0!</v>
      </c>
      <c r="N201" s="462"/>
      <c r="O201" s="462"/>
      <c r="P201" s="166"/>
      <c r="Q201" s="166"/>
      <c r="R201" s="166"/>
      <c r="S201" s="182" t="e">
        <f t="shared" si="88"/>
        <v>#N/A</v>
      </c>
      <c r="T201" s="491"/>
      <c r="U201" s="166"/>
      <c r="V201" s="166"/>
      <c r="W201" s="166"/>
      <c r="X201" s="182" t="e">
        <f t="shared" si="89"/>
        <v>#N/A</v>
      </c>
      <c r="Y201" s="491"/>
      <c r="Z201" s="166"/>
      <c r="AA201" s="166"/>
      <c r="AB201" s="166"/>
      <c r="AC201" s="182" t="e">
        <f t="shared" si="90"/>
        <v>#N/A</v>
      </c>
      <c r="AD201" s="491"/>
      <c r="AE201" s="166"/>
      <c r="AF201" s="166"/>
      <c r="AG201" s="166"/>
      <c r="AH201" s="182" t="e">
        <f t="shared" si="91"/>
        <v>#N/A</v>
      </c>
      <c r="AI201" s="491"/>
      <c r="AJ201" s="166"/>
      <c r="AK201" s="166"/>
      <c r="AL201" s="166"/>
      <c r="AM201" s="182" t="e">
        <f t="shared" si="92"/>
        <v>#N/A</v>
      </c>
      <c r="AN201" s="491"/>
      <c r="AO201" s="166"/>
      <c r="AP201" s="166"/>
      <c r="AQ201" s="166"/>
      <c r="AR201" s="182" t="e">
        <f t="shared" si="93"/>
        <v>#N/A</v>
      </c>
      <c r="AS201" s="491"/>
      <c r="AT201" s="166"/>
      <c r="AU201" s="166"/>
      <c r="AV201" s="166"/>
      <c r="AW201" s="182" t="e">
        <f t="shared" si="94"/>
        <v>#N/A</v>
      </c>
      <c r="AX201" s="491"/>
    </row>
    <row r="202" spans="2:50">
      <c r="B202" s="479"/>
      <c r="C202" s="182">
        <v>21</v>
      </c>
      <c r="D202" s="203"/>
      <c r="E202" s="166"/>
      <c r="F202" s="182"/>
      <c r="G202" s="180"/>
      <c r="H202" s="460"/>
      <c r="I202" s="166" t="e">
        <f t="shared" si="85"/>
        <v>#DIV/0!</v>
      </c>
      <c r="J202" s="166" t="e">
        <f t="shared" si="86"/>
        <v>#DIV/0!</v>
      </c>
      <c r="K202" s="180" t="e">
        <f t="shared" si="87"/>
        <v>#DIV/0!</v>
      </c>
      <c r="L202" s="460"/>
      <c r="M202" s="166" t="e">
        <f>RANK(K202, K$147:$K$176)</f>
        <v>#DIV/0!</v>
      </c>
      <c r="N202" s="462"/>
      <c r="O202" s="462"/>
      <c r="P202" s="166"/>
      <c r="Q202" s="166"/>
      <c r="R202" s="166"/>
      <c r="S202" s="182" t="e">
        <f t="shared" si="88"/>
        <v>#N/A</v>
      </c>
      <c r="T202" s="491"/>
      <c r="U202" s="166"/>
      <c r="V202" s="166"/>
      <c r="W202" s="166"/>
      <c r="X202" s="182" t="e">
        <f t="shared" si="89"/>
        <v>#N/A</v>
      </c>
      <c r="Y202" s="491"/>
      <c r="Z202" s="166"/>
      <c r="AA202" s="166"/>
      <c r="AB202" s="166"/>
      <c r="AC202" s="182" t="e">
        <f t="shared" si="90"/>
        <v>#N/A</v>
      </c>
      <c r="AD202" s="491"/>
      <c r="AE202" s="166"/>
      <c r="AF202" s="166"/>
      <c r="AG202" s="166"/>
      <c r="AH202" s="182" t="e">
        <f t="shared" si="91"/>
        <v>#N/A</v>
      </c>
      <c r="AI202" s="491"/>
      <c r="AJ202" s="166"/>
      <c r="AK202" s="166"/>
      <c r="AL202" s="166"/>
      <c r="AM202" s="182" t="e">
        <f t="shared" si="92"/>
        <v>#N/A</v>
      </c>
      <c r="AN202" s="491"/>
      <c r="AO202" s="166"/>
      <c r="AP202" s="166"/>
      <c r="AQ202" s="166"/>
      <c r="AR202" s="182" t="e">
        <f t="shared" si="93"/>
        <v>#N/A</v>
      </c>
      <c r="AS202" s="491"/>
      <c r="AT202" s="166"/>
      <c r="AU202" s="166"/>
      <c r="AV202" s="166"/>
      <c r="AW202" s="182" t="e">
        <f t="shared" si="94"/>
        <v>#N/A</v>
      </c>
      <c r="AX202" s="491"/>
    </row>
    <row r="203" spans="2:50">
      <c r="B203" s="479"/>
      <c r="C203" s="182">
        <v>22</v>
      </c>
      <c r="D203" s="203"/>
      <c r="E203" s="166"/>
      <c r="F203" s="182"/>
      <c r="G203" s="180"/>
      <c r="H203" s="460"/>
      <c r="I203" s="166" t="e">
        <f t="shared" si="85"/>
        <v>#DIV/0!</v>
      </c>
      <c r="J203" s="166" t="e">
        <f t="shared" si="86"/>
        <v>#DIV/0!</v>
      </c>
      <c r="K203" s="180" t="e">
        <f t="shared" si="87"/>
        <v>#DIV/0!</v>
      </c>
      <c r="L203" s="460"/>
      <c r="M203" s="166" t="e">
        <f>RANK(K203, K$147:$K$176)</f>
        <v>#DIV/0!</v>
      </c>
      <c r="N203" s="462"/>
      <c r="O203" s="462"/>
      <c r="P203" s="166"/>
      <c r="Q203" s="166"/>
      <c r="R203" s="166"/>
      <c r="S203" s="182" t="e">
        <f t="shared" si="88"/>
        <v>#N/A</v>
      </c>
      <c r="T203" s="491"/>
      <c r="U203" s="166"/>
      <c r="V203" s="166"/>
      <c r="W203" s="166"/>
      <c r="X203" s="182" t="e">
        <f t="shared" si="89"/>
        <v>#N/A</v>
      </c>
      <c r="Y203" s="491"/>
      <c r="Z203" s="166"/>
      <c r="AA203" s="166"/>
      <c r="AB203" s="166"/>
      <c r="AC203" s="182" t="e">
        <f t="shared" si="90"/>
        <v>#N/A</v>
      </c>
      <c r="AD203" s="491"/>
      <c r="AE203" s="166"/>
      <c r="AF203" s="166"/>
      <c r="AG203" s="166"/>
      <c r="AH203" s="182" t="e">
        <f t="shared" si="91"/>
        <v>#N/A</v>
      </c>
      <c r="AI203" s="491"/>
      <c r="AJ203" s="166"/>
      <c r="AK203" s="166"/>
      <c r="AL203" s="166"/>
      <c r="AM203" s="182" t="e">
        <f t="shared" si="92"/>
        <v>#N/A</v>
      </c>
      <c r="AN203" s="491"/>
      <c r="AO203" s="166"/>
      <c r="AP203" s="166"/>
      <c r="AQ203" s="166"/>
      <c r="AR203" s="182" t="e">
        <f t="shared" si="93"/>
        <v>#N/A</v>
      </c>
      <c r="AS203" s="491"/>
      <c r="AT203" s="166"/>
      <c r="AU203" s="166"/>
      <c r="AV203" s="166"/>
      <c r="AW203" s="182" t="e">
        <f t="shared" si="94"/>
        <v>#N/A</v>
      </c>
      <c r="AX203" s="491"/>
    </row>
    <row r="204" spans="2:50">
      <c r="B204" s="479"/>
      <c r="C204" s="182">
        <v>23</v>
      </c>
      <c r="D204" s="203"/>
      <c r="E204" s="166"/>
      <c r="F204" s="182"/>
      <c r="G204" s="180"/>
      <c r="H204" s="460"/>
      <c r="I204" s="166" t="e">
        <f t="shared" si="85"/>
        <v>#DIV/0!</v>
      </c>
      <c r="J204" s="166" t="e">
        <f t="shared" si="86"/>
        <v>#DIV/0!</v>
      </c>
      <c r="K204" s="180" t="e">
        <f t="shared" si="87"/>
        <v>#DIV/0!</v>
      </c>
      <c r="L204" s="460"/>
      <c r="M204" s="166" t="e">
        <f>RANK(K204, K$147:$K$176)</f>
        <v>#DIV/0!</v>
      </c>
      <c r="N204" s="462"/>
      <c r="O204" s="462"/>
      <c r="P204" s="166"/>
      <c r="Q204" s="166"/>
      <c r="R204" s="166"/>
      <c r="S204" s="182" t="e">
        <f t="shared" si="88"/>
        <v>#N/A</v>
      </c>
      <c r="T204" s="491"/>
      <c r="U204" s="166"/>
      <c r="V204" s="166"/>
      <c r="W204" s="166"/>
      <c r="X204" s="182" t="e">
        <f t="shared" si="89"/>
        <v>#N/A</v>
      </c>
      <c r="Y204" s="491"/>
      <c r="Z204" s="166"/>
      <c r="AA204" s="166"/>
      <c r="AB204" s="166"/>
      <c r="AC204" s="182" t="e">
        <f t="shared" si="90"/>
        <v>#N/A</v>
      </c>
      <c r="AD204" s="491"/>
      <c r="AE204" s="166"/>
      <c r="AF204" s="166"/>
      <c r="AG204" s="166"/>
      <c r="AH204" s="182" t="e">
        <f t="shared" si="91"/>
        <v>#N/A</v>
      </c>
      <c r="AI204" s="491"/>
      <c r="AJ204" s="166"/>
      <c r="AK204" s="166"/>
      <c r="AL204" s="166"/>
      <c r="AM204" s="182" t="e">
        <f t="shared" si="92"/>
        <v>#N/A</v>
      </c>
      <c r="AN204" s="491"/>
      <c r="AO204" s="166"/>
      <c r="AP204" s="166"/>
      <c r="AQ204" s="166"/>
      <c r="AR204" s="182" t="e">
        <f t="shared" si="93"/>
        <v>#N/A</v>
      </c>
      <c r="AS204" s="491"/>
      <c r="AT204" s="166"/>
      <c r="AU204" s="166"/>
      <c r="AV204" s="166"/>
      <c r="AW204" s="182" t="e">
        <f t="shared" si="94"/>
        <v>#N/A</v>
      </c>
      <c r="AX204" s="491"/>
    </row>
    <row r="205" spans="2:50">
      <c r="B205" s="479"/>
      <c r="C205" s="182">
        <v>24</v>
      </c>
      <c r="D205" s="203"/>
      <c r="E205" s="166"/>
      <c r="F205" s="182"/>
      <c r="G205" s="180"/>
      <c r="H205" s="460"/>
      <c r="I205" s="166" t="e">
        <f t="shared" si="85"/>
        <v>#DIV/0!</v>
      </c>
      <c r="J205" s="166" t="e">
        <f t="shared" si="86"/>
        <v>#DIV/0!</v>
      </c>
      <c r="K205" s="180" t="e">
        <f t="shared" si="87"/>
        <v>#DIV/0!</v>
      </c>
      <c r="L205" s="460"/>
      <c r="M205" s="166" t="e">
        <f>RANK(K205, K$147:$K$176)</f>
        <v>#DIV/0!</v>
      </c>
      <c r="N205" s="462"/>
      <c r="O205" s="462"/>
      <c r="P205" s="182"/>
      <c r="Q205" s="180"/>
      <c r="R205" s="180"/>
      <c r="S205" s="182" t="e">
        <f t="shared" si="88"/>
        <v>#N/A</v>
      </c>
      <c r="T205" s="491"/>
      <c r="U205" s="182"/>
      <c r="V205" s="180"/>
      <c r="W205" s="180"/>
      <c r="X205" s="182" t="e">
        <f t="shared" si="89"/>
        <v>#N/A</v>
      </c>
      <c r="Y205" s="491"/>
      <c r="Z205" s="182"/>
      <c r="AA205" s="180"/>
      <c r="AB205" s="180"/>
      <c r="AC205" s="182" t="e">
        <f t="shared" si="90"/>
        <v>#N/A</v>
      </c>
      <c r="AD205" s="491"/>
      <c r="AE205" s="182"/>
      <c r="AF205" s="180"/>
      <c r="AG205" s="180"/>
      <c r="AH205" s="182" t="e">
        <f t="shared" si="91"/>
        <v>#N/A</v>
      </c>
      <c r="AI205" s="491"/>
      <c r="AJ205" s="182"/>
      <c r="AK205" s="180"/>
      <c r="AL205" s="180"/>
      <c r="AM205" s="182" t="e">
        <f t="shared" si="92"/>
        <v>#N/A</v>
      </c>
      <c r="AN205" s="491"/>
      <c r="AO205" s="182"/>
      <c r="AP205" s="180"/>
      <c r="AQ205" s="180"/>
      <c r="AR205" s="182" t="e">
        <f t="shared" si="93"/>
        <v>#N/A</v>
      </c>
      <c r="AS205" s="491"/>
      <c r="AT205" s="182"/>
      <c r="AU205" s="180"/>
      <c r="AV205" s="180"/>
      <c r="AW205" s="182" t="e">
        <f t="shared" si="94"/>
        <v>#N/A</v>
      </c>
      <c r="AX205" s="491"/>
    </row>
    <row r="206" spans="2:50">
      <c r="B206" s="479"/>
      <c r="C206" s="182">
        <v>25</v>
      </c>
      <c r="D206" s="203"/>
      <c r="E206" s="166"/>
      <c r="F206" s="182"/>
      <c r="G206" s="180"/>
      <c r="H206" s="460"/>
      <c r="I206" s="166"/>
      <c r="J206" s="166"/>
      <c r="K206" s="180"/>
      <c r="L206" s="460"/>
      <c r="M206" s="166" t="e">
        <f>RANK(K206, K$147:$K$176)</f>
        <v>#DIV/0!</v>
      </c>
      <c r="N206" s="462"/>
      <c r="O206" s="462"/>
      <c r="P206" s="182"/>
      <c r="Q206" s="180"/>
      <c r="R206" s="180"/>
      <c r="S206" s="182" t="e">
        <f t="shared" si="88"/>
        <v>#N/A</v>
      </c>
      <c r="T206" s="491"/>
      <c r="U206" s="182"/>
      <c r="V206" s="180"/>
      <c r="W206" s="180"/>
      <c r="X206" s="182" t="e">
        <f t="shared" si="89"/>
        <v>#N/A</v>
      </c>
      <c r="Y206" s="491"/>
      <c r="Z206" s="182"/>
      <c r="AA206" s="180"/>
      <c r="AB206" s="180"/>
      <c r="AC206" s="182" t="e">
        <f t="shared" si="90"/>
        <v>#N/A</v>
      </c>
      <c r="AD206" s="491"/>
      <c r="AE206" s="182"/>
      <c r="AF206" s="180"/>
      <c r="AG206" s="180"/>
      <c r="AH206" s="182" t="e">
        <f t="shared" si="91"/>
        <v>#N/A</v>
      </c>
      <c r="AI206" s="491"/>
      <c r="AJ206" s="182"/>
      <c r="AK206" s="180"/>
      <c r="AL206" s="180"/>
      <c r="AM206" s="182" t="e">
        <f t="shared" si="92"/>
        <v>#N/A</v>
      </c>
      <c r="AN206" s="491"/>
      <c r="AO206" s="182"/>
      <c r="AP206" s="180"/>
      <c r="AQ206" s="180"/>
      <c r="AR206" s="182" t="e">
        <f t="shared" si="93"/>
        <v>#N/A</v>
      </c>
      <c r="AS206" s="491"/>
      <c r="AT206" s="182"/>
      <c r="AU206" s="180"/>
      <c r="AV206" s="180"/>
      <c r="AW206" s="182" t="e">
        <f t="shared" si="94"/>
        <v>#N/A</v>
      </c>
      <c r="AX206" s="491"/>
    </row>
    <row r="207" spans="2:50">
      <c r="B207" s="479"/>
      <c r="C207" s="182">
        <v>26</v>
      </c>
      <c r="D207" s="203"/>
      <c r="E207" s="166"/>
      <c r="F207" s="182"/>
      <c r="G207" s="180"/>
      <c r="H207" s="460"/>
      <c r="I207" s="166"/>
      <c r="J207" s="166"/>
      <c r="K207" s="180"/>
      <c r="L207" s="460"/>
      <c r="M207" s="166" t="e">
        <f>RANK(K207, K$147:$K$176)</f>
        <v>#DIV/0!</v>
      </c>
      <c r="N207" s="462"/>
      <c r="O207" s="462"/>
      <c r="P207" s="182"/>
      <c r="Q207" s="180"/>
      <c r="R207" s="180"/>
      <c r="S207" s="182" t="e">
        <f t="shared" si="88"/>
        <v>#N/A</v>
      </c>
      <c r="T207" s="491"/>
      <c r="U207" s="182"/>
      <c r="V207" s="180"/>
      <c r="W207" s="180"/>
      <c r="X207" s="182" t="e">
        <f t="shared" si="89"/>
        <v>#N/A</v>
      </c>
      <c r="Y207" s="491"/>
      <c r="Z207" s="182"/>
      <c r="AA207" s="180"/>
      <c r="AB207" s="180"/>
      <c r="AC207" s="182" t="e">
        <f t="shared" si="90"/>
        <v>#N/A</v>
      </c>
      <c r="AD207" s="491"/>
      <c r="AE207" s="182"/>
      <c r="AF207" s="180"/>
      <c r="AG207" s="180"/>
      <c r="AH207" s="182" t="e">
        <f t="shared" si="91"/>
        <v>#N/A</v>
      </c>
      <c r="AI207" s="491"/>
      <c r="AJ207" s="182"/>
      <c r="AK207" s="180"/>
      <c r="AL207" s="180"/>
      <c r="AM207" s="182" t="e">
        <f t="shared" si="92"/>
        <v>#N/A</v>
      </c>
      <c r="AN207" s="491"/>
      <c r="AO207" s="182"/>
      <c r="AP207" s="180"/>
      <c r="AQ207" s="180"/>
      <c r="AR207" s="182" t="e">
        <f t="shared" si="93"/>
        <v>#N/A</v>
      </c>
      <c r="AS207" s="491"/>
      <c r="AT207" s="182"/>
      <c r="AU207" s="180"/>
      <c r="AV207" s="180"/>
      <c r="AW207" s="182" t="e">
        <f t="shared" si="94"/>
        <v>#N/A</v>
      </c>
      <c r="AX207" s="491"/>
    </row>
    <row r="208" spans="2:50">
      <c r="B208" s="479"/>
      <c r="C208" s="182">
        <v>27</v>
      </c>
      <c r="D208" s="203"/>
      <c r="E208" s="166"/>
      <c r="F208" s="182"/>
      <c r="G208" s="180"/>
      <c r="H208" s="460"/>
      <c r="I208" s="166"/>
      <c r="J208" s="166"/>
      <c r="K208" s="180"/>
      <c r="L208" s="460"/>
      <c r="M208" s="166" t="e">
        <f>RANK(K208, K$147:$K$176)</f>
        <v>#DIV/0!</v>
      </c>
      <c r="N208" s="462"/>
      <c r="O208" s="462"/>
      <c r="P208" s="182"/>
      <c r="Q208" s="180"/>
      <c r="R208" s="180"/>
      <c r="S208" s="182" t="e">
        <f t="shared" si="88"/>
        <v>#N/A</v>
      </c>
      <c r="T208" s="491"/>
      <c r="U208" s="182"/>
      <c r="V208" s="180"/>
      <c r="W208" s="180"/>
      <c r="X208" s="182" t="e">
        <f t="shared" si="89"/>
        <v>#N/A</v>
      </c>
      <c r="Y208" s="491"/>
      <c r="Z208" s="182"/>
      <c r="AA208" s="180"/>
      <c r="AB208" s="180"/>
      <c r="AC208" s="182" t="e">
        <f t="shared" si="90"/>
        <v>#N/A</v>
      </c>
      <c r="AD208" s="491"/>
      <c r="AE208" s="182"/>
      <c r="AF208" s="180"/>
      <c r="AG208" s="180"/>
      <c r="AH208" s="182" t="e">
        <f t="shared" si="91"/>
        <v>#N/A</v>
      </c>
      <c r="AI208" s="491"/>
      <c r="AJ208" s="182"/>
      <c r="AK208" s="180"/>
      <c r="AL208" s="180"/>
      <c r="AM208" s="182" t="e">
        <f t="shared" si="92"/>
        <v>#N/A</v>
      </c>
      <c r="AN208" s="491"/>
      <c r="AO208" s="182"/>
      <c r="AP208" s="180"/>
      <c r="AQ208" s="180"/>
      <c r="AR208" s="182" t="e">
        <f t="shared" si="93"/>
        <v>#N/A</v>
      </c>
      <c r="AS208" s="491"/>
      <c r="AT208" s="182"/>
      <c r="AU208" s="180"/>
      <c r="AV208" s="180"/>
      <c r="AW208" s="182" t="e">
        <f t="shared" si="94"/>
        <v>#N/A</v>
      </c>
      <c r="AX208" s="491"/>
    </row>
    <row r="209" spans="2:50">
      <c r="B209" s="479"/>
      <c r="C209" s="182">
        <v>28</v>
      </c>
      <c r="D209" s="203"/>
      <c r="E209" s="166"/>
      <c r="F209" s="182"/>
      <c r="G209" s="180"/>
      <c r="H209" s="460"/>
      <c r="I209" s="166"/>
      <c r="J209" s="166"/>
      <c r="K209" s="180"/>
      <c r="L209" s="460"/>
      <c r="M209" s="166" t="e">
        <f>RANK(K209, K$147:$K$176)</f>
        <v>#DIV/0!</v>
      </c>
      <c r="N209" s="462"/>
      <c r="O209" s="462"/>
      <c r="P209" s="182"/>
      <c r="Q209" s="180"/>
      <c r="R209" s="180"/>
      <c r="S209" s="182" t="e">
        <f t="shared" si="88"/>
        <v>#N/A</v>
      </c>
      <c r="T209" s="491"/>
      <c r="U209" s="182"/>
      <c r="V209" s="180"/>
      <c r="W209" s="180"/>
      <c r="X209" s="182" t="e">
        <f t="shared" si="89"/>
        <v>#N/A</v>
      </c>
      <c r="Y209" s="491"/>
      <c r="Z209" s="182"/>
      <c r="AA209" s="180"/>
      <c r="AB209" s="180"/>
      <c r="AC209" s="182" t="e">
        <f t="shared" si="90"/>
        <v>#N/A</v>
      </c>
      <c r="AD209" s="491"/>
      <c r="AE209" s="182"/>
      <c r="AF209" s="180"/>
      <c r="AG209" s="180"/>
      <c r="AH209" s="182" t="e">
        <f t="shared" si="91"/>
        <v>#N/A</v>
      </c>
      <c r="AI209" s="491"/>
      <c r="AJ209" s="182"/>
      <c r="AK209" s="180"/>
      <c r="AL209" s="180"/>
      <c r="AM209" s="182" t="e">
        <f t="shared" si="92"/>
        <v>#N/A</v>
      </c>
      <c r="AN209" s="491"/>
      <c r="AO209" s="182"/>
      <c r="AP209" s="180"/>
      <c r="AQ209" s="180"/>
      <c r="AR209" s="182" t="e">
        <f t="shared" si="93"/>
        <v>#N/A</v>
      </c>
      <c r="AS209" s="491"/>
      <c r="AT209" s="182"/>
      <c r="AU209" s="180"/>
      <c r="AV209" s="180"/>
      <c r="AW209" s="182" t="e">
        <f t="shared" si="94"/>
        <v>#N/A</v>
      </c>
      <c r="AX209" s="491"/>
    </row>
    <row r="210" spans="2:50">
      <c r="B210" s="479"/>
      <c r="C210" s="182">
        <v>29</v>
      </c>
      <c r="D210" s="203"/>
      <c r="E210" s="166"/>
      <c r="F210" s="182"/>
      <c r="G210" s="180"/>
      <c r="H210" s="460"/>
      <c r="I210" s="182"/>
      <c r="J210" s="182"/>
      <c r="K210" s="182"/>
      <c r="L210" s="460"/>
      <c r="M210" s="166" t="e">
        <f>RANK(K210, K$147:$K$176)</f>
        <v>#DIV/0!</v>
      </c>
      <c r="N210" s="462"/>
      <c r="O210" s="462"/>
      <c r="P210" s="182"/>
      <c r="Q210" s="182"/>
      <c r="R210" s="182"/>
      <c r="S210" s="182" t="e">
        <f t="shared" si="88"/>
        <v>#N/A</v>
      </c>
      <c r="T210" s="491"/>
      <c r="U210" s="182"/>
      <c r="V210" s="182"/>
      <c r="W210" s="182"/>
      <c r="X210" s="182" t="e">
        <f t="shared" si="89"/>
        <v>#N/A</v>
      </c>
      <c r="Y210" s="491"/>
      <c r="Z210" s="182"/>
      <c r="AA210" s="182"/>
      <c r="AB210" s="182"/>
      <c r="AC210" s="182" t="e">
        <f t="shared" si="90"/>
        <v>#N/A</v>
      </c>
      <c r="AD210" s="491"/>
      <c r="AE210" s="182"/>
      <c r="AF210" s="182"/>
      <c r="AG210" s="182"/>
      <c r="AH210" s="182" t="e">
        <f t="shared" si="91"/>
        <v>#N/A</v>
      </c>
      <c r="AI210" s="491"/>
      <c r="AJ210" s="182"/>
      <c r="AK210" s="182"/>
      <c r="AL210" s="182"/>
      <c r="AM210" s="182" t="e">
        <f t="shared" si="92"/>
        <v>#N/A</v>
      </c>
      <c r="AN210" s="491"/>
      <c r="AO210" s="182"/>
      <c r="AP210" s="182"/>
      <c r="AQ210" s="182"/>
      <c r="AR210" s="182" t="e">
        <f t="shared" si="93"/>
        <v>#N/A</v>
      </c>
      <c r="AS210" s="491"/>
      <c r="AT210" s="182"/>
      <c r="AU210" s="182"/>
      <c r="AV210" s="182"/>
      <c r="AW210" s="182" t="e">
        <f t="shared" si="94"/>
        <v>#N/A</v>
      </c>
      <c r="AX210" s="491"/>
    </row>
    <row r="211" spans="2:50">
      <c r="B211" s="479"/>
      <c r="C211" s="182">
        <v>30</v>
      </c>
      <c r="D211" s="203"/>
      <c r="E211" s="166"/>
      <c r="F211" s="182"/>
      <c r="G211" s="180"/>
      <c r="H211" s="461"/>
      <c r="I211" s="182"/>
      <c r="J211" s="182"/>
      <c r="K211" s="182"/>
      <c r="L211" s="461"/>
      <c r="M211" s="166" t="e">
        <f>RANK(K211, K$147:$K$176)</f>
        <v>#DIV/0!</v>
      </c>
      <c r="N211" s="462"/>
      <c r="O211" s="462"/>
      <c r="P211" s="182"/>
      <c r="Q211" s="182"/>
      <c r="R211" s="182"/>
      <c r="S211" s="182" t="e">
        <f t="shared" si="88"/>
        <v>#N/A</v>
      </c>
      <c r="T211" s="491"/>
      <c r="U211" s="182"/>
      <c r="V211" s="182"/>
      <c r="W211" s="182"/>
      <c r="X211" s="182" t="e">
        <f t="shared" si="89"/>
        <v>#N/A</v>
      </c>
      <c r="Y211" s="491"/>
      <c r="Z211" s="182"/>
      <c r="AA211" s="182"/>
      <c r="AB211" s="182"/>
      <c r="AC211" s="182" t="e">
        <f t="shared" si="90"/>
        <v>#N/A</v>
      </c>
      <c r="AD211" s="491"/>
      <c r="AE211" s="182"/>
      <c r="AF211" s="182"/>
      <c r="AG211" s="182"/>
      <c r="AH211" s="182" t="e">
        <f t="shared" si="91"/>
        <v>#N/A</v>
      </c>
      <c r="AI211" s="491"/>
      <c r="AJ211" s="182"/>
      <c r="AK211" s="182"/>
      <c r="AL211" s="182"/>
      <c r="AM211" s="182" t="e">
        <f t="shared" si="92"/>
        <v>#N/A</v>
      </c>
      <c r="AN211" s="491"/>
      <c r="AO211" s="182"/>
      <c r="AP211" s="182"/>
      <c r="AQ211" s="182"/>
      <c r="AR211" s="182" t="e">
        <f t="shared" si="93"/>
        <v>#N/A</v>
      </c>
      <c r="AS211" s="491"/>
      <c r="AT211" s="182"/>
      <c r="AU211" s="182"/>
      <c r="AV211" s="182"/>
      <c r="AW211" s="182" t="e">
        <f t="shared" si="94"/>
        <v>#N/A</v>
      </c>
      <c r="AX211" s="491"/>
    </row>
    <row r="213" spans="2:50" ht="15.75">
      <c r="B213" s="502" t="s">
        <v>249</v>
      </c>
      <c r="C213" s="503"/>
      <c r="D213" s="503"/>
      <c r="E213" s="503"/>
      <c r="F213" s="503"/>
      <c r="G213" s="503"/>
      <c r="H213" s="503"/>
      <c r="I213" s="287"/>
      <c r="J213" s="287"/>
      <c r="K213" s="287"/>
      <c r="L213" s="287"/>
      <c r="M213" s="288"/>
    </row>
    <row r="214" spans="2:50" ht="15.75">
      <c r="B214" s="504"/>
      <c r="C214" s="504"/>
      <c r="D214" s="504"/>
      <c r="E214" s="504"/>
      <c r="F214" s="504"/>
      <c r="G214" s="504"/>
      <c r="H214" s="504"/>
      <c r="I214" s="289"/>
      <c r="J214" s="289"/>
      <c r="K214" s="289"/>
      <c r="L214" s="289"/>
      <c r="M214" s="290"/>
    </row>
    <row r="215" spans="2:50">
      <c r="B215" s="462" t="s">
        <v>209</v>
      </c>
      <c r="C215" s="462" t="s">
        <v>210</v>
      </c>
      <c r="D215" s="462"/>
      <c r="E215" s="462" t="s">
        <v>211</v>
      </c>
      <c r="F215" s="462"/>
      <c r="G215" s="462"/>
      <c r="H215" s="462" t="s">
        <v>212</v>
      </c>
      <c r="I215" s="505" t="s">
        <v>213</v>
      </c>
      <c r="J215" s="505"/>
      <c r="K215" s="505"/>
      <c r="L215" s="505" t="s">
        <v>212</v>
      </c>
      <c r="M215" s="505" t="s">
        <v>214</v>
      </c>
    </row>
    <row r="216" spans="2:50">
      <c r="B216" s="462"/>
      <c r="C216" s="462"/>
      <c r="D216" s="462"/>
      <c r="E216" s="462" t="s">
        <v>217</v>
      </c>
      <c r="F216" s="462"/>
      <c r="G216" s="462"/>
      <c r="H216" s="462"/>
      <c r="I216" s="505" t="s">
        <v>217</v>
      </c>
      <c r="J216" s="505"/>
      <c r="K216" s="505"/>
      <c r="L216" s="505"/>
      <c r="M216" s="505"/>
    </row>
    <row r="217" spans="2:50">
      <c r="B217" s="462"/>
      <c r="C217" s="462"/>
      <c r="D217" s="462"/>
      <c r="E217" s="271" t="s">
        <v>219</v>
      </c>
      <c r="F217" s="271" t="s">
        <v>220</v>
      </c>
      <c r="G217" s="271" t="s">
        <v>221</v>
      </c>
      <c r="H217" s="462"/>
      <c r="I217" s="291" t="s">
        <v>219</v>
      </c>
      <c r="J217" s="291" t="s">
        <v>220</v>
      </c>
      <c r="K217" s="291" t="s">
        <v>221</v>
      </c>
      <c r="L217" s="505"/>
      <c r="M217" s="505"/>
    </row>
    <row r="218" spans="2:50">
      <c r="B218" s="462" t="s">
        <v>186</v>
      </c>
      <c r="C218" s="182">
        <v>1</v>
      </c>
      <c r="D218" s="182"/>
      <c r="E218" s="166"/>
      <c r="F218" s="182"/>
      <c r="G218" s="180"/>
      <c r="H218" s="491" t="e">
        <f>AVERAGE(G218:G247)</f>
        <v>#DIV/0!</v>
      </c>
      <c r="I218" s="166" t="e">
        <f t="shared" ref="I218:J241" si="95">AVERAGEIF($D$7:$D$211,$D218,I$7:I$211)</f>
        <v>#DIV/0!</v>
      </c>
      <c r="J218" s="166" t="e">
        <f t="shared" si="95"/>
        <v>#DIV/0!</v>
      </c>
      <c r="K218" s="166" t="e">
        <f t="shared" ref="K218:K241" si="96">AVERAGEIF($D$7:$D$211,$D218,K$7:K$211)</f>
        <v>#DIV/0!</v>
      </c>
      <c r="L218" s="506" t="e">
        <f>AVERAGE(K218:K247)</f>
        <v>#DIV/0!</v>
      </c>
      <c r="M218" s="166" t="e">
        <f>RANK(K218, K$218:$K$247)</f>
        <v>#DIV/0!</v>
      </c>
    </row>
    <row r="219" spans="2:50">
      <c r="B219" s="479"/>
      <c r="C219" s="182">
        <v>2</v>
      </c>
      <c r="D219" s="182"/>
      <c r="E219" s="166"/>
      <c r="F219" s="182"/>
      <c r="G219" s="180"/>
      <c r="H219" s="491"/>
      <c r="I219" s="166" t="e">
        <f t="shared" si="95"/>
        <v>#DIV/0!</v>
      </c>
      <c r="J219" s="166" t="e">
        <f t="shared" si="95"/>
        <v>#DIV/0!</v>
      </c>
      <c r="K219" s="166" t="e">
        <f t="shared" si="96"/>
        <v>#DIV/0!</v>
      </c>
      <c r="L219" s="506"/>
      <c r="M219" s="166" t="e">
        <f>RANK(K219, K$218:$K$247)</f>
        <v>#DIV/0!</v>
      </c>
    </row>
    <row r="220" spans="2:50">
      <c r="B220" s="479"/>
      <c r="C220" s="182">
        <v>3</v>
      </c>
      <c r="D220" s="182"/>
      <c r="E220" s="166"/>
      <c r="F220" s="182"/>
      <c r="G220" s="180"/>
      <c r="H220" s="491"/>
      <c r="I220" s="166" t="e">
        <f t="shared" si="95"/>
        <v>#DIV/0!</v>
      </c>
      <c r="J220" s="166" t="e">
        <f t="shared" si="95"/>
        <v>#DIV/0!</v>
      </c>
      <c r="K220" s="166" t="e">
        <f t="shared" si="96"/>
        <v>#DIV/0!</v>
      </c>
      <c r="L220" s="506"/>
      <c r="M220" s="166" t="e">
        <f>RANK(K220, K$218:$K$247)</f>
        <v>#DIV/0!</v>
      </c>
    </row>
    <row r="221" spans="2:50">
      <c r="B221" s="479"/>
      <c r="C221" s="182">
        <v>4</v>
      </c>
      <c r="D221" s="182"/>
      <c r="E221" s="166"/>
      <c r="F221" s="182"/>
      <c r="G221" s="180"/>
      <c r="H221" s="491"/>
      <c r="I221" s="166" t="e">
        <f t="shared" si="95"/>
        <v>#DIV/0!</v>
      </c>
      <c r="J221" s="166" t="e">
        <f t="shared" si="95"/>
        <v>#DIV/0!</v>
      </c>
      <c r="K221" s="166" t="e">
        <f t="shared" si="96"/>
        <v>#DIV/0!</v>
      </c>
      <c r="L221" s="506"/>
      <c r="M221" s="166" t="e">
        <f>RANK(K221, K$218:$K$247)</f>
        <v>#DIV/0!</v>
      </c>
    </row>
    <row r="222" spans="2:50">
      <c r="B222" s="479"/>
      <c r="C222" s="182">
        <v>5</v>
      </c>
      <c r="D222" s="182"/>
      <c r="E222" s="166"/>
      <c r="F222" s="182"/>
      <c r="G222" s="180"/>
      <c r="H222" s="491"/>
      <c r="I222" s="166" t="e">
        <f t="shared" si="95"/>
        <v>#DIV/0!</v>
      </c>
      <c r="J222" s="166" t="e">
        <f t="shared" si="95"/>
        <v>#DIV/0!</v>
      </c>
      <c r="K222" s="166" t="e">
        <f t="shared" si="96"/>
        <v>#DIV/0!</v>
      </c>
      <c r="L222" s="506"/>
      <c r="M222" s="166" t="e">
        <f>RANK(K222, K$218:$K$247)</f>
        <v>#DIV/0!</v>
      </c>
    </row>
    <row r="223" spans="2:50">
      <c r="B223" s="479"/>
      <c r="C223" s="182">
        <v>6</v>
      </c>
      <c r="D223" s="182"/>
      <c r="E223" s="166"/>
      <c r="F223" s="182"/>
      <c r="G223" s="180"/>
      <c r="H223" s="491"/>
      <c r="I223" s="166" t="e">
        <f t="shared" si="95"/>
        <v>#DIV/0!</v>
      </c>
      <c r="J223" s="166" t="e">
        <f t="shared" si="95"/>
        <v>#DIV/0!</v>
      </c>
      <c r="K223" s="166" t="e">
        <f t="shared" si="96"/>
        <v>#DIV/0!</v>
      </c>
      <c r="L223" s="506"/>
      <c r="M223" s="166" t="e">
        <f>RANK(K223, K$218:$K$247)</f>
        <v>#DIV/0!</v>
      </c>
    </row>
    <row r="224" spans="2:50">
      <c r="B224" s="479"/>
      <c r="C224" s="182">
        <v>7</v>
      </c>
      <c r="D224" s="182"/>
      <c r="E224" s="166"/>
      <c r="F224" s="182"/>
      <c r="G224" s="180"/>
      <c r="H224" s="491"/>
      <c r="I224" s="166" t="e">
        <f t="shared" si="95"/>
        <v>#DIV/0!</v>
      </c>
      <c r="J224" s="166" t="e">
        <f t="shared" si="95"/>
        <v>#DIV/0!</v>
      </c>
      <c r="K224" s="166" t="e">
        <f t="shared" si="96"/>
        <v>#DIV/0!</v>
      </c>
      <c r="L224" s="506"/>
      <c r="M224" s="166" t="e">
        <f>RANK(K224, K$218:$K$247)</f>
        <v>#DIV/0!</v>
      </c>
    </row>
    <row r="225" spans="2:13">
      <c r="B225" s="479"/>
      <c r="C225" s="182">
        <v>8</v>
      </c>
      <c r="D225" s="182"/>
      <c r="E225" s="166"/>
      <c r="F225" s="182"/>
      <c r="G225" s="180"/>
      <c r="H225" s="491"/>
      <c r="I225" s="166" t="e">
        <f t="shared" si="95"/>
        <v>#DIV/0!</v>
      </c>
      <c r="J225" s="166" t="e">
        <f t="shared" si="95"/>
        <v>#DIV/0!</v>
      </c>
      <c r="K225" s="166" t="e">
        <f t="shared" si="96"/>
        <v>#DIV/0!</v>
      </c>
      <c r="L225" s="506"/>
      <c r="M225" s="166" t="e">
        <f>RANK(K225, K$218:$K$247)</f>
        <v>#DIV/0!</v>
      </c>
    </row>
    <row r="226" spans="2:13">
      <c r="B226" s="479"/>
      <c r="C226" s="182">
        <v>9</v>
      </c>
      <c r="D226" s="182"/>
      <c r="E226" s="166"/>
      <c r="F226" s="182"/>
      <c r="G226" s="180"/>
      <c r="H226" s="491"/>
      <c r="I226" s="166" t="e">
        <f t="shared" si="95"/>
        <v>#DIV/0!</v>
      </c>
      <c r="J226" s="166" t="e">
        <f t="shared" si="95"/>
        <v>#DIV/0!</v>
      </c>
      <c r="K226" s="166" t="e">
        <f t="shared" si="96"/>
        <v>#DIV/0!</v>
      </c>
      <c r="L226" s="506"/>
      <c r="M226" s="166" t="e">
        <f>RANK(K226, K$218:$K$247)</f>
        <v>#DIV/0!</v>
      </c>
    </row>
    <row r="227" spans="2:13">
      <c r="B227" s="479"/>
      <c r="C227" s="182">
        <v>10</v>
      </c>
      <c r="D227" s="182"/>
      <c r="E227" s="166"/>
      <c r="F227" s="182"/>
      <c r="G227" s="180"/>
      <c r="H227" s="491"/>
      <c r="I227" s="166" t="e">
        <f t="shared" si="95"/>
        <v>#DIV/0!</v>
      </c>
      <c r="J227" s="166" t="e">
        <f t="shared" si="95"/>
        <v>#DIV/0!</v>
      </c>
      <c r="K227" s="166" t="e">
        <f t="shared" si="96"/>
        <v>#DIV/0!</v>
      </c>
      <c r="L227" s="506"/>
      <c r="M227" s="166" t="e">
        <f>RANK(K227, K$218:$K$247)</f>
        <v>#DIV/0!</v>
      </c>
    </row>
    <row r="228" spans="2:13">
      <c r="B228" s="479"/>
      <c r="C228" s="182">
        <v>11</v>
      </c>
      <c r="D228" s="182"/>
      <c r="E228" s="166"/>
      <c r="F228" s="182"/>
      <c r="G228" s="180"/>
      <c r="H228" s="491"/>
      <c r="I228" s="166" t="e">
        <f t="shared" si="95"/>
        <v>#DIV/0!</v>
      </c>
      <c r="J228" s="166" t="e">
        <f t="shared" si="95"/>
        <v>#DIV/0!</v>
      </c>
      <c r="K228" s="166" t="e">
        <f t="shared" si="96"/>
        <v>#DIV/0!</v>
      </c>
      <c r="L228" s="506"/>
      <c r="M228" s="166" t="e">
        <f>RANK(K228, K$218:$K$247)</f>
        <v>#DIV/0!</v>
      </c>
    </row>
    <row r="229" spans="2:13">
      <c r="B229" s="479"/>
      <c r="C229" s="182">
        <v>12</v>
      </c>
      <c r="D229" s="182"/>
      <c r="E229" s="166"/>
      <c r="F229" s="182"/>
      <c r="G229" s="180"/>
      <c r="H229" s="491"/>
      <c r="I229" s="166" t="e">
        <f t="shared" si="95"/>
        <v>#DIV/0!</v>
      </c>
      <c r="J229" s="166" t="e">
        <f t="shared" si="95"/>
        <v>#DIV/0!</v>
      </c>
      <c r="K229" s="166" t="e">
        <f t="shared" si="96"/>
        <v>#DIV/0!</v>
      </c>
      <c r="L229" s="506"/>
      <c r="M229" s="166" t="e">
        <f>RANK(K229, K$218:$K$247)</f>
        <v>#DIV/0!</v>
      </c>
    </row>
    <row r="230" spans="2:13">
      <c r="B230" s="479"/>
      <c r="C230" s="182">
        <v>13</v>
      </c>
      <c r="D230" s="182"/>
      <c r="E230" s="166"/>
      <c r="F230" s="182"/>
      <c r="G230" s="180"/>
      <c r="H230" s="491"/>
      <c r="I230" s="166" t="e">
        <f t="shared" si="95"/>
        <v>#DIV/0!</v>
      </c>
      <c r="J230" s="166" t="e">
        <f t="shared" si="95"/>
        <v>#DIV/0!</v>
      </c>
      <c r="K230" s="166" t="e">
        <f t="shared" si="96"/>
        <v>#DIV/0!</v>
      </c>
      <c r="L230" s="506"/>
      <c r="M230" s="166" t="e">
        <f>RANK(K230, K$218:$K$247)</f>
        <v>#DIV/0!</v>
      </c>
    </row>
    <row r="231" spans="2:13">
      <c r="B231" s="479"/>
      <c r="C231" s="182">
        <v>14</v>
      </c>
      <c r="D231" s="182"/>
      <c r="E231" s="166"/>
      <c r="F231" s="182"/>
      <c r="G231" s="180"/>
      <c r="H231" s="491"/>
      <c r="I231" s="166" t="e">
        <f t="shared" si="95"/>
        <v>#DIV/0!</v>
      </c>
      <c r="J231" s="166" t="e">
        <f t="shared" si="95"/>
        <v>#DIV/0!</v>
      </c>
      <c r="K231" s="166" t="e">
        <f t="shared" si="96"/>
        <v>#DIV/0!</v>
      </c>
      <c r="L231" s="506"/>
      <c r="M231" s="166" t="e">
        <f>RANK(K231, K$218:$K$247)</f>
        <v>#DIV/0!</v>
      </c>
    </row>
    <row r="232" spans="2:13">
      <c r="B232" s="479"/>
      <c r="C232" s="182">
        <v>15</v>
      </c>
      <c r="D232" s="182"/>
      <c r="E232" s="166"/>
      <c r="F232" s="182"/>
      <c r="G232" s="180"/>
      <c r="H232" s="491"/>
      <c r="I232" s="166" t="e">
        <f t="shared" si="95"/>
        <v>#DIV/0!</v>
      </c>
      <c r="J232" s="166" t="e">
        <f t="shared" si="95"/>
        <v>#DIV/0!</v>
      </c>
      <c r="K232" s="166" t="e">
        <f t="shared" si="96"/>
        <v>#DIV/0!</v>
      </c>
      <c r="L232" s="506"/>
      <c r="M232" s="166" t="e">
        <f>RANK(K232, K$218:$K$247)</f>
        <v>#DIV/0!</v>
      </c>
    </row>
    <row r="233" spans="2:13">
      <c r="B233" s="479"/>
      <c r="C233" s="182">
        <v>16</v>
      </c>
      <c r="D233" s="182"/>
      <c r="E233" s="166"/>
      <c r="F233" s="182"/>
      <c r="G233" s="180"/>
      <c r="H233" s="491"/>
      <c r="I233" s="166" t="e">
        <f t="shared" si="95"/>
        <v>#DIV/0!</v>
      </c>
      <c r="J233" s="166" t="e">
        <f t="shared" si="95"/>
        <v>#DIV/0!</v>
      </c>
      <c r="K233" s="166" t="e">
        <f t="shared" si="96"/>
        <v>#DIV/0!</v>
      </c>
      <c r="L233" s="506"/>
      <c r="M233" s="166" t="e">
        <f>RANK(K233, K$218:$K$247)</f>
        <v>#DIV/0!</v>
      </c>
    </row>
    <row r="234" spans="2:13">
      <c r="B234" s="479"/>
      <c r="C234" s="182">
        <v>17</v>
      </c>
      <c r="D234" s="182"/>
      <c r="E234" s="166"/>
      <c r="F234" s="182"/>
      <c r="G234" s="180"/>
      <c r="H234" s="491"/>
      <c r="I234" s="166" t="e">
        <f t="shared" si="95"/>
        <v>#DIV/0!</v>
      </c>
      <c r="J234" s="166" t="e">
        <f t="shared" si="95"/>
        <v>#DIV/0!</v>
      </c>
      <c r="K234" s="166" t="e">
        <f t="shared" si="96"/>
        <v>#DIV/0!</v>
      </c>
      <c r="L234" s="506"/>
      <c r="M234" s="166" t="e">
        <f>RANK(K234, K$218:$K$247)</f>
        <v>#DIV/0!</v>
      </c>
    </row>
    <row r="235" spans="2:13">
      <c r="B235" s="479"/>
      <c r="C235" s="182">
        <v>18</v>
      </c>
      <c r="D235" s="182"/>
      <c r="E235" s="166"/>
      <c r="F235" s="182"/>
      <c r="G235" s="180"/>
      <c r="H235" s="491"/>
      <c r="I235" s="166" t="e">
        <f t="shared" si="95"/>
        <v>#DIV/0!</v>
      </c>
      <c r="J235" s="166" t="e">
        <f t="shared" si="95"/>
        <v>#DIV/0!</v>
      </c>
      <c r="K235" s="166" t="e">
        <f t="shared" si="96"/>
        <v>#DIV/0!</v>
      </c>
      <c r="L235" s="506"/>
      <c r="M235" s="166" t="e">
        <f>RANK(K235, K$218:$K$247)</f>
        <v>#DIV/0!</v>
      </c>
    </row>
    <row r="236" spans="2:13">
      <c r="B236" s="479"/>
      <c r="C236" s="182">
        <v>19</v>
      </c>
      <c r="D236" s="182"/>
      <c r="E236" s="166"/>
      <c r="F236" s="182"/>
      <c r="G236" s="180"/>
      <c r="H236" s="491"/>
      <c r="I236" s="166" t="e">
        <f t="shared" si="95"/>
        <v>#DIV/0!</v>
      </c>
      <c r="J236" s="166" t="e">
        <f t="shared" si="95"/>
        <v>#DIV/0!</v>
      </c>
      <c r="K236" s="166" t="e">
        <f t="shared" si="96"/>
        <v>#DIV/0!</v>
      </c>
      <c r="L236" s="506"/>
      <c r="M236" s="166" t="e">
        <f>RANK(K236, K$218:$K$247)</f>
        <v>#DIV/0!</v>
      </c>
    </row>
    <row r="237" spans="2:13">
      <c r="B237" s="479"/>
      <c r="C237" s="182">
        <v>20</v>
      </c>
      <c r="D237" s="182"/>
      <c r="E237" s="166"/>
      <c r="F237" s="182"/>
      <c r="G237" s="180"/>
      <c r="H237" s="491"/>
      <c r="I237" s="166" t="e">
        <f t="shared" si="95"/>
        <v>#DIV/0!</v>
      </c>
      <c r="J237" s="166" t="e">
        <f t="shared" si="95"/>
        <v>#DIV/0!</v>
      </c>
      <c r="K237" s="166" t="e">
        <f t="shared" si="96"/>
        <v>#DIV/0!</v>
      </c>
      <c r="L237" s="506"/>
      <c r="M237" s="166" t="e">
        <f>RANK(K237, K$218:$K$247)</f>
        <v>#DIV/0!</v>
      </c>
    </row>
    <row r="238" spans="2:13">
      <c r="B238" s="479"/>
      <c r="C238" s="182">
        <v>21</v>
      </c>
      <c r="D238" s="182"/>
      <c r="E238" s="166"/>
      <c r="F238" s="182"/>
      <c r="G238" s="180"/>
      <c r="H238" s="491"/>
      <c r="I238" s="166" t="e">
        <f t="shared" si="95"/>
        <v>#DIV/0!</v>
      </c>
      <c r="J238" s="166" t="e">
        <f t="shared" si="95"/>
        <v>#DIV/0!</v>
      </c>
      <c r="K238" s="166" t="e">
        <f t="shared" si="96"/>
        <v>#DIV/0!</v>
      </c>
      <c r="L238" s="506"/>
      <c r="M238" s="166" t="e">
        <f>RANK(K238, K$218:$K$247)</f>
        <v>#DIV/0!</v>
      </c>
    </row>
    <row r="239" spans="2:13">
      <c r="B239" s="479"/>
      <c r="C239" s="182">
        <v>22</v>
      </c>
      <c r="D239" s="182"/>
      <c r="E239" s="166"/>
      <c r="F239" s="182"/>
      <c r="G239" s="180"/>
      <c r="H239" s="491"/>
      <c r="I239" s="166" t="e">
        <f t="shared" si="95"/>
        <v>#DIV/0!</v>
      </c>
      <c r="J239" s="166" t="e">
        <f t="shared" si="95"/>
        <v>#DIV/0!</v>
      </c>
      <c r="K239" s="166" t="e">
        <f t="shared" si="96"/>
        <v>#DIV/0!</v>
      </c>
      <c r="L239" s="506"/>
      <c r="M239" s="166" t="e">
        <f>RANK(K239, K$218:$K$247)</f>
        <v>#DIV/0!</v>
      </c>
    </row>
    <row r="240" spans="2:13">
      <c r="B240" s="479"/>
      <c r="C240" s="182">
        <v>23</v>
      </c>
      <c r="D240" s="182"/>
      <c r="E240" s="166"/>
      <c r="F240" s="182"/>
      <c r="G240" s="180"/>
      <c r="H240" s="491"/>
      <c r="I240" s="166" t="e">
        <f t="shared" si="95"/>
        <v>#DIV/0!</v>
      </c>
      <c r="J240" s="166" t="e">
        <f t="shared" si="95"/>
        <v>#DIV/0!</v>
      </c>
      <c r="K240" s="166" t="e">
        <f t="shared" si="96"/>
        <v>#DIV/0!</v>
      </c>
      <c r="L240" s="506"/>
      <c r="M240" s="166" t="e">
        <f>RANK(K240, K$218:$K$247)</f>
        <v>#DIV/0!</v>
      </c>
    </row>
    <row r="241" spans="2:13">
      <c r="B241" s="479"/>
      <c r="C241" s="182">
        <v>24</v>
      </c>
      <c r="D241" s="182"/>
      <c r="E241" s="166"/>
      <c r="F241" s="182"/>
      <c r="G241" s="180"/>
      <c r="H241" s="491"/>
      <c r="I241" s="166" t="e">
        <f t="shared" si="95"/>
        <v>#DIV/0!</v>
      </c>
      <c r="J241" s="166" t="e">
        <f t="shared" si="95"/>
        <v>#DIV/0!</v>
      </c>
      <c r="K241" s="166" t="e">
        <f t="shared" si="96"/>
        <v>#DIV/0!</v>
      </c>
      <c r="L241" s="506"/>
      <c r="M241" s="166" t="e">
        <f>RANK(K241, K$218:$K$247)</f>
        <v>#DIV/0!</v>
      </c>
    </row>
    <row r="242" spans="2:13">
      <c r="B242" s="479"/>
      <c r="C242" s="182">
        <v>25</v>
      </c>
      <c r="D242" s="182"/>
      <c r="E242" s="166"/>
      <c r="F242" s="182"/>
      <c r="G242" s="180"/>
      <c r="H242" s="491"/>
      <c r="I242" s="166"/>
      <c r="J242" s="166"/>
      <c r="K242" s="166"/>
      <c r="L242" s="506"/>
      <c r="M242" s="166" t="e">
        <f>RANK(K242, K$218:$K$247)</f>
        <v>#DIV/0!</v>
      </c>
    </row>
    <row r="243" spans="2:13">
      <c r="B243" s="479"/>
      <c r="C243" s="182">
        <v>26</v>
      </c>
      <c r="D243" s="182"/>
      <c r="E243" s="166"/>
      <c r="F243" s="182"/>
      <c r="G243" s="180"/>
      <c r="H243" s="491"/>
      <c r="I243" s="166"/>
      <c r="J243" s="166"/>
      <c r="K243" s="166"/>
      <c r="L243" s="506"/>
      <c r="M243" s="166" t="e">
        <f>RANK(K243, K$218:$K$247)</f>
        <v>#DIV/0!</v>
      </c>
    </row>
    <row r="244" spans="2:13">
      <c r="B244" s="479"/>
      <c r="C244" s="182">
        <v>27</v>
      </c>
      <c r="D244" s="182"/>
      <c r="E244" s="166"/>
      <c r="F244" s="182"/>
      <c r="G244" s="180"/>
      <c r="H244" s="491"/>
      <c r="I244" s="166"/>
      <c r="J244" s="166"/>
      <c r="K244" s="166"/>
      <c r="L244" s="506"/>
      <c r="M244" s="166" t="e">
        <f>RANK(K244, K$218:$K$247)</f>
        <v>#DIV/0!</v>
      </c>
    </row>
    <row r="245" spans="2:13">
      <c r="B245" s="479"/>
      <c r="C245" s="182">
        <v>28</v>
      </c>
      <c r="D245" s="182"/>
      <c r="E245" s="166"/>
      <c r="F245" s="182"/>
      <c r="G245" s="180"/>
      <c r="H245" s="491"/>
      <c r="I245" s="166"/>
      <c r="J245" s="166"/>
      <c r="K245" s="166"/>
      <c r="L245" s="506"/>
      <c r="M245" s="166" t="e">
        <f>RANK(K245, K$218:$K$247)</f>
        <v>#DIV/0!</v>
      </c>
    </row>
    <row r="246" spans="2:13">
      <c r="B246" s="479"/>
      <c r="C246" s="182">
        <v>29</v>
      </c>
      <c r="D246" s="182"/>
      <c r="E246" s="166"/>
      <c r="F246" s="182"/>
      <c r="G246" s="180"/>
      <c r="H246" s="491"/>
      <c r="I246" s="166"/>
      <c r="J246" s="166"/>
      <c r="K246" s="166"/>
      <c r="L246" s="506"/>
      <c r="M246" s="166" t="e">
        <f>RANK(K246, K$218:$K$247)</f>
        <v>#DIV/0!</v>
      </c>
    </row>
    <row r="247" spans="2:13">
      <c r="B247" s="479"/>
      <c r="C247" s="182">
        <v>30</v>
      </c>
      <c r="D247" s="182"/>
      <c r="E247" s="166"/>
      <c r="F247" s="182"/>
      <c r="G247" s="180"/>
      <c r="H247" s="491"/>
      <c r="I247" s="166"/>
      <c r="J247" s="166"/>
      <c r="K247" s="166"/>
      <c r="L247" s="506"/>
      <c r="M247" s="166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6" zoomScale="55" zoomScaleNormal="55" workbookViewId="0">
      <pane xSplit="15" topLeftCell="Z1" activePane="topRight" state="frozen"/>
      <selection activeCell="A7" sqref="A7:L28"/>
      <selection pane="topRight" activeCell="AT67" sqref="AT67:AV77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68.578756865486497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187</v>
      </c>
      <c r="C7" s="182">
        <v>1</v>
      </c>
      <c r="D7" s="203" t="s">
        <v>309</v>
      </c>
      <c r="E7" s="166">
        <v>18</v>
      </c>
      <c r="F7" s="182">
        <v>1440</v>
      </c>
      <c r="G7" s="180">
        <v>80</v>
      </c>
      <c r="H7" s="459">
        <f>AVERAGE(G7:G21)</f>
        <v>82.22727272727272</v>
      </c>
      <c r="I7" s="166">
        <f>AVERAGE(P7,U7,Z7,AE7,AJ7,AO7,AT7)</f>
        <v>18</v>
      </c>
      <c r="J7" s="166">
        <f>AVERAGE(Q7,V7,AA7,AF7,AK7,AP7,AU7)</f>
        <v>1274.9973358139655</v>
      </c>
      <c r="K7" s="180">
        <f>AVERAGE(R7,W7,AB7,AG7,AL7,AQ7,AV7)</f>
        <v>70.833185322998091</v>
      </c>
      <c r="L7" s="459">
        <f>IFERROR(AVERAGE(K7:K21),"-")</f>
        <v>70.328476093595299</v>
      </c>
      <c r="M7" s="181">
        <f>RANK(K7, K$7:$K$21)</f>
        <v>5</v>
      </c>
      <c r="N7" s="462"/>
      <c r="O7" s="462"/>
      <c r="P7" s="166">
        <v>18</v>
      </c>
      <c r="Q7" s="180">
        <v>1274.6511627906973</v>
      </c>
      <c r="R7" s="180">
        <v>70.813953488372078</v>
      </c>
      <c r="S7" s="182">
        <f>RANK(R7, R$7:R$21)</f>
        <v>7</v>
      </c>
      <c r="T7" s="459">
        <f>AVERAGE(R7:R21)</f>
        <v>71.603781281519517</v>
      </c>
      <c r="U7" s="166">
        <v>18</v>
      </c>
      <c r="V7" s="180">
        <v>1274.3750000000005</v>
      </c>
      <c r="W7" s="180">
        <v>70.798611111111143</v>
      </c>
      <c r="X7" s="182">
        <f>RANK(W7, W$7:W$21)</f>
        <v>5</v>
      </c>
      <c r="Y7" s="459">
        <f>AVERAGE(W7:W21)</f>
        <v>68.560043565860738</v>
      </c>
      <c r="Z7" s="166">
        <v>18</v>
      </c>
      <c r="AA7" s="180">
        <v>1287.5625000000007</v>
      </c>
      <c r="AB7" s="180">
        <v>71.531250000000043</v>
      </c>
      <c r="AC7" s="182">
        <f>RANK(AB7, AB$7:AB$21)</f>
        <v>5</v>
      </c>
      <c r="AD7" s="459">
        <f>AVERAGE(AB7:AB21)</f>
        <v>69.929366557557145</v>
      </c>
      <c r="AE7" s="166">
        <v>18</v>
      </c>
      <c r="AF7" s="180">
        <v>1246.304347826087</v>
      </c>
      <c r="AG7" s="180">
        <v>69.239130434782609</v>
      </c>
      <c r="AH7" s="182">
        <f>RANK(AG7, AG$7:AG$21)</f>
        <v>5</v>
      </c>
      <c r="AI7" s="459">
        <f>AVERAGE(AG7:AG21)</f>
        <v>67.752209594200082</v>
      </c>
      <c r="AJ7" s="166">
        <v>18</v>
      </c>
      <c r="AK7" s="180">
        <v>1289.4230769230776</v>
      </c>
      <c r="AL7" s="180">
        <v>71.634615384615415</v>
      </c>
      <c r="AM7" s="182">
        <f>RANK(AL7, AL$7:AL$21)</f>
        <v>4</v>
      </c>
      <c r="AN7" s="459">
        <f>AVERAGE(AL7:AL21)</f>
        <v>68.985859787313871</v>
      </c>
      <c r="AO7" s="166">
        <v>18</v>
      </c>
      <c r="AP7" s="180">
        <v>1258.1052631578953</v>
      </c>
      <c r="AQ7" s="180">
        <v>69.894736842105289</v>
      </c>
      <c r="AR7" s="182">
        <f>RANK(AQ7, AQ$7:AQ$21)</f>
        <v>7</v>
      </c>
      <c r="AS7" s="459">
        <f>AVERAGE(AQ7:AQ21)</f>
        <v>69.722575822854367</v>
      </c>
      <c r="AT7" s="166">
        <v>18</v>
      </c>
      <c r="AU7" s="180">
        <v>1294.5600000000004</v>
      </c>
      <c r="AV7" s="180">
        <v>71.920000000000016</v>
      </c>
      <c r="AW7" s="182">
        <f>RANK(AV7, AV$7:AV$21)</f>
        <v>5</v>
      </c>
      <c r="AX7" s="491">
        <f>AVERAGE(AV7:AV21)</f>
        <v>71.602172423098395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310</v>
      </c>
      <c r="E8" s="166">
        <v>19</v>
      </c>
      <c r="F8" s="182">
        <v>1440</v>
      </c>
      <c r="G8" s="180">
        <v>75.8</v>
      </c>
      <c r="H8" s="460"/>
      <c r="I8" s="166">
        <f t="shared" ref="I8:I16" si="5">AVERAGE(P8,U8,Z8,AE8,AJ8,AO8,AT8)</f>
        <v>18</v>
      </c>
      <c r="J8" s="166">
        <f t="shared" ref="J8:J16" si="6">AVERAGE(Q8,V8,AA8,AF8,AK8,AP8,AU8)</f>
        <v>1232.4075588522373</v>
      </c>
      <c r="K8" s="180">
        <f t="shared" ref="K8:K16" si="7">AVERAGE(R8,W8,AB8,AG8,AL8,AQ8,AV8)</f>
        <v>68.467086602902071</v>
      </c>
      <c r="L8" s="460"/>
      <c r="M8" s="181">
        <f>RANK(K8, K$7:$K$21)</f>
        <v>6</v>
      </c>
      <c r="N8" s="462"/>
      <c r="O8" s="462"/>
      <c r="P8" s="182">
        <v>18</v>
      </c>
      <c r="Q8" s="180">
        <v>1274.9999999999982</v>
      </c>
      <c r="R8" s="180">
        <v>70.833333333333229</v>
      </c>
      <c r="S8" s="182">
        <f t="shared" ref="S8:S21" si="8">RANK(R8, R$7:R$21)</f>
        <v>6</v>
      </c>
      <c r="T8" s="460"/>
      <c r="U8" s="182">
        <v>18</v>
      </c>
      <c r="V8" s="180">
        <v>1251.9999999999977</v>
      </c>
      <c r="W8" s="180">
        <v>69.555555555555429</v>
      </c>
      <c r="X8" s="182">
        <f t="shared" ref="X8:X21" si="9">RANK(W8, W$7:W$21)</f>
        <v>6</v>
      </c>
      <c r="Y8" s="460"/>
      <c r="Z8" s="182">
        <v>18</v>
      </c>
      <c r="AA8" s="180">
        <v>1269.6774193548367</v>
      </c>
      <c r="AB8" s="180">
        <v>70.537634408602045</v>
      </c>
      <c r="AC8" s="182">
        <f t="shared" ref="AC8:AC21" si="10">RANK(AB8, AB$7:AB$21)</f>
        <v>6</v>
      </c>
      <c r="AD8" s="460"/>
      <c r="AE8" s="182">
        <v>18</v>
      </c>
      <c r="AF8" s="180">
        <v>1060.7142857142835</v>
      </c>
      <c r="AG8" s="180">
        <v>58.928571428571303</v>
      </c>
      <c r="AH8" s="182">
        <f t="shared" ref="AH8:AH21" si="11">RANK(AG8, AG$7:AG$21)</f>
        <v>11</v>
      </c>
      <c r="AI8" s="460"/>
      <c r="AJ8" s="182">
        <v>18</v>
      </c>
      <c r="AK8" s="180">
        <v>1247.5862068965494</v>
      </c>
      <c r="AL8" s="180">
        <v>69.310344827586079</v>
      </c>
      <c r="AM8" s="182">
        <f t="shared" ref="AM8:AM21" si="12">RANK(AL8, AL$7:AL$21)</f>
        <v>6</v>
      </c>
      <c r="AN8" s="460"/>
      <c r="AO8" s="182">
        <v>18</v>
      </c>
      <c r="AP8" s="180">
        <v>1259.9999999999982</v>
      </c>
      <c r="AQ8" s="180">
        <v>69.999999999999901</v>
      </c>
      <c r="AR8" s="182">
        <f t="shared" ref="AR8:AR21" si="13">RANK(AQ8, AQ$7:AQ$21)</f>
        <v>6</v>
      </c>
      <c r="AS8" s="460"/>
      <c r="AT8" s="182">
        <v>18</v>
      </c>
      <c r="AU8" s="180">
        <v>1261.8749999999982</v>
      </c>
      <c r="AV8" s="180">
        <v>70.104166666666572</v>
      </c>
      <c r="AW8" s="182">
        <f t="shared" ref="AW8:AW21" si="14">RANK(AV8, AV$7:AV$21)</f>
        <v>7</v>
      </c>
      <c r="AX8" s="491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311</v>
      </c>
      <c r="E9" s="166">
        <v>17</v>
      </c>
      <c r="F9" s="182">
        <v>1636</v>
      </c>
      <c r="G9" s="180">
        <v>96.3</v>
      </c>
      <c r="H9" s="460"/>
      <c r="I9" s="166">
        <f t="shared" si="5"/>
        <v>17.142857142857142</v>
      </c>
      <c r="J9" s="166">
        <f t="shared" si="6"/>
        <v>1291.8699253674611</v>
      </c>
      <c r="K9" s="180">
        <f t="shared" si="7"/>
        <v>75.31038345729732</v>
      </c>
      <c r="L9" s="460"/>
      <c r="M9" s="181">
        <f>RANK(K9, K$7:$K$21)</f>
        <v>2</v>
      </c>
      <c r="N9" s="462"/>
      <c r="O9" s="462"/>
      <c r="P9" s="182">
        <v>17</v>
      </c>
      <c r="Q9" s="180">
        <v>1428.8888888888855</v>
      </c>
      <c r="R9" s="180">
        <v>84.052287581699147</v>
      </c>
      <c r="S9" s="182">
        <f t="shared" si="8"/>
        <v>1</v>
      </c>
      <c r="T9" s="460"/>
      <c r="U9" s="182">
        <v>17</v>
      </c>
      <c r="V9" s="180">
        <v>1231.1111111111081</v>
      </c>
      <c r="W9" s="180">
        <v>72.418300653594599</v>
      </c>
      <c r="X9" s="182">
        <f t="shared" si="9"/>
        <v>4</v>
      </c>
      <c r="Y9" s="460"/>
      <c r="Z9" s="182">
        <v>17</v>
      </c>
      <c r="AA9" s="180">
        <v>1221.4285714285686</v>
      </c>
      <c r="AB9" s="180">
        <v>71.848739495798156</v>
      </c>
      <c r="AC9" s="182">
        <f t="shared" si="10"/>
        <v>4</v>
      </c>
      <c r="AD9" s="460"/>
      <c r="AE9" s="182">
        <v>17</v>
      </c>
      <c r="AF9" s="180">
        <v>1249.0909090909136</v>
      </c>
      <c r="AG9" s="180">
        <v>73.475935828877269</v>
      </c>
      <c r="AH9" s="182">
        <f t="shared" si="11"/>
        <v>3</v>
      </c>
      <c r="AI9" s="460"/>
      <c r="AJ9" s="182">
        <v>17</v>
      </c>
      <c r="AK9" s="180">
        <v>1220.6896551724114</v>
      </c>
      <c r="AL9" s="180">
        <v>71.805273833671265</v>
      </c>
      <c r="AM9" s="182">
        <f t="shared" si="12"/>
        <v>3</v>
      </c>
      <c r="AN9" s="460"/>
      <c r="AO9" s="182">
        <v>17</v>
      </c>
      <c r="AP9" s="180">
        <v>1231.1111111111081</v>
      </c>
      <c r="AQ9" s="180">
        <v>72.418300653594599</v>
      </c>
      <c r="AR9" s="182">
        <f t="shared" si="13"/>
        <v>4</v>
      </c>
      <c r="AS9" s="460"/>
      <c r="AT9" s="182">
        <v>18</v>
      </c>
      <c r="AU9" s="180">
        <v>1460.7692307692316</v>
      </c>
      <c r="AV9" s="180">
        <v>81.153846153846203</v>
      </c>
      <c r="AW9" s="182">
        <f t="shared" si="14"/>
        <v>2</v>
      </c>
      <c r="AX9" s="491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 t="s">
        <v>312</v>
      </c>
      <c r="E10" s="166">
        <v>17</v>
      </c>
      <c r="F10" s="182">
        <v>1440</v>
      </c>
      <c r="G10" s="180">
        <v>84.7</v>
      </c>
      <c r="H10" s="460"/>
      <c r="I10" s="166">
        <f t="shared" si="5"/>
        <v>17</v>
      </c>
      <c r="J10" s="166">
        <f t="shared" si="6"/>
        <v>1269.0121246321812</v>
      </c>
      <c r="K10" s="180">
        <f t="shared" si="7"/>
        <v>74.64777203718711</v>
      </c>
      <c r="L10" s="460"/>
      <c r="M10" s="181">
        <f>RANK(K10, K$7:$K$21)</f>
        <v>3</v>
      </c>
      <c r="N10" s="462"/>
      <c r="O10" s="462"/>
      <c r="P10" s="182">
        <v>17</v>
      </c>
      <c r="Q10" s="180">
        <v>1266.4615384615381</v>
      </c>
      <c r="R10" s="180">
        <v>74.497737556561063</v>
      </c>
      <c r="S10" s="182">
        <f t="shared" si="8"/>
        <v>3</v>
      </c>
      <c r="T10" s="460"/>
      <c r="U10" s="182">
        <v>17</v>
      </c>
      <c r="V10" s="180">
        <v>1257.0873786407765</v>
      </c>
      <c r="W10" s="180">
        <v>73.94631639063391</v>
      </c>
      <c r="X10" s="182">
        <f t="shared" si="9"/>
        <v>2</v>
      </c>
      <c r="Y10" s="460"/>
      <c r="Z10" s="182">
        <v>17</v>
      </c>
      <c r="AA10" s="180">
        <v>1281.272727272727</v>
      </c>
      <c r="AB10" s="180">
        <v>75.368983957219243</v>
      </c>
      <c r="AC10" s="182">
        <f t="shared" si="10"/>
        <v>2</v>
      </c>
      <c r="AD10" s="460"/>
      <c r="AE10" s="182">
        <v>17</v>
      </c>
      <c r="AF10" s="180">
        <v>1266.0550458715595</v>
      </c>
      <c r="AG10" s="180">
        <v>74.473826227738797</v>
      </c>
      <c r="AH10" s="182">
        <f t="shared" si="11"/>
        <v>2</v>
      </c>
      <c r="AI10" s="460"/>
      <c r="AJ10" s="182">
        <v>17</v>
      </c>
      <c r="AK10" s="180">
        <v>1275.1181102362202</v>
      </c>
      <c r="AL10" s="180">
        <v>75.006947660954125</v>
      </c>
      <c r="AM10" s="182">
        <f t="shared" si="12"/>
        <v>2</v>
      </c>
      <c r="AN10" s="460"/>
      <c r="AO10" s="182">
        <v>17</v>
      </c>
      <c r="AP10" s="180">
        <v>1257.4100719424459</v>
      </c>
      <c r="AQ10" s="180">
        <v>73.965298349555638</v>
      </c>
      <c r="AR10" s="182">
        <f t="shared" si="13"/>
        <v>2</v>
      </c>
      <c r="AS10" s="460"/>
      <c r="AT10" s="182">
        <v>17</v>
      </c>
      <c r="AU10" s="180">
        <v>1279.68</v>
      </c>
      <c r="AV10" s="180">
        <v>75.275294117647064</v>
      </c>
      <c r="AW10" s="182">
        <f t="shared" si="14"/>
        <v>3</v>
      </c>
      <c r="AX10" s="491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313</v>
      </c>
      <c r="E11" s="166">
        <v>17</v>
      </c>
      <c r="F11" s="182">
        <v>1440</v>
      </c>
      <c r="G11" s="180">
        <v>84.7</v>
      </c>
      <c r="H11" s="460"/>
      <c r="I11" s="166">
        <f t="shared" si="5"/>
        <v>18</v>
      </c>
      <c r="J11" s="166">
        <f t="shared" si="6"/>
        <v>1191.9079135547415</v>
      </c>
      <c r="K11" s="180">
        <f t="shared" si="7"/>
        <v>66.21710630859674</v>
      </c>
      <c r="L11" s="460"/>
      <c r="M11" s="181">
        <f>RANK(K11, K$7:$K$21)</f>
        <v>8</v>
      </c>
      <c r="N11" s="462"/>
      <c r="O11" s="462"/>
      <c r="P11" s="182">
        <v>18</v>
      </c>
      <c r="Q11" s="180">
        <v>1299.9999999999977</v>
      </c>
      <c r="R11" s="180">
        <v>72.222222222222101</v>
      </c>
      <c r="S11" s="182">
        <f t="shared" si="8"/>
        <v>5</v>
      </c>
      <c r="T11" s="460"/>
      <c r="U11" s="182">
        <v>18</v>
      </c>
      <c r="V11" s="180">
        <v>1075.9999999999982</v>
      </c>
      <c r="W11" s="180">
        <v>59.777777777777679</v>
      </c>
      <c r="X11" s="182">
        <f t="shared" si="9"/>
        <v>11</v>
      </c>
      <c r="Y11" s="460"/>
      <c r="Z11" s="182">
        <v>18</v>
      </c>
      <c r="AA11" s="180">
        <v>1264.1379310344803</v>
      </c>
      <c r="AB11" s="180">
        <v>70.229885057471122</v>
      </c>
      <c r="AC11" s="182">
        <f t="shared" si="10"/>
        <v>7</v>
      </c>
      <c r="AD11" s="460"/>
      <c r="AE11" s="182">
        <v>18</v>
      </c>
      <c r="AF11" s="180">
        <v>1077.4999999999968</v>
      </c>
      <c r="AG11" s="180">
        <v>59.861111111110937</v>
      </c>
      <c r="AH11" s="182">
        <f t="shared" si="11"/>
        <v>10</v>
      </c>
      <c r="AI11" s="460"/>
      <c r="AJ11" s="182">
        <v>18</v>
      </c>
      <c r="AK11" s="180">
        <v>1047.0967741935467</v>
      </c>
      <c r="AL11" s="180">
        <v>58.172043010752596</v>
      </c>
      <c r="AM11" s="182">
        <f t="shared" si="12"/>
        <v>11</v>
      </c>
      <c r="AN11" s="460"/>
      <c r="AO11" s="182">
        <v>18</v>
      </c>
      <c r="AP11" s="180">
        <v>1278.6206896551698</v>
      </c>
      <c r="AQ11" s="180">
        <v>71.034482758620541</v>
      </c>
      <c r="AR11" s="182">
        <f t="shared" si="13"/>
        <v>5</v>
      </c>
      <c r="AS11" s="460"/>
      <c r="AT11" s="182">
        <v>18</v>
      </c>
      <c r="AU11" s="180">
        <v>1300.0000000000011</v>
      </c>
      <c r="AV11" s="180">
        <v>72.222222222222285</v>
      </c>
      <c r="AW11" s="182">
        <f t="shared" si="14"/>
        <v>4</v>
      </c>
      <c r="AX11" s="491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 t="s">
        <v>314</v>
      </c>
      <c r="E12" s="166">
        <v>19</v>
      </c>
      <c r="F12" s="182">
        <v>1385</v>
      </c>
      <c r="G12" s="180">
        <v>72.900000000000006</v>
      </c>
      <c r="H12" s="460"/>
      <c r="I12" s="166">
        <f t="shared" si="5"/>
        <v>19</v>
      </c>
      <c r="J12" s="166">
        <f t="shared" si="6"/>
        <v>1222.4847786457187</v>
      </c>
      <c r="K12" s="180">
        <f t="shared" si="7"/>
        <v>64.341304139248351</v>
      </c>
      <c r="L12" s="460"/>
      <c r="M12" s="181">
        <f>RANK(K12, K$7:$K$21)</f>
        <v>9</v>
      </c>
      <c r="N12" s="462"/>
      <c r="O12" s="462"/>
      <c r="P12" s="182">
        <v>19</v>
      </c>
      <c r="Q12" s="180">
        <v>1239.6226415094347</v>
      </c>
      <c r="R12" s="180">
        <v>65.243296921549202</v>
      </c>
      <c r="S12" s="182">
        <f t="shared" si="8"/>
        <v>9</v>
      </c>
      <c r="T12" s="460"/>
      <c r="U12" s="182">
        <v>19</v>
      </c>
      <c r="V12" s="180">
        <v>1211.9999999999986</v>
      </c>
      <c r="W12" s="180">
        <v>63.789473684210456</v>
      </c>
      <c r="X12" s="182">
        <f t="shared" si="9"/>
        <v>8</v>
      </c>
      <c r="Y12" s="460"/>
      <c r="Z12" s="182">
        <v>19</v>
      </c>
      <c r="AA12" s="180">
        <v>1212.2891566265057</v>
      </c>
      <c r="AB12" s="180">
        <v>63.804692454026615</v>
      </c>
      <c r="AC12" s="182">
        <f t="shared" si="10"/>
        <v>10</v>
      </c>
      <c r="AD12" s="460"/>
      <c r="AE12" s="182">
        <v>19</v>
      </c>
      <c r="AF12" s="180">
        <v>1220.2702702702693</v>
      </c>
      <c r="AG12" s="180">
        <v>64.224751066856285</v>
      </c>
      <c r="AH12" s="182">
        <f t="shared" si="11"/>
        <v>8</v>
      </c>
      <c r="AI12" s="460"/>
      <c r="AJ12" s="182">
        <v>19</v>
      </c>
      <c r="AK12" s="180">
        <v>1254.8780487804875</v>
      </c>
      <c r="AL12" s="180">
        <v>66.046213093709866</v>
      </c>
      <c r="AM12" s="182">
        <f t="shared" si="12"/>
        <v>8</v>
      </c>
      <c r="AN12" s="460"/>
      <c r="AO12" s="182">
        <v>19</v>
      </c>
      <c r="AP12" s="180">
        <v>1218.3333333333342</v>
      </c>
      <c r="AQ12" s="180">
        <v>64.122807017543906</v>
      </c>
      <c r="AR12" s="182">
        <f t="shared" si="13"/>
        <v>10</v>
      </c>
      <c r="AS12" s="460"/>
      <c r="AT12" s="182">
        <v>19</v>
      </c>
      <c r="AU12" s="180">
        <v>1200.0000000000005</v>
      </c>
      <c r="AV12" s="180">
        <v>63.157894736842131</v>
      </c>
      <c r="AW12" s="182">
        <f t="shared" si="14"/>
        <v>10</v>
      </c>
      <c r="AX12" s="491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 t="s">
        <v>315</v>
      </c>
      <c r="E13" s="166">
        <v>19</v>
      </c>
      <c r="F13" s="182">
        <v>1440</v>
      </c>
      <c r="G13" s="180">
        <v>75.8</v>
      </c>
      <c r="H13" s="460"/>
      <c r="I13" s="166">
        <f t="shared" si="5"/>
        <v>19</v>
      </c>
      <c r="J13" s="166">
        <f t="shared" si="6"/>
        <v>1274.4991169873606</v>
      </c>
      <c r="K13" s="180">
        <f t="shared" si="7"/>
        <v>67.078900894071595</v>
      </c>
      <c r="L13" s="460"/>
      <c r="M13" s="181">
        <f>RANK(K13, K$7:$K$21)</f>
        <v>7</v>
      </c>
      <c r="N13" s="462"/>
      <c r="O13" s="462"/>
      <c r="P13" s="182">
        <v>19</v>
      </c>
      <c r="Q13" s="180">
        <v>1281.2307692307706</v>
      </c>
      <c r="R13" s="180">
        <v>67.433198380566878</v>
      </c>
      <c r="S13" s="182">
        <f t="shared" si="8"/>
        <v>8</v>
      </c>
      <c r="T13" s="460"/>
      <c r="U13" s="182">
        <v>19</v>
      </c>
      <c r="V13" s="180">
        <v>1274.4827586206907</v>
      </c>
      <c r="W13" s="180">
        <v>67.078039927404774</v>
      </c>
      <c r="X13" s="182">
        <f t="shared" si="9"/>
        <v>7</v>
      </c>
      <c r="Y13" s="460"/>
      <c r="Z13" s="182">
        <v>19</v>
      </c>
      <c r="AA13" s="180">
        <v>1269.5238095238108</v>
      </c>
      <c r="AB13" s="180">
        <v>66.817042606516353</v>
      </c>
      <c r="AC13" s="182">
        <f t="shared" si="10"/>
        <v>8</v>
      </c>
      <c r="AD13" s="460"/>
      <c r="AE13" s="182">
        <v>19</v>
      </c>
      <c r="AF13" s="180">
        <v>1244.1509433962269</v>
      </c>
      <c r="AG13" s="180">
        <v>65.481628599801411</v>
      </c>
      <c r="AH13" s="182">
        <f t="shared" si="11"/>
        <v>6</v>
      </c>
      <c r="AI13" s="460"/>
      <c r="AJ13" s="182">
        <v>19</v>
      </c>
      <c r="AK13" s="180">
        <v>1278.6206896551735</v>
      </c>
      <c r="AL13" s="180">
        <v>67.295825771324914</v>
      </c>
      <c r="AM13" s="182">
        <f t="shared" si="12"/>
        <v>7</v>
      </c>
      <c r="AN13" s="460"/>
      <c r="AO13" s="182">
        <v>19</v>
      </c>
      <c r="AP13" s="180">
        <v>1271.6666666666656</v>
      </c>
      <c r="AQ13" s="180">
        <v>66.92982456140345</v>
      </c>
      <c r="AR13" s="182">
        <f t="shared" si="13"/>
        <v>8</v>
      </c>
      <c r="AS13" s="460"/>
      <c r="AT13" s="182">
        <v>19</v>
      </c>
      <c r="AU13" s="180">
        <v>1301.8181818181831</v>
      </c>
      <c r="AV13" s="180">
        <v>68.516746411483325</v>
      </c>
      <c r="AW13" s="182">
        <f t="shared" si="14"/>
        <v>8</v>
      </c>
      <c r="AX13" s="491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 t="s">
        <v>316</v>
      </c>
      <c r="E14" s="166">
        <v>17</v>
      </c>
      <c r="F14" s="182">
        <v>1385</v>
      </c>
      <c r="G14" s="180">
        <v>81.400000000000006</v>
      </c>
      <c r="H14" s="460"/>
      <c r="I14" s="166">
        <f t="shared" si="5"/>
        <v>17</v>
      </c>
      <c r="J14" s="166">
        <f t="shared" si="6"/>
        <v>1227.8903964071485</v>
      </c>
      <c r="K14" s="180">
        <f t="shared" si="7"/>
        <v>72.228846847479304</v>
      </c>
      <c r="L14" s="460"/>
      <c r="M14" s="181">
        <f>RANK(K14, K$7:$K$21)</f>
        <v>4</v>
      </c>
      <c r="N14" s="462"/>
      <c r="O14" s="462"/>
      <c r="P14" s="182">
        <v>17</v>
      </c>
      <c r="Q14" s="180">
        <v>1251.0810810810801</v>
      </c>
      <c r="R14" s="180">
        <v>73.5930047694753</v>
      </c>
      <c r="S14" s="182">
        <f t="shared" si="8"/>
        <v>4</v>
      </c>
      <c r="T14" s="460"/>
      <c r="U14" s="182">
        <v>17</v>
      </c>
      <c r="V14" s="180">
        <v>1233.3333333333344</v>
      </c>
      <c r="W14" s="180">
        <v>72.549019607843206</v>
      </c>
      <c r="X14" s="182">
        <f t="shared" si="9"/>
        <v>3</v>
      </c>
      <c r="Y14" s="460"/>
      <c r="Z14" s="182">
        <v>17</v>
      </c>
      <c r="AA14" s="180">
        <v>1231.8181818181831</v>
      </c>
      <c r="AB14" s="180">
        <v>72.459893048128421</v>
      </c>
      <c r="AC14" s="182">
        <f t="shared" si="10"/>
        <v>3</v>
      </c>
      <c r="AD14" s="460"/>
      <c r="AE14" s="182">
        <v>17</v>
      </c>
      <c r="AF14" s="180">
        <v>1220.3389830508486</v>
      </c>
      <c r="AG14" s="180">
        <v>71.784646061814627</v>
      </c>
      <c r="AH14" s="182">
        <f t="shared" si="11"/>
        <v>4</v>
      </c>
      <c r="AI14" s="460"/>
      <c r="AJ14" s="182">
        <v>17</v>
      </c>
      <c r="AK14" s="180">
        <v>1199.0909090909104</v>
      </c>
      <c r="AL14" s="180">
        <v>70.534759358288852</v>
      </c>
      <c r="AM14" s="182">
        <f t="shared" si="12"/>
        <v>5</v>
      </c>
      <c r="AN14" s="460"/>
      <c r="AO14" s="182">
        <v>17</v>
      </c>
      <c r="AP14" s="180">
        <v>1250.8860759493664</v>
      </c>
      <c r="AQ14" s="180">
        <v>73.58153387937449</v>
      </c>
      <c r="AR14" s="182">
        <f t="shared" si="13"/>
        <v>3</v>
      </c>
      <c r="AS14" s="460"/>
      <c r="AT14" s="182">
        <v>17</v>
      </c>
      <c r="AU14" s="180">
        <v>1208.6842105263149</v>
      </c>
      <c r="AV14" s="180">
        <v>71.099071207430285</v>
      </c>
      <c r="AW14" s="182">
        <f t="shared" si="14"/>
        <v>6</v>
      </c>
      <c r="AX14" s="491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 t="s">
        <v>317</v>
      </c>
      <c r="E15" s="166">
        <v>19</v>
      </c>
      <c r="F15" s="182">
        <v>1385</v>
      </c>
      <c r="G15" s="180">
        <v>72.900000000000006</v>
      </c>
      <c r="H15" s="460"/>
      <c r="I15" s="166">
        <f t="shared" si="5"/>
        <v>19.142857142857142</v>
      </c>
      <c r="J15" s="166">
        <f t="shared" si="6"/>
        <v>1213.0902803480078</v>
      </c>
      <c r="K15" s="180">
        <f t="shared" si="7"/>
        <v>63.385826235077623</v>
      </c>
      <c r="L15" s="460"/>
      <c r="M15" s="181">
        <f>RANK(K15, K$7:$K$21)</f>
        <v>10</v>
      </c>
      <c r="N15" s="462"/>
      <c r="O15" s="462"/>
      <c r="P15" s="182">
        <v>19</v>
      </c>
      <c r="Q15" s="180">
        <v>1224.8780487804875</v>
      </c>
      <c r="R15" s="180">
        <v>64.467265725288811</v>
      </c>
      <c r="S15" s="182">
        <f t="shared" si="8"/>
        <v>10</v>
      </c>
      <c r="T15" s="460"/>
      <c r="U15" s="182">
        <v>19</v>
      </c>
      <c r="V15" s="180">
        <v>1193.3333333333323</v>
      </c>
      <c r="W15" s="180">
        <v>62.807017543859594</v>
      </c>
      <c r="X15" s="182">
        <f t="shared" si="9"/>
        <v>10</v>
      </c>
      <c r="Y15" s="460"/>
      <c r="Z15" s="182">
        <v>19</v>
      </c>
      <c r="AA15" s="180">
        <v>1213.4999999999995</v>
      </c>
      <c r="AB15" s="180">
        <v>63.868421052631554</v>
      </c>
      <c r="AC15" s="182">
        <f t="shared" si="10"/>
        <v>9</v>
      </c>
      <c r="AD15" s="460"/>
      <c r="AE15" s="182">
        <v>19</v>
      </c>
      <c r="AF15" s="180">
        <v>1190.6249999999984</v>
      </c>
      <c r="AG15" s="180">
        <v>62.664473684210442</v>
      </c>
      <c r="AH15" s="182">
        <f t="shared" si="11"/>
        <v>9</v>
      </c>
      <c r="AI15" s="460"/>
      <c r="AJ15" s="182">
        <v>19</v>
      </c>
      <c r="AK15" s="180">
        <v>1217.8378378378368</v>
      </c>
      <c r="AL15" s="180">
        <v>64.096728307254565</v>
      </c>
      <c r="AM15" s="182">
        <f t="shared" si="12"/>
        <v>9</v>
      </c>
      <c r="AN15" s="460"/>
      <c r="AO15" s="182">
        <v>19</v>
      </c>
      <c r="AP15" s="180">
        <v>1225.1162790697672</v>
      </c>
      <c r="AQ15" s="180">
        <v>64.47980416156669</v>
      </c>
      <c r="AR15" s="182">
        <f t="shared" si="13"/>
        <v>9</v>
      </c>
      <c r="AS15" s="460"/>
      <c r="AT15" s="182">
        <v>20</v>
      </c>
      <c r="AU15" s="180">
        <v>1226.3414634146336</v>
      </c>
      <c r="AV15" s="180">
        <v>61.317073170731682</v>
      </c>
      <c r="AW15" s="182">
        <f t="shared" si="14"/>
        <v>11</v>
      </c>
      <c r="AX15" s="491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 t="s">
        <v>318</v>
      </c>
      <c r="E16" s="166">
        <v>16</v>
      </c>
      <c r="F16" s="182">
        <v>1440</v>
      </c>
      <c r="G16" s="180">
        <v>90</v>
      </c>
      <c r="H16" s="460"/>
      <c r="I16" s="166">
        <f t="shared" si="5"/>
        <v>15.857142857142858</v>
      </c>
      <c r="J16" s="166">
        <f t="shared" si="6"/>
        <v>1280.0617166050567</v>
      </c>
      <c r="K16" s="180">
        <f t="shared" si="7"/>
        <v>80.774349091094749</v>
      </c>
      <c r="L16" s="460"/>
      <c r="M16" s="181">
        <f>RANK(K16, K$7:$K$21)</f>
        <v>1</v>
      </c>
      <c r="N16" s="462"/>
      <c r="O16" s="462"/>
      <c r="P16" s="182">
        <v>16</v>
      </c>
      <c r="Q16" s="180">
        <v>1299.9999999999995</v>
      </c>
      <c r="R16" s="180">
        <v>81.249999999999972</v>
      </c>
      <c r="S16" s="182">
        <f t="shared" si="8"/>
        <v>2</v>
      </c>
      <c r="T16" s="460"/>
      <c r="U16" s="182">
        <v>16</v>
      </c>
      <c r="V16" s="180">
        <v>1255.045871559634</v>
      </c>
      <c r="W16" s="180">
        <v>78.440366972477122</v>
      </c>
      <c r="X16" s="182">
        <f t="shared" si="9"/>
        <v>1</v>
      </c>
      <c r="Y16" s="460"/>
      <c r="Z16" s="182">
        <v>16</v>
      </c>
      <c r="AA16" s="180">
        <v>1270.0884955752203</v>
      </c>
      <c r="AB16" s="180">
        <v>79.380530973451272</v>
      </c>
      <c r="AC16" s="182">
        <f t="shared" si="10"/>
        <v>1</v>
      </c>
      <c r="AD16" s="460"/>
      <c r="AE16" s="182">
        <v>16</v>
      </c>
      <c r="AF16" s="180">
        <v>1290.7142857142853</v>
      </c>
      <c r="AG16" s="180">
        <v>80.669642857142833</v>
      </c>
      <c r="AH16" s="182">
        <f t="shared" si="11"/>
        <v>1</v>
      </c>
      <c r="AI16" s="460"/>
      <c r="AJ16" s="182">
        <v>16</v>
      </c>
      <c r="AK16" s="180">
        <v>1299.4594594594585</v>
      </c>
      <c r="AL16" s="180">
        <v>81.216216216216154</v>
      </c>
      <c r="AM16" s="182">
        <f t="shared" si="12"/>
        <v>1</v>
      </c>
      <c r="AN16" s="460"/>
      <c r="AO16" s="182">
        <v>16</v>
      </c>
      <c r="AP16" s="180">
        <v>1250.6976744186045</v>
      </c>
      <c r="AQ16" s="180">
        <v>78.168604651162781</v>
      </c>
      <c r="AR16" s="182">
        <f t="shared" si="13"/>
        <v>1</v>
      </c>
      <c r="AS16" s="460"/>
      <c r="AT16" s="182">
        <v>15</v>
      </c>
      <c r="AU16" s="180">
        <v>1294.4262295081962</v>
      </c>
      <c r="AV16" s="180">
        <v>86.295081967213079</v>
      </c>
      <c r="AW16" s="182">
        <f t="shared" si="14"/>
        <v>1</v>
      </c>
      <c r="AX16" s="491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 t="s">
        <v>319</v>
      </c>
      <c r="E17" s="166">
        <v>16</v>
      </c>
      <c r="F17" s="182">
        <v>1440</v>
      </c>
      <c r="G17" s="180">
        <v>90</v>
      </c>
      <c r="H17" s="460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>
        <v>17</v>
      </c>
      <c r="Q17" s="180">
        <v>1074.9999999999966</v>
      </c>
      <c r="R17" s="180">
        <v>63.235294117646859</v>
      </c>
      <c r="S17" s="182">
        <f t="shared" si="8"/>
        <v>11</v>
      </c>
      <c r="T17" s="460"/>
      <c r="U17" s="182">
        <v>17</v>
      </c>
      <c r="V17" s="180">
        <v>1071.0000000000036</v>
      </c>
      <c r="W17" s="180">
        <v>63.000000000000213</v>
      </c>
      <c r="X17" s="182">
        <f t="shared" si="9"/>
        <v>9</v>
      </c>
      <c r="Y17" s="460"/>
      <c r="Z17" s="182">
        <v>17</v>
      </c>
      <c r="AA17" s="180">
        <v>1077.3913043478224</v>
      </c>
      <c r="AB17" s="180">
        <v>63.375959079283668</v>
      </c>
      <c r="AC17" s="182">
        <f t="shared" si="10"/>
        <v>11</v>
      </c>
      <c r="AD17" s="460"/>
      <c r="AE17" s="182">
        <v>17</v>
      </c>
      <c r="AF17" s="180">
        <v>1096.0000000000041</v>
      </c>
      <c r="AG17" s="180">
        <v>64.470588235294358</v>
      </c>
      <c r="AH17" s="182">
        <f t="shared" si="11"/>
        <v>7</v>
      </c>
      <c r="AI17" s="460"/>
      <c r="AJ17" s="182">
        <v>17</v>
      </c>
      <c r="AK17" s="180">
        <v>1083.3333333333374</v>
      </c>
      <c r="AL17" s="180">
        <v>63.725490196078667</v>
      </c>
      <c r="AM17" s="182">
        <f t="shared" si="12"/>
        <v>10</v>
      </c>
      <c r="AN17" s="460"/>
      <c r="AO17" s="182">
        <v>17</v>
      </c>
      <c r="AP17" s="180">
        <v>1060.0000000000036</v>
      </c>
      <c r="AQ17" s="180">
        <v>62.3529411764708</v>
      </c>
      <c r="AR17" s="182">
        <f t="shared" si="13"/>
        <v>11</v>
      </c>
      <c r="AS17" s="460"/>
      <c r="AT17" s="182">
        <v>16</v>
      </c>
      <c r="AU17" s="180">
        <v>1064.9999999999966</v>
      </c>
      <c r="AV17" s="180">
        <v>66.562499999999787</v>
      </c>
      <c r="AW17" s="182">
        <f t="shared" si="14"/>
        <v>9</v>
      </c>
      <c r="AX17" s="491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/>
      <c r="F18" s="182"/>
      <c r="G18" s="180"/>
      <c r="H18" s="460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/>
      <c r="Q18" s="180"/>
      <c r="R18" s="180"/>
      <c r="S18" s="182" t="e">
        <f t="shared" si="8"/>
        <v>#N/A</v>
      </c>
      <c r="T18" s="460"/>
      <c r="U18" s="182"/>
      <c r="V18" s="180"/>
      <c r="W18" s="180"/>
      <c r="X18" s="182" t="e">
        <f t="shared" si="9"/>
        <v>#N/A</v>
      </c>
      <c r="Y18" s="460"/>
      <c r="Z18" s="182"/>
      <c r="AA18" s="180"/>
      <c r="AB18" s="180"/>
      <c r="AC18" s="182" t="e">
        <f t="shared" si="10"/>
        <v>#N/A</v>
      </c>
      <c r="AD18" s="460"/>
      <c r="AE18" s="182"/>
      <c r="AF18" s="180"/>
      <c r="AG18" s="180"/>
      <c r="AH18" s="182" t="e">
        <f t="shared" si="11"/>
        <v>#N/A</v>
      </c>
      <c r="AI18" s="460"/>
      <c r="AJ18" s="182"/>
      <c r="AK18" s="180"/>
      <c r="AL18" s="180"/>
      <c r="AM18" s="182" t="e">
        <f t="shared" si="12"/>
        <v>#N/A</v>
      </c>
      <c r="AN18" s="460"/>
      <c r="AO18" s="182"/>
      <c r="AP18" s="180"/>
      <c r="AQ18" s="180"/>
      <c r="AR18" s="182" t="e">
        <f t="shared" si="13"/>
        <v>#N/A</v>
      </c>
      <c r="AS18" s="460"/>
      <c r="AT18" s="182"/>
      <c r="AU18" s="180"/>
      <c r="AV18" s="180"/>
      <c r="AW18" s="182" t="e">
        <f t="shared" si="14"/>
        <v>#N/A</v>
      </c>
      <c r="AX18" s="491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/>
      <c r="F19" s="182"/>
      <c r="G19" s="180"/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/>
      <c r="Q19" s="180"/>
      <c r="R19" s="180"/>
      <c r="S19" s="182" t="e">
        <f t="shared" si="8"/>
        <v>#N/A</v>
      </c>
      <c r="T19" s="460"/>
      <c r="U19" s="182"/>
      <c r="V19" s="180"/>
      <c r="W19" s="180"/>
      <c r="X19" s="182" t="e">
        <f t="shared" si="9"/>
        <v>#N/A</v>
      </c>
      <c r="Y19" s="460"/>
      <c r="Z19" s="182"/>
      <c r="AA19" s="180"/>
      <c r="AB19" s="180"/>
      <c r="AC19" s="182" t="e">
        <f t="shared" si="10"/>
        <v>#N/A</v>
      </c>
      <c r="AD19" s="460"/>
      <c r="AE19" s="182"/>
      <c r="AF19" s="180"/>
      <c r="AG19" s="180"/>
      <c r="AH19" s="182" t="e">
        <f t="shared" si="11"/>
        <v>#N/A</v>
      </c>
      <c r="AI19" s="460"/>
      <c r="AJ19" s="182"/>
      <c r="AK19" s="180"/>
      <c r="AL19" s="180"/>
      <c r="AM19" s="182" t="e">
        <f t="shared" si="12"/>
        <v>#N/A</v>
      </c>
      <c r="AN19" s="460"/>
      <c r="AO19" s="182"/>
      <c r="AP19" s="180"/>
      <c r="AQ19" s="180"/>
      <c r="AR19" s="182" t="e">
        <f t="shared" si="13"/>
        <v>#N/A</v>
      </c>
      <c r="AS19" s="460"/>
      <c r="AT19" s="182"/>
      <c r="AU19" s="180"/>
      <c r="AV19" s="180"/>
      <c r="AW19" s="182" t="e">
        <f t="shared" si="14"/>
        <v>#N/A</v>
      </c>
      <c r="AX19" s="491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/>
      <c r="F20" s="182"/>
      <c r="G20" s="180"/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/>
      <c r="Q20" s="180"/>
      <c r="R20" s="180"/>
      <c r="S20" s="182" t="e">
        <f t="shared" si="8"/>
        <v>#N/A</v>
      </c>
      <c r="T20" s="460"/>
      <c r="U20" s="182"/>
      <c r="V20" s="180"/>
      <c r="W20" s="180"/>
      <c r="X20" s="182" t="e">
        <f t="shared" si="9"/>
        <v>#N/A</v>
      </c>
      <c r="Y20" s="460"/>
      <c r="Z20" s="182"/>
      <c r="AA20" s="180"/>
      <c r="AB20" s="180"/>
      <c r="AC20" s="182" t="e">
        <f t="shared" si="10"/>
        <v>#N/A</v>
      </c>
      <c r="AD20" s="460"/>
      <c r="AE20" s="182"/>
      <c r="AF20" s="180"/>
      <c r="AG20" s="180"/>
      <c r="AH20" s="182" t="e">
        <f t="shared" si="11"/>
        <v>#N/A</v>
      </c>
      <c r="AI20" s="460"/>
      <c r="AJ20" s="182"/>
      <c r="AK20" s="180"/>
      <c r="AL20" s="180"/>
      <c r="AM20" s="182" t="e">
        <f t="shared" si="12"/>
        <v>#N/A</v>
      </c>
      <c r="AN20" s="460"/>
      <c r="AO20" s="182"/>
      <c r="AP20" s="180"/>
      <c r="AQ20" s="180"/>
      <c r="AR20" s="182" t="e">
        <f t="shared" si="13"/>
        <v>#N/A</v>
      </c>
      <c r="AS20" s="460"/>
      <c r="AT20" s="182"/>
      <c r="AU20" s="180"/>
      <c r="AV20" s="180"/>
      <c r="AW20" s="182" t="e">
        <f t="shared" si="14"/>
        <v>#N/A</v>
      </c>
      <c r="AX20" s="491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/>
      <c r="F21" s="182"/>
      <c r="G21" s="180"/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/>
      <c r="Q21" s="180"/>
      <c r="R21" s="180"/>
      <c r="S21" s="182" t="e">
        <f t="shared" si="8"/>
        <v>#N/A</v>
      </c>
      <c r="T21" s="461"/>
      <c r="U21" s="182"/>
      <c r="V21" s="180"/>
      <c r="W21" s="180"/>
      <c r="X21" s="182" t="e">
        <f t="shared" si="9"/>
        <v>#N/A</v>
      </c>
      <c r="Y21" s="461"/>
      <c r="Z21" s="182"/>
      <c r="AA21" s="180"/>
      <c r="AB21" s="180"/>
      <c r="AC21" s="182" t="e">
        <f t="shared" si="10"/>
        <v>#N/A</v>
      </c>
      <c r="AD21" s="461"/>
      <c r="AE21" s="182"/>
      <c r="AF21" s="180"/>
      <c r="AG21" s="180"/>
      <c r="AH21" s="182" t="e">
        <f t="shared" si="11"/>
        <v>#N/A</v>
      </c>
      <c r="AI21" s="461"/>
      <c r="AJ21" s="182"/>
      <c r="AK21" s="180"/>
      <c r="AL21" s="180"/>
      <c r="AM21" s="182" t="e">
        <f t="shared" si="12"/>
        <v>#N/A</v>
      </c>
      <c r="AN21" s="461"/>
      <c r="AO21" s="182"/>
      <c r="AP21" s="180"/>
      <c r="AQ21" s="180"/>
      <c r="AR21" s="182" t="e">
        <f t="shared" si="13"/>
        <v>#N/A</v>
      </c>
      <c r="AS21" s="461"/>
      <c r="AT21" s="182"/>
      <c r="AU21" s="180"/>
      <c r="AV21" s="180"/>
      <c r="AW21" s="182" t="e">
        <f t="shared" si="14"/>
        <v>#N/A</v>
      </c>
      <c r="AX21" s="491"/>
      <c r="AZ21" s="166" t="e">
        <f>RANK(AX21, $K$7:AX$21)</f>
        <v>#N/A</v>
      </c>
      <c r="BB21" s="182" t="e">
        <f t="shared" si="15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187</v>
      </c>
      <c r="C27" s="182">
        <v>1</v>
      </c>
      <c r="D27" s="203" t="s">
        <v>309</v>
      </c>
      <c r="E27" s="166">
        <v>18</v>
      </c>
      <c r="F27" s="182">
        <v>1440</v>
      </c>
      <c r="G27" s="180">
        <v>80</v>
      </c>
      <c r="H27" s="459">
        <f>AVERAGE(G27:G41)</f>
        <v>82.22727272727272</v>
      </c>
      <c r="I27" s="166">
        <f>AVERAGE(P27,U27,Z27,AE27,AJ27,AO27,AT27)</f>
        <v>18</v>
      </c>
      <c r="J27" s="166">
        <f>AVERAGE(Q27,V27,AA27,AF27,AK27,AP27,AU27)</f>
        <v>1269.3433928471034</v>
      </c>
      <c r="K27" s="180">
        <f>AVERAGE(R27,W27,AB27,AG27,AL27,AQ27,AV27)</f>
        <v>70.519077380394634</v>
      </c>
      <c r="L27" s="459">
        <f>IFERROR(AVERAGE(K27:K41),"-")</f>
        <v>68.779949772506171</v>
      </c>
      <c r="M27" s="181">
        <f>RANK(K27, K$27:$K$41)</f>
        <v>5</v>
      </c>
      <c r="N27" s="462"/>
      <c r="O27" s="462"/>
      <c r="P27" s="166">
        <v>18</v>
      </c>
      <c r="Q27" s="180">
        <v>1277.5000000000002</v>
      </c>
      <c r="R27" s="180">
        <v>70.972222222222229</v>
      </c>
      <c r="S27" s="182">
        <f t="shared" ref="S27:S41" si="16">RANK(R27, R$27:R$41)</f>
        <v>4</v>
      </c>
      <c r="T27" s="459">
        <f>AVERAGE(R27:R41)</f>
        <v>68.873680700388363</v>
      </c>
      <c r="U27" s="166">
        <v>18</v>
      </c>
      <c r="V27" s="180">
        <v>1261.2244897959188</v>
      </c>
      <c r="W27" s="180">
        <v>70.068027210884381</v>
      </c>
      <c r="X27" s="182">
        <f t="shared" ref="X27:X41" si="17">RANK(W27, W$27:W$41)</f>
        <v>5</v>
      </c>
      <c r="Y27" s="459">
        <f t="shared" ref="Y27" si="18">AVERAGE(W27:W41)</f>
        <v>69.196555618132123</v>
      </c>
      <c r="Z27" s="166">
        <v>18</v>
      </c>
      <c r="AA27" s="180">
        <v>1271.9999999999998</v>
      </c>
      <c r="AB27" s="180">
        <v>70.666666666666657</v>
      </c>
      <c r="AC27" s="182">
        <f t="shared" ref="AC27:AC41" si="19">RANK(AB27, AB$27:AB$41)</f>
        <v>6</v>
      </c>
      <c r="AD27" s="459">
        <f t="shared" ref="AD27" si="20">AVERAGE(AB27:AB41)</f>
        <v>70.193941646872631</v>
      </c>
      <c r="AE27" s="166">
        <v>18</v>
      </c>
      <c r="AF27" s="180">
        <v>1257.333333333333</v>
      </c>
      <c r="AG27" s="180">
        <v>69.851851851851833</v>
      </c>
      <c r="AH27" s="182">
        <f t="shared" ref="AH27:AH41" si="21">RANK(AG27, AG$27:AG$41)</f>
        <v>4</v>
      </c>
      <c r="AI27" s="459">
        <f t="shared" ref="AI27" si="22">AVERAGE(AG27:AG41)</f>
        <v>67.378748903675515</v>
      </c>
      <c r="AJ27" s="166">
        <v>18</v>
      </c>
      <c r="AK27" s="180">
        <v>1258.2857142857138</v>
      </c>
      <c r="AL27" s="180">
        <v>69.90476190476187</v>
      </c>
      <c r="AM27" s="182">
        <f t="shared" ref="AM27:AM41" si="23">RANK(AL27, AL$27:AL$41)</f>
        <v>4</v>
      </c>
      <c r="AN27" s="459">
        <f t="shared" ref="AN27" si="24">AVERAGE(AL27:AL41)</f>
        <v>67.579523925000245</v>
      </c>
      <c r="AO27" s="166">
        <v>18</v>
      </c>
      <c r="AP27" s="180">
        <v>1269.9173553719004</v>
      </c>
      <c r="AQ27" s="180">
        <v>70.550964187327793</v>
      </c>
      <c r="AR27" s="182">
        <f t="shared" ref="AR27:AR41" si="25">RANK(AQ27, AQ$27:AQ$41)</f>
        <v>5</v>
      </c>
      <c r="AS27" s="459">
        <f t="shared" ref="AS27" si="26">AVERAGE(AQ27:AQ41)</f>
        <v>69.095180466297194</v>
      </c>
      <c r="AT27" s="166">
        <v>18</v>
      </c>
      <c r="AU27" s="180">
        <v>1289.1428571428576</v>
      </c>
      <c r="AV27" s="180">
        <v>71.619047619047649</v>
      </c>
      <c r="AW27" s="182">
        <f t="shared" ref="AW27:AW41" si="27">RANK(AV27, AV$27:AV$41)</f>
        <v>5</v>
      </c>
      <c r="AX27" s="491">
        <f t="shared" ref="AX27" si="28">AVERAGE(AV27:AV41)</f>
        <v>69.142017147177228</v>
      </c>
    </row>
    <row r="28" spans="2:54">
      <c r="B28" s="479"/>
      <c r="C28" s="182">
        <v>2</v>
      </c>
      <c r="D28" s="203" t="s">
        <v>310</v>
      </c>
      <c r="E28" s="166">
        <v>19</v>
      </c>
      <c r="F28" s="182">
        <v>1440</v>
      </c>
      <c r="G28" s="180">
        <v>75.8</v>
      </c>
      <c r="H28" s="460"/>
      <c r="I28" s="166">
        <f t="shared" ref="I28:I33" si="29">AVERAGE(P28,U28,Z28,AE28,AJ28,AO28,AT28)</f>
        <v>18</v>
      </c>
      <c r="J28" s="166">
        <f t="shared" ref="J28:J33" si="30">AVERAGE(Q28,V28,AA28,AF28,AK28,AP28,AU28)</f>
        <v>1211.4282092147187</v>
      </c>
      <c r="K28" s="180">
        <f t="shared" ref="K28:K33" si="31">AVERAGE(R28,W28,AB28,AG28,AL28,AQ28,AV28)</f>
        <v>67.301567178595477</v>
      </c>
      <c r="L28" s="460"/>
      <c r="M28" s="181">
        <f>RANK(K28, K$27:$K$41)</f>
        <v>6</v>
      </c>
      <c r="N28" s="462"/>
      <c r="O28" s="462"/>
      <c r="P28" s="182">
        <v>18</v>
      </c>
      <c r="Q28" s="180">
        <v>1231.7647058823513</v>
      </c>
      <c r="R28" s="180">
        <v>68.431372549019514</v>
      </c>
      <c r="S28" s="182">
        <f t="shared" si="16"/>
        <v>6</v>
      </c>
      <c r="T28" s="460"/>
      <c r="U28" s="182">
        <v>18</v>
      </c>
      <c r="V28" s="180">
        <v>1276.8749999999982</v>
      </c>
      <c r="W28" s="180">
        <v>70.937499999999901</v>
      </c>
      <c r="X28" s="182">
        <f t="shared" si="17"/>
        <v>4</v>
      </c>
      <c r="Y28" s="460"/>
      <c r="Z28" s="182">
        <v>18</v>
      </c>
      <c r="AA28" s="180">
        <v>1259.9999999999982</v>
      </c>
      <c r="AB28" s="180">
        <v>69.999999999999901</v>
      </c>
      <c r="AC28" s="182">
        <f t="shared" si="19"/>
        <v>7</v>
      </c>
      <c r="AD28" s="460"/>
      <c r="AE28" s="182">
        <v>18</v>
      </c>
      <c r="AF28" s="180">
        <v>1094.4827586206875</v>
      </c>
      <c r="AG28" s="180">
        <v>60.804597701149305</v>
      </c>
      <c r="AH28" s="182">
        <f t="shared" si="21"/>
        <v>10</v>
      </c>
      <c r="AI28" s="460"/>
      <c r="AJ28" s="182">
        <v>18</v>
      </c>
      <c r="AK28" s="180">
        <v>1081.8749999999984</v>
      </c>
      <c r="AL28" s="180">
        <v>60.104166666666579</v>
      </c>
      <c r="AM28" s="182">
        <f t="shared" si="23"/>
        <v>11</v>
      </c>
      <c r="AN28" s="460"/>
      <c r="AO28" s="182">
        <v>18</v>
      </c>
      <c r="AP28" s="180">
        <v>1265.6249999999982</v>
      </c>
      <c r="AQ28" s="180">
        <v>70.312499999999901</v>
      </c>
      <c r="AR28" s="182">
        <f t="shared" si="25"/>
        <v>6</v>
      </c>
      <c r="AS28" s="460"/>
      <c r="AT28" s="182">
        <v>18</v>
      </c>
      <c r="AU28" s="180">
        <v>1269.3749999999982</v>
      </c>
      <c r="AV28" s="180">
        <v>70.520833333333229</v>
      </c>
      <c r="AW28" s="182">
        <f t="shared" si="27"/>
        <v>6</v>
      </c>
      <c r="AX28" s="491"/>
    </row>
    <row r="29" spans="2:54">
      <c r="B29" s="479"/>
      <c r="C29" s="182">
        <v>3</v>
      </c>
      <c r="D29" s="203" t="s">
        <v>311</v>
      </c>
      <c r="E29" s="166">
        <v>17</v>
      </c>
      <c r="F29" s="182">
        <v>1636</v>
      </c>
      <c r="G29" s="180">
        <v>96.3</v>
      </c>
      <c r="H29" s="460"/>
      <c r="I29" s="166">
        <f t="shared" si="29"/>
        <v>18</v>
      </c>
      <c r="J29" s="166">
        <f t="shared" si="30"/>
        <v>1320.4428172812393</v>
      </c>
      <c r="K29" s="180">
        <f t="shared" si="31"/>
        <v>73.357934293402195</v>
      </c>
      <c r="L29" s="460"/>
      <c r="M29" s="181">
        <f>RANK(K29, K$27:$K$41)</f>
        <v>3</v>
      </c>
      <c r="N29" s="462"/>
      <c r="O29" s="462"/>
      <c r="P29" s="182">
        <v>18</v>
      </c>
      <c r="Q29" s="180">
        <v>1442.3076923076931</v>
      </c>
      <c r="R29" s="180">
        <v>80.128205128205167</v>
      </c>
      <c r="S29" s="182">
        <f t="shared" si="16"/>
        <v>1</v>
      </c>
      <c r="T29" s="460"/>
      <c r="U29" s="182">
        <v>18</v>
      </c>
      <c r="V29" s="180">
        <v>1237.2413793103458</v>
      </c>
      <c r="W29" s="180">
        <v>68.735632183908095</v>
      </c>
      <c r="X29" s="182">
        <f t="shared" si="17"/>
        <v>7</v>
      </c>
      <c r="Y29" s="460"/>
      <c r="Z29" s="182">
        <v>18</v>
      </c>
      <c r="AA29" s="180">
        <v>1424.4444444444409</v>
      </c>
      <c r="AB29" s="180">
        <v>79.135802469135612</v>
      </c>
      <c r="AC29" s="182">
        <f t="shared" si="19"/>
        <v>2</v>
      </c>
      <c r="AD29" s="460"/>
      <c r="AE29" s="182">
        <v>18</v>
      </c>
      <c r="AF29" s="180">
        <v>1213.6363636363635</v>
      </c>
      <c r="AG29" s="180">
        <v>67.424242424242422</v>
      </c>
      <c r="AH29" s="182">
        <f t="shared" si="21"/>
        <v>5</v>
      </c>
      <c r="AI29" s="460"/>
      <c r="AJ29" s="182">
        <v>18</v>
      </c>
      <c r="AK29" s="180">
        <v>1219.1999999999966</v>
      </c>
      <c r="AL29" s="180">
        <v>67.73333333333315</v>
      </c>
      <c r="AM29" s="182">
        <f t="shared" si="23"/>
        <v>6</v>
      </c>
      <c r="AN29" s="460"/>
      <c r="AO29" s="182">
        <v>18</v>
      </c>
      <c r="AP29" s="180">
        <v>1270.7142857142831</v>
      </c>
      <c r="AQ29" s="180">
        <v>70.595238095237946</v>
      </c>
      <c r="AR29" s="182">
        <f t="shared" si="25"/>
        <v>4</v>
      </c>
      <c r="AS29" s="460"/>
      <c r="AT29" s="182">
        <v>18</v>
      </c>
      <c r="AU29" s="180">
        <v>1435.5555555555522</v>
      </c>
      <c r="AV29" s="180">
        <v>79.753086419752904</v>
      </c>
      <c r="AW29" s="182">
        <f t="shared" si="27"/>
        <v>1</v>
      </c>
      <c r="AX29" s="491"/>
    </row>
    <row r="30" spans="2:54">
      <c r="B30" s="479"/>
      <c r="C30" s="182">
        <v>4</v>
      </c>
      <c r="D30" s="203" t="s">
        <v>312</v>
      </c>
      <c r="E30" s="166">
        <v>17</v>
      </c>
      <c r="F30" s="182">
        <v>1440</v>
      </c>
      <c r="G30" s="180">
        <v>84.7</v>
      </c>
      <c r="H30" s="460"/>
      <c r="I30" s="166">
        <f t="shared" si="29"/>
        <v>17</v>
      </c>
      <c r="J30" s="166">
        <f t="shared" si="30"/>
        <v>1275.1287341853658</v>
      </c>
      <c r="K30" s="180">
        <f t="shared" si="31"/>
        <v>75.007572599139166</v>
      </c>
      <c r="L30" s="460"/>
      <c r="M30" s="181">
        <f>RANK(K30, K$27:$K$41)</f>
        <v>2</v>
      </c>
      <c r="N30" s="462"/>
      <c r="O30" s="462"/>
      <c r="P30" s="182">
        <v>17</v>
      </c>
      <c r="Q30" s="180">
        <v>1293.6106194690267</v>
      </c>
      <c r="R30" s="180">
        <v>76.094742321707457</v>
      </c>
      <c r="S30" s="182">
        <f t="shared" si="16"/>
        <v>2</v>
      </c>
      <c r="T30" s="460"/>
      <c r="U30" s="182">
        <v>17</v>
      </c>
      <c r="V30" s="180">
        <v>1296.4954128440365</v>
      </c>
      <c r="W30" s="180">
        <v>76.264436049649206</v>
      </c>
      <c r="X30" s="182">
        <f t="shared" si="17"/>
        <v>2</v>
      </c>
      <c r="Y30" s="460"/>
      <c r="Z30" s="182">
        <v>17</v>
      </c>
      <c r="AA30" s="180">
        <v>1251.0280373831774</v>
      </c>
      <c r="AB30" s="180">
        <v>73.589884551951613</v>
      </c>
      <c r="AC30" s="182">
        <f t="shared" si="19"/>
        <v>3</v>
      </c>
      <c r="AD30" s="460"/>
      <c r="AE30" s="182">
        <v>17</v>
      </c>
      <c r="AF30" s="180">
        <v>1306.0194174757289</v>
      </c>
      <c r="AG30" s="180">
        <v>76.824671616219348</v>
      </c>
      <c r="AH30" s="182">
        <f t="shared" si="21"/>
        <v>2</v>
      </c>
      <c r="AI30" s="460"/>
      <c r="AJ30" s="182">
        <v>17</v>
      </c>
      <c r="AK30" s="180">
        <v>1249.8305084745764</v>
      </c>
      <c r="AL30" s="180">
        <v>73.519441674975084</v>
      </c>
      <c r="AM30" s="182">
        <f t="shared" si="23"/>
        <v>2</v>
      </c>
      <c r="AN30" s="460"/>
      <c r="AO30" s="182">
        <v>17</v>
      </c>
      <c r="AP30" s="180">
        <v>1258.5442622950823</v>
      </c>
      <c r="AQ30" s="180">
        <v>74.032015429122481</v>
      </c>
      <c r="AR30" s="182">
        <f t="shared" si="25"/>
        <v>2</v>
      </c>
      <c r="AS30" s="460"/>
      <c r="AT30" s="182">
        <v>17</v>
      </c>
      <c r="AU30" s="180">
        <v>1270.3728813559326</v>
      </c>
      <c r="AV30" s="180">
        <v>74.727816550348976</v>
      </c>
      <c r="AW30" s="182">
        <f t="shared" si="27"/>
        <v>3</v>
      </c>
      <c r="AX30" s="491"/>
    </row>
    <row r="31" spans="2:54">
      <c r="B31" s="479"/>
      <c r="C31" s="182">
        <v>5</v>
      </c>
      <c r="D31" s="203" t="s">
        <v>313</v>
      </c>
      <c r="E31" s="166">
        <v>17</v>
      </c>
      <c r="F31" s="182">
        <v>1440</v>
      </c>
      <c r="G31" s="180">
        <v>84.7</v>
      </c>
      <c r="H31" s="460"/>
      <c r="I31" s="166">
        <f t="shared" si="29"/>
        <v>18.285714285714285</v>
      </c>
      <c r="J31" s="166">
        <f t="shared" si="30"/>
        <v>1170.4816519687215</v>
      </c>
      <c r="K31" s="180">
        <f t="shared" si="31"/>
        <v>64.044876654903902</v>
      </c>
      <c r="L31" s="460"/>
      <c r="M31" s="181">
        <f>RANK(K31, K$27:$K$41)</f>
        <v>9</v>
      </c>
      <c r="N31" s="462"/>
      <c r="O31" s="462"/>
      <c r="P31" s="182">
        <v>18</v>
      </c>
      <c r="Q31" s="180">
        <v>1081.8181818181829</v>
      </c>
      <c r="R31" s="180">
        <v>60.101010101010161</v>
      </c>
      <c r="S31" s="182">
        <f t="shared" si="16"/>
        <v>11</v>
      </c>
      <c r="T31" s="460"/>
      <c r="U31" s="182">
        <v>18</v>
      </c>
      <c r="V31" s="180">
        <v>1260.0000000000011</v>
      </c>
      <c r="W31" s="180">
        <v>70.000000000000057</v>
      </c>
      <c r="X31" s="182">
        <f t="shared" si="17"/>
        <v>6</v>
      </c>
      <c r="Y31" s="460"/>
      <c r="Z31" s="182">
        <v>18</v>
      </c>
      <c r="AA31" s="180">
        <v>1278.6206896551735</v>
      </c>
      <c r="AB31" s="180">
        <v>71.034482758620754</v>
      </c>
      <c r="AC31" s="182">
        <f t="shared" si="19"/>
        <v>5</v>
      </c>
      <c r="AD31" s="460"/>
      <c r="AE31" s="182">
        <v>18</v>
      </c>
      <c r="AF31" s="180">
        <v>1082.3076923076928</v>
      </c>
      <c r="AG31" s="180">
        <v>60.12820512820516</v>
      </c>
      <c r="AH31" s="182">
        <f t="shared" si="21"/>
        <v>11</v>
      </c>
      <c r="AI31" s="460"/>
      <c r="AJ31" s="182">
        <v>18</v>
      </c>
      <c r="AK31" s="180">
        <v>1139.999999999998</v>
      </c>
      <c r="AL31" s="180">
        <v>63.333333333333222</v>
      </c>
      <c r="AM31" s="182">
        <f t="shared" si="23"/>
        <v>8</v>
      </c>
      <c r="AN31" s="460"/>
      <c r="AO31" s="182">
        <v>19</v>
      </c>
      <c r="AP31" s="180">
        <v>1250.0000000000011</v>
      </c>
      <c r="AQ31" s="180">
        <v>65.789473684210591</v>
      </c>
      <c r="AR31" s="182">
        <f t="shared" si="25"/>
        <v>8</v>
      </c>
      <c r="AS31" s="460"/>
      <c r="AT31" s="182">
        <v>19</v>
      </c>
      <c r="AU31" s="180">
        <v>1100.6250000000014</v>
      </c>
      <c r="AV31" s="180">
        <v>57.927631578947441</v>
      </c>
      <c r="AW31" s="182">
        <f t="shared" si="27"/>
        <v>11</v>
      </c>
      <c r="AX31" s="491"/>
    </row>
    <row r="32" spans="2:54">
      <c r="B32" s="479"/>
      <c r="C32" s="182">
        <v>6</v>
      </c>
      <c r="D32" s="203" t="s">
        <v>314</v>
      </c>
      <c r="E32" s="166">
        <v>19</v>
      </c>
      <c r="F32" s="182">
        <v>1385</v>
      </c>
      <c r="G32" s="180">
        <v>72.900000000000006</v>
      </c>
      <c r="H32" s="460"/>
      <c r="I32" s="166">
        <f t="shared" si="29"/>
        <v>19</v>
      </c>
      <c r="J32" s="166">
        <f t="shared" si="30"/>
        <v>1218.3092653893329</v>
      </c>
      <c r="K32" s="180">
        <f t="shared" si="31"/>
        <v>64.121540283649082</v>
      </c>
      <c r="L32" s="460"/>
      <c r="M32" s="181">
        <f>RANK(K32, K$27:$K$41)</f>
        <v>8</v>
      </c>
      <c r="N32" s="462"/>
      <c r="O32" s="462"/>
      <c r="P32" s="182">
        <v>19</v>
      </c>
      <c r="Q32" s="180">
        <v>1236.6315789473688</v>
      </c>
      <c r="R32" s="180">
        <v>65.085872576177309</v>
      </c>
      <c r="S32" s="182">
        <f t="shared" si="16"/>
        <v>8</v>
      </c>
      <c r="T32" s="460"/>
      <c r="U32" s="182">
        <v>19</v>
      </c>
      <c r="V32" s="180">
        <v>1228.3333333333339</v>
      </c>
      <c r="W32" s="180">
        <v>64.649122807017577</v>
      </c>
      <c r="X32" s="182">
        <f t="shared" si="17"/>
        <v>9</v>
      </c>
      <c r="Y32" s="460"/>
      <c r="Z32" s="182">
        <v>19</v>
      </c>
      <c r="AA32" s="180">
        <v>1210.2127659574471</v>
      </c>
      <c r="AB32" s="180">
        <v>63.695408734602481</v>
      </c>
      <c r="AC32" s="182">
        <f t="shared" si="19"/>
        <v>9</v>
      </c>
      <c r="AD32" s="460"/>
      <c r="AE32" s="182">
        <v>19</v>
      </c>
      <c r="AF32" s="180">
        <v>1205.3333333333333</v>
      </c>
      <c r="AG32" s="180">
        <v>63.438596491228068</v>
      </c>
      <c r="AH32" s="182">
        <f t="shared" si="21"/>
        <v>7</v>
      </c>
      <c r="AI32" s="460"/>
      <c r="AJ32" s="182">
        <v>19</v>
      </c>
      <c r="AK32" s="180">
        <v>1207.3333333333335</v>
      </c>
      <c r="AL32" s="180">
        <v>63.543859649122815</v>
      </c>
      <c r="AM32" s="182">
        <f t="shared" si="23"/>
        <v>7</v>
      </c>
      <c r="AN32" s="460"/>
      <c r="AO32" s="182">
        <v>19</v>
      </c>
      <c r="AP32" s="180">
        <v>1223.5897435897432</v>
      </c>
      <c r="AQ32" s="180">
        <v>64.399460188933858</v>
      </c>
      <c r="AR32" s="182">
        <f t="shared" si="25"/>
        <v>9</v>
      </c>
      <c r="AS32" s="460"/>
      <c r="AT32" s="182">
        <v>19</v>
      </c>
      <c r="AU32" s="180">
        <v>1216.7307692307697</v>
      </c>
      <c r="AV32" s="180">
        <v>64.038461538461561</v>
      </c>
      <c r="AW32" s="182">
        <f t="shared" si="27"/>
        <v>8</v>
      </c>
      <c r="AX32" s="491"/>
    </row>
    <row r="33" spans="2:50">
      <c r="B33" s="479"/>
      <c r="C33" s="182">
        <v>7</v>
      </c>
      <c r="D33" s="203" t="s">
        <v>315</v>
      </c>
      <c r="E33" s="166">
        <v>19</v>
      </c>
      <c r="F33" s="182">
        <v>1440</v>
      </c>
      <c r="G33" s="180">
        <v>75.8</v>
      </c>
      <c r="H33" s="460"/>
      <c r="I33" s="166">
        <f t="shared" si="29"/>
        <v>19</v>
      </c>
      <c r="J33" s="166">
        <f t="shared" si="30"/>
        <v>1274.1858196168541</v>
      </c>
      <c r="K33" s="180">
        <f t="shared" si="31"/>
        <v>67.06241155878179</v>
      </c>
      <c r="L33" s="460"/>
      <c r="M33" s="181">
        <f>RANK(K33, K$27:$K$41)</f>
        <v>7</v>
      </c>
      <c r="N33" s="462"/>
      <c r="O33" s="462"/>
      <c r="P33" s="182">
        <v>19</v>
      </c>
      <c r="Q33" s="180">
        <v>1276.3636363636376</v>
      </c>
      <c r="R33" s="180">
        <v>67.177033492823028</v>
      </c>
      <c r="S33" s="182">
        <f t="shared" si="16"/>
        <v>7</v>
      </c>
      <c r="T33" s="460"/>
      <c r="U33" s="182">
        <v>19</v>
      </c>
      <c r="V33" s="180">
        <v>1248.3333333333323</v>
      </c>
      <c r="W33" s="180">
        <v>65.701754385964861</v>
      </c>
      <c r="X33" s="182">
        <f t="shared" si="17"/>
        <v>8</v>
      </c>
      <c r="Y33" s="460"/>
      <c r="Z33" s="182">
        <v>19</v>
      </c>
      <c r="AA33" s="180">
        <v>1279.2307692307686</v>
      </c>
      <c r="AB33" s="180">
        <v>67.327935222672025</v>
      </c>
      <c r="AC33" s="182">
        <f t="shared" si="19"/>
        <v>8</v>
      </c>
      <c r="AD33" s="460"/>
      <c r="AE33" s="182">
        <v>19</v>
      </c>
      <c r="AF33" s="180">
        <v>1262.0689655172423</v>
      </c>
      <c r="AG33" s="180">
        <v>66.424682395644325</v>
      </c>
      <c r="AH33" s="182">
        <f t="shared" si="21"/>
        <v>6</v>
      </c>
      <c r="AI33" s="460"/>
      <c r="AJ33" s="182">
        <v>19</v>
      </c>
      <c r="AK33" s="180">
        <v>1297.2413793103458</v>
      </c>
      <c r="AL33" s="180">
        <v>68.275862068965566</v>
      </c>
      <c r="AM33" s="182">
        <f t="shared" si="23"/>
        <v>5</v>
      </c>
      <c r="AN33" s="460"/>
      <c r="AO33" s="182">
        <v>19</v>
      </c>
      <c r="AP33" s="180">
        <v>1287.9545454545455</v>
      </c>
      <c r="AQ33" s="180">
        <v>67.787081339712927</v>
      </c>
      <c r="AR33" s="182">
        <f t="shared" si="25"/>
        <v>7</v>
      </c>
      <c r="AS33" s="460"/>
      <c r="AT33" s="182">
        <v>19</v>
      </c>
      <c r="AU33" s="180">
        <v>1268.1081081081072</v>
      </c>
      <c r="AV33" s="180">
        <v>66.742532005689853</v>
      </c>
      <c r="AW33" s="182">
        <f t="shared" si="27"/>
        <v>7</v>
      </c>
      <c r="AX33" s="491"/>
    </row>
    <row r="34" spans="2:50">
      <c r="B34" s="479"/>
      <c r="C34" s="182">
        <v>8</v>
      </c>
      <c r="D34" s="203" t="s">
        <v>316</v>
      </c>
      <c r="E34" s="166">
        <v>17</v>
      </c>
      <c r="F34" s="182">
        <v>1385</v>
      </c>
      <c r="G34" s="180">
        <v>81.400000000000006</v>
      </c>
      <c r="H34" s="460"/>
      <c r="I34" s="166">
        <f t="shared" ref="I34:I37" si="32">AVERAGE(P34,U34,Z34,AE34,AJ34,AO34,AT34)</f>
        <v>17</v>
      </c>
      <c r="J34" s="166">
        <f t="shared" ref="J34:J37" si="33">AVERAGE(Q34,V34,AA34,AF34,AK34,AP34,AU34)</f>
        <v>1223.3196167801823</v>
      </c>
      <c r="K34" s="180">
        <f t="shared" ref="K34:K37" si="34">AVERAGE(R34,W34,AB34,AG34,AL34,AQ34,AV34)</f>
        <v>71.959977457657786</v>
      </c>
      <c r="L34" s="460"/>
      <c r="M34" s="181">
        <f>RANK(K34, K$27:$K$41)</f>
        <v>4</v>
      </c>
      <c r="N34" s="462"/>
      <c r="O34" s="462"/>
      <c r="P34" s="182">
        <v>17</v>
      </c>
      <c r="Q34" s="180">
        <v>1204.799999999999</v>
      </c>
      <c r="R34" s="180">
        <v>70.870588235294065</v>
      </c>
      <c r="S34" s="182">
        <f t="shared" si="16"/>
        <v>5</v>
      </c>
      <c r="T34" s="460"/>
      <c r="U34" s="182">
        <v>17</v>
      </c>
      <c r="V34" s="180">
        <v>1228.421052631578</v>
      </c>
      <c r="W34" s="180">
        <v>72.260061919504594</v>
      </c>
      <c r="X34" s="182">
        <f t="shared" si="17"/>
        <v>3</v>
      </c>
      <c r="Y34" s="460"/>
      <c r="Z34" s="182">
        <v>17</v>
      </c>
      <c r="AA34" s="180">
        <v>1219.9999999999995</v>
      </c>
      <c r="AB34" s="180">
        <v>71.764705882352914</v>
      </c>
      <c r="AC34" s="182">
        <f t="shared" si="19"/>
        <v>4</v>
      </c>
      <c r="AD34" s="460"/>
      <c r="AE34" s="182">
        <v>17</v>
      </c>
      <c r="AF34" s="180">
        <v>1246.6666666666679</v>
      </c>
      <c r="AG34" s="180">
        <v>73.3333333333334</v>
      </c>
      <c r="AH34" s="182">
        <f t="shared" si="21"/>
        <v>3</v>
      </c>
      <c r="AI34" s="460"/>
      <c r="AJ34" s="182">
        <v>17</v>
      </c>
      <c r="AK34" s="180">
        <v>1222.3880597014941</v>
      </c>
      <c r="AL34" s="180">
        <v>71.905179982440828</v>
      </c>
      <c r="AM34" s="182">
        <f t="shared" si="23"/>
        <v>3</v>
      </c>
      <c r="AN34" s="460"/>
      <c r="AO34" s="182">
        <v>17</v>
      </c>
      <c r="AP34" s="180">
        <v>1222.5000000000005</v>
      </c>
      <c r="AQ34" s="180">
        <v>71.911764705882376</v>
      </c>
      <c r="AR34" s="182">
        <f t="shared" si="25"/>
        <v>3</v>
      </c>
      <c r="AS34" s="460"/>
      <c r="AT34" s="182">
        <v>17</v>
      </c>
      <c r="AU34" s="180">
        <v>1218.4615384615377</v>
      </c>
      <c r="AV34" s="180">
        <v>71.674208144796339</v>
      </c>
      <c r="AW34" s="182">
        <f t="shared" si="27"/>
        <v>4</v>
      </c>
      <c r="AX34" s="491"/>
    </row>
    <row r="35" spans="2:50">
      <c r="B35" s="479"/>
      <c r="C35" s="182">
        <v>9</v>
      </c>
      <c r="D35" s="203" t="s">
        <v>317</v>
      </c>
      <c r="E35" s="166">
        <v>19</v>
      </c>
      <c r="F35" s="182">
        <v>1385</v>
      </c>
      <c r="G35" s="180">
        <v>72.900000000000006</v>
      </c>
      <c r="H35" s="460"/>
      <c r="I35" s="166">
        <f t="shared" si="32"/>
        <v>20</v>
      </c>
      <c r="J35" s="166">
        <f t="shared" si="33"/>
        <v>1225.878210059394</v>
      </c>
      <c r="K35" s="180">
        <f t="shared" si="34"/>
        <v>61.293910502969702</v>
      </c>
      <c r="L35" s="460"/>
      <c r="M35" s="181">
        <f>RANK(K35, K$27:$K$41)</f>
        <v>11</v>
      </c>
      <c r="N35" s="462"/>
      <c r="O35" s="462"/>
      <c r="P35" s="182">
        <v>20</v>
      </c>
      <c r="Q35" s="180">
        <v>1227.8048780487802</v>
      </c>
      <c r="R35" s="180">
        <v>61.390243902439011</v>
      </c>
      <c r="S35" s="182">
        <f t="shared" si="16"/>
        <v>10</v>
      </c>
      <c r="T35" s="460"/>
      <c r="U35" s="182">
        <v>20</v>
      </c>
      <c r="V35" s="180">
        <v>1218.5714285714282</v>
      </c>
      <c r="W35" s="180">
        <v>60.928571428571409</v>
      </c>
      <c r="X35" s="182">
        <f t="shared" si="17"/>
        <v>11</v>
      </c>
      <c r="Y35" s="460"/>
      <c r="Z35" s="182">
        <v>20</v>
      </c>
      <c r="AA35" s="180">
        <v>1208.7804878048776</v>
      </c>
      <c r="AB35" s="180">
        <v>60.43902439024388</v>
      </c>
      <c r="AC35" s="182">
        <f t="shared" si="19"/>
        <v>11</v>
      </c>
      <c r="AD35" s="460"/>
      <c r="AE35" s="182">
        <v>20</v>
      </c>
      <c r="AF35" s="180">
        <v>1227.2727272727257</v>
      </c>
      <c r="AG35" s="180">
        <v>61.363636363636282</v>
      </c>
      <c r="AH35" s="182">
        <f t="shared" si="21"/>
        <v>9</v>
      </c>
      <c r="AI35" s="460"/>
      <c r="AJ35" s="182">
        <v>20</v>
      </c>
      <c r="AK35" s="180">
        <v>1233.3333333333323</v>
      </c>
      <c r="AL35" s="180">
        <v>61.666666666666615</v>
      </c>
      <c r="AM35" s="182">
        <f t="shared" si="23"/>
        <v>10</v>
      </c>
      <c r="AN35" s="460"/>
      <c r="AO35" s="182">
        <v>20</v>
      </c>
      <c r="AP35" s="180">
        <v>1235.3846153846146</v>
      </c>
      <c r="AQ35" s="180">
        <v>61.769230769230731</v>
      </c>
      <c r="AR35" s="182">
        <f t="shared" si="25"/>
        <v>11</v>
      </c>
      <c r="AS35" s="460"/>
      <c r="AT35" s="182">
        <v>20</v>
      </c>
      <c r="AU35" s="180">
        <v>1229.9999999999995</v>
      </c>
      <c r="AV35" s="180">
        <v>61.499999999999979</v>
      </c>
      <c r="AW35" s="182">
        <f t="shared" si="27"/>
        <v>10</v>
      </c>
      <c r="AX35" s="491"/>
    </row>
    <row r="36" spans="2:50">
      <c r="B36" s="479"/>
      <c r="C36" s="182">
        <v>10</v>
      </c>
      <c r="D36" s="203" t="s">
        <v>318</v>
      </c>
      <c r="E36" s="166">
        <v>16</v>
      </c>
      <c r="F36" s="182">
        <v>1440</v>
      </c>
      <c r="G36" s="180">
        <v>90</v>
      </c>
      <c r="H36" s="460"/>
      <c r="I36" s="166">
        <f t="shared" si="32"/>
        <v>16.142857142857142</v>
      </c>
      <c r="J36" s="166">
        <f t="shared" si="33"/>
        <v>1281.1934439460069</v>
      </c>
      <c r="K36" s="180">
        <f t="shared" si="34"/>
        <v>79.403668031585568</v>
      </c>
      <c r="L36" s="460"/>
      <c r="M36" s="181">
        <f>RANK(K36, K$27:$K$41)</f>
        <v>1</v>
      </c>
      <c r="N36" s="462"/>
      <c r="O36" s="462"/>
      <c r="P36" s="182">
        <v>17</v>
      </c>
      <c r="Q36" s="180">
        <v>1277.4358974358968</v>
      </c>
      <c r="R36" s="180">
        <v>75.143288084464515</v>
      </c>
      <c r="S36" s="182">
        <f t="shared" si="16"/>
        <v>3</v>
      </c>
      <c r="T36" s="460"/>
      <c r="U36" s="182">
        <v>16</v>
      </c>
      <c r="V36" s="180">
        <v>1268.3720930232557</v>
      </c>
      <c r="W36" s="180">
        <v>79.273255813953483</v>
      </c>
      <c r="X36" s="182">
        <f t="shared" si="17"/>
        <v>1</v>
      </c>
      <c r="Y36" s="460"/>
      <c r="Z36" s="182">
        <v>16</v>
      </c>
      <c r="AA36" s="180">
        <v>1294.5283018867913</v>
      </c>
      <c r="AB36" s="180">
        <v>80.908018867924454</v>
      </c>
      <c r="AC36" s="182">
        <f t="shared" si="19"/>
        <v>1</v>
      </c>
      <c r="AD36" s="460"/>
      <c r="AE36" s="182">
        <v>16</v>
      </c>
      <c r="AF36" s="180">
        <v>1279.4444444444453</v>
      </c>
      <c r="AG36" s="180">
        <v>79.965277777777828</v>
      </c>
      <c r="AH36" s="182">
        <f t="shared" si="21"/>
        <v>1</v>
      </c>
      <c r="AI36" s="460"/>
      <c r="AJ36" s="182">
        <v>16</v>
      </c>
      <c r="AK36" s="180">
        <v>1283.6842105263158</v>
      </c>
      <c r="AL36" s="180">
        <v>80.23026315789474</v>
      </c>
      <c r="AM36" s="182">
        <f t="shared" si="23"/>
        <v>1</v>
      </c>
      <c r="AN36" s="460"/>
      <c r="AO36" s="182">
        <v>16</v>
      </c>
      <c r="AP36" s="180">
        <v>1294.8091603053435</v>
      </c>
      <c r="AQ36" s="180">
        <v>80.925572519083971</v>
      </c>
      <c r="AR36" s="182">
        <f t="shared" si="25"/>
        <v>1</v>
      </c>
      <c r="AS36" s="460"/>
      <c r="AT36" s="182">
        <v>16</v>
      </c>
      <c r="AU36" s="180">
        <v>1270.0799999999997</v>
      </c>
      <c r="AV36" s="180">
        <v>79.379999999999981</v>
      </c>
      <c r="AW36" s="182">
        <f t="shared" si="27"/>
        <v>2</v>
      </c>
      <c r="AX36" s="491"/>
    </row>
    <row r="37" spans="2:50">
      <c r="B37" s="479"/>
      <c r="C37" s="182">
        <v>11</v>
      </c>
      <c r="D37" s="203" t="s">
        <v>319</v>
      </c>
      <c r="E37" s="166">
        <v>16</v>
      </c>
      <c r="F37" s="182">
        <v>1440</v>
      </c>
      <c r="G37" s="180">
        <v>90</v>
      </c>
      <c r="H37" s="460"/>
      <c r="I37" s="166">
        <f t="shared" si="32"/>
        <v>16</v>
      </c>
      <c r="J37" s="166">
        <f t="shared" si="33"/>
        <v>1000.1105849038197</v>
      </c>
      <c r="K37" s="180">
        <f t="shared" si="34"/>
        <v>62.506911556488731</v>
      </c>
      <c r="L37" s="460"/>
      <c r="M37" s="181">
        <f>RANK(K37, K$27:$K$41)</f>
        <v>10</v>
      </c>
      <c r="N37" s="462"/>
      <c r="O37" s="462"/>
      <c r="P37" s="182">
        <v>16</v>
      </c>
      <c r="Q37" s="180">
        <v>995.45454545454902</v>
      </c>
      <c r="R37" s="180">
        <v>62.215909090909314</v>
      </c>
      <c r="S37" s="182">
        <f t="shared" si="16"/>
        <v>9</v>
      </c>
      <c r="T37" s="460"/>
      <c r="U37" s="182">
        <v>16</v>
      </c>
      <c r="V37" s="180">
        <v>997.49999999999682</v>
      </c>
      <c r="W37" s="180">
        <v>62.343749999999801</v>
      </c>
      <c r="X37" s="182">
        <f t="shared" si="17"/>
        <v>10</v>
      </c>
      <c r="Y37" s="460"/>
      <c r="Z37" s="182">
        <v>16</v>
      </c>
      <c r="AA37" s="180">
        <v>1017.1428571428607</v>
      </c>
      <c r="AB37" s="180">
        <v>63.571428571428797</v>
      </c>
      <c r="AC37" s="182">
        <f t="shared" si="19"/>
        <v>10</v>
      </c>
      <c r="AD37" s="460"/>
      <c r="AE37" s="182">
        <v>16</v>
      </c>
      <c r="AF37" s="180">
        <v>985.71428571428351</v>
      </c>
      <c r="AG37" s="180">
        <v>61.607142857142719</v>
      </c>
      <c r="AH37" s="182">
        <f t="shared" si="21"/>
        <v>8</v>
      </c>
      <c r="AI37" s="460"/>
      <c r="AJ37" s="182">
        <v>16</v>
      </c>
      <c r="AK37" s="180">
        <v>1010.5263157894773</v>
      </c>
      <c r="AL37" s="180">
        <v>63.15789473684233</v>
      </c>
      <c r="AM37" s="182">
        <f t="shared" si="23"/>
        <v>9</v>
      </c>
      <c r="AN37" s="460"/>
      <c r="AO37" s="182">
        <v>16</v>
      </c>
      <c r="AP37" s="180">
        <v>991.57894736842445</v>
      </c>
      <c r="AQ37" s="180">
        <v>61.973684210526528</v>
      </c>
      <c r="AR37" s="182">
        <f t="shared" si="25"/>
        <v>10</v>
      </c>
      <c r="AS37" s="460"/>
      <c r="AT37" s="182">
        <v>16</v>
      </c>
      <c r="AU37" s="180">
        <v>1002.8571428571463</v>
      </c>
      <c r="AV37" s="180">
        <v>62.678571428571644</v>
      </c>
      <c r="AW37" s="182">
        <f t="shared" si="27"/>
        <v>9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66"/>
      <c r="J38" s="166"/>
      <c r="K38" s="180"/>
      <c r="L38" s="460"/>
      <c r="M38" s="181" t="e">
        <f>RANK(K38, K$27:$K$41)</f>
        <v>#N/A</v>
      </c>
      <c r="N38" s="462"/>
      <c r="O38" s="462"/>
      <c r="P38" s="182"/>
      <c r="Q38" s="180"/>
      <c r="R38" s="180"/>
      <c r="S38" s="182" t="e">
        <f t="shared" si="16"/>
        <v>#N/A</v>
      </c>
      <c r="T38" s="460"/>
      <c r="U38" s="182"/>
      <c r="V38" s="180"/>
      <c r="W38" s="180"/>
      <c r="X38" s="182" t="e">
        <f t="shared" si="17"/>
        <v>#N/A</v>
      </c>
      <c r="Y38" s="460"/>
      <c r="Z38" s="182"/>
      <c r="AA38" s="180"/>
      <c r="AB38" s="180"/>
      <c r="AC38" s="182" t="e">
        <f t="shared" si="19"/>
        <v>#N/A</v>
      </c>
      <c r="AD38" s="460"/>
      <c r="AE38" s="182"/>
      <c r="AF38" s="180"/>
      <c r="AG38" s="180"/>
      <c r="AH38" s="182" t="e">
        <f t="shared" si="21"/>
        <v>#N/A</v>
      </c>
      <c r="AI38" s="460"/>
      <c r="AJ38" s="182"/>
      <c r="AK38" s="180"/>
      <c r="AL38" s="180"/>
      <c r="AM38" s="182" t="e">
        <f t="shared" si="23"/>
        <v>#N/A</v>
      </c>
      <c r="AN38" s="460"/>
      <c r="AO38" s="182"/>
      <c r="AP38" s="180"/>
      <c r="AQ38" s="180"/>
      <c r="AR38" s="182" t="e">
        <f t="shared" si="25"/>
        <v>#N/A</v>
      </c>
      <c r="AS38" s="460"/>
      <c r="AT38" s="182"/>
      <c r="AU38" s="180"/>
      <c r="AV38" s="180"/>
      <c r="AW38" s="182" t="e">
        <f t="shared" si="27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80"/>
      <c r="R39" s="180"/>
      <c r="S39" s="182" t="e">
        <f t="shared" si="16"/>
        <v>#N/A</v>
      </c>
      <c r="T39" s="460"/>
      <c r="U39" s="182"/>
      <c r="V39" s="180"/>
      <c r="W39" s="180"/>
      <c r="X39" s="182" t="e">
        <f t="shared" si="17"/>
        <v>#N/A</v>
      </c>
      <c r="Y39" s="460"/>
      <c r="Z39" s="182"/>
      <c r="AA39" s="180"/>
      <c r="AB39" s="180"/>
      <c r="AC39" s="182" t="e">
        <f t="shared" si="19"/>
        <v>#N/A</v>
      </c>
      <c r="AD39" s="460"/>
      <c r="AE39" s="182"/>
      <c r="AF39" s="180"/>
      <c r="AG39" s="180"/>
      <c r="AH39" s="182" t="e">
        <f t="shared" si="21"/>
        <v>#N/A</v>
      </c>
      <c r="AI39" s="460"/>
      <c r="AJ39" s="182"/>
      <c r="AK39" s="180"/>
      <c r="AL39" s="180"/>
      <c r="AM39" s="182" t="e">
        <f t="shared" si="23"/>
        <v>#N/A</v>
      </c>
      <c r="AN39" s="460"/>
      <c r="AO39" s="182"/>
      <c r="AP39" s="180"/>
      <c r="AQ39" s="180"/>
      <c r="AR39" s="182" t="e">
        <f t="shared" si="25"/>
        <v>#N/A</v>
      </c>
      <c r="AS39" s="460"/>
      <c r="AT39" s="182"/>
      <c r="AU39" s="180"/>
      <c r="AV39" s="180"/>
      <c r="AW39" s="182" t="e">
        <f t="shared" si="27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80"/>
      <c r="R40" s="180"/>
      <c r="S40" s="182" t="e">
        <f t="shared" si="16"/>
        <v>#N/A</v>
      </c>
      <c r="T40" s="460"/>
      <c r="U40" s="182"/>
      <c r="V40" s="180"/>
      <c r="W40" s="180"/>
      <c r="X40" s="182" t="e">
        <f t="shared" si="17"/>
        <v>#N/A</v>
      </c>
      <c r="Y40" s="460"/>
      <c r="Z40" s="182"/>
      <c r="AA40" s="180"/>
      <c r="AB40" s="180"/>
      <c r="AC40" s="182" t="e">
        <f t="shared" si="19"/>
        <v>#N/A</v>
      </c>
      <c r="AD40" s="460"/>
      <c r="AE40" s="182"/>
      <c r="AF40" s="180"/>
      <c r="AG40" s="180"/>
      <c r="AH40" s="182" t="e">
        <f t="shared" si="21"/>
        <v>#N/A</v>
      </c>
      <c r="AI40" s="460"/>
      <c r="AJ40" s="182"/>
      <c r="AK40" s="180"/>
      <c r="AL40" s="180"/>
      <c r="AM40" s="182" t="e">
        <f t="shared" si="23"/>
        <v>#N/A</v>
      </c>
      <c r="AN40" s="460"/>
      <c r="AO40" s="182"/>
      <c r="AP40" s="180"/>
      <c r="AQ40" s="180"/>
      <c r="AR40" s="182" t="e">
        <f t="shared" si="25"/>
        <v>#N/A</v>
      </c>
      <c r="AS40" s="460"/>
      <c r="AT40" s="182"/>
      <c r="AU40" s="180"/>
      <c r="AV40" s="180"/>
      <c r="AW40" s="182" t="e">
        <f t="shared" si="27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80"/>
      <c r="R41" s="180"/>
      <c r="S41" s="182" t="e">
        <f t="shared" si="16"/>
        <v>#N/A</v>
      </c>
      <c r="T41" s="461"/>
      <c r="U41" s="182"/>
      <c r="V41" s="180"/>
      <c r="W41" s="180"/>
      <c r="X41" s="182" t="e">
        <f t="shared" si="17"/>
        <v>#N/A</v>
      </c>
      <c r="Y41" s="461"/>
      <c r="Z41" s="182"/>
      <c r="AA41" s="180"/>
      <c r="AB41" s="180"/>
      <c r="AC41" s="182" t="e">
        <f t="shared" si="19"/>
        <v>#N/A</v>
      </c>
      <c r="AD41" s="461"/>
      <c r="AE41" s="182"/>
      <c r="AF41" s="180"/>
      <c r="AG41" s="180"/>
      <c r="AH41" s="182" t="e">
        <f t="shared" si="21"/>
        <v>#N/A</v>
      </c>
      <c r="AI41" s="461"/>
      <c r="AJ41" s="182"/>
      <c r="AK41" s="180"/>
      <c r="AL41" s="180"/>
      <c r="AM41" s="182" t="e">
        <f t="shared" si="23"/>
        <v>#N/A</v>
      </c>
      <c r="AN41" s="461"/>
      <c r="AO41" s="182"/>
      <c r="AP41" s="180"/>
      <c r="AQ41" s="180"/>
      <c r="AR41" s="182" t="e">
        <f t="shared" si="25"/>
        <v>#N/A</v>
      </c>
      <c r="AS41" s="461"/>
      <c r="AT41" s="182"/>
      <c r="AU41" s="180"/>
      <c r="AV41" s="180"/>
      <c r="AW41" s="182" t="e">
        <f t="shared" si="27"/>
        <v>#N/A</v>
      </c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187</v>
      </c>
      <c r="C47" s="182">
        <v>1</v>
      </c>
      <c r="D47" s="203" t="s">
        <v>309</v>
      </c>
      <c r="E47" s="166">
        <v>18</v>
      </c>
      <c r="F47" s="182">
        <v>1440</v>
      </c>
      <c r="G47" s="180">
        <v>80</v>
      </c>
      <c r="H47" s="459">
        <f>AVERAGE(G47:G61)</f>
        <v>82.22727272727272</v>
      </c>
      <c r="I47" s="166">
        <f>AVERAGE(P47,U47,Z47,AE47,AJ47,AO47,AT47)</f>
        <v>18</v>
      </c>
      <c r="J47" s="166">
        <f>AVERAGE(Q47,V47,AA47,AF47,AK47,AP47,AU47)</f>
        <v>1216.2710376654791</v>
      </c>
      <c r="K47" s="180">
        <f>AVERAGE(R47,W47,AB47,AG47,AL47,AQ47,AV47)</f>
        <v>67.57061320363772</v>
      </c>
      <c r="L47" s="459">
        <f>IFERROR(AVERAGE(K47:K61),"-")</f>
        <v>67.719464916895902</v>
      </c>
      <c r="M47" s="181">
        <f>RANK(K47, K$47:$K$61)</f>
        <v>6</v>
      </c>
      <c r="N47" s="462"/>
      <c r="O47" s="462"/>
      <c r="P47" s="182">
        <v>18</v>
      </c>
      <c r="Q47" s="166">
        <v>1217.8799999999994</v>
      </c>
      <c r="R47" s="166">
        <v>67.659999999999968</v>
      </c>
      <c r="S47" s="182">
        <f>RANK(R47, R$47:R$61)</f>
        <v>6</v>
      </c>
      <c r="T47" s="491">
        <f>AVERAGE(R47:R61)</f>
        <v>68.330428393795856</v>
      </c>
      <c r="U47" s="182">
        <v>18</v>
      </c>
      <c r="V47" s="166">
        <v>1218.5840707964601</v>
      </c>
      <c r="W47" s="166">
        <v>67.699115044247776</v>
      </c>
      <c r="X47" s="182">
        <f>RANK(W47, W$47:W$61)</f>
        <v>5</v>
      </c>
      <c r="Y47" s="491">
        <f>AVERAGE(W47:W61)</f>
        <v>68.075081760700911</v>
      </c>
      <c r="Z47" s="182">
        <v>18</v>
      </c>
      <c r="AA47" s="166">
        <v>1225.0736842105264</v>
      </c>
      <c r="AB47" s="166">
        <v>68.059649122807016</v>
      </c>
      <c r="AC47" s="182">
        <f>RANK(AB47, AB$47:AB$61)</f>
        <v>5</v>
      </c>
      <c r="AD47" s="491">
        <f>AVERAGE(AB47:AB61)</f>
        <v>67.857779932987683</v>
      </c>
      <c r="AE47" s="182">
        <v>18</v>
      </c>
      <c r="AF47" s="166">
        <v>1222.1739130434783</v>
      </c>
      <c r="AG47" s="166">
        <v>67.898550724637687</v>
      </c>
      <c r="AH47" s="182">
        <f>RANK(AG47, AG$47:AG$61)</f>
        <v>5</v>
      </c>
      <c r="AI47" s="491">
        <f>AVERAGE(AG47:AG61)</f>
        <v>66.26918156360027</v>
      </c>
      <c r="AJ47" s="182">
        <v>18</v>
      </c>
      <c r="AK47" s="166">
        <v>1231.3761467889906</v>
      </c>
      <c r="AL47" s="166">
        <v>68.409785932721704</v>
      </c>
      <c r="AM47" s="182">
        <f>RANK(AL47, AL$47:AL$61)</f>
        <v>5</v>
      </c>
      <c r="AN47" s="491">
        <f>AVERAGE(AL47:AL61)</f>
        <v>67.308277983679858</v>
      </c>
      <c r="AO47" s="182">
        <v>18</v>
      </c>
      <c r="AP47" s="166">
        <v>1214.4000000000003</v>
      </c>
      <c r="AQ47" s="166">
        <v>67.466666666666683</v>
      </c>
      <c r="AR47" s="182">
        <f>RANK(AQ47, AQ$47:AQ$61)</f>
        <v>5</v>
      </c>
      <c r="AS47" s="491">
        <f>AVERAGE(AQ47:AQ61)</f>
        <v>67.740962470041993</v>
      </c>
      <c r="AT47" s="182">
        <v>18</v>
      </c>
      <c r="AU47" s="166">
        <v>1184.4094488188973</v>
      </c>
      <c r="AV47" s="166">
        <v>65.800524934383191</v>
      </c>
      <c r="AW47" s="182">
        <f>RANK(AV47, AV$47:AV$61)</f>
        <v>5</v>
      </c>
      <c r="AX47" s="491">
        <f>AVERAGE(AV47:AV61)</f>
        <v>65.915881218433299</v>
      </c>
    </row>
    <row r="48" spans="2:50">
      <c r="B48" s="479"/>
      <c r="C48" s="182">
        <v>2</v>
      </c>
      <c r="D48" s="203" t="s">
        <v>310</v>
      </c>
      <c r="E48" s="166">
        <v>19</v>
      </c>
      <c r="F48" s="182">
        <v>1440</v>
      </c>
      <c r="G48" s="180">
        <v>75.8</v>
      </c>
      <c r="H48" s="460"/>
      <c r="I48" s="166">
        <f t="shared" ref="I48:I53" si="35">AVERAGE(P48,U48,Z48,AE48,AJ48,AO48,AT48)</f>
        <v>18.142857142857142</v>
      </c>
      <c r="J48" s="166">
        <f t="shared" ref="J48:J53" si="36">AVERAGE(Q48,V48,AA48,AF48,AK48,AP48,AU48)</f>
        <v>1174.3183912861314</v>
      </c>
      <c r="K48" s="180">
        <f t="shared" ref="K48:K53" si="37">AVERAGE(R48,W48,AB48,AG48,AL48,AQ48,AV48)</f>
        <v>64.723296511072306</v>
      </c>
      <c r="L48" s="460"/>
      <c r="M48" s="181">
        <f>RANK(K48, K$47:$K$61)</f>
        <v>7</v>
      </c>
      <c r="N48" s="462"/>
      <c r="O48" s="462"/>
      <c r="P48" s="182">
        <v>19</v>
      </c>
      <c r="Q48" s="166">
        <v>1236.7741935483853</v>
      </c>
      <c r="R48" s="166">
        <v>65.093378607809754</v>
      </c>
      <c r="S48" s="182">
        <f t="shared" ref="S48:S61" si="38">RANK(R48, R$47:R$61)</f>
        <v>7</v>
      </c>
      <c r="T48" s="491"/>
      <c r="U48" s="182">
        <v>18</v>
      </c>
      <c r="V48" s="166">
        <v>1199.9999999999984</v>
      </c>
      <c r="W48" s="166">
        <v>66.666666666666572</v>
      </c>
      <c r="X48" s="182">
        <f t="shared" ref="X48:X61" si="39">RANK(W48, W$47:W$61)</f>
        <v>6</v>
      </c>
      <c r="Y48" s="491"/>
      <c r="Z48" s="182">
        <v>18</v>
      </c>
      <c r="AA48" s="166">
        <v>1199.9999999999982</v>
      </c>
      <c r="AB48" s="166">
        <v>66.666666666666572</v>
      </c>
      <c r="AC48" s="182">
        <f t="shared" ref="AC48:AC61" si="40">RANK(AB48, AB$47:AB$61)</f>
        <v>6</v>
      </c>
      <c r="AD48" s="491"/>
      <c r="AE48" s="182">
        <v>18</v>
      </c>
      <c r="AF48" s="166">
        <v>1049.9999999999984</v>
      </c>
      <c r="AG48" s="166">
        <v>58.333333333333243</v>
      </c>
      <c r="AH48" s="182">
        <f t="shared" ref="AH48:AH61" si="41">RANK(AG48, AG$47:AG$61)</f>
        <v>8</v>
      </c>
      <c r="AI48" s="491"/>
      <c r="AJ48" s="182">
        <v>18</v>
      </c>
      <c r="AK48" s="166">
        <v>1207.9999999999977</v>
      </c>
      <c r="AL48" s="166">
        <v>67.111111111110986</v>
      </c>
      <c r="AM48" s="182">
        <f t="shared" ref="AM48:AM61" si="42">RANK(AL48, AL$47:AL$61)</f>
        <v>6</v>
      </c>
      <c r="AN48" s="491"/>
      <c r="AO48" s="182">
        <v>18</v>
      </c>
      <c r="AP48" s="166">
        <v>1189.0909090909074</v>
      </c>
      <c r="AQ48" s="166">
        <v>66.060606060605963</v>
      </c>
      <c r="AR48" s="182">
        <f t="shared" ref="AR48:AR61" si="43">RANK(AQ48, AQ$47:AQ$61)</f>
        <v>6</v>
      </c>
      <c r="AS48" s="491"/>
      <c r="AT48" s="182">
        <v>18</v>
      </c>
      <c r="AU48" s="166">
        <v>1136.3636363636349</v>
      </c>
      <c r="AV48" s="166">
        <v>63.13131313131305</v>
      </c>
      <c r="AW48" s="182">
        <f t="shared" ref="AW48:AW61" si="44">RANK(AV48, AV$47:AV$61)</f>
        <v>7</v>
      </c>
      <c r="AX48" s="491"/>
    </row>
    <row r="49" spans="2:50">
      <c r="B49" s="479"/>
      <c r="C49" s="182">
        <v>3</v>
      </c>
      <c r="D49" s="203" t="s">
        <v>311</v>
      </c>
      <c r="E49" s="166">
        <v>17</v>
      </c>
      <c r="F49" s="182">
        <v>1636</v>
      </c>
      <c r="G49" s="180">
        <v>96.3</v>
      </c>
      <c r="H49" s="460"/>
      <c r="I49" s="166">
        <f t="shared" si="35"/>
        <v>17</v>
      </c>
      <c r="J49" s="166">
        <f t="shared" si="36"/>
        <v>1221.4285714285722</v>
      </c>
      <c r="K49" s="180">
        <f t="shared" si="37"/>
        <v>71.84873949579837</v>
      </c>
      <c r="L49" s="460"/>
      <c r="M49" s="181">
        <f>RANK(K49, K$47:$K$61)</f>
        <v>3</v>
      </c>
      <c r="N49" s="462"/>
      <c r="O49" s="462"/>
      <c r="P49" s="182">
        <v>17</v>
      </c>
      <c r="Q49" s="166">
        <v>1221.4285714285722</v>
      </c>
      <c r="R49" s="166">
        <v>71.84873949579837</v>
      </c>
      <c r="S49" s="182">
        <f t="shared" si="38"/>
        <v>3</v>
      </c>
      <c r="T49" s="491"/>
      <c r="U49" s="182"/>
      <c r="V49" s="166"/>
      <c r="W49" s="166"/>
      <c r="X49" s="182" t="e">
        <f t="shared" si="39"/>
        <v>#N/A</v>
      </c>
      <c r="Y49" s="491"/>
      <c r="Z49" s="182"/>
      <c r="AA49" s="166"/>
      <c r="AB49" s="166"/>
      <c r="AC49" s="182" t="e">
        <f t="shared" si="40"/>
        <v>#N/A</v>
      </c>
      <c r="AD49" s="491"/>
      <c r="AE49" s="182"/>
      <c r="AF49" s="166"/>
      <c r="AG49" s="166"/>
      <c r="AH49" s="182" t="e">
        <f t="shared" si="41"/>
        <v>#N/A</v>
      </c>
      <c r="AI49" s="491"/>
      <c r="AJ49" s="182"/>
      <c r="AK49" s="166"/>
      <c r="AL49" s="166"/>
      <c r="AM49" s="182" t="e">
        <f t="shared" si="42"/>
        <v>#N/A</v>
      </c>
      <c r="AN49" s="491"/>
      <c r="AO49" s="182"/>
      <c r="AP49" s="166"/>
      <c r="AQ49" s="166"/>
      <c r="AR49" s="182" t="e">
        <f t="shared" si="43"/>
        <v>#N/A</v>
      </c>
      <c r="AS49" s="491"/>
      <c r="AT49" s="182"/>
      <c r="AU49" s="166"/>
      <c r="AV49" s="166"/>
      <c r="AW49" s="182" t="e">
        <f t="shared" si="44"/>
        <v>#N/A</v>
      </c>
      <c r="AX49" s="491"/>
    </row>
    <row r="50" spans="2:50">
      <c r="B50" s="479"/>
      <c r="C50" s="182">
        <v>4</v>
      </c>
      <c r="D50" s="203" t="s">
        <v>312</v>
      </c>
      <c r="E50" s="166">
        <v>17</v>
      </c>
      <c r="F50" s="182">
        <v>1440</v>
      </c>
      <c r="G50" s="180">
        <v>84.7</v>
      </c>
      <c r="H50" s="460"/>
      <c r="I50" s="166">
        <f t="shared" si="35"/>
        <v>17</v>
      </c>
      <c r="J50" s="166">
        <f t="shared" si="36"/>
        <v>1217.0027819341947</v>
      </c>
      <c r="K50" s="180">
        <f t="shared" si="37"/>
        <v>71.58839893730557</v>
      </c>
      <c r="L50" s="460"/>
      <c r="M50" s="181">
        <f>RANK(K50, K$47:$K$61)</f>
        <v>4</v>
      </c>
      <c r="N50" s="462"/>
      <c r="O50" s="462"/>
      <c r="P50" s="182">
        <v>17</v>
      </c>
      <c r="Q50" s="166">
        <v>1205.5384615384612</v>
      </c>
      <c r="R50" s="166">
        <v>70.914027149321242</v>
      </c>
      <c r="S50" s="182">
        <f t="shared" si="38"/>
        <v>4</v>
      </c>
      <c r="T50" s="491"/>
      <c r="U50" s="182">
        <v>17</v>
      </c>
      <c r="V50" s="166">
        <v>1215.8974358974351</v>
      </c>
      <c r="W50" s="166">
        <v>71.523378582202071</v>
      </c>
      <c r="X50" s="182">
        <f t="shared" si="39"/>
        <v>3</v>
      </c>
      <c r="Y50" s="491"/>
      <c r="Z50" s="182">
        <v>17</v>
      </c>
      <c r="AA50" s="166">
        <v>1252.8</v>
      </c>
      <c r="AB50" s="166">
        <v>73.694117647058818</v>
      </c>
      <c r="AC50" s="182">
        <f t="shared" si="40"/>
        <v>3</v>
      </c>
      <c r="AD50" s="491"/>
      <c r="AE50" s="182">
        <v>17</v>
      </c>
      <c r="AF50" s="166">
        <v>1224.356435643565</v>
      </c>
      <c r="AG50" s="166">
        <v>72.02096680256264</v>
      </c>
      <c r="AH50" s="182">
        <f t="shared" si="41"/>
        <v>3</v>
      </c>
      <c r="AI50" s="491"/>
      <c r="AJ50" s="182">
        <v>17</v>
      </c>
      <c r="AK50" s="166">
        <v>1212.1714285714293</v>
      </c>
      <c r="AL50" s="166">
        <v>71.304201680672307</v>
      </c>
      <c r="AM50" s="182">
        <f t="shared" si="42"/>
        <v>3</v>
      </c>
      <c r="AN50" s="491"/>
      <c r="AO50" s="182">
        <v>17</v>
      </c>
      <c r="AP50" s="166">
        <v>1251.2950819672128</v>
      </c>
      <c r="AQ50" s="166">
        <v>73.605593056894875</v>
      </c>
      <c r="AR50" s="182">
        <f t="shared" si="43"/>
        <v>3</v>
      </c>
      <c r="AS50" s="491"/>
      <c r="AT50" s="182">
        <v>17</v>
      </c>
      <c r="AU50" s="166">
        <v>1156.9606299212596</v>
      </c>
      <c r="AV50" s="166">
        <v>68.056507642427036</v>
      </c>
      <c r="AW50" s="182">
        <f t="shared" si="44"/>
        <v>3</v>
      </c>
      <c r="AX50" s="491"/>
    </row>
    <row r="51" spans="2:50">
      <c r="B51" s="479"/>
      <c r="C51" s="182">
        <v>5</v>
      </c>
      <c r="D51" s="203" t="s">
        <v>313</v>
      </c>
      <c r="E51" s="166">
        <v>17</v>
      </c>
      <c r="F51" s="182">
        <v>1440</v>
      </c>
      <c r="G51" s="180">
        <v>84.7</v>
      </c>
      <c r="H51" s="460"/>
      <c r="I51" s="166">
        <f t="shared" si="35"/>
        <v>18.142857142857142</v>
      </c>
      <c r="J51" s="166">
        <f t="shared" si="36"/>
        <v>1075.2950102817269</v>
      </c>
      <c r="K51" s="180">
        <f t="shared" si="37"/>
        <v>59.351927258166754</v>
      </c>
      <c r="L51" s="460"/>
      <c r="M51" s="181">
        <f>RANK(K51, K$47:$K$61)</f>
        <v>10</v>
      </c>
      <c r="N51" s="462"/>
      <c r="O51" s="462"/>
      <c r="P51" s="182">
        <v>18</v>
      </c>
      <c r="Q51" s="166">
        <v>1152.0000000000041</v>
      </c>
      <c r="R51" s="166">
        <v>64.000000000000227</v>
      </c>
      <c r="S51" s="182">
        <f t="shared" si="38"/>
        <v>9</v>
      </c>
      <c r="T51" s="491"/>
      <c r="U51" s="182">
        <v>17</v>
      </c>
      <c r="V51" s="166">
        <v>1039.4117647058811</v>
      </c>
      <c r="W51" s="166">
        <v>61.141868512110648</v>
      </c>
      <c r="X51" s="182">
        <f t="shared" si="39"/>
        <v>9</v>
      </c>
      <c r="Y51" s="491"/>
      <c r="Z51" s="182">
        <v>17</v>
      </c>
      <c r="AA51" s="166">
        <v>1043.6363636363624</v>
      </c>
      <c r="AB51" s="166">
        <v>61.390374331550731</v>
      </c>
      <c r="AC51" s="182">
        <f t="shared" si="40"/>
        <v>9</v>
      </c>
      <c r="AD51" s="491"/>
      <c r="AE51" s="182">
        <v>19</v>
      </c>
      <c r="AF51" s="166">
        <v>1022.2222222222197</v>
      </c>
      <c r="AG51" s="166">
        <v>53.801169590643141</v>
      </c>
      <c r="AH51" s="182">
        <f t="shared" si="41"/>
        <v>10</v>
      </c>
      <c r="AI51" s="491"/>
      <c r="AJ51" s="182">
        <v>19</v>
      </c>
      <c r="AK51" s="166">
        <v>1060.6451612903209</v>
      </c>
      <c r="AL51" s="166">
        <v>55.823429541595836</v>
      </c>
      <c r="AM51" s="182">
        <f t="shared" si="42"/>
        <v>10</v>
      </c>
      <c r="AN51" s="491"/>
      <c r="AO51" s="182">
        <v>18</v>
      </c>
      <c r="AP51" s="166">
        <v>1038.1818181818169</v>
      </c>
      <c r="AQ51" s="166">
        <v>57.676767676767604</v>
      </c>
      <c r="AR51" s="182">
        <f t="shared" si="43"/>
        <v>10</v>
      </c>
      <c r="AS51" s="491"/>
      <c r="AT51" s="182">
        <v>19</v>
      </c>
      <c r="AU51" s="166">
        <v>1170.9677419354819</v>
      </c>
      <c r="AV51" s="166">
        <v>61.629881154499046</v>
      </c>
      <c r="AW51" s="182">
        <f t="shared" si="44"/>
        <v>9</v>
      </c>
      <c r="AX51" s="491"/>
    </row>
    <row r="52" spans="2:50">
      <c r="B52" s="479"/>
      <c r="C52" s="182">
        <v>6</v>
      </c>
      <c r="D52" s="203" t="s">
        <v>314</v>
      </c>
      <c r="E52" s="166">
        <v>19</v>
      </c>
      <c r="F52" s="182">
        <v>1385</v>
      </c>
      <c r="G52" s="180">
        <v>72.900000000000006</v>
      </c>
      <c r="H52" s="460"/>
      <c r="I52" s="166">
        <f t="shared" si="35"/>
        <v>19</v>
      </c>
      <c r="J52" s="166">
        <f t="shared" si="36"/>
        <v>1178.9488128715052</v>
      </c>
      <c r="K52" s="180">
        <f t="shared" si="37"/>
        <v>62.049937519552898</v>
      </c>
      <c r="L52" s="460"/>
      <c r="M52" s="181">
        <f>RANK(K52, K$47:$K$61)</f>
        <v>9</v>
      </c>
      <c r="N52" s="462"/>
      <c r="O52" s="462"/>
      <c r="P52" s="182">
        <v>19</v>
      </c>
      <c r="Q52" s="166">
        <v>1175.3571428571438</v>
      </c>
      <c r="R52" s="166">
        <v>61.860902255639147</v>
      </c>
      <c r="S52" s="182">
        <f t="shared" si="38"/>
        <v>10</v>
      </c>
      <c r="T52" s="491"/>
      <c r="U52" s="182">
        <v>19</v>
      </c>
      <c r="V52" s="166">
        <v>1179.8019801980204</v>
      </c>
      <c r="W52" s="166">
        <v>62.094841063053707</v>
      </c>
      <c r="X52" s="182">
        <f t="shared" si="39"/>
        <v>8</v>
      </c>
      <c r="Y52" s="491"/>
      <c r="Z52" s="182">
        <v>19</v>
      </c>
      <c r="AA52" s="166">
        <v>1181.6666666666656</v>
      </c>
      <c r="AB52" s="166">
        <v>62.192982456140292</v>
      </c>
      <c r="AC52" s="182">
        <f t="shared" si="40"/>
        <v>8</v>
      </c>
      <c r="AD52" s="491"/>
      <c r="AE52" s="182">
        <v>19</v>
      </c>
      <c r="AF52" s="166">
        <v>1183.3734939759033</v>
      </c>
      <c r="AG52" s="166">
        <v>62.282815472415962</v>
      </c>
      <c r="AH52" s="182">
        <f t="shared" si="41"/>
        <v>7</v>
      </c>
      <c r="AI52" s="491"/>
      <c r="AJ52" s="182">
        <v>19</v>
      </c>
      <c r="AK52" s="166">
        <v>1180.909090909091</v>
      </c>
      <c r="AL52" s="166">
        <v>62.153110047846894</v>
      </c>
      <c r="AM52" s="182">
        <f t="shared" si="42"/>
        <v>8</v>
      </c>
      <c r="AN52" s="491"/>
      <c r="AO52" s="182">
        <v>19</v>
      </c>
      <c r="AP52" s="166">
        <v>1173.5135135135126</v>
      </c>
      <c r="AQ52" s="166">
        <v>61.763869132290139</v>
      </c>
      <c r="AR52" s="182">
        <f t="shared" si="43"/>
        <v>8</v>
      </c>
      <c r="AS52" s="491"/>
      <c r="AT52" s="182">
        <v>19</v>
      </c>
      <c r="AU52" s="166">
        <v>1178.0198019801985</v>
      </c>
      <c r="AV52" s="166">
        <v>62.001042209484133</v>
      </c>
      <c r="AW52" s="182">
        <f t="shared" si="44"/>
        <v>8</v>
      </c>
      <c r="AX52" s="491"/>
    </row>
    <row r="53" spans="2:50">
      <c r="B53" s="479"/>
      <c r="C53" s="182">
        <v>7</v>
      </c>
      <c r="D53" s="203" t="s">
        <v>315</v>
      </c>
      <c r="E53" s="166">
        <v>19</v>
      </c>
      <c r="F53" s="182">
        <v>1440</v>
      </c>
      <c r="G53" s="180">
        <v>75.8</v>
      </c>
      <c r="H53" s="460"/>
      <c r="I53" s="166">
        <f t="shared" si="35"/>
        <v>19</v>
      </c>
      <c r="J53" s="166">
        <f t="shared" si="36"/>
        <v>1222.6131084663716</v>
      </c>
      <c r="K53" s="180">
        <f t="shared" si="37"/>
        <v>64.348058340335356</v>
      </c>
      <c r="L53" s="460"/>
      <c r="M53" s="181">
        <f>RANK(K53, K$47:$K$61)</f>
        <v>8</v>
      </c>
      <c r="N53" s="462"/>
      <c r="O53" s="462"/>
      <c r="P53" s="182">
        <v>19</v>
      </c>
      <c r="Q53" s="166">
        <v>1225.1162790697672</v>
      </c>
      <c r="R53" s="166">
        <v>64.47980416156669</v>
      </c>
      <c r="S53" s="182">
        <f t="shared" si="38"/>
        <v>8</v>
      </c>
      <c r="T53" s="491"/>
      <c r="U53" s="182">
        <v>19</v>
      </c>
      <c r="V53" s="166">
        <v>1230.399999999999</v>
      </c>
      <c r="W53" s="166">
        <v>64.757894736842047</v>
      </c>
      <c r="X53" s="182">
        <f t="shared" si="39"/>
        <v>7</v>
      </c>
      <c r="Y53" s="491"/>
      <c r="Z53" s="182">
        <v>19</v>
      </c>
      <c r="AA53" s="166">
        <v>1220.7407407407404</v>
      </c>
      <c r="AB53" s="166">
        <v>64.249512670565281</v>
      </c>
      <c r="AC53" s="182">
        <f t="shared" si="40"/>
        <v>7</v>
      </c>
      <c r="AD53" s="491"/>
      <c r="AE53" s="182">
        <v>19</v>
      </c>
      <c r="AF53" s="166">
        <v>1210.3846153846162</v>
      </c>
      <c r="AG53" s="166">
        <v>63.704453441295584</v>
      </c>
      <c r="AH53" s="182">
        <f t="shared" si="41"/>
        <v>6</v>
      </c>
      <c r="AI53" s="491"/>
      <c r="AJ53" s="182">
        <v>19</v>
      </c>
      <c r="AK53" s="166">
        <v>1217.4193548387109</v>
      </c>
      <c r="AL53" s="166">
        <v>64.074702886247948</v>
      </c>
      <c r="AM53" s="182">
        <f t="shared" si="42"/>
        <v>7</v>
      </c>
      <c r="AN53" s="491"/>
      <c r="AO53" s="182">
        <v>19</v>
      </c>
      <c r="AP53" s="166">
        <v>1229.2307692307686</v>
      </c>
      <c r="AQ53" s="166">
        <v>64.696356275303614</v>
      </c>
      <c r="AR53" s="182">
        <f t="shared" si="43"/>
        <v>7</v>
      </c>
      <c r="AS53" s="491"/>
      <c r="AT53" s="182">
        <v>19</v>
      </c>
      <c r="AU53" s="166">
        <v>1224.9999999999991</v>
      </c>
      <c r="AV53" s="166">
        <v>64.473684210526272</v>
      </c>
      <c r="AW53" s="182">
        <f t="shared" si="44"/>
        <v>6</v>
      </c>
      <c r="AX53" s="491"/>
    </row>
    <row r="54" spans="2:50">
      <c r="B54" s="479"/>
      <c r="C54" s="182">
        <v>8</v>
      </c>
      <c r="D54" s="203" t="s">
        <v>316</v>
      </c>
      <c r="E54" s="166">
        <v>17</v>
      </c>
      <c r="F54" s="182">
        <v>1385</v>
      </c>
      <c r="G54" s="180">
        <v>81.400000000000006</v>
      </c>
      <c r="H54" s="460"/>
      <c r="I54" s="166">
        <f t="shared" ref="I54:I56" si="45">AVERAGE(P54,U54,Z54,AE54,AJ54,AO54,AT54)</f>
        <v>17</v>
      </c>
      <c r="J54" s="166">
        <f t="shared" ref="J54:J56" si="46">AVERAGE(Q54,V54,AA54,AF54,AK54,AP54,AU54)</f>
        <v>1175.3706729575786</v>
      </c>
      <c r="K54" s="180">
        <f t="shared" ref="K54:K56" si="47">AVERAGE(R54,W54,AB54,AG54,AL54,AQ54,AV54)</f>
        <v>69.139451350445782</v>
      </c>
      <c r="L54" s="460"/>
      <c r="M54" s="181">
        <f>RANK(K54, K$47:$K$61)</f>
        <v>5</v>
      </c>
      <c r="N54" s="462"/>
      <c r="O54" s="462"/>
      <c r="P54" s="182">
        <v>17</v>
      </c>
      <c r="Q54" s="166">
        <v>1193.4065934065934</v>
      </c>
      <c r="R54" s="166">
        <v>70.200387847446677</v>
      </c>
      <c r="S54" s="182">
        <f t="shared" si="38"/>
        <v>5</v>
      </c>
      <c r="T54" s="491"/>
      <c r="U54" s="182">
        <v>17</v>
      </c>
      <c r="V54" s="166">
        <v>1168.5365853658532</v>
      </c>
      <c r="W54" s="166">
        <v>68.73744619799136</v>
      </c>
      <c r="X54" s="182">
        <f t="shared" si="39"/>
        <v>4</v>
      </c>
      <c r="Y54" s="491"/>
      <c r="Z54" s="182">
        <v>17</v>
      </c>
      <c r="AA54" s="166">
        <v>1176.9767441860465</v>
      </c>
      <c r="AB54" s="166">
        <v>69.233926128590966</v>
      </c>
      <c r="AC54" s="182">
        <f t="shared" si="40"/>
        <v>4</v>
      </c>
      <c r="AD54" s="491"/>
      <c r="AE54" s="182">
        <v>17</v>
      </c>
      <c r="AF54" s="166">
        <v>1197.7777777777783</v>
      </c>
      <c r="AG54" s="166">
        <v>70.457516339869315</v>
      </c>
      <c r="AH54" s="182">
        <f t="shared" si="41"/>
        <v>4</v>
      </c>
      <c r="AI54" s="491"/>
      <c r="AJ54" s="182">
        <v>17</v>
      </c>
      <c r="AK54" s="166">
        <v>1180.0000000000014</v>
      </c>
      <c r="AL54" s="166">
        <v>69.411764705882433</v>
      </c>
      <c r="AM54" s="182">
        <f t="shared" si="42"/>
        <v>4</v>
      </c>
      <c r="AN54" s="491"/>
      <c r="AO54" s="182">
        <v>17</v>
      </c>
      <c r="AP54" s="166">
        <v>1178.5714285714282</v>
      </c>
      <c r="AQ54" s="166">
        <v>69.327731092436949</v>
      </c>
      <c r="AR54" s="182">
        <f t="shared" si="43"/>
        <v>4</v>
      </c>
      <c r="AS54" s="491"/>
      <c r="AT54" s="182">
        <v>17</v>
      </c>
      <c r="AU54" s="166">
        <v>1132.3255813953488</v>
      </c>
      <c r="AV54" s="166">
        <v>66.607387140902873</v>
      </c>
      <c r="AW54" s="182">
        <f t="shared" si="44"/>
        <v>4</v>
      </c>
      <c r="AX54" s="491"/>
    </row>
    <row r="55" spans="2:50">
      <c r="B55" s="479"/>
      <c r="C55" s="182">
        <v>9</v>
      </c>
      <c r="D55" s="203" t="s">
        <v>317</v>
      </c>
      <c r="E55" s="166">
        <v>19</v>
      </c>
      <c r="F55" s="182">
        <v>1385</v>
      </c>
      <c r="G55" s="180">
        <v>72.900000000000006</v>
      </c>
      <c r="H55" s="460"/>
      <c r="I55" s="166">
        <f t="shared" si="45"/>
        <v>19.857142857142858</v>
      </c>
      <c r="J55" s="166">
        <f t="shared" si="46"/>
        <v>1154.1616825359226</v>
      </c>
      <c r="K55" s="180">
        <f t="shared" si="47"/>
        <v>58.139340840007719</v>
      </c>
      <c r="L55" s="460"/>
      <c r="M55" s="181">
        <f>RANK(K55, K$47:$K$61)</f>
        <v>11</v>
      </c>
      <c r="N55" s="462"/>
      <c r="O55" s="462"/>
      <c r="P55" s="182">
        <v>20</v>
      </c>
      <c r="Q55" s="166">
        <v>1166.3414634146336</v>
      </c>
      <c r="R55" s="166">
        <v>58.317073170731682</v>
      </c>
      <c r="S55" s="182">
        <f t="shared" si="38"/>
        <v>11</v>
      </c>
      <c r="T55" s="491"/>
      <c r="U55" s="182">
        <v>19</v>
      </c>
      <c r="V55" s="166">
        <v>1147.1428571428569</v>
      </c>
      <c r="W55" s="166">
        <v>60.375939849624046</v>
      </c>
      <c r="X55" s="182">
        <f t="shared" si="39"/>
        <v>10</v>
      </c>
      <c r="Y55" s="491"/>
      <c r="Z55" s="182">
        <v>20</v>
      </c>
      <c r="AA55" s="166">
        <v>1170.7692307692303</v>
      </c>
      <c r="AB55" s="166">
        <v>58.538461538461512</v>
      </c>
      <c r="AC55" s="182">
        <f t="shared" si="40"/>
        <v>10</v>
      </c>
      <c r="AD55" s="491"/>
      <c r="AE55" s="182">
        <v>20</v>
      </c>
      <c r="AF55" s="166">
        <v>1160.5714285714275</v>
      </c>
      <c r="AG55" s="166">
        <v>58.028571428571375</v>
      </c>
      <c r="AH55" s="182">
        <f t="shared" si="41"/>
        <v>9</v>
      </c>
      <c r="AI55" s="491"/>
      <c r="AJ55" s="182">
        <v>20</v>
      </c>
      <c r="AK55" s="166">
        <v>1156.9230769230762</v>
      </c>
      <c r="AL55" s="166">
        <v>57.846153846153811</v>
      </c>
      <c r="AM55" s="182">
        <f t="shared" si="42"/>
        <v>9</v>
      </c>
      <c r="AN55" s="491"/>
      <c r="AO55" s="182">
        <v>20</v>
      </c>
      <c r="AP55" s="166">
        <v>1162.4999999999995</v>
      </c>
      <c r="AQ55" s="166">
        <v>58.124999999999979</v>
      </c>
      <c r="AR55" s="182">
        <f t="shared" si="43"/>
        <v>9</v>
      </c>
      <c r="AS55" s="491"/>
      <c r="AT55" s="182">
        <v>20</v>
      </c>
      <c r="AU55" s="166">
        <v>1114.8837209302324</v>
      </c>
      <c r="AV55" s="166">
        <v>55.744186046511615</v>
      </c>
      <c r="AW55" s="182">
        <f t="shared" si="44"/>
        <v>10</v>
      </c>
      <c r="AX55" s="491"/>
    </row>
    <row r="56" spans="2:50">
      <c r="B56" s="479"/>
      <c r="C56" s="182">
        <v>10</v>
      </c>
      <c r="D56" s="203" t="s">
        <v>318</v>
      </c>
      <c r="E56" s="166">
        <v>16</v>
      </c>
      <c r="F56" s="182">
        <v>1440</v>
      </c>
      <c r="G56" s="180">
        <v>90</v>
      </c>
      <c r="H56" s="460"/>
      <c r="I56" s="166">
        <f t="shared" si="45"/>
        <v>15</v>
      </c>
      <c r="J56" s="166">
        <f t="shared" si="46"/>
        <v>1218.6988641710718</v>
      </c>
      <c r="K56" s="180">
        <f t="shared" si="47"/>
        <v>81.246590944738116</v>
      </c>
      <c r="L56" s="460"/>
      <c r="M56" s="181">
        <f>RANK(K56, K$47:$K$61)</f>
        <v>1</v>
      </c>
      <c r="N56" s="462"/>
      <c r="O56" s="462"/>
      <c r="P56" s="182">
        <v>15</v>
      </c>
      <c r="Q56" s="166">
        <v>1239.2125984251966</v>
      </c>
      <c r="R56" s="166">
        <v>82.614173228346445</v>
      </c>
      <c r="S56" s="182">
        <f t="shared" si="38"/>
        <v>1</v>
      </c>
      <c r="T56" s="491"/>
      <c r="U56" s="182">
        <v>15</v>
      </c>
      <c r="V56" s="166">
        <v>1243.2786885245896</v>
      </c>
      <c r="W56" s="166">
        <v>82.885245901639308</v>
      </c>
      <c r="X56" s="182">
        <f t="shared" si="39"/>
        <v>1</v>
      </c>
      <c r="Y56" s="491"/>
      <c r="Z56" s="182">
        <v>15</v>
      </c>
      <c r="AA56" s="166">
        <v>1198.5882352941185</v>
      </c>
      <c r="AB56" s="166">
        <v>79.905882352941234</v>
      </c>
      <c r="AC56" s="182">
        <f t="shared" si="40"/>
        <v>1</v>
      </c>
      <c r="AD56" s="491"/>
      <c r="AE56" s="182">
        <v>15</v>
      </c>
      <c r="AF56" s="166">
        <v>1212.3529411764712</v>
      </c>
      <c r="AG56" s="166">
        <v>80.823529411764738</v>
      </c>
      <c r="AH56" s="182">
        <f t="shared" si="41"/>
        <v>1</v>
      </c>
      <c r="AI56" s="491"/>
      <c r="AJ56" s="182">
        <v>15</v>
      </c>
      <c r="AK56" s="166">
        <v>1217.4545454545462</v>
      </c>
      <c r="AL56" s="166">
        <v>81.163636363636414</v>
      </c>
      <c r="AM56" s="182">
        <f t="shared" si="42"/>
        <v>1</v>
      </c>
      <c r="AN56" s="491"/>
      <c r="AO56" s="182">
        <v>15</v>
      </c>
      <c r="AP56" s="166">
        <v>1240.16129032258</v>
      </c>
      <c r="AQ56" s="166">
        <v>82.677419354838676</v>
      </c>
      <c r="AR56" s="182">
        <f t="shared" si="43"/>
        <v>1</v>
      </c>
      <c r="AS56" s="491"/>
      <c r="AT56" s="182">
        <v>15</v>
      </c>
      <c r="AU56" s="166">
        <v>1179.8437499999998</v>
      </c>
      <c r="AV56" s="166">
        <v>78.656249999999986</v>
      </c>
      <c r="AW56" s="182">
        <f t="shared" si="44"/>
        <v>1</v>
      </c>
      <c r="AX56" s="491"/>
    </row>
    <row r="57" spans="2:50">
      <c r="B57" s="479"/>
      <c r="C57" s="182">
        <v>11</v>
      </c>
      <c r="D57" s="203" t="s">
        <v>319</v>
      </c>
      <c r="E57" s="166">
        <v>16</v>
      </c>
      <c r="F57" s="182">
        <v>1440</v>
      </c>
      <c r="G57" s="180">
        <v>90</v>
      </c>
      <c r="H57" s="460"/>
      <c r="I57" s="166">
        <f t="shared" ref="I57" si="48">AVERAGE(P57,U57,Z57,AE57,AJ57,AO57,AT57)</f>
        <v>16</v>
      </c>
      <c r="J57" s="166">
        <f t="shared" ref="J57" si="49">AVERAGE(Q57,V57,AA57,AF57,AK57,AP57,AU57)</f>
        <v>1198.5241549567108</v>
      </c>
      <c r="K57" s="180">
        <f t="shared" ref="K57" si="50">AVERAGE(R57,W57,AB57,AG57,AL57,AQ57,AV57)</f>
        <v>74.907759684794428</v>
      </c>
      <c r="L57" s="460"/>
      <c r="M57" s="181">
        <f>RANK(K57, K$47:$K$61)</f>
        <v>2</v>
      </c>
      <c r="N57" s="462"/>
      <c r="O57" s="462"/>
      <c r="P57" s="182">
        <v>16</v>
      </c>
      <c r="Q57" s="166">
        <v>1194.33962264151</v>
      </c>
      <c r="R57" s="166">
        <v>74.646226415094375</v>
      </c>
      <c r="S57" s="182">
        <f t="shared" si="38"/>
        <v>2</v>
      </c>
      <c r="T57" s="491"/>
      <c r="U57" s="182">
        <v>16</v>
      </c>
      <c r="V57" s="166">
        <v>1197.8947368421061</v>
      </c>
      <c r="W57" s="166">
        <v>74.868421052631632</v>
      </c>
      <c r="X57" s="182">
        <f t="shared" si="39"/>
        <v>2</v>
      </c>
      <c r="Y57" s="491"/>
      <c r="Z57" s="182">
        <v>16</v>
      </c>
      <c r="AA57" s="166">
        <v>1194.33962264151</v>
      </c>
      <c r="AB57" s="166">
        <v>74.646226415094375</v>
      </c>
      <c r="AC57" s="182">
        <f t="shared" si="40"/>
        <v>2</v>
      </c>
      <c r="AD57" s="491"/>
      <c r="AE57" s="182">
        <v>16</v>
      </c>
      <c r="AF57" s="166">
        <v>1205.4545454545466</v>
      </c>
      <c r="AG57" s="166">
        <v>75.340909090909165</v>
      </c>
      <c r="AH57" s="182">
        <f t="shared" si="41"/>
        <v>2</v>
      </c>
      <c r="AI57" s="491"/>
      <c r="AJ57" s="182">
        <v>16</v>
      </c>
      <c r="AK57" s="166">
        <v>1212.5581395348834</v>
      </c>
      <c r="AL57" s="166">
        <v>75.78488372093021</v>
      </c>
      <c r="AM57" s="182">
        <f t="shared" si="42"/>
        <v>2</v>
      </c>
      <c r="AN57" s="491"/>
      <c r="AO57" s="182">
        <v>16</v>
      </c>
      <c r="AP57" s="166">
        <v>1216.1538461538469</v>
      </c>
      <c r="AQ57" s="166">
        <v>76.009615384615429</v>
      </c>
      <c r="AR57" s="182">
        <f t="shared" si="43"/>
        <v>2</v>
      </c>
      <c r="AS57" s="491"/>
      <c r="AT57" s="182">
        <v>16</v>
      </c>
      <c r="AU57" s="166">
        <v>1168.9285714285722</v>
      </c>
      <c r="AV57" s="166">
        <v>73.058035714285765</v>
      </c>
      <c r="AW57" s="182">
        <f t="shared" si="44"/>
        <v>2</v>
      </c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66"/>
      <c r="J58" s="166"/>
      <c r="K58" s="180"/>
      <c r="L58" s="460"/>
      <c r="M58" s="181" t="e">
        <f>RANK(K58, K$47:$K$61)</f>
        <v>#N/A</v>
      </c>
      <c r="N58" s="462"/>
      <c r="O58" s="462"/>
      <c r="P58" s="182"/>
      <c r="Q58" s="166"/>
      <c r="R58" s="166"/>
      <c r="S58" s="182" t="e">
        <f t="shared" si="38"/>
        <v>#N/A</v>
      </c>
      <c r="T58" s="491"/>
      <c r="U58" s="182"/>
      <c r="V58" s="166"/>
      <c r="W58" s="166"/>
      <c r="X58" s="182" t="e">
        <f t="shared" si="39"/>
        <v>#N/A</v>
      </c>
      <c r="Y58" s="491"/>
      <c r="Z58" s="182"/>
      <c r="AA58" s="166"/>
      <c r="AB58" s="166"/>
      <c r="AC58" s="182" t="e">
        <f t="shared" si="40"/>
        <v>#N/A</v>
      </c>
      <c r="AD58" s="491"/>
      <c r="AE58" s="182"/>
      <c r="AF58" s="166"/>
      <c r="AG58" s="166"/>
      <c r="AH58" s="182" t="e">
        <f t="shared" si="41"/>
        <v>#N/A</v>
      </c>
      <c r="AI58" s="491"/>
      <c r="AJ58" s="182"/>
      <c r="AK58" s="166"/>
      <c r="AL58" s="166"/>
      <c r="AM58" s="182" t="e">
        <f t="shared" si="42"/>
        <v>#N/A</v>
      </c>
      <c r="AN58" s="491"/>
      <c r="AO58" s="182"/>
      <c r="AP58" s="166"/>
      <c r="AQ58" s="166"/>
      <c r="AR58" s="182" t="e">
        <f t="shared" si="43"/>
        <v>#N/A</v>
      </c>
      <c r="AS58" s="491"/>
      <c r="AT58" s="182"/>
      <c r="AU58" s="166"/>
      <c r="AV58" s="166"/>
      <c r="AW58" s="182" t="e">
        <f t="shared" si="44"/>
        <v>#N/A</v>
      </c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 t="e">
        <f t="shared" si="38"/>
        <v>#N/A</v>
      </c>
      <c r="T59" s="491"/>
      <c r="U59" s="182"/>
      <c r="V59" s="182"/>
      <c r="W59" s="182"/>
      <c r="X59" s="182" t="e">
        <f t="shared" si="39"/>
        <v>#N/A</v>
      </c>
      <c r="Y59" s="491"/>
      <c r="Z59" s="182"/>
      <c r="AA59" s="182"/>
      <c r="AB59" s="182"/>
      <c r="AC59" s="182" t="e">
        <f t="shared" si="40"/>
        <v>#N/A</v>
      </c>
      <c r="AD59" s="491"/>
      <c r="AE59" s="182"/>
      <c r="AF59" s="182"/>
      <c r="AG59" s="182"/>
      <c r="AH59" s="182" t="e">
        <f t="shared" si="41"/>
        <v>#N/A</v>
      </c>
      <c r="AI59" s="491"/>
      <c r="AJ59" s="182"/>
      <c r="AK59" s="182"/>
      <c r="AL59" s="182"/>
      <c r="AM59" s="182" t="e">
        <f t="shared" si="42"/>
        <v>#N/A</v>
      </c>
      <c r="AN59" s="491"/>
      <c r="AO59" s="182"/>
      <c r="AP59" s="182"/>
      <c r="AQ59" s="182"/>
      <c r="AR59" s="182" t="e">
        <f t="shared" si="43"/>
        <v>#N/A</v>
      </c>
      <c r="AS59" s="491"/>
      <c r="AT59" s="182"/>
      <c r="AU59" s="182"/>
      <c r="AV59" s="182"/>
      <c r="AW59" s="182" t="e">
        <f t="shared" si="44"/>
        <v>#N/A</v>
      </c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 t="e">
        <f t="shared" si="38"/>
        <v>#N/A</v>
      </c>
      <c r="T60" s="491"/>
      <c r="U60" s="182"/>
      <c r="V60" s="182"/>
      <c r="W60" s="182"/>
      <c r="X60" s="182" t="e">
        <f t="shared" si="39"/>
        <v>#N/A</v>
      </c>
      <c r="Y60" s="491"/>
      <c r="Z60" s="182"/>
      <c r="AA60" s="182"/>
      <c r="AB60" s="182"/>
      <c r="AC60" s="182" t="e">
        <f t="shared" si="40"/>
        <v>#N/A</v>
      </c>
      <c r="AD60" s="491"/>
      <c r="AE60" s="182"/>
      <c r="AF60" s="182"/>
      <c r="AG60" s="182"/>
      <c r="AH60" s="182" t="e">
        <f t="shared" si="41"/>
        <v>#N/A</v>
      </c>
      <c r="AI60" s="491"/>
      <c r="AJ60" s="182"/>
      <c r="AK60" s="182"/>
      <c r="AL60" s="182"/>
      <c r="AM60" s="182" t="e">
        <f t="shared" si="42"/>
        <v>#N/A</v>
      </c>
      <c r="AN60" s="491"/>
      <c r="AO60" s="182"/>
      <c r="AP60" s="182"/>
      <c r="AQ60" s="182"/>
      <c r="AR60" s="182" t="e">
        <f t="shared" si="43"/>
        <v>#N/A</v>
      </c>
      <c r="AS60" s="491"/>
      <c r="AT60" s="182"/>
      <c r="AU60" s="182"/>
      <c r="AV60" s="182"/>
      <c r="AW60" s="182" t="e">
        <f t="shared" si="44"/>
        <v>#N/A</v>
      </c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 t="e">
        <f t="shared" si="38"/>
        <v>#N/A</v>
      </c>
      <c r="T61" s="491"/>
      <c r="U61" s="182"/>
      <c r="V61" s="182"/>
      <c r="W61" s="182"/>
      <c r="X61" s="182" t="e">
        <f t="shared" si="39"/>
        <v>#N/A</v>
      </c>
      <c r="Y61" s="491"/>
      <c r="Z61" s="182"/>
      <c r="AA61" s="182"/>
      <c r="AB61" s="182"/>
      <c r="AC61" s="182" t="e">
        <f t="shared" si="40"/>
        <v>#N/A</v>
      </c>
      <c r="AD61" s="491"/>
      <c r="AE61" s="182"/>
      <c r="AF61" s="182"/>
      <c r="AG61" s="182"/>
      <c r="AH61" s="182" t="e">
        <f t="shared" si="41"/>
        <v>#N/A</v>
      </c>
      <c r="AI61" s="491"/>
      <c r="AJ61" s="182"/>
      <c r="AK61" s="182"/>
      <c r="AL61" s="182"/>
      <c r="AM61" s="182" t="e">
        <f t="shared" si="42"/>
        <v>#N/A</v>
      </c>
      <c r="AN61" s="491"/>
      <c r="AO61" s="182"/>
      <c r="AP61" s="182"/>
      <c r="AQ61" s="182"/>
      <c r="AR61" s="182" t="e">
        <f t="shared" si="43"/>
        <v>#N/A</v>
      </c>
      <c r="AS61" s="491"/>
      <c r="AT61" s="182"/>
      <c r="AU61" s="182"/>
      <c r="AV61" s="182"/>
      <c r="AW61" s="182" t="e">
        <f t="shared" si="44"/>
        <v>#N/A</v>
      </c>
      <c r="AX61" s="491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187</v>
      </c>
      <c r="C67" s="182">
        <v>1</v>
      </c>
      <c r="D67" s="203" t="s">
        <v>309</v>
      </c>
      <c r="E67" s="166">
        <v>18</v>
      </c>
      <c r="F67" s="182">
        <v>1440</v>
      </c>
      <c r="G67" s="180">
        <v>80</v>
      </c>
      <c r="H67" s="459">
        <f>AVERAGE(G67:G81)</f>
        <v>80.745454545454535</v>
      </c>
      <c r="I67" s="166">
        <f>AVERAGE(P67,U67,Z67,AE67,AJ67,AO67,AT67)</f>
        <v>18</v>
      </c>
      <c r="J67" s="166">
        <f>AVERAGE(Q67,V67,AA67,AF67,AK67,AP67,AU67)</f>
        <v>1282.2548874231263</v>
      </c>
      <c r="K67" s="180">
        <f>AVERAGE(R67,W67,AB67,AG67,AL67,AQ67,AV67)</f>
        <v>71.236382634618124</v>
      </c>
      <c r="L67" s="459">
        <f>IFERROR(AVERAGE(K67:K81),"-")</f>
        <v>67.487136678948616</v>
      </c>
      <c r="M67" s="181">
        <f>RANK(K67, K$67:$K$81)</f>
        <v>4</v>
      </c>
      <c r="N67" s="462"/>
      <c r="O67" s="462"/>
      <c r="P67" s="166">
        <v>18</v>
      </c>
      <c r="Q67" s="180">
        <v>1293.9622641509432</v>
      </c>
      <c r="R67" s="180">
        <v>71.886792452830178</v>
      </c>
      <c r="S67" s="182">
        <f>RANK(R67, R$67:R$81)</f>
        <v>4</v>
      </c>
      <c r="T67" s="459">
        <f>AVERAGE(R67:R81)</f>
        <v>67.95498777009756</v>
      </c>
      <c r="U67" s="166">
        <v>18</v>
      </c>
      <c r="V67" s="180">
        <v>1283.7362637362637</v>
      </c>
      <c r="W67" s="180">
        <v>71.318681318681314</v>
      </c>
      <c r="X67" s="182">
        <f t="shared" ref="X67:X81" si="51">RANK(W67, W$67:W$81)</f>
        <v>4</v>
      </c>
      <c r="Y67" s="459">
        <f t="shared" ref="Y67" si="52">AVERAGE(W67:W81)</f>
        <v>68.670483766907509</v>
      </c>
      <c r="Z67" s="166">
        <v>18</v>
      </c>
      <c r="AA67" s="180">
        <v>1300.3692307692315</v>
      </c>
      <c r="AB67" s="180">
        <v>72.242735042735092</v>
      </c>
      <c r="AC67" s="182">
        <f t="shared" ref="AC67:AC81" si="53">RANK(AB67, AB$67:AB$81)</f>
        <v>4</v>
      </c>
      <c r="AD67" s="459">
        <f t="shared" ref="AD67" si="54">AVERAGE(AB67:AB81)</f>
        <v>67.666055561729195</v>
      </c>
      <c r="AE67" s="166">
        <v>18</v>
      </c>
      <c r="AF67" s="180">
        <v>1278.701298701299</v>
      </c>
      <c r="AG67" s="180">
        <v>71.038961038961062</v>
      </c>
      <c r="AH67" s="182">
        <f t="shared" ref="AH67:AH81" si="55">RANK(AG67, AG$67:AG$81)</f>
        <v>3</v>
      </c>
      <c r="AI67" s="459">
        <f t="shared" ref="AI67" si="56">AVERAGE(AG67:AG81)</f>
        <v>65.475924450327227</v>
      </c>
      <c r="AJ67" s="166">
        <v>18</v>
      </c>
      <c r="AK67" s="180">
        <v>1271.8518518518515</v>
      </c>
      <c r="AL67" s="180">
        <v>70.658436213991749</v>
      </c>
      <c r="AM67" s="182">
        <f t="shared" ref="AM67:AM81" si="57">RANK(AL67, AL$67:AL$81)</f>
        <v>4</v>
      </c>
      <c r="AN67" s="459">
        <f t="shared" ref="AN67" si="58">AVERAGE(AL67:AL81)</f>
        <v>67.013594809984525</v>
      </c>
      <c r="AO67" s="166">
        <v>18</v>
      </c>
      <c r="AP67" s="180">
        <v>1271.2000000000005</v>
      </c>
      <c r="AQ67" s="180">
        <v>70.622222222222248</v>
      </c>
      <c r="AR67" s="182">
        <f t="shared" ref="AR67:AR81" si="59">RANK(AQ67, AQ$67:AQ$81)</f>
        <v>4</v>
      </c>
      <c r="AS67" s="459">
        <f t="shared" ref="AS67" si="60">AVERAGE(AQ67:AQ81)</f>
        <v>67.688151281205407</v>
      </c>
      <c r="AT67" s="166">
        <v>18</v>
      </c>
      <c r="AU67" s="180">
        <v>1275.9633027522934</v>
      </c>
      <c r="AV67" s="180">
        <v>70.886850152905197</v>
      </c>
      <c r="AW67" s="182">
        <f t="shared" ref="AW67:AW81" si="61">RANK(AV67, AV$67:AV$81)</f>
        <v>4</v>
      </c>
      <c r="AX67" s="491">
        <f t="shared" ref="AX67" si="62">AVERAGE(AV67:AV81)</f>
        <v>67.940759112388818</v>
      </c>
    </row>
    <row r="68" spans="2:50">
      <c r="B68" s="479"/>
      <c r="C68" s="182">
        <v>2</v>
      </c>
      <c r="D68" s="203" t="s">
        <v>310</v>
      </c>
      <c r="E68" s="166">
        <v>19</v>
      </c>
      <c r="F68" s="182">
        <v>1440</v>
      </c>
      <c r="G68" s="180">
        <v>75.8</v>
      </c>
      <c r="H68" s="460"/>
      <c r="I68" s="166">
        <f t="shared" ref="I68:I74" si="63">AVERAGE(P68,U68,Z68,AE68,AJ68,AO68,AT68)</f>
        <v>18</v>
      </c>
      <c r="J68" s="166">
        <f t="shared" ref="J68:J74" si="64">AVERAGE(Q68,V68,AA68,AF68,AK68,AP68,AU68)</f>
        <v>1118.0038980609038</v>
      </c>
      <c r="K68" s="180">
        <f t="shared" ref="K68:K74" si="65">AVERAGE(R68,W68,AB68,AG68,AL68,AQ68,AV68)</f>
        <v>62.111327670050223</v>
      </c>
      <c r="L68" s="460"/>
      <c r="M68" s="181">
        <f>RANK(K68, K$67:$K$81)</f>
        <v>8</v>
      </c>
      <c r="N68" s="462"/>
      <c r="O68" s="462"/>
      <c r="P68" s="182">
        <v>18</v>
      </c>
      <c r="Q68" s="180">
        <v>1102.4999999999984</v>
      </c>
      <c r="R68" s="180">
        <v>61.249999999999915</v>
      </c>
      <c r="S68" s="182">
        <f t="shared" ref="S68:S81" si="66">RANK(R68, R$67:R$81)</f>
        <v>9</v>
      </c>
      <c r="T68" s="460"/>
      <c r="U68" s="182">
        <v>18</v>
      </c>
      <c r="V68" s="180">
        <v>1191.1111111111084</v>
      </c>
      <c r="W68" s="180">
        <v>66.172839506172693</v>
      </c>
      <c r="X68" s="182">
        <f t="shared" si="51"/>
        <v>7</v>
      </c>
      <c r="Y68" s="460"/>
      <c r="Z68" s="182">
        <v>18</v>
      </c>
      <c r="AA68" s="180">
        <v>1054.8387096774177</v>
      </c>
      <c r="AB68" s="180">
        <v>58.602150537634316</v>
      </c>
      <c r="AC68" s="182">
        <f t="shared" si="53"/>
        <v>10</v>
      </c>
      <c r="AD68" s="460"/>
      <c r="AE68" s="182">
        <v>18</v>
      </c>
      <c r="AF68" s="180">
        <v>1086.9230769230739</v>
      </c>
      <c r="AG68" s="180">
        <v>60.384615384615216</v>
      </c>
      <c r="AH68" s="182">
        <f t="shared" si="55"/>
        <v>9</v>
      </c>
      <c r="AI68" s="460"/>
      <c r="AJ68" s="182">
        <v>18</v>
      </c>
      <c r="AK68" s="180">
        <v>1061.2499999999984</v>
      </c>
      <c r="AL68" s="180">
        <v>58.958333333333243</v>
      </c>
      <c r="AM68" s="182">
        <f t="shared" si="57"/>
        <v>10</v>
      </c>
      <c r="AN68" s="460"/>
      <c r="AO68" s="182">
        <v>18</v>
      </c>
      <c r="AP68" s="180">
        <v>1247.5862068965494</v>
      </c>
      <c r="AQ68" s="180">
        <v>69.310344827586079</v>
      </c>
      <c r="AR68" s="182">
        <f t="shared" si="59"/>
        <v>5</v>
      </c>
      <c r="AS68" s="460"/>
      <c r="AT68" s="182">
        <v>18</v>
      </c>
      <c r="AU68" s="180">
        <v>1081.8181818181804</v>
      </c>
      <c r="AV68" s="180">
        <v>60.101010101010019</v>
      </c>
      <c r="AW68" s="182">
        <f t="shared" si="61"/>
        <v>11</v>
      </c>
      <c r="AX68" s="491"/>
    </row>
    <row r="69" spans="2:50">
      <c r="B69" s="479"/>
      <c r="C69" s="182">
        <v>3</v>
      </c>
      <c r="D69" s="203" t="s">
        <v>320</v>
      </c>
      <c r="E69" s="166">
        <v>18</v>
      </c>
      <c r="F69" s="182">
        <v>1440</v>
      </c>
      <c r="G69" s="180">
        <v>80</v>
      </c>
      <c r="H69" s="460"/>
      <c r="I69" s="166">
        <f t="shared" si="63"/>
        <v>19</v>
      </c>
      <c r="J69" s="166">
        <f t="shared" si="64"/>
        <v>1213.0245789821522</v>
      </c>
      <c r="K69" s="180">
        <f t="shared" si="65"/>
        <v>63.843398893797477</v>
      </c>
      <c r="L69" s="460"/>
      <c r="M69" s="181">
        <f>RANK(K69, K$67:$K$81)</f>
        <v>7</v>
      </c>
      <c r="N69" s="462"/>
      <c r="O69" s="462"/>
      <c r="P69" s="182">
        <v>19</v>
      </c>
      <c r="Q69" s="180">
        <v>1210.7236363636359</v>
      </c>
      <c r="R69" s="180">
        <v>63.722296650717681</v>
      </c>
      <c r="S69" s="182">
        <f t="shared" si="66"/>
        <v>6</v>
      </c>
      <c r="T69" s="460"/>
      <c r="U69" s="182">
        <v>19</v>
      </c>
      <c r="V69" s="180">
        <v>1209.6000000000042</v>
      </c>
      <c r="W69" s="180">
        <v>63.663157894737061</v>
      </c>
      <c r="X69" s="182">
        <f t="shared" si="51"/>
        <v>9</v>
      </c>
      <c r="Y69" s="460"/>
      <c r="Z69" s="182">
        <v>19</v>
      </c>
      <c r="AA69" s="180">
        <v>1239.0000000000045</v>
      </c>
      <c r="AB69" s="180">
        <v>65.210526315789707</v>
      </c>
      <c r="AC69" s="182">
        <f t="shared" si="53"/>
        <v>7</v>
      </c>
      <c r="AD69" s="460"/>
      <c r="AE69" s="182">
        <v>19</v>
      </c>
      <c r="AF69" s="180">
        <v>1205.1428571428557</v>
      </c>
      <c r="AG69" s="180">
        <v>63.428571428571352</v>
      </c>
      <c r="AH69" s="182">
        <f t="shared" si="55"/>
        <v>7</v>
      </c>
      <c r="AI69" s="460"/>
      <c r="AJ69" s="182">
        <v>19</v>
      </c>
      <c r="AK69" s="180">
        <v>1199.9999999999998</v>
      </c>
      <c r="AL69" s="180">
        <v>63.157894736842096</v>
      </c>
      <c r="AM69" s="182">
        <f t="shared" si="57"/>
        <v>7</v>
      </c>
      <c r="AN69" s="460"/>
      <c r="AO69" s="182">
        <v>19</v>
      </c>
      <c r="AP69" s="180">
        <v>1236.3829787234044</v>
      </c>
      <c r="AQ69" s="180">
        <v>65.072788353863388</v>
      </c>
      <c r="AR69" s="182">
        <f t="shared" si="59"/>
        <v>8</v>
      </c>
      <c r="AS69" s="460"/>
      <c r="AT69" s="182">
        <v>19</v>
      </c>
      <c r="AU69" s="180">
        <v>1190.3225806451594</v>
      </c>
      <c r="AV69" s="180">
        <v>62.648556876061022</v>
      </c>
      <c r="AW69" s="182">
        <f t="shared" si="61"/>
        <v>8</v>
      </c>
      <c r="AX69" s="491"/>
    </row>
    <row r="70" spans="2:50">
      <c r="B70" s="479"/>
      <c r="C70" s="182">
        <v>4</v>
      </c>
      <c r="D70" s="203" t="s">
        <v>312</v>
      </c>
      <c r="E70" s="166">
        <v>17</v>
      </c>
      <c r="F70" s="182">
        <v>1440</v>
      </c>
      <c r="G70" s="180">
        <v>84.7</v>
      </c>
      <c r="H70" s="460"/>
      <c r="I70" s="166">
        <f t="shared" si="63"/>
        <v>17</v>
      </c>
      <c r="J70" s="166">
        <f t="shared" si="64"/>
        <v>1283.5762140861166</v>
      </c>
      <c r="K70" s="180">
        <f t="shared" si="65"/>
        <v>75.504483181536258</v>
      </c>
      <c r="L70" s="460"/>
      <c r="M70" s="181">
        <f>RANK(K70, K$67:$K$81)</f>
        <v>3</v>
      </c>
      <c r="N70" s="462"/>
      <c r="O70" s="462"/>
      <c r="P70" s="182">
        <v>17</v>
      </c>
      <c r="Q70" s="180">
        <v>1272.7118644067791</v>
      </c>
      <c r="R70" s="180">
        <v>74.865403788634069</v>
      </c>
      <c r="S70" s="182">
        <f t="shared" si="66"/>
        <v>3</v>
      </c>
      <c r="T70" s="460"/>
      <c r="U70" s="182">
        <v>17</v>
      </c>
      <c r="V70" s="180">
        <v>1283.5294117647065</v>
      </c>
      <c r="W70" s="180">
        <v>75.501730103806267</v>
      </c>
      <c r="X70" s="182">
        <f t="shared" si="51"/>
        <v>2</v>
      </c>
      <c r="Y70" s="460"/>
      <c r="Z70" s="182">
        <v>17</v>
      </c>
      <c r="AA70" s="180">
        <v>1287.032967032967</v>
      </c>
      <c r="AB70" s="180">
        <v>75.707821590174532</v>
      </c>
      <c r="AC70" s="182">
        <f t="shared" si="53"/>
        <v>2</v>
      </c>
      <c r="AD70" s="460"/>
      <c r="AE70" s="182">
        <v>17</v>
      </c>
      <c r="AF70" s="180">
        <v>1296.0000000000002</v>
      </c>
      <c r="AG70" s="180">
        <v>76.235294117647072</v>
      </c>
      <c r="AH70" s="182">
        <f t="shared" si="55"/>
        <v>1</v>
      </c>
      <c r="AI70" s="460"/>
      <c r="AJ70" s="182">
        <v>17</v>
      </c>
      <c r="AK70" s="180">
        <v>1291.176470588236</v>
      </c>
      <c r="AL70" s="180">
        <v>75.951557093425649</v>
      </c>
      <c r="AM70" s="182">
        <f t="shared" si="57"/>
        <v>2</v>
      </c>
      <c r="AN70" s="460"/>
      <c r="AO70" s="182">
        <v>17</v>
      </c>
      <c r="AP70" s="180">
        <v>1300.8227848101258</v>
      </c>
      <c r="AQ70" s="180">
        <v>76.518987341772103</v>
      </c>
      <c r="AR70" s="182">
        <f t="shared" si="59"/>
        <v>2</v>
      </c>
      <c r="AS70" s="460"/>
      <c r="AT70" s="182">
        <v>17</v>
      </c>
      <c r="AU70" s="180">
        <v>1253.7599999999995</v>
      </c>
      <c r="AV70" s="180">
        <v>73.750588235294089</v>
      </c>
      <c r="AW70" s="182">
        <f t="shared" si="61"/>
        <v>3</v>
      </c>
      <c r="AX70" s="491"/>
    </row>
    <row r="71" spans="2:50">
      <c r="B71" s="479"/>
      <c r="C71" s="182">
        <v>5</v>
      </c>
      <c r="D71" s="203" t="s">
        <v>313</v>
      </c>
      <c r="E71" s="166">
        <v>17</v>
      </c>
      <c r="F71" s="182">
        <v>1440</v>
      </c>
      <c r="G71" s="180">
        <v>84.7</v>
      </c>
      <c r="H71" s="460"/>
      <c r="I71" s="166">
        <f t="shared" si="63"/>
        <v>18</v>
      </c>
      <c r="J71" s="166">
        <f t="shared" si="64"/>
        <v>1105.5801419566724</v>
      </c>
      <c r="K71" s="180">
        <f t="shared" si="65"/>
        <v>58.631202124703726</v>
      </c>
      <c r="L71" s="460"/>
      <c r="M71" s="181">
        <f>RANK(K71, K$67:$K$81)</f>
        <v>11</v>
      </c>
      <c r="N71" s="462"/>
      <c r="O71" s="462"/>
      <c r="P71" s="182">
        <v>18</v>
      </c>
      <c r="Q71" s="180">
        <v>1060.0000000000011</v>
      </c>
      <c r="R71" s="180">
        <v>58.88888888888895</v>
      </c>
      <c r="S71" s="182">
        <f t="shared" si="66"/>
        <v>11</v>
      </c>
      <c r="T71" s="460"/>
      <c r="U71" s="182">
        <v>18</v>
      </c>
      <c r="V71" s="180">
        <v>1166.6666666666672</v>
      </c>
      <c r="W71" s="180">
        <v>61.40350877192985</v>
      </c>
      <c r="X71" s="182">
        <f t="shared" si="51"/>
        <v>11</v>
      </c>
      <c r="Y71" s="460"/>
      <c r="Z71" s="182">
        <v>18</v>
      </c>
      <c r="AA71" s="180">
        <v>1088.2758620689663</v>
      </c>
      <c r="AB71" s="180">
        <v>57.277676950998227</v>
      </c>
      <c r="AC71" s="182">
        <f t="shared" si="53"/>
        <v>11</v>
      </c>
      <c r="AD71" s="460"/>
      <c r="AE71" s="182">
        <v>18</v>
      </c>
      <c r="AF71" s="180">
        <v>1047.5000000000005</v>
      </c>
      <c r="AG71" s="180">
        <v>55.131578947368446</v>
      </c>
      <c r="AH71" s="182">
        <f t="shared" si="55"/>
        <v>10</v>
      </c>
      <c r="AI71" s="460"/>
      <c r="AJ71" s="182">
        <v>18</v>
      </c>
      <c r="AK71" s="180">
        <v>1060.6451612903236</v>
      </c>
      <c r="AL71" s="180">
        <v>55.823429541595978</v>
      </c>
      <c r="AM71" s="182">
        <f t="shared" si="57"/>
        <v>11</v>
      </c>
      <c r="AN71" s="460"/>
      <c r="AO71" s="182">
        <v>18</v>
      </c>
      <c r="AP71" s="180">
        <v>1068.3870967741946</v>
      </c>
      <c r="AQ71" s="180">
        <v>56.230899830220764</v>
      </c>
      <c r="AR71" s="182">
        <f t="shared" si="59"/>
        <v>11</v>
      </c>
      <c r="AS71" s="460"/>
      <c r="AT71" s="182">
        <v>18</v>
      </c>
      <c r="AU71" s="180">
        <v>1247.5862068965528</v>
      </c>
      <c r="AV71" s="180">
        <v>65.662431941923828</v>
      </c>
      <c r="AW71" s="182">
        <f t="shared" si="61"/>
        <v>7</v>
      </c>
      <c r="AX71" s="491"/>
    </row>
    <row r="72" spans="2:50">
      <c r="B72" s="479"/>
      <c r="C72" s="182">
        <v>6</v>
      </c>
      <c r="D72" s="203" t="s">
        <v>314</v>
      </c>
      <c r="E72" s="166">
        <v>19</v>
      </c>
      <c r="F72" s="182">
        <v>1385</v>
      </c>
      <c r="G72" s="180">
        <v>72.900000000000006</v>
      </c>
      <c r="H72" s="460"/>
      <c r="I72" s="166">
        <f t="shared" si="63"/>
        <v>19.857142857142858</v>
      </c>
      <c r="J72" s="166">
        <f t="shared" si="64"/>
        <v>1223.0002975748971</v>
      </c>
      <c r="K72" s="180">
        <f t="shared" si="65"/>
        <v>61.604150217090719</v>
      </c>
      <c r="L72" s="460"/>
      <c r="M72" s="181">
        <f>RANK(K72, K$67:$K$81)</f>
        <v>9</v>
      </c>
      <c r="N72" s="462"/>
      <c r="O72" s="462"/>
      <c r="P72" s="182">
        <v>20</v>
      </c>
      <c r="Q72" s="180">
        <v>1199.4392523364493</v>
      </c>
      <c r="R72" s="180">
        <v>59.971962616822466</v>
      </c>
      <c r="S72" s="182">
        <f t="shared" si="66"/>
        <v>10</v>
      </c>
      <c r="T72" s="460"/>
      <c r="U72" s="182">
        <v>19</v>
      </c>
      <c r="V72" s="180">
        <v>1208</v>
      </c>
      <c r="W72" s="180">
        <v>63.578947368421055</v>
      </c>
      <c r="X72" s="182">
        <f t="shared" si="51"/>
        <v>10</v>
      </c>
      <c r="Y72" s="460"/>
      <c r="Z72" s="182">
        <v>20</v>
      </c>
      <c r="AA72" s="180">
        <v>1239.3333333333333</v>
      </c>
      <c r="AB72" s="180">
        <v>61.966666666666661</v>
      </c>
      <c r="AC72" s="182">
        <f t="shared" si="53"/>
        <v>8</v>
      </c>
      <c r="AD72" s="460"/>
      <c r="AE72" s="182">
        <v>20</v>
      </c>
      <c r="AF72" s="180">
        <v>1249.9999999999993</v>
      </c>
      <c r="AG72" s="180">
        <v>62.499999999999964</v>
      </c>
      <c r="AH72" s="182">
        <f t="shared" si="55"/>
        <v>8</v>
      </c>
      <c r="AI72" s="460"/>
      <c r="AJ72" s="182">
        <v>20</v>
      </c>
      <c r="AK72" s="180">
        <v>1225.9259259259254</v>
      </c>
      <c r="AL72" s="180">
        <v>61.296296296296269</v>
      </c>
      <c r="AM72" s="182">
        <f t="shared" si="57"/>
        <v>8</v>
      </c>
      <c r="AN72" s="460"/>
      <c r="AO72" s="182">
        <v>20</v>
      </c>
      <c r="AP72" s="180">
        <v>1206.4285714285722</v>
      </c>
      <c r="AQ72" s="180">
        <v>60.321428571428612</v>
      </c>
      <c r="AR72" s="182">
        <f t="shared" si="59"/>
        <v>9</v>
      </c>
      <c r="AS72" s="460"/>
      <c r="AT72" s="182">
        <v>20</v>
      </c>
      <c r="AU72" s="180">
        <v>1231.8750000000005</v>
      </c>
      <c r="AV72" s="180">
        <v>61.593750000000021</v>
      </c>
      <c r="AW72" s="182">
        <f t="shared" si="61"/>
        <v>9</v>
      </c>
      <c r="AX72" s="491"/>
    </row>
    <row r="73" spans="2:50">
      <c r="B73" s="479"/>
      <c r="C73" s="182">
        <v>7</v>
      </c>
      <c r="D73" s="203" t="s">
        <v>315</v>
      </c>
      <c r="E73" s="166">
        <v>19</v>
      </c>
      <c r="F73" s="182">
        <v>1440</v>
      </c>
      <c r="G73" s="180">
        <v>75.8</v>
      </c>
      <c r="H73" s="460"/>
      <c r="I73" s="166">
        <f t="shared" si="63"/>
        <v>19.142857142857142</v>
      </c>
      <c r="J73" s="166">
        <f t="shared" si="64"/>
        <v>1271.3655066472693</v>
      </c>
      <c r="K73" s="180">
        <f t="shared" si="65"/>
        <v>66.445576477675829</v>
      </c>
      <c r="L73" s="460"/>
      <c r="M73" s="181">
        <f>RANK(K73, K$67:$K$81)</f>
        <v>6</v>
      </c>
      <c r="N73" s="462"/>
      <c r="O73" s="462"/>
      <c r="P73" s="182">
        <v>20</v>
      </c>
      <c r="Q73" s="180">
        <v>1245.9375000000014</v>
      </c>
      <c r="R73" s="180">
        <v>62.296875000000071</v>
      </c>
      <c r="S73" s="182">
        <f t="shared" si="66"/>
        <v>8</v>
      </c>
      <c r="T73" s="460"/>
      <c r="U73" s="182">
        <v>19</v>
      </c>
      <c r="V73" s="180">
        <v>1281.1111111111118</v>
      </c>
      <c r="W73" s="180">
        <v>67.426900584795362</v>
      </c>
      <c r="X73" s="182">
        <f t="shared" si="51"/>
        <v>6</v>
      </c>
      <c r="Y73" s="460"/>
      <c r="Z73" s="182">
        <v>19</v>
      </c>
      <c r="AA73" s="180">
        <v>1288.831168831168</v>
      </c>
      <c r="AB73" s="180">
        <v>67.833219412166741</v>
      </c>
      <c r="AC73" s="182">
        <f t="shared" si="53"/>
        <v>6</v>
      </c>
      <c r="AD73" s="460"/>
      <c r="AE73" s="182">
        <v>19</v>
      </c>
      <c r="AF73" s="180">
        <v>1278.2142857142867</v>
      </c>
      <c r="AG73" s="180">
        <v>67.27443609022562</v>
      </c>
      <c r="AH73" s="182">
        <f t="shared" si="55"/>
        <v>6</v>
      </c>
      <c r="AI73" s="460"/>
      <c r="AJ73" s="182">
        <v>19</v>
      </c>
      <c r="AK73" s="180">
        <v>1252.1311475409848</v>
      </c>
      <c r="AL73" s="180">
        <v>65.901639344262364</v>
      </c>
      <c r="AM73" s="182">
        <f t="shared" si="57"/>
        <v>6</v>
      </c>
      <c r="AN73" s="460"/>
      <c r="AO73" s="182">
        <v>19</v>
      </c>
      <c r="AP73" s="180">
        <v>1260</v>
      </c>
      <c r="AQ73" s="180">
        <v>66.315789473684205</v>
      </c>
      <c r="AR73" s="182">
        <f t="shared" si="59"/>
        <v>7</v>
      </c>
      <c r="AS73" s="460"/>
      <c r="AT73" s="182">
        <v>19</v>
      </c>
      <c r="AU73" s="180">
        <v>1293.3333333333323</v>
      </c>
      <c r="AV73" s="180">
        <v>68.070175438596436</v>
      </c>
      <c r="AW73" s="182">
        <f t="shared" si="61"/>
        <v>6</v>
      </c>
      <c r="AX73" s="491"/>
    </row>
    <row r="74" spans="2:50">
      <c r="B74" s="479"/>
      <c r="C74" s="182">
        <v>8</v>
      </c>
      <c r="D74" s="203" t="s">
        <v>316</v>
      </c>
      <c r="E74" s="166">
        <v>17</v>
      </c>
      <c r="F74" s="182">
        <v>1385</v>
      </c>
      <c r="G74" s="180">
        <v>81.400000000000006</v>
      </c>
      <c r="H74" s="460"/>
      <c r="I74" s="166">
        <f t="shared" si="63"/>
        <v>18</v>
      </c>
      <c r="J74" s="166">
        <f t="shared" si="64"/>
        <v>1229.4948947034229</v>
      </c>
      <c r="K74" s="180">
        <f t="shared" si="65"/>
        <v>68.305271927967951</v>
      </c>
      <c r="L74" s="460"/>
      <c r="M74" s="181">
        <f>RANK(K74, K$67:$K$81)</f>
        <v>5</v>
      </c>
      <c r="N74" s="462"/>
      <c r="O74" s="462"/>
      <c r="P74" s="182">
        <v>18</v>
      </c>
      <c r="Q74" s="180">
        <v>1199.7540983606568</v>
      </c>
      <c r="R74" s="180">
        <v>66.653005464480941</v>
      </c>
      <c r="S74" s="182">
        <f t="shared" si="66"/>
        <v>5</v>
      </c>
      <c r="T74" s="460"/>
      <c r="U74" s="182">
        <v>18</v>
      </c>
      <c r="V74" s="180">
        <v>1229.0000000000011</v>
      </c>
      <c r="W74" s="180">
        <v>68.277777777777843</v>
      </c>
      <c r="X74" s="182">
        <f t="shared" si="51"/>
        <v>5</v>
      </c>
      <c r="Y74" s="460"/>
      <c r="Z74" s="182">
        <v>18</v>
      </c>
      <c r="AA74" s="180">
        <v>1236.2068965517251</v>
      </c>
      <c r="AB74" s="180">
        <v>68.678160919540289</v>
      </c>
      <c r="AC74" s="182">
        <f t="shared" si="53"/>
        <v>5</v>
      </c>
      <c r="AD74" s="460"/>
      <c r="AE74" s="182">
        <v>18</v>
      </c>
      <c r="AF74" s="180">
        <v>1229.5081967213125</v>
      </c>
      <c r="AG74" s="180">
        <v>68.306010928961811</v>
      </c>
      <c r="AH74" s="182">
        <f t="shared" si="55"/>
        <v>4</v>
      </c>
      <c r="AI74" s="460"/>
      <c r="AJ74" s="182">
        <v>18</v>
      </c>
      <c r="AK74" s="180">
        <v>1233.2307692307706</v>
      </c>
      <c r="AL74" s="180">
        <v>68.512820512820596</v>
      </c>
      <c r="AM74" s="182">
        <f t="shared" si="57"/>
        <v>5</v>
      </c>
      <c r="AN74" s="460"/>
      <c r="AO74" s="182">
        <v>18</v>
      </c>
      <c r="AP74" s="180">
        <v>1237.8947368421045</v>
      </c>
      <c r="AQ74" s="180">
        <v>68.771929824561369</v>
      </c>
      <c r="AR74" s="182">
        <f t="shared" si="59"/>
        <v>6</v>
      </c>
      <c r="AS74" s="460"/>
      <c r="AT74" s="182">
        <v>18</v>
      </c>
      <c r="AU74" s="180">
        <v>1240.8695652173901</v>
      </c>
      <c r="AV74" s="180">
        <v>68.937198067632778</v>
      </c>
      <c r="AW74" s="182">
        <f t="shared" si="61"/>
        <v>5</v>
      </c>
      <c r="AX74" s="491"/>
    </row>
    <row r="75" spans="2:50">
      <c r="B75" s="479"/>
      <c r="C75" s="182">
        <v>9</v>
      </c>
      <c r="D75" s="203" t="s">
        <v>317</v>
      </c>
      <c r="E75" s="166">
        <v>19</v>
      </c>
      <c r="F75" s="182">
        <v>1385</v>
      </c>
      <c r="G75" s="180">
        <v>72.900000000000006</v>
      </c>
      <c r="H75" s="460"/>
      <c r="I75" s="166">
        <f t="shared" ref="I75:I76" si="67">AVERAGE(P75,U75,Z75,AE75,AJ75,AO75,AT75)</f>
        <v>19.571428571428573</v>
      </c>
      <c r="J75" s="166">
        <f t="shared" ref="J75:J76" si="68">AVERAGE(Q75,V75,AA75,AF75,AK75,AP75,AU75)</f>
        <v>1190.2834168816603</v>
      </c>
      <c r="K75" s="180">
        <f t="shared" ref="K75:K76" si="69">AVERAGE(R75,W75,AB75,AG75,AL75,AQ75,AV75)</f>
        <v>60.814442713092497</v>
      </c>
      <c r="L75" s="460"/>
      <c r="M75" s="181">
        <f>RANK(K75, K$67:$K$81)</f>
        <v>10</v>
      </c>
      <c r="N75" s="462"/>
      <c r="O75" s="462"/>
      <c r="P75" s="182">
        <v>19</v>
      </c>
      <c r="Q75" s="180">
        <v>1193.6842105263174</v>
      </c>
      <c r="R75" s="180">
        <v>62.82548476454302</v>
      </c>
      <c r="S75" s="182">
        <f t="shared" si="66"/>
        <v>7</v>
      </c>
      <c r="T75" s="460"/>
      <c r="U75" s="182">
        <v>19</v>
      </c>
      <c r="V75" s="180">
        <v>1238.1818181818194</v>
      </c>
      <c r="W75" s="180">
        <v>65.167464114832597</v>
      </c>
      <c r="X75" s="182">
        <f t="shared" si="51"/>
        <v>8</v>
      </c>
      <c r="Y75" s="460"/>
      <c r="Z75" s="182">
        <v>20</v>
      </c>
      <c r="AA75" s="180">
        <v>1237.0588235294133</v>
      </c>
      <c r="AB75" s="180">
        <v>61.852941176470665</v>
      </c>
      <c r="AC75" s="182">
        <f t="shared" si="53"/>
        <v>9</v>
      </c>
      <c r="AD75" s="460"/>
      <c r="AE75" s="182">
        <v>19</v>
      </c>
      <c r="AF75" s="180">
        <v>1026.8571428571418</v>
      </c>
      <c r="AG75" s="180">
        <v>54.045112781954828</v>
      </c>
      <c r="AH75" s="182">
        <f t="shared" si="55"/>
        <v>11</v>
      </c>
      <c r="AI75" s="460"/>
      <c r="AJ75" s="182">
        <v>20</v>
      </c>
      <c r="AK75" s="180">
        <v>1213.1250000000014</v>
      </c>
      <c r="AL75" s="180">
        <v>60.656250000000071</v>
      </c>
      <c r="AM75" s="182">
        <f t="shared" si="57"/>
        <v>9</v>
      </c>
      <c r="AN75" s="460"/>
      <c r="AO75" s="182">
        <v>20</v>
      </c>
      <c r="AP75" s="180">
        <v>1200.0000000000016</v>
      </c>
      <c r="AQ75" s="180">
        <v>60.000000000000078</v>
      </c>
      <c r="AR75" s="182">
        <f t="shared" si="59"/>
        <v>10</v>
      </c>
      <c r="AS75" s="460"/>
      <c r="AT75" s="182">
        <v>20</v>
      </c>
      <c r="AU75" s="180">
        <v>1223.0769230769249</v>
      </c>
      <c r="AV75" s="180">
        <v>61.153846153846246</v>
      </c>
      <c r="AW75" s="182">
        <f t="shared" si="61"/>
        <v>10</v>
      </c>
      <c r="AX75" s="491"/>
    </row>
    <row r="76" spans="2:50">
      <c r="B76" s="479"/>
      <c r="C76" s="182">
        <v>10</v>
      </c>
      <c r="D76" s="203" t="s">
        <v>318</v>
      </c>
      <c r="E76" s="166">
        <v>16</v>
      </c>
      <c r="F76" s="182">
        <v>1440</v>
      </c>
      <c r="G76" s="180">
        <v>90</v>
      </c>
      <c r="H76" s="460"/>
      <c r="I76" s="166">
        <f t="shared" si="67"/>
        <v>15.857142857142858</v>
      </c>
      <c r="J76" s="166">
        <f t="shared" si="68"/>
        <v>1272.870568711196</v>
      </c>
      <c r="K76" s="180">
        <f t="shared" si="69"/>
        <v>76.30955326152295</v>
      </c>
      <c r="L76" s="460"/>
      <c r="M76" s="181">
        <f>RANK(K76, K$67:$K$81)</f>
        <v>2</v>
      </c>
      <c r="N76" s="462"/>
      <c r="O76" s="462"/>
      <c r="P76" s="182">
        <v>15</v>
      </c>
      <c r="Q76" s="180">
        <v>1280.5714285714294</v>
      </c>
      <c r="R76" s="180">
        <v>85.371428571428623</v>
      </c>
      <c r="S76" s="182">
        <f t="shared" si="66"/>
        <v>1</v>
      </c>
      <c r="T76" s="460"/>
      <c r="U76" s="182">
        <v>16</v>
      </c>
      <c r="V76" s="180">
        <v>1267.9120879120869</v>
      </c>
      <c r="W76" s="180">
        <v>74.583063994828649</v>
      </c>
      <c r="X76" s="182">
        <f t="shared" si="51"/>
        <v>3</v>
      </c>
      <c r="Y76" s="460"/>
      <c r="Z76" s="182">
        <v>16</v>
      </c>
      <c r="AA76" s="180">
        <v>1281.1363636363635</v>
      </c>
      <c r="AB76" s="180">
        <v>75.360962566844918</v>
      </c>
      <c r="AC76" s="182">
        <f t="shared" si="53"/>
        <v>3</v>
      </c>
      <c r="AD76" s="460"/>
      <c r="AE76" s="182">
        <v>16</v>
      </c>
      <c r="AF76" s="180">
        <v>1264.6400000000006</v>
      </c>
      <c r="AG76" s="180">
        <v>74.390588235294146</v>
      </c>
      <c r="AH76" s="182">
        <f t="shared" si="55"/>
        <v>2</v>
      </c>
      <c r="AI76" s="460"/>
      <c r="AJ76" s="182">
        <v>16</v>
      </c>
      <c r="AK76" s="180">
        <v>1280.7804878048789</v>
      </c>
      <c r="AL76" s="180">
        <v>75.340028694404637</v>
      </c>
      <c r="AM76" s="182">
        <f t="shared" si="57"/>
        <v>3</v>
      </c>
      <c r="AN76" s="460"/>
      <c r="AO76" s="182">
        <v>16</v>
      </c>
      <c r="AP76" s="180">
        <v>1254.8717948717942</v>
      </c>
      <c r="AQ76" s="180">
        <v>73.815987933634958</v>
      </c>
      <c r="AR76" s="182">
        <f t="shared" si="59"/>
        <v>3</v>
      </c>
      <c r="AS76" s="460"/>
      <c r="AT76" s="182">
        <v>16</v>
      </c>
      <c r="AU76" s="180">
        <v>1280.1818181818185</v>
      </c>
      <c r="AV76" s="180">
        <v>75.30481283422462</v>
      </c>
      <c r="AW76" s="182">
        <f t="shared" si="61"/>
        <v>2</v>
      </c>
      <c r="AX76" s="491"/>
    </row>
    <row r="77" spans="2:50">
      <c r="B77" s="479"/>
      <c r="C77" s="182">
        <v>11</v>
      </c>
      <c r="D77" s="203" t="s">
        <v>319</v>
      </c>
      <c r="E77" s="166">
        <v>16</v>
      </c>
      <c r="F77" s="182">
        <v>1440</v>
      </c>
      <c r="G77" s="180">
        <v>90</v>
      </c>
      <c r="H77" s="460"/>
      <c r="I77" s="166">
        <f t="shared" ref="I77" si="70">AVERAGE(P77,U77,Z77,AE77,AJ77,AO77,AT77)</f>
        <v>16</v>
      </c>
      <c r="J77" s="166">
        <f t="shared" ref="J77" si="71">AVERAGE(Q77,V77,AA77,AF77,AK77,AP77,AU77)</f>
        <v>1240.8434298620632</v>
      </c>
      <c r="K77" s="180">
        <f t="shared" ref="K77" si="72">AVERAGE(R77,W77,AB77,AG77,AL77,AQ77,AV77)</f>
        <v>77.55271436637895</v>
      </c>
      <c r="L77" s="460"/>
      <c r="M77" s="181">
        <f>RANK(K77, K$67:$K$81)</f>
        <v>1</v>
      </c>
      <c r="N77" s="462"/>
      <c r="O77" s="462"/>
      <c r="P77" s="182">
        <v>16</v>
      </c>
      <c r="Q77" s="180">
        <v>1276.3636363636365</v>
      </c>
      <c r="R77" s="180">
        <v>79.77272727272728</v>
      </c>
      <c r="S77" s="182">
        <f t="shared" si="66"/>
        <v>2</v>
      </c>
      <c r="T77" s="460"/>
      <c r="U77" s="182">
        <v>16</v>
      </c>
      <c r="V77" s="180">
        <v>1252.4999999999995</v>
      </c>
      <c r="W77" s="180">
        <v>78.281249999999972</v>
      </c>
      <c r="X77" s="182">
        <f t="shared" si="51"/>
        <v>1</v>
      </c>
      <c r="Y77" s="460"/>
      <c r="Z77" s="182">
        <v>16</v>
      </c>
      <c r="AA77" s="180">
        <v>1273.4999999999995</v>
      </c>
      <c r="AB77" s="180">
        <v>79.593749999999972</v>
      </c>
      <c r="AC77" s="182">
        <f t="shared" si="53"/>
        <v>1</v>
      </c>
      <c r="AD77" s="460"/>
      <c r="AE77" s="182">
        <v>16</v>
      </c>
      <c r="AF77" s="180">
        <v>1080.0000000000011</v>
      </c>
      <c r="AG77" s="180">
        <v>67.500000000000071</v>
      </c>
      <c r="AH77" s="182">
        <f t="shared" si="55"/>
        <v>5</v>
      </c>
      <c r="AI77" s="460"/>
      <c r="AJ77" s="182">
        <v>16</v>
      </c>
      <c r="AK77" s="180">
        <v>1294.2857142857129</v>
      </c>
      <c r="AL77" s="180">
        <v>80.892857142857054</v>
      </c>
      <c r="AM77" s="182">
        <f t="shared" si="57"/>
        <v>1</v>
      </c>
      <c r="AN77" s="460"/>
      <c r="AO77" s="182">
        <v>16</v>
      </c>
      <c r="AP77" s="180">
        <v>1241.4285714285709</v>
      </c>
      <c r="AQ77" s="180">
        <v>77.58928571428568</v>
      </c>
      <c r="AR77" s="182">
        <f t="shared" si="59"/>
        <v>1</v>
      </c>
      <c r="AS77" s="460"/>
      <c r="AT77" s="182">
        <v>16</v>
      </c>
      <c r="AU77" s="180">
        <v>1267.8260869565217</v>
      </c>
      <c r="AV77" s="180">
        <v>79.239130434782609</v>
      </c>
      <c r="AW77" s="182">
        <f t="shared" si="61"/>
        <v>1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66"/>
      <c r="J78" s="166"/>
      <c r="K78" s="180"/>
      <c r="L78" s="460"/>
      <c r="M78" s="181" t="e">
        <f>RANK(K78, K$67:$K$81)</f>
        <v>#N/A</v>
      </c>
      <c r="N78" s="462"/>
      <c r="O78" s="462"/>
      <c r="P78" s="182"/>
      <c r="Q78" s="180"/>
      <c r="R78" s="180"/>
      <c r="S78" s="182" t="e">
        <f t="shared" si="66"/>
        <v>#N/A</v>
      </c>
      <c r="T78" s="460"/>
      <c r="U78" s="182"/>
      <c r="V78" s="180"/>
      <c r="W78" s="180"/>
      <c r="X78" s="182" t="e">
        <f t="shared" si="51"/>
        <v>#N/A</v>
      </c>
      <c r="Y78" s="460"/>
      <c r="Z78" s="182"/>
      <c r="AA78" s="180"/>
      <c r="AB78" s="180"/>
      <c r="AC78" s="182" t="e">
        <f t="shared" si="53"/>
        <v>#N/A</v>
      </c>
      <c r="AD78" s="460"/>
      <c r="AE78" s="182"/>
      <c r="AF78" s="180"/>
      <c r="AG78" s="180"/>
      <c r="AH78" s="182" t="e">
        <f t="shared" si="55"/>
        <v>#N/A</v>
      </c>
      <c r="AI78" s="460"/>
      <c r="AJ78" s="182"/>
      <c r="AK78" s="180"/>
      <c r="AL78" s="180"/>
      <c r="AM78" s="182" t="e">
        <f t="shared" si="57"/>
        <v>#N/A</v>
      </c>
      <c r="AN78" s="460"/>
      <c r="AO78" s="182"/>
      <c r="AP78" s="180"/>
      <c r="AQ78" s="180"/>
      <c r="AR78" s="182" t="e">
        <f t="shared" si="59"/>
        <v>#N/A</v>
      </c>
      <c r="AS78" s="460"/>
      <c r="AT78" s="182"/>
      <c r="AU78" s="180"/>
      <c r="AV78" s="180"/>
      <c r="AW78" s="182" t="e">
        <f t="shared" si="61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80"/>
      <c r="R79" s="180"/>
      <c r="S79" s="182" t="e">
        <f t="shared" si="66"/>
        <v>#N/A</v>
      </c>
      <c r="T79" s="460"/>
      <c r="U79" s="182"/>
      <c r="V79" s="180"/>
      <c r="W79" s="180"/>
      <c r="X79" s="182" t="e">
        <f t="shared" si="51"/>
        <v>#N/A</v>
      </c>
      <c r="Y79" s="460"/>
      <c r="Z79" s="182"/>
      <c r="AA79" s="180"/>
      <c r="AB79" s="180"/>
      <c r="AC79" s="182" t="e">
        <f t="shared" si="53"/>
        <v>#N/A</v>
      </c>
      <c r="AD79" s="460"/>
      <c r="AE79" s="182"/>
      <c r="AF79" s="180"/>
      <c r="AG79" s="180"/>
      <c r="AH79" s="182" t="e">
        <f t="shared" si="55"/>
        <v>#N/A</v>
      </c>
      <c r="AI79" s="460"/>
      <c r="AJ79" s="182"/>
      <c r="AK79" s="180"/>
      <c r="AL79" s="180"/>
      <c r="AM79" s="182" t="e">
        <f t="shared" si="57"/>
        <v>#N/A</v>
      </c>
      <c r="AN79" s="460"/>
      <c r="AO79" s="182"/>
      <c r="AP79" s="180"/>
      <c r="AQ79" s="180"/>
      <c r="AR79" s="182" t="e">
        <f t="shared" si="59"/>
        <v>#N/A</v>
      </c>
      <c r="AS79" s="460"/>
      <c r="AT79" s="182"/>
      <c r="AU79" s="180"/>
      <c r="AV79" s="180"/>
      <c r="AW79" s="182" t="e">
        <f t="shared" si="61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80"/>
      <c r="R80" s="180"/>
      <c r="S80" s="182" t="e">
        <f t="shared" si="66"/>
        <v>#N/A</v>
      </c>
      <c r="T80" s="460"/>
      <c r="U80" s="182"/>
      <c r="V80" s="180"/>
      <c r="W80" s="180"/>
      <c r="X80" s="182" t="e">
        <f t="shared" si="51"/>
        <v>#N/A</v>
      </c>
      <c r="Y80" s="460"/>
      <c r="Z80" s="182"/>
      <c r="AA80" s="180"/>
      <c r="AB80" s="180"/>
      <c r="AC80" s="182" t="e">
        <f t="shared" si="53"/>
        <v>#N/A</v>
      </c>
      <c r="AD80" s="460"/>
      <c r="AE80" s="182"/>
      <c r="AF80" s="180"/>
      <c r="AG80" s="180"/>
      <c r="AH80" s="182" t="e">
        <f t="shared" si="55"/>
        <v>#N/A</v>
      </c>
      <c r="AI80" s="460"/>
      <c r="AJ80" s="182"/>
      <c r="AK80" s="180"/>
      <c r="AL80" s="180"/>
      <c r="AM80" s="182" t="e">
        <f t="shared" si="57"/>
        <v>#N/A</v>
      </c>
      <c r="AN80" s="460"/>
      <c r="AO80" s="182"/>
      <c r="AP80" s="180"/>
      <c r="AQ80" s="180"/>
      <c r="AR80" s="182" t="e">
        <f t="shared" si="59"/>
        <v>#N/A</v>
      </c>
      <c r="AS80" s="460"/>
      <c r="AT80" s="182"/>
      <c r="AU80" s="180"/>
      <c r="AV80" s="180"/>
      <c r="AW80" s="182" t="e">
        <f t="shared" si="61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80"/>
      <c r="R81" s="180"/>
      <c r="S81" s="182" t="e">
        <f t="shared" si="66"/>
        <v>#N/A</v>
      </c>
      <c r="T81" s="461"/>
      <c r="U81" s="182"/>
      <c r="V81" s="180"/>
      <c r="W81" s="180"/>
      <c r="X81" s="182" t="e">
        <f t="shared" si="51"/>
        <v>#N/A</v>
      </c>
      <c r="Y81" s="461"/>
      <c r="Z81" s="182"/>
      <c r="AA81" s="180"/>
      <c r="AB81" s="180"/>
      <c r="AC81" s="182" t="e">
        <f t="shared" si="53"/>
        <v>#N/A</v>
      </c>
      <c r="AD81" s="461"/>
      <c r="AE81" s="182"/>
      <c r="AF81" s="180"/>
      <c r="AG81" s="180"/>
      <c r="AH81" s="182" t="e">
        <f t="shared" si="55"/>
        <v>#N/A</v>
      </c>
      <c r="AI81" s="461"/>
      <c r="AJ81" s="182"/>
      <c r="AK81" s="180"/>
      <c r="AL81" s="180"/>
      <c r="AM81" s="182" t="e">
        <f t="shared" si="57"/>
        <v>#N/A</v>
      </c>
      <c r="AN81" s="461"/>
      <c r="AO81" s="182"/>
      <c r="AP81" s="180"/>
      <c r="AQ81" s="180"/>
      <c r="AR81" s="182" t="e">
        <f t="shared" si="59"/>
        <v>#N/A</v>
      </c>
      <c r="AS81" s="461"/>
      <c r="AT81" s="182"/>
      <c r="AU81" s="180"/>
      <c r="AV81" s="180"/>
      <c r="AW81" s="182" t="e">
        <f t="shared" si="61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187</v>
      </c>
      <c r="C87" s="182">
        <v>1</v>
      </c>
      <c r="D87" s="203"/>
      <c r="E87" s="166"/>
      <c r="F87" s="182"/>
      <c r="G87" s="180"/>
      <c r="H87" s="459" t="e">
        <f>AVERAGE(G87:G101)</f>
        <v>#DIV/0!</v>
      </c>
      <c r="I87" s="166" t="e">
        <f>AVERAGE(P87,U87,Z87,AE87,AJ87,AO87,AT87)</f>
        <v>#DIV/0!</v>
      </c>
      <c r="J87" s="166" t="e">
        <f>AVERAGE(Q87,V87,AA87,AF87,AK87,AP87,AU87)</f>
        <v>#DIV/0!</v>
      </c>
      <c r="K87" s="180" t="e">
        <f>AVERAGE(R87,W87,AB87,AG87,AL87,AQ87,AV87)</f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66"/>
      <c r="Q87" s="180"/>
      <c r="R87" s="180"/>
      <c r="S87" s="182" t="e">
        <f>RANK(R87, R$87:R$101)</f>
        <v>#N/A</v>
      </c>
      <c r="T87" s="459" t="e">
        <f>AVERAGE(R87:R101)</f>
        <v>#DIV/0!</v>
      </c>
      <c r="U87" s="166"/>
      <c r="V87" s="180"/>
      <c r="W87" s="180"/>
      <c r="X87" s="182" t="e">
        <f t="shared" ref="X87:X101" si="73">RANK(W87, W$87:W$101)</f>
        <v>#N/A</v>
      </c>
      <c r="Y87" s="459" t="e">
        <f t="shared" ref="Y87" si="74">AVERAGE(W87:W101)</f>
        <v>#DIV/0!</v>
      </c>
      <c r="Z87" s="166"/>
      <c r="AA87" s="180"/>
      <c r="AB87" s="180"/>
      <c r="AC87" s="182" t="e">
        <f t="shared" ref="AC87:AC101" si="75">RANK(AB87, AB$87:AB$101)</f>
        <v>#N/A</v>
      </c>
      <c r="AD87" s="459" t="e">
        <f t="shared" ref="AD87" si="76">AVERAGE(AB87:AB101)</f>
        <v>#DIV/0!</v>
      </c>
      <c r="AE87" s="166"/>
      <c r="AF87" s="180"/>
      <c r="AG87" s="180"/>
      <c r="AH87" s="182" t="e">
        <f t="shared" ref="AH87:AH101" si="77">RANK(AG87, AG$87:AG$101)</f>
        <v>#N/A</v>
      </c>
      <c r="AI87" s="459" t="e">
        <f t="shared" ref="AI87" si="78">AVERAGE(AG87:AG101)</f>
        <v>#DIV/0!</v>
      </c>
      <c r="AJ87" s="166"/>
      <c r="AK87" s="180"/>
      <c r="AL87" s="180"/>
      <c r="AM87" s="182" t="e">
        <f t="shared" ref="AM87:AM101" si="79">RANK(AL87, AL$87:AL$101)</f>
        <v>#N/A</v>
      </c>
      <c r="AN87" s="459" t="e">
        <f t="shared" ref="AN87" si="80">AVERAGE(AL87:AL101)</f>
        <v>#DIV/0!</v>
      </c>
      <c r="AO87" s="166"/>
      <c r="AP87" s="180"/>
      <c r="AQ87" s="180"/>
      <c r="AR87" s="182" t="e">
        <f t="shared" ref="AR87:AR101" si="81">RANK(AQ87, AQ$87:AQ$101)</f>
        <v>#N/A</v>
      </c>
      <c r="AS87" s="459" t="e">
        <f t="shared" ref="AS87" si="82">AVERAGE(AQ87:AQ101)</f>
        <v>#DIV/0!</v>
      </c>
      <c r="AT87" s="166"/>
      <c r="AU87" s="180"/>
      <c r="AV87" s="180"/>
      <c r="AW87" s="182" t="e">
        <f t="shared" ref="AW87:AW101" si="83">RANK(AV87, AV$87:AV$101)</f>
        <v>#N/A</v>
      </c>
      <c r="AX87" s="491" t="e">
        <f t="shared" ref="AX87" si="84">AVERAGE(AV87:AV101)</f>
        <v>#DIV/0!</v>
      </c>
    </row>
    <row r="88" spans="2:50">
      <c r="B88" s="479"/>
      <c r="C88" s="182">
        <v>2</v>
      </c>
      <c r="D88" s="203"/>
      <c r="E88" s="166"/>
      <c r="F88" s="182"/>
      <c r="G88" s="180"/>
      <c r="H88" s="460"/>
      <c r="I88" s="166" t="e">
        <f t="shared" ref="I88:K94" si="85">AVERAGE(P88,U88,Z88,AE88,AJ88,AO88,AT88)</f>
        <v>#DIV/0!</v>
      </c>
      <c r="J88" s="166" t="e">
        <f t="shared" si="85"/>
        <v>#DIV/0!</v>
      </c>
      <c r="K88" s="180" t="e">
        <f t="shared" si="85"/>
        <v>#DIV/0!</v>
      </c>
      <c r="L88" s="460"/>
      <c r="M88" s="181" t="e">
        <f>RANK(K88, K$87:$K$101)</f>
        <v>#DIV/0!</v>
      </c>
      <c r="N88" s="462"/>
      <c r="O88" s="462"/>
      <c r="P88" s="182"/>
      <c r="Q88" s="180"/>
      <c r="R88" s="180"/>
      <c r="S88" s="182" t="e">
        <f t="shared" ref="S88:S101" si="86">RANK(R88, R$87:R$101)</f>
        <v>#N/A</v>
      </c>
      <c r="T88" s="460"/>
      <c r="U88" s="182"/>
      <c r="V88" s="180"/>
      <c r="W88" s="180"/>
      <c r="X88" s="182" t="e">
        <f t="shared" si="73"/>
        <v>#N/A</v>
      </c>
      <c r="Y88" s="460"/>
      <c r="Z88" s="182"/>
      <c r="AA88" s="180"/>
      <c r="AB88" s="180"/>
      <c r="AC88" s="182" t="e">
        <f t="shared" si="75"/>
        <v>#N/A</v>
      </c>
      <c r="AD88" s="460"/>
      <c r="AE88" s="182"/>
      <c r="AF88" s="180"/>
      <c r="AG88" s="180"/>
      <c r="AH88" s="182" t="e">
        <f t="shared" si="77"/>
        <v>#N/A</v>
      </c>
      <c r="AI88" s="460"/>
      <c r="AJ88" s="182"/>
      <c r="AK88" s="180"/>
      <c r="AL88" s="180"/>
      <c r="AM88" s="182" t="e">
        <f t="shared" si="79"/>
        <v>#N/A</v>
      </c>
      <c r="AN88" s="460"/>
      <c r="AO88" s="182"/>
      <c r="AP88" s="180"/>
      <c r="AQ88" s="180"/>
      <c r="AR88" s="182" t="e">
        <f t="shared" si="81"/>
        <v>#N/A</v>
      </c>
      <c r="AS88" s="460"/>
      <c r="AT88" s="182"/>
      <c r="AU88" s="180"/>
      <c r="AV88" s="180"/>
      <c r="AW88" s="182" t="e">
        <f t="shared" si="83"/>
        <v>#N/A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 t="e">
        <f t="shared" si="85"/>
        <v>#DIV/0!</v>
      </c>
      <c r="J89" s="166" t="e">
        <f t="shared" si="85"/>
        <v>#DIV/0!</v>
      </c>
      <c r="K89" s="180" t="e">
        <f t="shared" si="85"/>
        <v>#DIV/0!</v>
      </c>
      <c r="L89" s="460"/>
      <c r="M89" s="181" t="e">
        <f>RANK(K89, K$87:$K$101)</f>
        <v>#DIV/0!</v>
      </c>
      <c r="N89" s="462"/>
      <c r="O89" s="462"/>
      <c r="P89" s="182"/>
      <c r="Q89" s="180"/>
      <c r="R89" s="180"/>
      <c r="S89" s="182" t="e">
        <f t="shared" si="86"/>
        <v>#N/A</v>
      </c>
      <c r="T89" s="460"/>
      <c r="U89" s="182"/>
      <c r="V89" s="180"/>
      <c r="W89" s="180"/>
      <c r="X89" s="182" t="e">
        <f t="shared" si="73"/>
        <v>#N/A</v>
      </c>
      <c r="Y89" s="460"/>
      <c r="Z89" s="182"/>
      <c r="AA89" s="180"/>
      <c r="AB89" s="180"/>
      <c r="AC89" s="182" t="e">
        <f t="shared" si="75"/>
        <v>#N/A</v>
      </c>
      <c r="AD89" s="460"/>
      <c r="AE89" s="182"/>
      <c r="AF89" s="180"/>
      <c r="AG89" s="180"/>
      <c r="AH89" s="182" t="e">
        <f t="shared" si="77"/>
        <v>#N/A</v>
      </c>
      <c r="AI89" s="460"/>
      <c r="AJ89" s="182"/>
      <c r="AK89" s="180"/>
      <c r="AL89" s="180"/>
      <c r="AM89" s="182" t="e">
        <f t="shared" si="79"/>
        <v>#N/A</v>
      </c>
      <c r="AN89" s="460"/>
      <c r="AO89" s="182"/>
      <c r="AP89" s="180"/>
      <c r="AQ89" s="180"/>
      <c r="AR89" s="182" t="e">
        <f t="shared" si="81"/>
        <v>#N/A</v>
      </c>
      <c r="AS89" s="460"/>
      <c r="AT89" s="182"/>
      <c r="AU89" s="180"/>
      <c r="AV89" s="180"/>
      <c r="AW89" s="182" t="e">
        <f t="shared" si="83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 t="e">
        <f t="shared" si="85"/>
        <v>#DIV/0!</v>
      </c>
      <c r="J90" s="166" t="e">
        <f t="shared" si="85"/>
        <v>#DIV/0!</v>
      </c>
      <c r="K90" s="180" t="e">
        <f t="shared" si="85"/>
        <v>#DIV/0!</v>
      </c>
      <c r="L90" s="460"/>
      <c r="M90" s="181" t="e">
        <f>RANK(K90, K$87:$K$101)</f>
        <v>#DIV/0!</v>
      </c>
      <c r="N90" s="462"/>
      <c r="O90" s="462"/>
      <c r="P90" s="182"/>
      <c r="Q90" s="180"/>
      <c r="R90" s="180"/>
      <c r="S90" s="182" t="e">
        <f t="shared" si="86"/>
        <v>#N/A</v>
      </c>
      <c r="T90" s="460"/>
      <c r="U90" s="182"/>
      <c r="V90" s="180"/>
      <c r="W90" s="180"/>
      <c r="X90" s="182" t="e">
        <f t="shared" si="73"/>
        <v>#N/A</v>
      </c>
      <c r="Y90" s="460"/>
      <c r="Z90" s="182"/>
      <c r="AA90" s="180"/>
      <c r="AB90" s="180"/>
      <c r="AC90" s="182" t="e">
        <f t="shared" si="75"/>
        <v>#N/A</v>
      </c>
      <c r="AD90" s="460"/>
      <c r="AE90" s="182"/>
      <c r="AF90" s="180"/>
      <c r="AG90" s="180"/>
      <c r="AH90" s="182" t="e">
        <f t="shared" si="77"/>
        <v>#N/A</v>
      </c>
      <c r="AI90" s="460"/>
      <c r="AJ90" s="182"/>
      <c r="AK90" s="180"/>
      <c r="AL90" s="180"/>
      <c r="AM90" s="182" t="e">
        <f t="shared" si="79"/>
        <v>#N/A</v>
      </c>
      <c r="AN90" s="460"/>
      <c r="AO90" s="182"/>
      <c r="AP90" s="180"/>
      <c r="AQ90" s="180"/>
      <c r="AR90" s="182" t="e">
        <f t="shared" si="81"/>
        <v>#N/A</v>
      </c>
      <c r="AS90" s="460"/>
      <c r="AT90" s="182"/>
      <c r="AU90" s="180"/>
      <c r="AV90" s="180"/>
      <c r="AW90" s="182" t="e">
        <f t="shared" si="83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 t="e">
        <f t="shared" si="85"/>
        <v>#DIV/0!</v>
      </c>
      <c r="J91" s="166" t="e">
        <f t="shared" si="85"/>
        <v>#DIV/0!</v>
      </c>
      <c r="K91" s="180" t="e">
        <f t="shared" si="85"/>
        <v>#DIV/0!</v>
      </c>
      <c r="L91" s="460"/>
      <c r="M91" s="181" t="e">
        <f>RANK(K91, K$87:$K$101)</f>
        <v>#DIV/0!</v>
      </c>
      <c r="N91" s="462"/>
      <c r="O91" s="462"/>
      <c r="P91" s="182"/>
      <c r="Q91" s="180"/>
      <c r="R91" s="180"/>
      <c r="S91" s="182" t="e">
        <f t="shared" si="86"/>
        <v>#N/A</v>
      </c>
      <c r="T91" s="460"/>
      <c r="U91" s="182"/>
      <c r="V91" s="180"/>
      <c r="W91" s="180"/>
      <c r="X91" s="182" t="e">
        <f t="shared" si="73"/>
        <v>#N/A</v>
      </c>
      <c r="Y91" s="460"/>
      <c r="Z91" s="182"/>
      <c r="AA91" s="180"/>
      <c r="AB91" s="180"/>
      <c r="AC91" s="182" t="e">
        <f t="shared" si="75"/>
        <v>#N/A</v>
      </c>
      <c r="AD91" s="460"/>
      <c r="AE91" s="182"/>
      <c r="AF91" s="180"/>
      <c r="AG91" s="180"/>
      <c r="AH91" s="182" t="e">
        <f t="shared" si="77"/>
        <v>#N/A</v>
      </c>
      <c r="AI91" s="460"/>
      <c r="AJ91" s="182"/>
      <c r="AK91" s="180"/>
      <c r="AL91" s="180"/>
      <c r="AM91" s="182" t="e">
        <f t="shared" si="79"/>
        <v>#N/A</v>
      </c>
      <c r="AN91" s="460"/>
      <c r="AO91" s="182"/>
      <c r="AP91" s="180"/>
      <c r="AQ91" s="180"/>
      <c r="AR91" s="182" t="e">
        <f t="shared" si="81"/>
        <v>#N/A</v>
      </c>
      <c r="AS91" s="460"/>
      <c r="AT91" s="182"/>
      <c r="AU91" s="180"/>
      <c r="AV91" s="180"/>
      <c r="AW91" s="182" t="e">
        <f t="shared" si="83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 t="e">
        <f t="shared" si="85"/>
        <v>#DIV/0!</v>
      </c>
      <c r="J92" s="166" t="e">
        <f t="shared" si="85"/>
        <v>#DIV/0!</v>
      </c>
      <c r="K92" s="180" t="e">
        <f t="shared" si="85"/>
        <v>#DIV/0!</v>
      </c>
      <c r="L92" s="460"/>
      <c r="M92" s="181" t="e">
        <f>RANK(K92, K$87:$K$101)</f>
        <v>#DIV/0!</v>
      </c>
      <c r="N92" s="462"/>
      <c r="O92" s="462"/>
      <c r="P92" s="182"/>
      <c r="Q92" s="180"/>
      <c r="R92" s="180"/>
      <c r="S92" s="182" t="e">
        <f t="shared" si="86"/>
        <v>#N/A</v>
      </c>
      <c r="T92" s="460"/>
      <c r="U92" s="182"/>
      <c r="V92" s="180"/>
      <c r="W92" s="180"/>
      <c r="X92" s="182" t="e">
        <f t="shared" si="73"/>
        <v>#N/A</v>
      </c>
      <c r="Y92" s="460"/>
      <c r="Z92" s="182"/>
      <c r="AA92" s="180"/>
      <c r="AB92" s="180"/>
      <c r="AC92" s="182" t="e">
        <f t="shared" si="75"/>
        <v>#N/A</v>
      </c>
      <c r="AD92" s="460"/>
      <c r="AE92" s="182"/>
      <c r="AF92" s="180"/>
      <c r="AG92" s="180"/>
      <c r="AH92" s="182" t="e">
        <f t="shared" si="77"/>
        <v>#N/A</v>
      </c>
      <c r="AI92" s="460"/>
      <c r="AJ92" s="182"/>
      <c r="AK92" s="180"/>
      <c r="AL92" s="180"/>
      <c r="AM92" s="182" t="e">
        <f t="shared" si="79"/>
        <v>#N/A</v>
      </c>
      <c r="AN92" s="460"/>
      <c r="AO92" s="182"/>
      <c r="AP92" s="180"/>
      <c r="AQ92" s="180"/>
      <c r="AR92" s="182" t="e">
        <f t="shared" si="81"/>
        <v>#N/A</v>
      </c>
      <c r="AS92" s="460"/>
      <c r="AT92" s="182"/>
      <c r="AU92" s="180"/>
      <c r="AV92" s="180"/>
      <c r="AW92" s="182" t="e">
        <f t="shared" si="83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 t="e">
        <f t="shared" si="85"/>
        <v>#DIV/0!</v>
      </c>
      <c r="J93" s="166" t="e">
        <f t="shared" si="85"/>
        <v>#DIV/0!</v>
      </c>
      <c r="K93" s="180" t="e">
        <f t="shared" si="85"/>
        <v>#DIV/0!</v>
      </c>
      <c r="L93" s="460"/>
      <c r="M93" s="181" t="e">
        <f>RANK(K93, K$87:$K$101)</f>
        <v>#DIV/0!</v>
      </c>
      <c r="N93" s="462"/>
      <c r="O93" s="462"/>
      <c r="P93" s="182"/>
      <c r="Q93" s="180"/>
      <c r="R93" s="180"/>
      <c r="S93" s="182" t="e">
        <f t="shared" si="86"/>
        <v>#N/A</v>
      </c>
      <c r="T93" s="460"/>
      <c r="U93" s="182"/>
      <c r="V93" s="180"/>
      <c r="W93" s="180"/>
      <c r="X93" s="182" t="e">
        <f t="shared" si="73"/>
        <v>#N/A</v>
      </c>
      <c r="Y93" s="460"/>
      <c r="Z93" s="182"/>
      <c r="AA93" s="180"/>
      <c r="AB93" s="180"/>
      <c r="AC93" s="182" t="e">
        <f t="shared" si="75"/>
        <v>#N/A</v>
      </c>
      <c r="AD93" s="460"/>
      <c r="AE93" s="182"/>
      <c r="AF93" s="180"/>
      <c r="AG93" s="180"/>
      <c r="AH93" s="182" t="e">
        <f t="shared" si="77"/>
        <v>#N/A</v>
      </c>
      <c r="AI93" s="460"/>
      <c r="AJ93" s="182"/>
      <c r="AK93" s="180"/>
      <c r="AL93" s="180"/>
      <c r="AM93" s="182" t="e">
        <f t="shared" si="79"/>
        <v>#N/A</v>
      </c>
      <c r="AN93" s="460"/>
      <c r="AO93" s="182"/>
      <c r="AP93" s="180"/>
      <c r="AQ93" s="180"/>
      <c r="AR93" s="182" t="e">
        <f t="shared" si="81"/>
        <v>#N/A</v>
      </c>
      <c r="AS93" s="460"/>
      <c r="AT93" s="182"/>
      <c r="AU93" s="180"/>
      <c r="AV93" s="180"/>
      <c r="AW93" s="182" t="e">
        <f t="shared" si="83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 t="e">
        <f t="shared" si="85"/>
        <v>#DIV/0!</v>
      </c>
      <c r="J94" s="166" t="e">
        <f t="shared" si="85"/>
        <v>#DIV/0!</v>
      </c>
      <c r="K94" s="180" t="e">
        <f t="shared" si="85"/>
        <v>#DIV/0!</v>
      </c>
      <c r="L94" s="460"/>
      <c r="M94" s="181" t="e">
        <f>RANK(K94, K$87:$K$101)</f>
        <v>#DIV/0!</v>
      </c>
      <c r="N94" s="462"/>
      <c r="O94" s="462"/>
      <c r="P94" s="182"/>
      <c r="Q94" s="180"/>
      <c r="R94" s="180"/>
      <c r="S94" s="182" t="e">
        <f t="shared" si="86"/>
        <v>#N/A</v>
      </c>
      <c r="T94" s="460"/>
      <c r="U94" s="182"/>
      <c r="V94" s="180"/>
      <c r="W94" s="180"/>
      <c r="X94" s="182" t="e">
        <f t="shared" si="73"/>
        <v>#N/A</v>
      </c>
      <c r="Y94" s="460"/>
      <c r="Z94" s="182"/>
      <c r="AA94" s="180"/>
      <c r="AB94" s="180"/>
      <c r="AC94" s="182" t="e">
        <f t="shared" si="75"/>
        <v>#N/A</v>
      </c>
      <c r="AD94" s="460"/>
      <c r="AE94" s="182"/>
      <c r="AF94" s="180"/>
      <c r="AG94" s="180"/>
      <c r="AH94" s="182" t="e">
        <f t="shared" si="77"/>
        <v>#N/A</v>
      </c>
      <c r="AI94" s="460"/>
      <c r="AJ94" s="182"/>
      <c r="AK94" s="180"/>
      <c r="AL94" s="180"/>
      <c r="AM94" s="182" t="e">
        <f t="shared" si="79"/>
        <v>#N/A</v>
      </c>
      <c r="AN94" s="460"/>
      <c r="AO94" s="182"/>
      <c r="AP94" s="180"/>
      <c r="AQ94" s="180"/>
      <c r="AR94" s="182" t="e">
        <f t="shared" si="81"/>
        <v>#N/A</v>
      </c>
      <c r="AS94" s="460"/>
      <c r="AT94" s="182"/>
      <c r="AU94" s="180"/>
      <c r="AV94" s="180"/>
      <c r="AW94" s="182" t="e">
        <f t="shared" si="83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 t="e">
        <f t="shared" ref="I95:I97" si="87">AVERAGE(P95,U95,Z95,AE95,AJ95,AO95,AT95)</f>
        <v>#DIV/0!</v>
      </c>
      <c r="J95" s="166" t="e">
        <f t="shared" ref="J95:J97" si="88">AVERAGE(Q95,V95,AA95,AF95,AK95,AP95,AU95)</f>
        <v>#DIV/0!</v>
      </c>
      <c r="K95" s="180" t="e">
        <f t="shared" ref="K95:K97" si="89">AVERAGE(R95,W95,AB95,AG95,AL95,AQ95,AV95)</f>
        <v>#DIV/0!</v>
      </c>
      <c r="L95" s="460"/>
      <c r="M95" s="181" t="e">
        <f>RANK(K95, K$87:$K$101)</f>
        <v>#DIV/0!</v>
      </c>
      <c r="N95" s="462"/>
      <c r="O95" s="462"/>
      <c r="P95" s="182"/>
      <c r="Q95" s="180"/>
      <c r="R95" s="180"/>
      <c r="S95" s="182" t="e">
        <f t="shared" si="86"/>
        <v>#N/A</v>
      </c>
      <c r="T95" s="460"/>
      <c r="U95" s="182"/>
      <c r="V95" s="180"/>
      <c r="W95" s="180"/>
      <c r="X95" s="182" t="e">
        <f t="shared" si="73"/>
        <v>#N/A</v>
      </c>
      <c r="Y95" s="460"/>
      <c r="Z95" s="182"/>
      <c r="AA95" s="180"/>
      <c r="AB95" s="180"/>
      <c r="AC95" s="182" t="e">
        <f t="shared" si="75"/>
        <v>#N/A</v>
      </c>
      <c r="AD95" s="460"/>
      <c r="AE95" s="182"/>
      <c r="AF95" s="180"/>
      <c r="AG95" s="180"/>
      <c r="AH95" s="182" t="e">
        <f t="shared" si="77"/>
        <v>#N/A</v>
      </c>
      <c r="AI95" s="460"/>
      <c r="AJ95" s="182"/>
      <c r="AK95" s="180"/>
      <c r="AL95" s="180"/>
      <c r="AM95" s="182" t="e">
        <f t="shared" si="79"/>
        <v>#N/A</v>
      </c>
      <c r="AN95" s="460"/>
      <c r="AO95" s="182"/>
      <c r="AP95" s="180"/>
      <c r="AQ95" s="180"/>
      <c r="AR95" s="182" t="e">
        <f t="shared" si="81"/>
        <v>#N/A</v>
      </c>
      <c r="AS95" s="460"/>
      <c r="AT95" s="182"/>
      <c r="AU95" s="180"/>
      <c r="AV95" s="180"/>
      <c r="AW95" s="182" t="e">
        <f t="shared" si="83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 t="e">
        <f t="shared" si="87"/>
        <v>#DIV/0!</v>
      </c>
      <c r="J96" s="166" t="e">
        <f t="shared" si="88"/>
        <v>#DIV/0!</v>
      </c>
      <c r="K96" s="180" t="e">
        <f t="shared" si="89"/>
        <v>#DIV/0!</v>
      </c>
      <c r="L96" s="460"/>
      <c r="M96" s="181" t="e">
        <f>RANK(K96, K$87:$K$101)</f>
        <v>#DIV/0!</v>
      </c>
      <c r="N96" s="462"/>
      <c r="O96" s="462"/>
      <c r="P96" s="182"/>
      <c r="Q96" s="180"/>
      <c r="R96" s="180"/>
      <c r="S96" s="182" t="e">
        <f t="shared" si="86"/>
        <v>#N/A</v>
      </c>
      <c r="T96" s="460"/>
      <c r="U96" s="182"/>
      <c r="V96" s="180"/>
      <c r="W96" s="180"/>
      <c r="X96" s="182" t="e">
        <f t="shared" si="73"/>
        <v>#N/A</v>
      </c>
      <c r="Y96" s="460"/>
      <c r="Z96" s="182"/>
      <c r="AA96" s="180"/>
      <c r="AB96" s="180"/>
      <c r="AC96" s="182" t="e">
        <f t="shared" si="75"/>
        <v>#N/A</v>
      </c>
      <c r="AD96" s="460"/>
      <c r="AE96" s="182"/>
      <c r="AF96" s="180"/>
      <c r="AG96" s="180"/>
      <c r="AH96" s="182" t="e">
        <f t="shared" si="77"/>
        <v>#N/A</v>
      </c>
      <c r="AI96" s="460"/>
      <c r="AJ96" s="182"/>
      <c r="AK96" s="180"/>
      <c r="AL96" s="180"/>
      <c r="AM96" s="182" t="e">
        <f t="shared" si="79"/>
        <v>#N/A</v>
      </c>
      <c r="AN96" s="460"/>
      <c r="AO96" s="182"/>
      <c r="AP96" s="180"/>
      <c r="AQ96" s="180"/>
      <c r="AR96" s="182" t="e">
        <f t="shared" si="81"/>
        <v>#N/A</v>
      </c>
      <c r="AS96" s="460"/>
      <c r="AT96" s="182"/>
      <c r="AU96" s="180"/>
      <c r="AV96" s="180"/>
      <c r="AW96" s="182" t="e">
        <f t="shared" si="83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66" t="e">
        <f t="shared" si="87"/>
        <v>#DIV/0!</v>
      </c>
      <c r="J97" s="166" t="e">
        <f t="shared" si="88"/>
        <v>#DIV/0!</v>
      </c>
      <c r="K97" s="180" t="e">
        <f t="shared" si="89"/>
        <v>#DIV/0!</v>
      </c>
      <c r="L97" s="460"/>
      <c r="M97" s="181" t="e">
        <f>RANK(K97, K$87:$K$101)</f>
        <v>#DIV/0!</v>
      </c>
      <c r="N97" s="462"/>
      <c r="O97" s="462"/>
      <c r="P97" s="182"/>
      <c r="Q97" s="180"/>
      <c r="R97" s="180"/>
      <c r="S97" s="182" t="e">
        <f t="shared" si="86"/>
        <v>#N/A</v>
      </c>
      <c r="T97" s="460"/>
      <c r="U97" s="182"/>
      <c r="V97" s="180"/>
      <c r="W97" s="180"/>
      <c r="X97" s="182" t="e">
        <f t="shared" si="73"/>
        <v>#N/A</v>
      </c>
      <c r="Y97" s="460"/>
      <c r="Z97" s="182"/>
      <c r="AA97" s="180"/>
      <c r="AB97" s="180"/>
      <c r="AC97" s="182" t="e">
        <f t="shared" si="75"/>
        <v>#N/A</v>
      </c>
      <c r="AD97" s="460"/>
      <c r="AE97" s="182"/>
      <c r="AF97" s="180"/>
      <c r="AG97" s="180"/>
      <c r="AH97" s="182" t="e">
        <f t="shared" si="77"/>
        <v>#N/A</v>
      </c>
      <c r="AI97" s="460"/>
      <c r="AJ97" s="182"/>
      <c r="AK97" s="180"/>
      <c r="AL97" s="180"/>
      <c r="AM97" s="182" t="e">
        <f t="shared" si="79"/>
        <v>#N/A</v>
      </c>
      <c r="AN97" s="460"/>
      <c r="AO97" s="182"/>
      <c r="AP97" s="180"/>
      <c r="AQ97" s="180"/>
      <c r="AR97" s="182" t="e">
        <f t="shared" si="81"/>
        <v>#N/A</v>
      </c>
      <c r="AS97" s="460"/>
      <c r="AT97" s="182"/>
      <c r="AU97" s="180"/>
      <c r="AV97" s="180"/>
      <c r="AW97" s="182" t="e">
        <f t="shared" si="83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66"/>
      <c r="J98" s="166"/>
      <c r="K98" s="180"/>
      <c r="L98" s="460"/>
      <c r="M98" s="181" t="e">
        <f>RANK(K98, K$87:$K$101)</f>
        <v>#DIV/0!</v>
      </c>
      <c r="N98" s="462"/>
      <c r="O98" s="462"/>
      <c r="P98" s="182"/>
      <c r="Q98" s="180"/>
      <c r="R98" s="180"/>
      <c r="S98" s="182" t="e">
        <f t="shared" si="86"/>
        <v>#N/A</v>
      </c>
      <c r="T98" s="460"/>
      <c r="U98" s="182"/>
      <c r="V98" s="180"/>
      <c r="W98" s="180"/>
      <c r="X98" s="182" t="e">
        <f t="shared" si="73"/>
        <v>#N/A</v>
      </c>
      <c r="Y98" s="460"/>
      <c r="Z98" s="182"/>
      <c r="AA98" s="180"/>
      <c r="AB98" s="180"/>
      <c r="AC98" s="182" t="e">
        <f t="shared" si="75"/>
        <v>#N/A</v>
      </c>
      <c r="AD98" s="460"/>
      <c r="AE98" s="182"/>
      <c r="AF98" s="180"/>
      <c r="AG98" s="180"/>
      <c r="AH98" s="182" t="e">
        <f t="shared" si="77"/>
        <v>#N/A</v>
      </c>
      <c r="AI98" s="460"/>
      <c r="AJ98" s="182"/>
      <c r="AK98" s="180"/>
      <c r="AL98" s="180"/>
      <c r="AM98" s="182" t="e">
        <f t="shared" si="79"/>
        <v>#N/A</v>
      </c>
      <c r="AN98" s="460"/>
      <c r="AO98" s="182"/>
      <c r="AP98" s="180"/>
      <c r="AQ98" s="180"/>
      <c r="AR98" s="182" t="e">
        <f t="shared" si="81"/>
        <v>#N/A</v>
      </c>
      <c r="AS98" s="460"/>
      <c r="AT98" s="182"/>
      <c r="AU98" s="180"/>
      <c r="AV98" s="180"/>
      <c r="AW98" s="182" t="e">
        <f t="shared" si="83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#DIV/0!</v>
      </c>
      <c r="N99" s="462"/>
      <c r="O99" s="462"/>
      <c r="P99" s="182"/>
      <c r="Q99" s="180"/>
      <c r="R99" s="180"/>
      <c r="S99" s="182" t="e">
        <f t="shared" si="86"/>
        <v>#N/A</v>
      </c>
      <c r="T99" s="460"/>
      <c r="U99" s="182"/>
      <c r="V99" s="180"/>
      <c r="W99" s="180"/>
      <c r="X99" s="182" t="e">
        <f t="shared" si="73"/>
        <v>#N/A</v>
      </c>
      <c r="Y99" s="460"/>
      <c r="Z99" s="182"/>
      <c r="AA99" s="180"/>
      <c r="AB99" s="180"/>
      <c r="AC99" s="182" t="e">
        <f t="shared" si="75"/>
        <v>#N/A</v>
      </c>
      <c r="AD99" s="460"/>
      <c r="AE99" s="182"/>
      <c r="AF99" s="180"/>
      <c r="AG99" s="180"/>
      <c r="AH99" s="182" t="e">
        <f t="shared" si="77"/>
        <v>#N/A</v>
      </c>
      <c r="AI99" s="460"/>
      <c r="AJ99" s="182"/>
      <c r="AK99" s="180"/>
      <c r="AL99" s="180"/>
      <c r="AM99" s="182" t="e">
        <f t="shared" si="79"/>
        <v>#N/A</v>
      </c>
      <c r="AN99" s="460"/>
      <c r="AO99" s="182"/>
      <c r="AP99" s="180"/>
      <c r="AQ99" s="180"/>
      <c r="AR99" s="182" t="e">
        <f t="shared" si="81"/>
        <v>#N/A</v>
      </c>
      <c r="AS99" s="460"/>
      <c r="AT99" s="182"/>
      <c r="AU99" s="180"/>
      <c r="AV99" s="180"/>
      <c r="AW99" s="182" t="e">
        <f t="shared" si="83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#DIV/0!</v>
      </c>
      <c r="N100" s="462"/>
      <c r="O100" s="462"/>
      <c r="P100" s="182"/>
      <c r="Q100" s="180"/>
      <c r="R100" s="180"/>
      <c r="S100" s="182" t="e">
        <f t="shared" si="86"/>
        <v>#N/A</v>
      </c>
      <c r="T100" s="460"/>
      <c r="U100" s="182"/>
      <c r="V100" s="180"/>
      <c r="W100" s="180"/>
      <c r="X100" s="182" t="e">
        <f t="shared" si="73"/>
        <v>#N/A</v>
      </c>
      <c r="Y100" s="460"/>
      <c r="Z100" s="182"/>
      <c r="AA100" s="180"/>
      <c r="AB100" s="180"/>
      <c r="AC100" s="182" t="e">
        <f t="shared" si="75"/>
        <v>#N/A</v>
      </c>
      <c r="AD100" s="460"/>
      <c r="AE100" s="182"/>
      <c r="AF100" s="180"/>
      <c r="AG100" s="180"/>
      <c r="AH100" s="182" t="e">
        <f t="shared" si="77"/>
        <v>#N/A</v>
      </c>
      <c r="AI100" s="460"/>
      <c r="AJ100" s="182"/>
      <c r="AK100" s="180"/>
      <c r="AL100" s="180"/>
      <c r="AM100" s="182" t="e">
        <f t="shared" si="79"/>
        <v>#N/A</v>
      </c>
      <c r="AN100" s="460"/>
      <c r="AO100" s="182"/>
      <c r="AP100" s="180"/>
      <c r="AQ100" s="180"/>
      <c r="AR100" s="182" t="e">
        <f t="shared" si="81"/>
        <v>#N/A</v>
      </c>
      <c r="AS100" s="460"/>
      <c r="AT100" s="182"/>
      <c r="AU100" s="180"/>
      <c r="AV100" s="180"/>
      <c r="AW100" s="182" t="e">
        <f t="shared" si="83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#DIV/0!</v>
      </c>
      <c r="N101" s="462"/>
      <c r="O101" s="462"/>
      <c r="P101" s="182"/>
      <c r="Q101" s="180"/>
      <c r="R101" s="180"/>
      <c r="S101" s="182" t="e">
        <f t="shared" si="86"/>
        <v>#N/A</v>
      </c>
      <c r="T101" s="461"/>
      <c r="U101" s="182"/>
      <c r="V101" s="180"/>
      <c r="W101" s="180"/>
      <c r="X101" s="182" t="e">
        <f t="shared" si="73"/>
        <v>#N/A</v>
      </c>
      <c r="Y101" s="461"/>
      <c r="Z101" s="182"/>
      <c r="AA101" s="180"/>
      <c r="AB101" s="180"/>
      <c r="AC101" s="182" t="e">
        <f t="shared" si="75"/>
        <v>#N/A</v>
      </c>
      <c r="AD101" s="461"/>
      <c r="AE101" s="182"/>
      <c r="AF101" s="180"/>
      <c r="AG101" s="180"/>
      <c r="AH101" s="182" t="e">
        <f t="shared" si="77"/>
        <v>#N/A</v>
      </c>
      <c r="AI101" s="461"/>
      <c r="AJ101" s="182"/>
      <c r="AK101" s="180"/>
      <c r="AL101" s="180"/>
      <c r="AM101" s="182" t="e">
        <f t="shared" si="79"/>
        <v>#N/A</v>
      </c>
      <c r="AN101" s="461"/>
      <c r="AO101" s="182"/>
      <c r="AP101" s="180"/>
      <c r="AQ101" s="180"/>
      <c r="AR101" s="182" t="e">
        <f t="shared" si="81"/>
        <v>#N/A</v>
      </c>
      <c r="AS101" s="461"/>
      <c r="AT101" s="182"/>
      <c r="AU101" s="180"/>
      <c r="AV101" s="180"/>
      <c r="AW101" s="182" t="e">
        <f t="shared" si="83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187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81" t="e">
        <f>RANK(K107, K$107:$K$121)</f>
        <v>#DIV/0!</v>
      </c>
      <c r="N107" s="462"/>
      <c r="O107" s="462"/>
      <c r="P107" s="166"/>
      <c r="Q107" s="180"/>
      <c r="R107" s="180"/>
      <c r="S107" s="182" t="e">
        <f>RANK(R107, R$107:R$121)</f>
        <v>#N/A</v>
      </c>
      <c r="T107" s="459" t="e">
        <f>AVERAGE(R107:R121)</f>
        <v>#DIV/0!</v>
      </c>
      <c r="U107" s="166"/>
      <c r="V107" s="180"/>
      <c r="W107" s="180"/>
      <c r="X107" s="182" t="e">
        <f>RANK(W107, W$107:W$121)</f>
        <v>#N/A</v>
      </c>
      <c r="Y107" s="459" t="e">
        <f>AVERAGE(W107:W121)</f>
        <v>#DIV/0!</v>
      </c>
      <c r="Z107" s="166"/>
      <c r="AA107" s="180"/>
      <c r="AB107" s="180"/>
      <c r="AC107" s="182" t="e">
        <f>RANK(AB107, AB$107:AB$121)</f>
        <v>#N/A</v>
      </c>
      <c r="AD107" s="459" t="e">
        <f>AVERAGE(AB107:AB121)</f>
        <v>#DIV/0!</v>
      </c>
      <c r="AE107" s="166"/>
      <c r="AF107" s="180"/>
      <c r="AG107" s="180"/>
      <c r="AH107" s="182" t="e">
        <f>RANK(AG107, AG$107:AG$121)</f>
        <v>#N/A</v>
      </c>
      <c r="AI107" s="459" t="e">
        <f>AVERAGE(AG107:AG121)</f>
        <v>#DIV/0!</v>
      </c>
      <c r="AJ107" s="166"/>
      <c r="AK107" s="180"/>
      <c r="AL107" s="180"/>
      <c r="AM107" s="182" t="e">
        <f>RANK(AL107, AL$107:AL$121)</f>
        <v>#N/A</v>
      </c>
      <c r="AN107" s="459" t="e">
        <f>AVERAGE(AL107:AL121)</f>
        <v>#DIV/0!</v>
      </c>
      <c r="AO107" s="166"/>
      <c r="AP107" s="180"/>
      <c r="AQ107" s="180"/>
      <c r="AR107" s="182" t="e">
        <f>RANK(AQ107, AQ$107:AQ$121)</f>
        <v>#N/A</v>
      </c>
      <c r="AS107" s="459" t="e">
        <f>AVERAGE(AQ107:AQ121)</f>
        <v>#DIV/0!</v>
      </c>
      <c r="AT107" s="166"/>
      <c r="AU107" s="180"/>
      <c r="AV107" s="180"/>
      <c r="AW107" s="182" t="e">
        <f>RANK(AV107, AV$107:AV$121)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ref="I108:I114" si="90">AVERAGE(P108,U108,Z108,AE108,AJ108,AO108,AT108)</f>
        <v>#DIV/0!</v>
      </c>
      <c r="J108" s="166" t="e">
        <f t="shared" ref="J108:J114" si="91">AVERAGE(Q108,V108,AA108,AF108,AK108,AP108,AU108)</f>
        <v>#DIV/0!</v>
      </c>
      <c r="K108" s="180" t="e">
        <f t="shared" ref="K108:K114" si="92">AVERAGE(R108,W108,AB108,AG108,AL108,AQ108,AV108)</f>
        <v>#DIV/0!</v>
      </c>
      <c r="L108" s="460"/>
      <c r="M108" s="181" t="e">
        <f>RANK(K108, K$107:$K$121)</f>
        <v>#DIV/0!</v>
      </c>
      <c r="N108" s="462"/>
      <c r="O108" s="462"/>
      <c r="P108" s="182"/>
      <c r="Q108" s="180"/>
      <c r="R108" s="180"/>
      <c r="S108" s="182" t="e">
        <f t="shared" ref="S108:S121" si="93">RANK(R108, R$107:R$121)</f>
        <v>#N/A</v>
      </c>
      <c r="T108" s="460"/>
      <c r="U108" s="182"/>
      <c r="V108" s="180"/>
      <c r="W108" s="180"/>
      <c r="X108" s="182" t="e">
        <f t="shared" ref="X108:X121" si="94">RANK(W108, W$107:W$121)</f>
        <v>#N/A</v>
      </c>
      <c r="Y108" s="460"/>
      <c r="Z108" s="182"/>
      <c r="AA108" s="180"/>
      <c r="AB108" s="180"/>
      <c r="AC108" s="182" t="e">
        <f t="shared" ref="AC108:AC121" si="95">RANK(AB108, AB$107:AB$121)</f>
        <v>#N/A</v>
      </c>
      <c r="AD108" s="460"/>
      <c r="AE108" s="182"/>
      <c r="AF108" s="180"/>
      <c r="AG108" s="180"/>
      <c r="AH108" s="182" t="e">
        <f t="shared" ref="AH108:AH121" si="96">RANK(AG108, AG$107:AG$121)</f>
        <v>#N/A</v>
      </c>
      <c r="AI108" s="460"/>
      <c r="AJ108" s="182"/>
      <c r="AK108" s="180"/>
      <c r="AL108" s="180"/>
      <c r="AM108" s="182" t="e">
        <f t="shared" ref="AM108:AM121" si="97">RANK(AL108, AL$107:AL$121)</f>
        <v>#N/A</v>
      </c>
      <c r="AN108" s="460"/>
      <c r="AO108" s="182"/>
      <c r="AP108" s="180"/>
      <c r="AQ108" s="180"/>
      <c r="AR108" s="182" t="e">
        <f t="shared" ref="AR108:AR121" si="98">RANK(AQ108, AQ$107:AQ$121)</f>
        <v>#N/A</v>
      </c>
      <c r="AS108" s="460"/>
      <c r="AT108" s="182"/>
      <c r="AU108" s="180"/>
      <c r="AV108" s="180"/>
      <c r="AW108" s="182" t="e">
        <f t="shared" ref="AW108:AW121" si="99">RANK(AV108, AV$107:AV$121)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 t="e">
        <f t="shared" si="90"/>
        <v>#DIV/0!</v>
      </c>
      <c r="J109" s="166" t="e">
        <f t="shared" si="91"/>
        <v>#DIV/0!</v>
      </c>
      <c r="K109" s="180" t="e">
        <f t="shared" si="92"/>
        <v>#DIV/0!</v>
      </c>
      <c r="L109" s="460"/>
      <c r="M109" s="181" t="e">
        <f>RANK(K109, K$107:$K$121)</f>
        <v>#DIV/0!</v>
      </c>
      <c r="N109" s="462"/>
      <c r="O109" s="462"/>
      <c r="P109" s="182"/>
      <c r="Q109" s="180"/>
      <c r="R109" s="180"/>
      <c r="S109" s="182" t="e">
        <f t="shared" si="93"/>
        <v>#N/A</v>
      </c>
      <c r="T109" s="460"/>
      <c r="U109" s="182"/>
      <c r="V109" s="180"/>
      <c r="W109" s="180"/>
      <c r="X109" s="182" t="e">
        <f t="shared" si="94"/>
        <v>#N/A</v>
      </c>
      <c r="Y109" s="460"/>
      <c r="Z109" s="182"/>
      <c r="AA109" s="180"/>
      <c r="AB109" s="180"/>
      <c r="AC109" s="182" t="e">
        <f t="shared" si="95"/>
        <v>#N/A</v>
      </c>
      <c r="AD109" s="460"/>
      <c r="AE109" s="182"/>
      <c r="AF109" s="180"/>
      <c r="AG109" s="180"/>
      <c r="AH109" s="182" t="e">
        <f t="shared" si="96"/>
        <v>#N/A</v>
      </c>
      <c r="AI109" s="460"/>
      <c r="AJ109" s="182"/>
      <c r="AK109" s="180"/>
      <c r="AL109" s="180"/>
      <c r="AM109" s="182" t="e">
        <f t="shared" si="97"/>
        <v>#N/A</v>
      </c>
      <c r="AN109" s="460"/>
      <c r="AO109" s="182"/>
      <c r="AP109" s="180"/>
      <c r="AQ109" s="180"/>
      <c r="AR109" s="182" t="e">
        <f t="shared" si="98"/>
        <v>#N/A</v>
      </c>
      <c r="AS109" s="460"/>
      <c r="AT109" s="182"/>
      <c r="AU109" s="180"/>
      <c r="AV109" s="180"/>
      <c r="AW109" s="182" t="e">
        <f t="shared" si="99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 t="e">
        <f t="shared" si="90"/>
        <v>#DIV/0!</v>
      </c>
      <c r="J110" s="166" t="e">
        <f t="shared" si="91"/>
        <v>#DIV/0!</v>
      </c>
      <c r="K110" s="180" t="e">
        <f t="shared" si="92"/>
        <v>#DIV/0!</v>
      </c>
      <c r="L110" s="460"/>
      <c r="M110" s="181" t="e">
        <f>RANK(K110, K$107:$K$121)</f>
        <v>#DIV/0!</v>
      </c>
      <c r="N110" s="462"/>
      <c r="O110" s="462"/>
      <c r="P110" s="182"/>
      <c r="Q110" s="180"/>
      <c r="R110" s="180"/>
      <c r="S110" s="182" t="e">
        <f t="shared" si="93"/>
        <v>#N/A</v>
      </c>
      <c r="T110" s="460"/>
      <c r="U110" s="182"/>
      <c r="V110" s="180"/>
      <c r="W110" s="180"/>
      <c r="X110" s="182" t="e">
        <f t="shared" si="94"/>
        <v>#N/A</v>
      </c>
      <c r="Y110" s="460"/>
      <c r="Z110" s="182"/>
      <c r="AA110" s="180"/>
      <c r="AB110" s="180"/>
      <c r="AC110" s="182" t="e">
        <f t="shared" si="95"/>
        <v>#N/A</v>
      </c>
      <c r="AD110" s="460"/>
      <c r="AE110" s="182"/>
      <c r="AF110" s="180"/>
      <c r="AG110" s="180"/>
      <c r="AH110" s="182" t="e">
        <f t="shared" si="96"/>
        <v>#N/A</v>
      </c>
      <c r="AI110" s="460"/>
      <c r="AJ110" s="182"/>
      <c r="AK110" s="180"/>
      <c r="AL110" s="180"/>
      <c r="AM110" s="182" t="e">
        <f t="shared" si="97"/>
        <v>#N/A</v>
      </c>
      <c r="AN110" s="460"/>
      <c r="AO110" s="182"/>
      <c r="AP110" s="180"/>
      <c r="AQ110" s="180"/>
      <c r="AR110" s="182" t="e">
        <f t="shared" si="98"/>
        <v>#N/A</v>
      </c>
      <c r="AS110" s="460"/>
      <c r="AT110" s="182"/>
      <c r="AU110" s="180"/>
      <c r="AV110" s="180"/>
      <c r="AW110" s="182" t="e">
        <f t="shared" si="99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 t="e">
        <f t="shared" si="90"/>
        <v>#DIV/0!</v>
      </c>
      <c r="J111" s="166" t="e">
        <f t="shared" si="91"/>
        <v>#DIV/0!</v>
      </c>
      <c r="K111" s="180" t="e">
        <f t="shared" si="92"/>
        <v>#DIV/0!</v>
      </c>
      <c r="L111" s="460"/>
      <c r="M111" s="181" t="e">
        <f>RANK(K111, K$107:$K$121)</f>
        <v>#DIV/0!</v>
      </c>
      <c r="N111" s="462"/>
      <c r="O111" s="462"/>
      <c r="P111" s="182"/>
      <c r="Q111" s="180"/>
      <c r="R111" s="180"/>
      <c r="S111" s="182" t="e">
        <f t="shared" si="93"/>
        <v>#N/A</v>
      </c>
      <c r="T111" s="460"/>
      <c r="U111" s="182"/>
      <c r="V111" s="180"/>
      <c r="W111" s="180"/>
      <c r="X111" s="182" t="e">
        <f t="shared" si="94"/>
        <v>#N/A</v>
      </c>
      <c r="Y111" s="460"/>
      <c r="Z111" s="182"/>
      <c r="AA111" s="180"/>
      <c r="AB111" s="180"/>
      <c r="AC111" s="182" t="e">
        <f t="shared" si="95"/>
        <v>#N/A</v>
      </c>
      <c r="AD111" s="460"/>
      <c r="AE111" s="182"/>
      <c r="AF111" s="180"/>
      <c r="AG111" s="180"/>
      <c r="AH111" s="182" t="e">
        <f t="shared" si="96"/>
        <v>#N/A</v>
      </c>
      <c r="AI111" s="460"/>
      <c r="AJ111" s="182"/>
      <c r="AK111" s="180"/>
      <c r="AL111" s="180"/>
      <c r="AM111" s="182" t="e">
        <f t="shared" si="97"/>
        <v>#N/A</v>
      </c>
      <c r="AN111" s="460"/>
      <c r="AO111" s="182"/>
      <c r="AP111" s="180"/>
      <c r="AQ111" s="180"/>
      <c r="AR111" s="182" t="e">
        <f t="shared" si="98"/>
        <v>#N/A</v>
      </c>
      <c r="AS111" s="460"/>
      <c r="AT111" s="182"/>
      <c r="AU111" s="180"/>
      <c r="AV111" s="180"/>
      <c r="AW111" s="182" t="e">
        <f t="shared" si="99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 t="e">
        <f t="shared" si="90"/>
        <v>#DIV/0!</v>
      </c>
      <c r="J112" s="166" t="e">
        <f t="shared" si="91"/>
        <v>#DIV/0!</v>
      </c>
      <c r="K112" s="180" t="e">
        <f t="shared" si="92"/>
        <v>#DIV/0!</v>
      </c>
      <c r="L112" s="460"/>
      <c r="M112" s="181" t="e">
        <f>RANK(K112, K$107:$K$121)</f>
        <v>#DIV/0!</v>
      </c>
      <c r="N112" s="462"/>
      <c r="O112" s="462"/>
      <c r="P112" s="182"/>
      <c r="Q112" s="180"/>
      <c r="R112" s="180"/>
      <c r="S112" s="182" t="e">
        <f t="shared" si="93"/>
        <v>#N/A</v>
      </c>
      <c r="T112" s="460"/>
      <c r="U112" s="182"/>
      <c r="V112" s="180"/>
      <c r="W112" s="180"/>
      <c r="X112" s="182" t="e">
        <f t="shared" si="94"/>
        <v>#N/A</v>
      </c>
      <c r="Y112" s="460"/>
      <c r="Z112" s="182"/>
      <c r="AA112" s="180"/>
      <c r="AB112" s="180"/>
      <c r="AC112" s="182" t="e">
        <f t="shared" si="95"/>
        <v>#N/A</v>
      </c>
      <c r="AD112" s="460"/>
      <c r="AE112" s="182"/>
      <c r="AF112" s="180"/>
      <c r="AG112" s="180"/>
      <c r="AH112" s="182" t="e">
        <f t="shared" si="96"/>
        <v>#N/A</v>
      </c>
      <c r="AI112" s="460"/>
      <c r="AJ112" s="182"/>
      <c r="AK112" s="180"/>
      <c r="AL112" s="180"/>
      <c r="AM112" s="182" t="e">
        <f t="shared" si="97"/>
        <v>#N/A</v>
      </c>
      <c r="AN112" s="460"/>
      <c r="AO112" s="182"/>
      <c r="AP112" s="180"/>
      <c r="AQ112" s="180"/>
      <c r="AR112" s="182" t="e">
        <f t="shared" si="98"/>
        <v>#N/A</v>
      </c>
      <c r="AS112" s="460"/>
      <c r="AT112" s="182"/>
      <c r="AU112" s="180"/>
      <c r="AV112" s="180"/>
      <c r="AW112" s="182" t="e">
        <f t="shared" si="99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 t="e">
        <f t="shared" si="90"/>
        <v>#DIV/0!</v>
      </c>
      <c r="J113" s="166" t="e">
        <f t="shared" si="91"/>
        <v>#DIV/0!</v>
      </c>
      <c r="K113" s="180" t="e">
        <f t="shared" si="92"/>
        <v>#DIV/0!</v>
      </c>
      <c r="L113" s="460"/>
      <c r="M113" s="181" t="e">
        <f>RANK(K113, K$107:$K$121)</f>
        <v>#DIV/0!</v>
      </c>
      <c r="N113" s="462"/>
      <c r="O113" s="462"/>
      <c r="P113" s="182"/>
      <c r="Q113" s="180"/>
      <c r="R113" s="180"/>
      <c r="S113" s="182" t="e">
        <f t="shared" si="93"/>
        <v>#N/A</v>
      </c>
      <c r="T113" s="460"/>
      <c r="U113" s="182"/>
      <c r="V113" s="180"/>
      <c r="W113" s="180"/>
      <c r="X113" s="182" t="e">
        <f t="shared" si="94"/>
        <v>#N/A</v>
      </c>
      <c r="Y113" s="460"/>
      <c r="Z113" s="182"/>
      <c r="AA113" s="180"/>
      <c r="AB113" s="180"/>
      <c r="AC113" s="182" t="e">
        <f t="shared" si="95"/>
        <v>#N/A</v>
      </c>
      <c r="AD113" s="460"/>
      <c r="AE113" s="182"/>
      <c r="AF113" s="180"/>
      <c r="AG113" s="180"/>
      <c r="AH113" s="182" t="e">
        <f t="shared" si="96"/>
        <v>#N/A</v>
      </c>
      <c r="AI113" s="460"/>
      <c r="AJ113" s="182"/>
      <c r="AK113" s="180"/>
      <c r="AL113" s="180"/>
      <c r="AM113" s="182" t="e">
        <f t="shared" si="97"/>
        <v>#N/A</v>
      </c>
      <c r="AN113" s="460"/>
      <c r="AO113" s="182"/>
      <c r="AP113" s="180"/>
      <c r="AQ113" s="180"/>
      <c r="AR113" s="182" t="e">
        <f t="shared" si="98"/>
        <v>#N/A</v>
      </c>
      <c r="AS113" s="460"/>
      <c r="AT113" s="182"/>
      <c r="AU113" s="180"/>
      <c r="AV113" s="180"/>
      <c r="AW113" s="182" t="e">
        <f t="shared" si="99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 t="e">
        <f t="shared" si="90"/>
        <v>#DIV/0!</v>
      </c>
      <c r="J114" s="166" t="e">
        <f t="shared" si="91"/>
        <v>#DIV/0!</v>
      </c>
      <c r="K114" s="180" t="e">
        <f t="shared" si="92"/>
        <v>#DIV/0!</v>
      </c>
      <c r="L114" s="460"/>
      <c r="M114" s="181" t="e">
        <f>RANK(K114, K$107:$K$121)</f>
        <v>#DIV/0!</v>
      </c>
      <c r="N114" s="462"/>
      <c r="O114" s="462"/>
      <c r="P114" s="182"/>
      <c r="Q114" s="180"/>
      <c r="R114" s="180"/>
      <c r="S114" s="182" t="e">
        <f t="shared" si="93"/>
        <v>#N/A</v>
      </c>
      <c r="T114" s="460"/>
      <c r="U114" s="182"/>
      <c r="V114" s="180"/>
      <c r="W114" s="180"/>
      <c r="X114" s="182" t="e">
        <f t="shared" si="94"/>
        <v>#N/A</v>
      </c>
      <c r="Y114" s="460"/>
      <c r="Z114" s="182"/>
      <c r="AA114" s="180"/>
      <c r="AB114" s="180"/>
      <c r="AC114" s="182" t="e">
        <f t="shared" si="95"/>
        <v>#N/A</v>
      </c>
      <c r="AD114" s="460"/>
      <c r="AE114" s="182"/>
      <c r="AF114" s="180"/>
      <c r="AG114" s="180"/>
      <c r="AH114" s="182" t="e">
        <f t="shared" si="96"/>
        <v>#N/A</v>
      </c>
      <c r="AI114" s="460"/>
      <c r="AJ114" s="182"/>
      <c r="AK114" s="180"/>
      <c r="AL114" s="180"/>
      <c r="AM114" s="182" t="e">
        <f t="shared" si="97"/>
        <v>#N/A</v>
      </c>
      <c r="AN114" s="460"/>
      <c r="AO114" s="182"/>
      <c r="AP114" s="180"/>
      <c r="AQ114" s="180"/>
      <c r="AR114" s="182" t="e">
        <f t="shared" si="98"/>
        <v>#N/A</v>
      </c>
      <c r="AS114" s="460"/>
      <c r="AT114" s="182"/>
      <c r="AU114" s="180"/>
      <c r="AV114" s="180"/>
      <c r="AW114" s="182" t="e">
        <f t="shared" si="99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 t="e">
        <f t="shared" ref="I115:I116" si="100">AVERAGE(P115,U115,Z115,AE115,AJ115,AO115,AT115)</f>
        <v>#DIV/0!</v>
      </c>
      <c r="J115" s="166" t="e">
        <f t="shared" ref="J115:J116" si="101">AVERAGE(Q115,V115,AA115,AF115,AK115,AP115,AU115)</f>
        <v>#DIV/0!</v>
      </c>
      <c r="K115" s="180" t="e">
        <f t="shared" ref="K115:K116" si="102">AVERAGE(R115,W115,AB115,AG115,AL115,AQ115,AV115)</f>
        <v>#DIV/0!</v>
      </c>
      <c r="L115" s="460"/>
      <c r="M115" s="181" t="e">
        <f>RANK(K115, K$107:$K$121)</f>
        <v>#DIV/0!</v>
      </c>
      <c r="N115" s="462"/>
      <c r="O115" s="462"/>
      <c r="P115" s="182"/>
      <c r="Q115" s="180"/>
      <c r="R115" s="180"/>
      <c r="S115" s="182" t="e">
        <f t="shared" si="93"/>
        <v>#N/A</v>
      </c>
      <c r="T115" s="460"/>
      <c r="U115" s="182"/>
      <c r="V115" s="180"/>
      <c r="W115" s="180"/>
      <c r="X115" s="182" t="e">
        <f t="shared" si="94"/>
        <v>#N/A</v>
      </c>
      <c r="Y115" s="460"/>
      <c r="Z115" s="182"/>
      <c r="AA115" s="180"/>
      <c r="AB115" s="180"/>
      <c r="AC115" s="182" t="e">
        <f t="shared" si="95"/>
        <v>#N/A</v>
      </c>
      <c r="AD115" s="460"/>
      <c r="AE115" s="182"/>
      <c r="AF115" s="180"/>
      <c r="AG115" s="180"/>
      <c r="AH115" s="182" t="e">
        <f t="shared" si="96"/>
        <v>#N/A</v>
      </c>
      <c r="AI115" s="460"/>
      <c r="AJ115" s="182"/>
      <c r="AK115" s="180"/>
      <c r="AL115" s="180"/>
      <c r="AM115" s="182" t="e">
        <f t="shared" si="97"/>
        <v>#N/A</v>
      </c>
      <c r="AN115" s="460"/>
      <c r="AO115" s="182"/>
      <c r="AP115" s="180"/>
      <c r="AQ115" s="180"/>
      <c r="AR115" s="182" t="e">
        <f t="shared" si="98"/>
        <v>#N/A</v>
      </c>
      <c r="AS115" s="460"/>
      <c r="AT115" s="182"/>
      <c r="AU115" s="180"/>
      <c r="AV115" s="180"/>
      <c r="AW115" s="182" t="e">
        <f t="shared" si="99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 t="e">
        <f t="shared" si="100"/>
        <v>#DIV/0!</v>
      </c>
      <c r="J116" s="166" t="e">
        <f t="shared" si="101"/>
        <v>#DIV/0!</v>
      </c>
      <c r="K116" s="180" t="e">
        <f t="shared" si="102"/>
        <v>#DIV/0!</v>
      </c>
      <c r="L116" s="460"/>
      <c r="M116" s="181" t="e">
        <f>RANK(K116, K$107:$K$121)</f>
        <v>#DIV/0!</v>
      </c>
      <c r="N116" s="462"/>
      <c r="O116" s="462"/>
      <c r="P116" s="182"/>
      <c r="Q116" s="180"/>
      <c r="R116" s="180"/>
      <c r="S116" s="182" t="e">
        <f t="shared" si="93"/>
        <v>#N/A</v>
      </c>
      <c r="T116" s="460"/>
      <c r="U116" s="182"/>
      <c r="V116" s="180"/>
      <c r="W116" s="180"/>
      <c r="X116" s="182" t="e">
        <f t="shared" si="94"/>
        <v>#N/A</v>
      </c>
      <c r="Y116" s="460"/>
      <c r="Z116" s="182"/>
      <c r="AA116" s="180"/>
      <c r="AB116" s="180"/>
      <c r="AC116" s="182" t="e">
        <f t="shared" si="95"/>
        <v>#N/A</v>
      </c>
      <c r="AD116" s="460"/>
      <c r="AE116" s="182"/>
      <c r="AF116" s="180"/>
      <c r="AG116" s="180"/>
      <c r="AH116" s="182" t="e">
        <f t="shared" si="96"/>
        <v>#N/A</v>
      </c>
      <c r="AI116" s="460"/>
      <c r="AJ116" s="182"/>
      <c r="AK116" s="180"/>
      <c r="AL116" s="180"/>
      <c r="AM116" s="182" t="e">
        <f t="shared" si="97"/>
        <v>#N/A</v>
      </c>
      <c r="AN116" s="460"/>
      <c r="AO116" s="182"/>
      <c r="AP116" s="180"/>
      <c r="AQ116" s="180"/>
      <c r="AR116" s="182" t="e">
        <f t="shared" si="98"/>
        <v>#N/A</v>
      </c>
      <c r="AS116" s="460"/>
      <c r="AT116" s="182"/>
      <c r="AU116" s="180"/>
      <c r="AV116" s="180"/>
      <c r="AW116" s="182" t="e">
        <f t="shared" si="99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82"/>
      <c r="J117" s="182"/>
      <c r="K117" s="182"/>
      <c r="L117" s="460"/>
      <c r="M117" s="181" t="e">
        <f>RANK(K117, K$107:$K$121)</f>
        <v>#DIV/0!</v>
      </c>
      <c r="N117" s="462"/>
      <c r="O117" s="462"/>
      <c r="P117" s="182"/>
      <c r="Q117" s="180"/>
      <c r="R117" s="180"/>
      <c r="S117" s="182" t="e">
        <f t="shared" si="93"/>
        <v>#N/A</v>
      </c>
      <c r="T117" s="460"/>
      <c r="U117" s="182"/>
      <c r="V117" s="180"/>
      <c r="W117" s="180"/>
      <c r="X117" s="182" t="e">
        <f t="shared" si="94"/>
        <v>#N/A</v>
      </c>
      <c r="Y117" s="460"/>
      <c r="Z117" s="182"/>
      <c r="AA117" s="180"/>
      <c r="AB117" s="180"/>
      <c r="AC117" s="182" t="e">
        <f t="shared" si="95"/>
        <v>#N/A</v>
      </c>
      <c r="AD117" s="460"/>
      <c r="AE117" s="182"/>
      <c r="AF117" s="180"/>
      <c r="AG117" s="180"/>
      <c r="AH117" s="182" t="e">
        <f t="shared" si="96"/>
        <v>#N/A</v>
      </c>
      <c r="AI117" s="460"/>
      <c r="AJ117" s="182"/>
      <c r="AK117" s="180"/>
      <c r="AL117" s="180"/>
      <c r="AM117" s="182" t="e">
        <f t="shared" si="97"/>
        <v>#N/A</v>
      </c>
      <c r="AN117" s="460"/>
      <c r="AO117" s="182"/>
      <c r="AP117" s="180"/>
      <c r="AQ117" s="180"/>
      <c r="AR117" s="182" t="e">
        <f t="shared" si="98"/>
        <v>#N/A</v>
      </c>
      <c r="AS117" s="460"/>
      <c r="AT117" s="182"/>
      <c r="AU117" s="180"/>
      <c r="AV117" s="180"/>
      <c r="AW117" s="182" t="e">
        <f t="shared" si="99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82"/>
      <c r="J118" s="182"/>
      <c r="K118" s="182"/>
      <c r="L118" s="460"/>
      <c r="M118" s="181" t="e">
        <f>RANK(K118, K$107:$K$121)</f>
        <v>#DIV/0!</v>
      </c>
      <c r="N118" s="462"/>
      <c r="O118" s="462"/>
      <c r="P118" s="182"/>
      <c r="Q118" s="180"/>
      <c r="R118" s="180"/>
      <c r="S118" s="182" t="e">
        <f t="shared" si="93"/>
        <v>#N/A</v>
      </c>
      <c r="T118" s="460"/>
      <c r="U118" s="182"/>
      <c r="V118" s="180"/>
      <c r="W118" s="180"/>
      <c r="X118" s="182" t="e">
        <f t="shared" si="94"/>
        <v>#N/A</v>
      </c>
      <c r="Y118" s="460"/>
      <c r="Z118" s="182"/>
      <c r="AA118" s="180"/>
      <c r="AB118" s="180"/>
      <c r="AC118" s="182" t="e">
        <f t="shared" si="95"/>
        <v>#N/A</v>
      </c>
      <c r="AD118" s="460"/>
      <c r="AE118" s="182"/>
      <c r="AF118" s="180"/>
      <c r="AG118" s="180"/>
      <c r="AH118" s="182" t="e">
        <f t="shared" si="96"/>
        <v>#N/A</v>
      </c>
      <c r="AI118" s="460"/>
      <c r="AJ118" s="182"/>
      <c r="AK118" s="180"/>
      <c r="AL118" s="180"/>
      <c r="AM118" s="182" t="e">
        <f t="shared" si="97"/>
        <v>#N/A</v>
      </c>
      <c r="AN118" s="460"/>
      <c r="AO118" s="182"/>
      <c r="AP118" s="180"/>
      <c r="AQ118" s="180"/>
      <c r="AR118" s="182" t="e">
        <f t="shared" si="98"/>
        <v>#N/A</v>
      </c>
      <c r="AS118" s="460"/>
      <c r="AT118" s="182"/>
      <c r="AU118" s="180"/>
      <c r="AV118" s="180"/>
      <c r="AW118" s="182" t="e">
        <f t="shared" si="99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81" t="e">
        <f>RANK(K119, K$107:$K$121)</f>
        <v>#DIV/0!</v>
      </c>
      <c r="N119" s="462"/>
      <c r="O119" s="462"/>
      <c r="P119" s="182"/>
      <c r="Q119" s="180"/>
      <c r="R119" s="180"/>
      <c r="S119" s="182" t="e">
        <f t="shared" si="93"/>
        <v>#N/A</v>
      </c>
      <c r="T119" s="460"/>
      <c r="U119" s="182"/>
      <c r="V119" s="180"/>
      <c r="W119" s="180"/>
      <c r="X119" s="182" t="e">
        <f t="shared" si="94"/>
        <v>#N/A</v>
      </c>
      <c r="Y119" s="460"/>
      <c r="Z119" s="182"/>
      <c r="AA119" s="180"/>
      <c r="AB119" s="180"/>
      <c r="AC119" s="182" t="e">
        <f t="shared" si="95"/>
        <v>#N/A</v>
      </c>
      <c r="AD119" s="460"/>
      <c r="AE119" s="182"/>
      <c r="AF119" s="180"/>
      <c r="AG119" s="180"/>
      <c r="AH119" s="182" t="e">
        <f t="shared" si="96"/>
        <v>#N/A</v>
      </c>
      <c r="AI119" s="460"/>
      <c r="AJ119" s="182"/>
      <c r="AK119" s="180"/>
      <c r="AL119" s="180"/>
      <c r="AM119" s="182" t="e">
        <f t="shared" si="97"/>
        <v>#N/A</v>
      </c>
      <c r="AN119" s="460"/>
      <c r="AO119" s="182"/>
      <c r="AP119" s="180"/>
      <c r="AQ119" s="180"/>
      <c r="AR119" s="182" t="e">
        <f t="shared" si="98"/>
        <v>#N/A</v>
      </c>
      <c r="AS119" s="460"/>
      <c r="AT119" s="182"/>
      <c r="AU119" s="180"/>
      <c r="AV119" s="180"/>
      <c r="AW119" s="182" t="e">
        <f t="shared" si="99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81" t="e">
        <f>RANK(K120, K$107:$K$121)</f>
        <v>#DIV/0!</v>
      </c>
      <c r="N120" s="462"/>
      <c r="O120" s="462"/>
      <c r="P120" s="182"/>
      <c r="Q120" s="180"/>
      <c r="R120" s="180"/>
      <c r="S120" s="182" t="e">
        <f t="shared" si="93"/>
        <v>#N/A</v>
      </c>
      <c r="T120" s="460"/>
      <c r="U120" s="182"/>
      <c r="V120" s="180"/>
      <c r="W120" s="180"/>
      <c r="X120" s="182" t="e">
        <f t="shared" si="94"/>
        <v>#N/A</v>
      </c>
      <c r="Y120" s="460"/>
      <c r="Z120" s="182"/>
      <c r="AA120" s="180"/>
      <c r="AB120" s="180"/>
      <c r="AC120" s="182" t="e">
        <f t="shared" si="95"/>
        <v>#N/A</v>
      </c>
      <c r="AD120" s="460"/>
      <c r="AE120" s="182"/>
      <c r="AF120" s="180"/>
      <c r="AG120" s="180"/>
      <c r="AH120" s="182" t="e">
        <f t="shared" si="96"/>
        <v>#N/A</v>
      </c>
      <c r="AI120" s="460"/>
      <c r="AJ120" s="182"/>
      <c r="AK120" s="180"/>
      <c r="AL120" s="180"/>
      <c r="AM120" s="182" t="e">
        <f t="shared" si="97"/>
        <v>#N/A</v>
      </c>
      <c r="AN120" s="460"/>
      <c r="AO120" s="182"/>
      <c r="AP120" s="180"/>
      <c r="AQ120" s="180"/>
      <c r="AR120" s="182" t="e">
        <f t="shared" si="98"/>
        <v>#N/A</v>
      </c>
      <c r="AS120" s="460"/>
      <c r="AT120" s="182"/>
      <c r="AU120" s="180"/>
      <c r="AV120" s="180"/>
      <c r="AW120" s="182" t="e">
        <f t="shared" si="99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81" t="e">
        <f>RANK(K121, K$107:$K$121)</f>
        <v>#DIV/0!</v>
      </c>
      <c r="N121" s="462"/>
      <c r="O121" s="462"/>
      <c r="P121" s="182"/>
      <c r="Q121" s="180"/>
      <c r="R121" s="180"/>
      <c r="S121" s="182" t="e">
        <f t="shared" si="93"/>
        <v>#N/A</v>
      </c>
      <c r="T121" s="461"/>
      <c r="U121" s="182"/>
      <c r="V121" s="180"/>
      <c r="W121" s="180"/>
      <c r="X121" s="182" t="e">
        <f t="shared" si="94"/>
        <v>#N/A</v>
      </c>
      <c r="Y121" s="461"/>
      <c r="Z121" s="182"/>
      <c r="AA121" s="180"/>
      <c r="AB121" s="180"/>
      <c r="AC121" s="182" t="e">
        <f t="shared" si="95"/>
        <v>#N/A</v>
      </c>
      <c r="AD121" s="461"/>
      <c r="AE121" s="182"/>
      <c r="AF121" s="180"/>
      <c r="AG121" s="180"/>
      <c r="AH121" s="182" t="e">
        <f t="shared" si="96"/>
        <v>#N/A</v>
      </c>
      <c r="AI121" s="461"/>
      <c r="AJ121" s="182"/>
      <c r="AK121" s="180"/>
      <c r="AL121" s="180"/>
      <c r="AM121" s="182" t="e">
        <f t="shared" si="97"/>
        <v>#N/A</v>
      </c>
      <c r="AN121" s="461"/>
      <c r="AO121" s="182"/>
      <c r="AP121" s="180"/>
      <c r="AQ121" s="180"/>
      <c r="AR121" s="182" t="e">
        <f t="shared" si="98"/>
        <v>#N/A</v>
      </c>
      <c r="AS121" s="461"/>
      <c r="AT121" s="182"/>
      <c r="AU121" s="180"/>
      <c r="AV121" s="180"/>
      <c r="AW121" s="182" t="e">
        <f t="shared" si="99"/>
        <v>#N/A</v>
      </c>
      <c r="AX121" s="491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187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5" si="103">AVERAGEIF($D$7:$D$121,$D128,I$7:I$121)</f>
        <v>#DIV/0!</v>
      </c>
      <c r="J128" s="166" t="e">
        <f t="shared" si="103"/>
        <v>#DIV/0!</v>
      </c>
      <c r="K128" s="166" t="e">
        <f t="shared" ref="K128:K135" si="104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103"/>
        <v>#DIV/0!</v>
      </c>
      <c r="J129" s="166" t="e">
        <f t="shared" si="103"/>
        <v>#DIV/0!</v>
      </c>
      <c r="K129" s="166" t="e">
        <f t="shared" si="104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103"/>
        <v>#DIV/0!</v>
      </c>
      <c r="J130" s="166" t="e">
        <f t="shared" si="103"/>
        <v>#DIV/0!</v>
      </c>
      <c r="K130" s="166" t="e">
        <f t="shared" si="104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103"/>
        <v>#DIV/0!</v>
      </c>
      <c r="J131" s="166" t="e">
        <f t="shared" si="103"/>
        <v>#DIV/0!</v>
      </c>
      <c r="K131" s="166" t="e">
        <f t="shared" si="104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103"/>
        <v>#DIV/0!</v>
      </c>
      <c r="J132" s="166" t="e">
        <f t="shared" si="103"/>
        <v>#DIV/0!</v>
      </c>
      <c r="K132" s="166" t="e">
        <f t="shared" si="104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103"/>
        <v>#DIV/0!</v>
      </c>
      <c r="J133" s="166" t="e">
        <f t="shared" si="103"/>
        <v>#DIV/0!</v>
      </c>
      <c r="K133" s="166" t="e">
        <f t="shared" si="104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103"/>
        <v>#DIV/0!</v>
      </c>
      <c r="J134" s="166" t="e">
        <f t="shared" si="103"/>
        <v>#DIV/0!</v>
      </c>
      <c r="K134" s="166" t="e">
        <f t="shared" si="104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 t="e">
        <f t="shared" si="103"/>
        <v>#DIV/0!</v>
      </c>
      <c r="J135" s="166" t="e">
        <f t="shared" si="103"/>
        <v>#DIV/0!</v>
      </c>
      <c r="K135" s="166" t="e">
        <f t="shared" si="104"/>
        <v>#DIV/0!</v>
      </c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2" zoomScale="60" zoomScaleNormal="60" workbookViewId="0">
      <pane xSplit="15" topLeftCell="AC1" activePane="topRight" state="frozen"/>
      <selection activeCell="A7" sqref="A7:L28"/>
      <selection pane="topRight" activeCell="L107" sqref="L107:L12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69.153660299168592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321</v>
      </c>
      <c r="C4" s="462" t="s">
        <v>322</v>
      </c>
      <c r="D4" s="462"/>
      <c r="E4" s="462" t="s">
        <v>323</v>
      </c>
      <c r="F4" s="462"/>
      <c r="G4" s="462"/>
      <c r="H4" s="463" t="s">
        <v>324</v>
      </c>
      <c r="I4" s="462" t="s">
        <v>325</v>
      </c>
      <c r="J4" s="462"/>
      <c r="K4" s="462"/>
      <c r="L4" s="463" t="s">
        <v>324</v>
      </c>
      <c r="M4" s="469" t="s">
        <v>326</v>
      </c>
      <c r="N4" s="462"/>
      <c r="O4" s="462" t="s">
        <v>327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328</v>
      </c>
      <c r="F5" s="462"/>
      <c r="G5" s="462"/>
      <c r="H5" s="464"/>
      <c r="I5" s="462" t="s">
        <v>328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329</v>
      </c>
      <c r="F6" s="271" t="s">
        <v>330</v>
      </c>
      <c r="G6" s="271" t="s">
        <v>331</v>
      </c>
      <c r="H6" s="465"/>
      <c r="I6" s="271" t="s">
        <v>329</v>
      </c>
      <c r="J6" s="271" t="s">
        <v>330</v>
      </c>
      <c r="K6" s="271" t="s">
        <v>331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332</v>
      </c>
      <c r="C7" s="182">
        <v>1</v>
      </c>
      <c r="D7" s="203" t="s">
        <v>333</v>
      </c>
      <c r="E7" s="166">
        <v>18</v>
      </c>
      <c r="F7" s="166">
        <v>1636</v>
      </c>
      <c r="G7" s="166">
        <v>90.9</v>
      </c>
      <c r="H7" s="459">
        <f>AVERAGE(G7:G21)</f>
        <v>81.277777777777771</v>
      </c>
      <c r="I7" s="166">
        <f>AVERAGE(P7,U7,Z7,AE7,AJ7,AO7,AT7)</f>
        <v>16.857142857142858</v>
      </c>
      <c r="J7" s="166">
        <f>AVERAGE(Q7,V7,AA7,AF7,AK7,AP7,AU7)</f>
        <v>1444.5204072039264</v>
      </c>
      <c r="K7" s="180">
        <f>AVERAGE(R7,W7,AB7,AG7,AL7,AQ7,AV7)</f>
        <v>85.724674150600521</v>
      </c>
      <c r="L7" s="459">
        <f>AVERAGE(K7:K21)</f>
        <v>66.898976619210671</v>
      </c>
      <c r="M7" s="181">
        <f>RANK(K7, K$7:$K$21)</f>
        <v>2</v>
      </c>
      <c r="N7" s="462"/>
      <c r="O7" s="462"/>
      <c r="P7" s="182">
        <v>17</v>
      </c>
      <c r="Q7" s="166">
        <v>1452.1621621621609</v>
      </c>
      <c r="R7" s="166">
        <v>85.421303656597701</v>
      </c>
      <c r="S7" s="166">
        <f>RANK(R7, R$7:R$21)</f>
        <v>2</v>
      </c>
      <c r="T7" s="506">
        <f>AVERAGE(R7:R21)</f>
        <v>70.114877356159923</v>
      </c>
      <c r="U7" s="182">
        <v>17</v>
      </c>
      <c r="V7" s="166">
        <v>1438.1249999999998</v>
      </c>
      <c r="W7" s="166">
        <v>84.595588235294102</v>
      </c>
      <c r="X7" s="166">
        <f>RANK(W7, W$7:W$21)</f>
        <v>2</v>
      </c>
      <c r="Y7" s="491">
        <f>AVERAGE(W7:W21)</f>
        <v>66.59686231027105</v>
      </c>
      <c r="Z7" s="182">
        <v>17</v>
      </c>
      <c r="AA7" s="166">
        <v>1445.1428571428573</v>
      </c>
      <c r="AB7" s="166">
        <v>85.008403361344548</v>
      </c>
      <c r="AC7" s="166">
        <f>RANK(AB7, AB$7:AB$21)</f>
        <v>2</v>
      </c>
      <c r="AD7" s="491">
        <f>AVERAGE(AB7:AB21)</f>
        <v>69.21887006293511</v>
      </c>
      <c r="AE7" s="182">
        <v>17</v>
      </c>
      <c r="AF7" s="166">
        <v>1418.1818181818182</v>
      </c>
      <c r="AG7" s="166">
        <v>83.422459893048128</v>
      </c>
      <c r="AH7" s="166">
        <f>RANK(AG7, AG$7:AG$21)</f>
        <v>2</v>
      </c>
      <c r="AI7" s="491">
        <f>AVERAGE(AG7:AG21)</f>
        <v>65.587359942514922</v>
      </c>
      <c r="AJ7" s="182">
        <v>17</v>
      </c>
      <c r="AK7" s="166">
        <v>1447.4999999999989</v>
      </c>
      <c r="AL7" s="166">
        <v>85.147058823529349</v>
      </c>
      <c r="AM7" s="166">
        <f>RANK(AL7, AL$7:AL$21)</f>
        <v>2</v>
      </c>
      <c r="AN7" s="491">
        <f>AVERAGE(AL7:AL21)</f>
        <v>58.697239715704477</v>
      </c>
      <c r="AO7" s="182">
        <v>17</v>
      </c>
      <c r="AP7" s="166">
        <v>1477.0370370370365</v>
      </c>
      <c r="AQ7" s="166">
        <v>86.884531590413914</v>
      </c>
      <c r="AR7" s="166">
        <f>RANK(AQ7, AQ$7:AQ$21)</f>
        <v>2</v>
      </c>
      <c r="AS7" s="506">
        <f>AVERAGE(AQ7:AQ21)</f>
        <v>68.158765905914677</v>
      </c>
      <c r="AT7" s="182">
        <v>16</v>
      </c>
      <c r="AU7" s="166">
        <v>1433.493975903614</v>
      </c>
      <c r="AV7" s="166">
        <v>89.593373493975875</v>
      </c>
      <c r="AW7" s="166">
        <f>RANK(AV7, AV$7:AV$21)</f>
        <v>2</v>
      </c>
      <c r="AX7" s="525">
        <f>AVERAGE(AV7:AV21)</f>
        <v>69.918861040974505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334</v>
      </c>
      <c r="E8" s="166">
        <v>14</v>
      </c>
      <c r="F8" s="166">
        <v>1500</v>
      </c>
      <c r="G8" s="166">
        <v>107.1</v>
      </c>
      <c r="H8" s="460"/>
      <c r="I8" s="166">
        <f t="shared" ref="I8:I15" si="5">AVERAGE(P8,U8,Z8,AE8,AJ8,AO8,AT8)</f>
        <v>13</v>
      </c>
      <c r="J8" s="166">
        <f t="shared" ref="J8:J15" si="6">AVERAGE(Q8,V8,AA8,AF8,AK8,AP8,AU8)</f>
        <v>1295.9024028966435</v>
      </c>
      <c r="K8" s="180">
        <f t="shared" ref="K8:K15" si="7">AVERAGE(R8,W8,AB8,AG8,AL8,AQ8,AV8)</f>
        <v>100.08036023253689</v>
      </c>
      <c r="L8" s="460"/>
      <c r="M8" s="181">
        <f>RANK(K8, K$7:$K$21)</f>
        <v>1</v>
      </c>
      <c r="N8" s="462"/>
      <c r="O8" s="462"/>
      <c r="P8" s="182">
        <v>14</v>
      </c>
      <c r="Q8" s="166">
        <v>1344.3750000000016</v>
      </c>
      <c r="R8" s="166">
        <v>96.026785714285822</v>
      </c>
      <c r="S8" s="166">
        <f t="shared" ref="S8:S21" si="8">RANK(R8, R$7:R$21)</f>
        <v>1</v>
      </c>
      <c r="T8" s="506"/>
      <c r="U8" s="182">
        <v>14</v>
      </c>
      <c r="V8" s="166">
        <v>1298.5714285714296</v>
      </c>
      <c r="W8" s="166">
        <v>92.755102040816396</v>
      </c>
      <c r="X8" s="166">
        <f t="shared" ref="X8:X21" si="9">RANK(W8, W$7:W$21)</f>
        <v>1</v>
      </c>
      <c r="Y8" s="491"/>
      <c r="Z8" s="182">
        <v>12</v>
      </c>
      <c r="AA8" s="166">
        <v>1344.3750000000016</v>
      </c>
      <c r="AB8" s="166">
        <v>112.03125000000013</v>
      </c>
      <c r="AC8" s="166">
        <f t="shared" ref="AC8:AC21" si="10">RANK(AB8, AB$7:AB$21)</f>
        <v>1</v>
      </c>
      <c r="AD8" s="491"/>
      <c r="AE8" s="182">
        <v>12</v>
      </c>
      <c r="AF8" s="166">
        <v>1133.5714285714294</v>
      </c>
      <c r="AG8" s="166">
        <v>94.464285714285779</v>
      </c>
      <c r="AH8" s="166">
        <f t="shared" ref="AH8:AH21" si="11">RANK(AG8, AG$7:AG$21)</f>
        <v>1</v>
      </c>
      <c r="AI8" s="491"/>
      <c r="AJ8" s="182">
        <v>13</v>
      </c>
      <c r="AK8" s="166">
        <v>1298.709677419356</v>
      </c>
      <c r="AL8" s="166">
        <v>99.900744416873536</v>
      </c>
      <c r="AM8" s="166">
        <f t="shared" ref="AM8:AM21" si="12">RANK(AL8, AL$7:AL$21)</f>
        <v>1</v>
      </c>
      <c r="AN8" s="491"/>
      <c r="AO8" s="182">
        <v>12</v>
      </c>
      <c r="AP8" s="166">
        <v>1342.0000000000014</v>
      </c>
      <c r="AQ8" s="166">
        <v>111.83333333333344</v>
      </c>
      <c r="AR8" s="166">
        <f t="shared" ref="AR8:AR21" si="13">RANK(AQ8, AQ$7:AQ$21)</f>
        <v>1</v>
      </c>
      <c r="AS8" s="506"/>
      <c r="AT8" s="182">
        <v>14</v>
      </c>
      <c r="AU8" s="166">
        <v>1309.7142857142844</v>
      </c>
      <c r="AV8" s="166">
        <v>93.551020408163168</v>
      </c>
      <c r="AW8" s="166">
        <f t="shared" ref="AW8:AW21" si="14">RANK(AV8, AV$7:AV$21)</f>
        <v>1</v>
      </c>
      <c r="AX8" s="525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335</v>
      </c>
      <c r="E9" s="166">
        <v>17</v>
      </c>
      <c r="F9" s="166">
        <v>1636</v>
      </c>
      <c r="G9" s="166">
        <v>96.3</v>
      </c>
      <c r="H9" s="460"/>
      <c r="I9" s="166">
        <f t="shared" si="5"/>
        <v>17.857142857142858</v>
      </c>
      <c r="J9" s="166">
        <f t="shared" si="6"/>
        <v>1131.0026930501924</v>
      </c>
      <c r="K9" s="180">
        <f t="shared" si="7"/>
        <v>63.444664717238211</v>
      </c>
      <c r="L9" s="460"/>
      <c r="M9" s="181">
        <f>RANK(K9, K$7:$K$21)</f>
        <v>5</v>
      </c>
      <c r="N9" s="462"/>
      <c r="O9" s="462"/>
      <c r="P9" s="182">
        <v>17</v>
      </c>
      <c r="Q9" s="166">
        <v>1309.1513513513505</v>
      </c>
      <c r="R9" s="166">
        <v>77.008903020667674</v>
      </c>
      <c r="S9" s="166">
        <f t="shared" si="8"/>
        <v>3</v>
      </c>
      <c r="T9" s="506"/>
      <c r="U9" s="182">
        <v>18</v>
      </c>
      <c r="V9" s="166">
        <v>1357.8666666666634</v>
      </c>
      <c r="W9" s="166">
        <v>75.437037037036859</v>
      </c>
      <c r="X9" s="166">
        <f t="shared" si="9"/>
        <v>4</v>
      </c>
      <c r="Y9" s="491"/>
      <c r="Z9" s="182">
        <v>18</v>
      </c>
      <c r="AA9" s="166">
        <v>1337.3828571428558</v>
      </c>
      <c r="AB9" s="166">
        <v>74.299047619047542</v>
      </c>
      <c r="AC9" s="166">
        <f t="shared" si="10"/>
        <v>3</v>
      </c>
      <c r="AD9" s="491"/>
      <c r="AE9" s="182">
        <v>18</v>
      </c>
      <c r="AF9" s="166">
        <v>1312.8571428571424</v>
      </c>
      <c r="AG9" s="166">
        <v>72.936507936507908</v>
      </c>
      <c r="AH9" s="166">
        <f t="shared" si="11"/>
        <v>4</v>
      </c>
      <c r="AI9" s="491"/>
      <c r="AJ9" s="182">
        <v>18</v>
      </c>
      <c r="AK9" s="166">
        <v>0</v>
      </c>
      <c r="AL9" s="166">
        <v>0</v>
      </c>
      <c r="AM9" s="166">
        <f t="shared" si="12"/>
        <v>9</v>
      </c>
      <c r="AN9" s="491"/>
      <c r="AO9" s="182">
        <v>18</v>
      </c>
      <c r="AP9" s="166">
        <v>1297.5733333333335</v>
      </c>
      <c r="AQ9" s="166">
        <v>72.087407407407412</v>
      </c>
      <c r="AR9" s="166">
        <f t="shared" si="13"/>
        <v>4</v>
      </c>
      <c r="AS9" s="506"/>
      <c r="AT9" s="182">
        <v>18</v>
      </c>
      <c r="AU9" s="166">
        <v>1302.1875000000016</v>
      </c>
      <c r="AV9" s="166">
        <v>72.343750000000085</v>
      </c>
      <c r="AW9" s="166">
        <f t="shared" si="14"/>
        <v>5</v>
      </c>
      <c r="AX9" s="525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 t="s">
        <v>336</v>
      </c>
      <c r="E10" s="166">
        <v>18</v>
      </c>
      <c r="F10" s="166">
        <v>1500</v>
      </c>
      <c r="G10" s="166">
        <v>83.3</v>
      </c>
      <c r="H10" s="460"/>
      <c r="I10" s="166">
        <f t="shared" si="5"/>
        <v>17.714285714285715</v>
      </c>
      <c r="J10" s="166">
        <f t="shared" si="6"/>
        <v>1190.0462885191141</v>
      </c>
      <c r="K10" s="180">
        <f t="shared" si="7"/>
        <v>67.416828954009745</v>
      </c>
      <c r="L10" s="460"/>
      <c r="M10" s="181">
        <f>RANK(K10, K$7:$K$21)</f>
        <v>4</v>
      </c>
      <c r="N10" s="462"/>
      <c r="O10" s="462"/>
      <c r="P10" s="182">
        <v>18</v>
      </c>
      <c r="Q10" s="166">
        <v>1337.7777777777746</v>
      </c>
      <c r="R10" s="166">
        <v>74.320987654320817</v>
      </c>
      <c r="S10" s="166">
        <f t="shared" si="8"/>
        <v>5</v>
      </c>
      <c r="T10" s="506"/>
      <c r="U10" s="182">
        <v>18</v>
      </c>
      <c r="V10" s="166">
        <v>1152.0000000000005</v>
      </c>
      <c r="W10" s="166">
        <v>64.000000000000028</v>
      </c>
      <c r="X10" s="166">
        <f t="shared" si="9"/>
        <v>5</v>
      </c>
      <c r="Y10" s="491"/>
      <c r="Z10" s="182">
        <v>18</v>
      </c>
      <c r="AA10" s="166">
        <v>1132.2580645161272</v>
      </c>
      <c r="AB10" s="166">
        <v>62.903225806451509</v>
      </c>
      <c r="AC10" s="166">
        <f t="shared" si="10"/>
        <v>6</v>
      </c>
      <c r="AD10" s="491"/>
      <c r="AE10" s="182">
        <v>18</v>
      </c>
      <c r="AF10" s="166">
        <v>1142.5000000000002</v>
      </c>
      <c r="AG10" s="166">
        <v>63.472222222222236</v>
      </c>
      <c r="AH10" s="166">
        <f t="shared" si="11"/>
        <v>5</v>
      </c>
      <c r="AI10" s="491"/>
      <c r="AJ10" s="182">
        <v>18</v>
      </c>
      <c r="AK10" s="166">
        <v>1137.9310344827595</v>
      </c>
      <c r="AL10" s="166">
        <v>63.218390804597753</v>
      </c>
      <c r="AM10" s="166">
        <f t="shared" si="12"/>
        <v>4</v>
      </c>
      <c r="AN10" s="491"/>
      <c r="AO10" s="182">
        <v>18</v>
      </c>
      <c r="AP10" s="166">
        <v>1114.2857142857117</v>
      </c>
      <c r="AQ10" s="166">
        <v>61.904761904761763</v>
      </c>
      <c r="AR10" s="166">
        <f t="shared" si="13"/>
        <v>5</v>
      </c>
      <c r="AS10" s="506"/>
      <c r="AT10" s="182">
        <v>16</v>
      </c>
      <c r="AU10" s="166">
        <v>1313.5714285714257</v>
      </c>
      <c r="AV10" s="166">
        <v>82.098214285714107</v>
      </c>
      <c r="AW10" s="166">
        <f t="shared" si="14"/>
        <v>3</v>
      </c>
      <c r="AX10" s="525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337</v>
      </c>
      <c r="E11" s="166">
        <v>21</v>
      </c>
      <c r="F11" s="166">
        <v>1385</v>
      </c>
      <c r="G11" s="166">
        <v>65.900000000000006</v>
      </c>
      <c r="H11" s="460"/>
      <c r="I11" s="166">
        <f t="shared" si="5"/>
        <v>20</v>
      </c>
      <c r="J11" s="166">
        <f t="shared" si="6"/>
        <v>998.07256863037685</v>
      </c>
      <c r="K11" s="180">
        <f t="shared" si="7"/>
        <v>49.90362843151884</v>
      </c>
      <c r="L11" s="460"/>
      <c r="M11" s="181">
        <f>RANK(K11, K$7:$K$21)</f>
        <v>9</v>
      </c>
      <c r="N11" s="462"/>
      <c r="O11" s="462"/>
      <c r="P11" s="182">
        <v>20</v>
      </c>
      <c r="Q11" s="166">
        <v>1109.0909090909076</v>
      </c>
      <c r="R11" s="166">
        <v>55.454545454545382</v>
      </c>
      <c r="S11" s="166">
        <f t="shared" si="8"/>
        <v>8</v>
      </c>
      <c r="T11" s="506"/>
      <c r="U11" s="182">
        <v>20</v>
      </c>
      <c r="V11" s="166">
        <v>953.793103448274</v>
      </c>
      <c r="W11" s="166">
        <v>47.689655172413701</v>
      </c>
      <c r="X11" s="166">
        <f t="shared" si="9"/>
        <v>9</v>
      </c>
      <c r="Y11" s="491"/>
      <c r="Z11" s="182">
        <v>20</v>
      </c>
      <c r="AA11" s="166">
        <v>971.66666666666595</v>
      </c>
      <c r="AB11" s="166">
        <v>48.5833333333333</v>
      </c>
      <c r="AC11" s="166">
        <f t="shared" si="10"/>
        <v>9</v>
      </c>
      <c r="AD11" s="491"/>
      <c r="AE11" s="182">
        <v>20</v>
      </c>
      <c r="AF11" s="166">
        <v>948.88888888888664</v>
      </c>
      <c r="AG11" s="166">
        <v>47.444444444444329</v>
      </c>
      <c r="AH11" s="166">
        <f t="shared" si="11"/>
        <v>9</v>
      </c>
      <c r="AI11" s="491"/>
      <c r="AJ11" s="182">
        <v>20</v>
      </c>
      <c r="AK11" s="166">
        <v>983.63636363636238</v>
      </c>
      <c r="AL11" s="166">
        <v>49.181818181818116</v>
      </c>
      <c r="AM11" s="166">
        <f t="shared" si="12"/>
        <v>7</v>
      </c>
      <c r="AN11" s="491"/>
      <c r="AO11" s="182">
        <v>20</v>
      </c>
      <c r="AP11" s="166">
        <v>964.13793103448347</v>
      </c>
      <c r="AQ11" s="166">
        <v>48.206896551724171</v>
      </c>
      <c r="AR11" s="166">
        <f t="shared" si="13"/>
        <v>8</v>
      </c>
      <c r="AS11" s="506"/>
      <c r="AT11" s="182">
        <v>20</v>
      </c>
      <c r="AU11" s="166">
        <v>1055.2941176470574</v>
      </c>
      <c r="AV11" s="166">
        <v>52.764705882352871</v>
      </c>
      <c r="AW11" s="166">
        <f t="shared" si="14"/>
        <v>9</v>
      </c>
      <c r="AX11" s="525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 t="s">
        <v>338</v>
      </c>
      <c r="E12" s="166">
        <v>21</v>
      </c>
      <c r="F12" s="166">
        <v>1385</v>
      </c>
      <c r="G12" s="166">
        <v>65.900000000000006</v>
      </c>
      <c r="H12" s="460"/>
      <c r="I12" s="166">
        <f t="shared" si="5"/>
        <v>19.857142857142858</v>
      </c>
      <c r="J12" s="166">
        <f t="shared" si="6"/>
        <v>1033.350030921463</v>
      </c>
      <c r="K12" s="180">
        <f t="shared" si="7"/>
        <v>52.06170133125039</v>
      </c>
      <c r="L12" s="460"/>
      <c r="M12" s="181">
        <f>RANK(K12, K$7:$K$21)</f>
        <v>7</v>
      </c>
      <c r="N12" s="462"/>
      <c r="O12" s="462"/>
      <c r="P12" s="182">
        <v>20</v>
      </c>
      <c r="Q12" s="166">
        <v>1030.9090909090946</v>
      </c>
      <c r="R12" s="166">
        <v>51.545454545454731</v>
      </c>
      <c r="S12" s="166">
        <f t="shared" si="8"/>
        <v>9</v>
      </c>
      <c r="T12" s="506"/>
      <c r="U12" s="182">
        <v>20</v>
      </c>
      <c r="V12" s="166">
        <v>1053.7500000000039</v>
      </c>
      <c r="W12" s="166">
        <v>52.687500000000192</v>
      </c>
      <c r="X12" s="166">
        <f t="shared" si="9"/>
        <v>7</v>
      </c>
      <c r="Y12" s="491"/>
      <c r="Z12" s="182">
        <v>20</v>
      </c>
      <c r="AA12" s="166">
        <v>1033.6363636363672</v>
      </c>
      <c r="AB12" s="166">
        <v>51.681818181818358</v>
      </c>
      <c r="AC12" s="166">
        <f t="shared" si="10"/>
        <v>7</v>
      </c>
      <c r="AD12" s="491"/>
      <c r="AE12" s="182">
        <v>20</v>
      </c>
      <c r="AF12" s="166">
        <v>1012.0000000000036</v>
      </c>
      <c r="AG12" s="166">
        <v>50.600000000000179</v>
      </c>
      <c r="AH12" s="166">
        <f t="shared" si="11"/>
        <v>7</v>
      </c>
      <c r="AI12" s="491"/>
      <c r="AJ12" s="182">
        <v>20</v>
      </c>
      <c r="AK12" s="166">
        <v>1023.333333333337</v>
      </c>
      <c r="AL12" s="166">
        <v>51.166666666666849</v>
      </c>
      <c r="AM12" s="166">
        <f t="shared" si="12"/>
        <v>6</v>
      </c>
      <c r="AN12" s="491"/>
      <c r="AO12" s="182">
        <v>20</v>
      </c>
      <c r="AP12" s="166">
        <v>1031.2500000000036</v>
      </c>
      <c r="AQ12" s="166">
        <v>51.562500000000185</v>
      </c>
      <c r="AR12" s="166">
        <f t="shared" si="13"/>
        <v>7</v>
      </c>
      <c r="AS12" s="506"/>
      <c r="AT12" s="182">
        <v>19</v>
      </c>
      <c r="AU12" s="166">
        <v>1048.5714285714323</v>
      </c>
      <c r="AV12" s="166">
        <v>55.187969924812229</v>
      </c>
      <c r="AW12" s="166">
        <f t="shared" si="14"/>
        <v>7</v>
      </c>
      <c r="AX12" s="525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 t="s">
        <v>339</v>
      </c>
      <c r="E13" s="166">
        <v>18</v>
      </c>
      <c r="F13" s="166">
        <v>1500</v>
      </c>
      <c r="G13" s="166">
        <v>83.3</v>
      </c>
      <c r="H13" s="460"/>
      <c r="I13" s="166">
        <f t="shared" si="5"/>
        <v>18</v>
      </c>
      <c r="J13" s="166">
        <f t="shared" si="6"/>
        <v>1335.393654052396</v>
      </c>
      <c r="K13" s="180">
        <f t="shared" si="7"/>
        <v>74.188536336244212</v>
      </c>
      <c r="L13" s="460"/>
      <c r="M13" s="181">
        <f>RANK(K13, K$7:$K$21)</f>
        <v>3</v>
      </c>
      <c r="N13" s="462"/>
      <c r="O13" s="462"/>
      <c r="P13" s="182">
        <v>18</v>
      </c>
      <c r="Q13" s="166">
        <v>1356.7241379310342</v>
      </c>
      <c r="R13" s="166">
        <v>75.373563218390785</v>
      </c>
      <c r="S13" s="166">
        <f t="shared" si="8"/>
        <v>4</v>
      </c>
      <c r="T13" s="506"/>
      <c r="U13" s="182">
        <v>18</v>
      </c>
      <c r="V13" s="166">
        <v>1360.6666666666661</v>
      </c>
      <c r="W13" s="166">
        <v>75.592592592592553</v>
      </c>
      <c r="X13" s="166">
        <f t="shared" si="9"/>
        <v>3</v>
      </c>
      <c r="Y13" s="491"/>
      <c r="Z13" s="182">
        <v>18</v>
      </c>
      <c r="AA13" s="166">
        <v>1316.3793103448272</v>
      </c>
      <c r="AB13" s="166">
        <v>73.13218390804596</v>
      </c>
      <c r="AC13" s="166">
        <f t="shared" si="10"/>
        <v>4</v>
      </c>
      <c r="AD13" s="491"/>
      <c r="AE13" s="182">
        <v>18</v>
      </c>
      <c r="AF13" s="166">
        <v>1318.0645161290324</v>
      </c>
      <c r="AG13" s="166">
        <v>73.225806451612911</v>
      </c>
      <c r="AH13" s="166">
        <f t="shared" si="11"/>
        <v>3</v>
      </c>
      <c r="AI13" s="491"/>
      <c r="AJ13" s="182">
        <v>18</v>
      </c>
      <c r="AK13" s="166">
        <v>1346.1386138613861</v>
      </c>
      <c r="AL13" s="166">
        <v>74.78547854785478</v>
      </c>
      <c r="AM13" s="166">
        <f t="shared" si="12"/>
        <v>3</v>
      </c>
      <c r="AN13" s="491"/>
      <c r="AO13" s="182">
        <v>18</v>
      </c>
      <c r="AP13" s="166">
        <v>1344.1935483870971</v>
      </c>
      <c r="AQ13" s="166">
        <v>74.677419354838719</v>
      </c>
      <c r="AR13" s="166">
        <f t="shared" si="13"/>
        <v>3</v>
      </c>
      <c r="AS13" s="506"/>
      <c r="AT13" s="182">
        <v>18</v>
      </c>
      <c r="AU13" s="166">
        <v>1305.5887850467293</v>
      </c>
      <c r="AV13" s="166">
        <v>72.532710280373848</v>
      </c>
      <c r="AW13" s="166">
        <f t="shared" si="14"/>
        <v>4</v>
      </c>
      <c r="AX13" s="525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 t="s">
        <v>340</v>
      </c>
      <c r="E14" s="166">
        <v>19</v>
      </c>
      <c r="F14" s="166">
        <v>1385</v>
      </c>
      <c r="G14" s="166">
        <v>72.900000000000006</v>
      </c>
      <c r="H14" s="460"/>
      <c r="I14" s="166">
        <f t="shared" si="5"/>
        <v>18</v>
      </c>
      <c r="J14" s="166">
        <f t="shared" si="6"/>
        <v>1063.3925492777746</v>
      </c>
      <c r="K14" s="180">
        <f t="shared" si="7"/>
        <v>59.077363848765266</v>
      </c>
      <c r="L14" s="460"/>
      <c r="M14" s="181">
        <f>RANK(K14, K$7:$K$21)</f>
        <v>6</v>
      </c>
      <c r="N14" s="462"/>
      <c r="O14" s="462"/>
      <c r="P14" s="182">
        <v>18</v>
      </c>
      <c r="Q14" s="166">
        <v>1053.5294117647045</v>
      </c>
      <c r="R14" s="166">
        <v>58.529411764705806</v>
      </c>
      <c r="S14" s="166">
        <f t="shared" si="8"/>
        <v>6</v>
      </c>
      <c r="T14" s="506"/>
      <c r="U14" s="182">
        <v>18</v>
      </c>
      <c r="V14" s="166">
        <v>1047.8571428571436</v>
      </c>
      <c r="W14" s="166">
        <v>58.214285714285751</v>
      </c>
      <c r="X14" s="166">
        <f t="shared" si="9"/>
        <v>6</v>
      </c>
      <c r="Y14" s="491"/>
      <c r="Z14" s="182">
        <v>18</v>
      </c>
      <c r="AA14" s="166">
        <v>1198.0645161290304</v>
      </c>
      <c r="AB14" s="166">
        <v>66.559139784946126</v>
      </c>
      <c r="AC14" s="166">
        <f t="shared" si="10"/>
        <v>5</v>
      </c>
      <c r="AD14" s="491"/>
      <c r="AE14" s="182">
        <v>18</v>
      </c>
      <c r="AF14" s="166">
        <v>1027.2000000000003</v>
      </c>
      <c r="AG14" s="166">
        <v>57.066666666666684</v>
      </c>
      <c r="AH14" s="166">
        <f t="shared" si="11"/>
        <v>6</v>
      </c>
      <c r="AI14" s="491"/>
      <c r="AJ14" s="182">
        <v>18</v>
      </c>
      <c r="AK14" s="166">
        <v>1023.7499999999987</v>
      </c>
      <c r="AL14" s="166">
        <v>56.874999999999929</v>
      </c>
      <c r="AM14" s="166">
        <f t="shared" si="12"/>
        <v>5</v>
      </c>
      <c r="AN14" s="491"/>
      <c r="AO14" s="182">
        <v>18</v>
      </c>
      <c r="AP14" s="166">
        <v>1047.0967741935467</v>
      </c>
      <c r="AQ14" s="166">
        <v>58.172043010752596</v>
      </c>
      <c r="AR14" s="166">
        <f t="shared" si="13"/>
        <v>6</v>
      </c>
      <c r="AS14" s="506"/>
      <c r="AT14" s="182">
        <v>18</v>
      </c>
      <c r="AU14" s="166">
        <v>1046.2499999999984</v>
      </c>
      <c r="AV14" s="166">
        <v>58.124999999999915</v>
      </c>
      <c r="AW14" s="166">
        <f t="shared" si="14"/>
        <v>6</v>
      </c>
      <c r="AX14" s="525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 t="s">
        <v>341</v>
      </c>
      <c r="E15" s="166">
        <v>21</v>
      </c>
      <c r="F15" s="166">
        <v>1385</v>
      </c>
      <c r="G15" s="166">
        <v>65.900000000000006</v>
      </c>
      <c r="H15" s="460"/>
      <c r="I15" s="166">
        <f t="shared" si="5"/>
        <v>19.857142857142858</v>
      </c>
      <c r="J15" s="166">
        <f t="shared" si="6"/>
        <v>996.27877354415557</v>
      </c>
      <c r="K15" s="180">
        <f t="shared" si="7"/>
        <v>50.193031570731911</v>
      </c>
      <c r="L15" s="460"/>
      <c r="M15" s="181">
        <f>RANK(K15, K$7:$K$21)</f>
        <v>8</v>
      </c>
      <c r="N15" s="462"/>
      <c r="O15" s="462"/>
      <c r="P15" s="182">
        <v>20</v>
      </c>
      <c r="Q15" s="166">
        <v>1147.0588235294103</v>
      </c>
      <c r="R15" s="166">
        <v>57.352941176470516</v>
      </c>
      <c r="S15" s="166">
        <f t="shared" si="8"/>
        <v>7</v>
      </c>
      <c r="T15" s="506"/>
      <c r="U15" s="182">
        <v>20</v>
      </c>
      <c r="V15" s="166">
        <v>967.99999999999829</v>
      </c>
      <c r="W15" s="166">
        <v>48.399999999999913</v>
      </c>
      <c r="X15" s="166">
        <f t="shared" si="9"/>
        <v>8</v>
      </c>
      <c r="Y15" s="491"/>
      <c r="Z15" s="182">
        <v>20</v>
      </c>
      <c r="AA15" s="166">
        <v>975.42857142857054</v>
      </c>
      <c r="AB15" s="166">
        <v>48.77142857142853</v>
      </c>
      <c r="AC15" s="166">
        <f t="shared" si="10"/>
        <v>8</v>
      </c>
      <c r="AD15" s="491"/>
      <c r="AE15" s="182">
        <v>20</v>
      </c>
      <c r="AF15" s="166">
        <v>953.07692307692059</v>
      </c>
      <c r="AG15" s="166">
        <v>47.653846153846033</v>
      </c>
      <c r="AH15" s="166">
        <f t="shared" si="11"/>
        <v>8</v>
      </c>
      <c r="AI15" s="491"/>
      <c r="AJ15" s="182">
        <v>20</v>
      </c>
      <c r="AK15" s="166">
        <v>959.99999999999875</v>
      </c>
      <c r="AL15" s="166">
        <v>47.999999999999936</v>
      </c>
      <c r="AM15" s="166">
        <f t="shared" si="12"/>
        <v>8</v>
      </c>
      <c r="AN15" s="491"/>
      <c r="AO15" s="182">
        <v>20</v>
      </c>
      <c r="AP15" s="166">
        <v>961.99999999999841</v>
      </c>
      <c r="AQ15" s="166">
        <v>48.099999999999923</v>
      </c>
      <c r="AR15" s="166">
        <f t="shared" si="13"/>
        <v>9</v>
      </c>
      <c r="AS15" s="506"/>
      <c r="AT15" s="182">
        <v>19</v>
      </c>
      <c r="AU15" s="166">
        <v>1008.3870967741919</v>
      </c>
      <c r="AV15" s="166">
        <v>53.073005093378526</v>
      </c>
      <c r="AW15" s="166">
        <f t="shared" si="14"/>
        <v>8</v>
      </c>
      <c r="AX15" s="525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460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 t="s">
        <v>244</v>
      </c>
      <c r="Q16" s="166" t="s">
        <v>244</v>
      </c>
      <c r="R16" s="166" t="s">
        <v>244</v>
      </c>
      <c r="S16" s="166" t="e">
        <f t="shared" si="8"/>
        <v>#VALUE!</v>
      </c>
      <c r="T16" s="506"/>
      <c r="U16" s="182"/>
      <c r="V16" s="166"/>
      <c r="W16" s="166"/>
      <c r="X16" s="166" t="e">
        <f t="shared" si="9"/>
        <v>#N/A</v>
      </c>
      <c r="Y16" s="491"/>
      <c r="Z16" s="182"/>
      <c r="AA16" s="166"/>
      <c r="AB16" s="166"/>
      <c r="AC16" s="166" t="e">
        <f t="shared" si="10"/>
        <v>#N/A</v>
      </c>
      <c r="AD16" s="491"/>
      <c r="AE16" s="182"/>
      <c r="AF16" s="166"/>
      <c r="AG16" s="166"/>
      <c r="AH16" s="166" t="e">
        <f t="shared" si="11"/>
        <v>#N/A</v>
      </c>
      <c r="AI16" s="491"/>
      <c r="AJ16" s="182"/>
      <c r="AK16" s="166"/>
      <c r="AL16" s="166"/>
      <c r="AM16" s="166">
        <f t="shared" si="12"/>
        <v>9</v>
      </c>
      <c r="AN16" s="491"/>
      <c r="AO16" s="182"/>
      <c r="AP16" s="166"/>
      <c r="AQ16" s="166"/>
      <c r="AR16" s="166" t="e">
        <f t="shared" si="13"/>
        <v>#N/A</v>
      </c>
      <c r="AS16" s="506"/>
      <c r="AT16" s="182"/>
      <c r="AU16" s="166"/>
      <c r="AV16" s="166"/>
      <c r="AW16" s="166" t="e">
        <f t="shared" si="14"/>
        <v>#N/A</v>
      </c>
      <c r="AX16" s="525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460"/>
      <c r="I17" s="166"/>
      <c r="J17" s="166"/>
      <c r="K17" s="180"/>
      <c r="L17" s="460"/>
      <c r="M17" s="181" t="e">
        <f>RANK(K17, K$7:$K$21)</f>
        <v>#N/A</v>
      </c>
      <c r="N17" s="462"/>
      <c r="O17" s="462"/>
      <c r="P17" s="182" t="s">
        <v>244</v>
      </c>
      <c r="Q17" s="166" t="s">
        <v>244</v>
      </c>
      <c r="R17" s="166" t="s">
        <v>244</v>
      </c>
      <c r="S17" s="166" t="e">
        <f t="shared" si="8"/>
        <v>#VALUE!</v>
      </c>
      <c r="T17" s="506"/>
      <c r="U17" s="182"/>
      <c r="V17" s="166"/>
      <c r="W17" s="166"/>
      <c r="X17" s="166" t="e">
        <f t="shared" si="9"/>
        <v>#N/A</v>
      </c>
      <c r="Y17" s="491"/>
      <c r="Z17" s="182"/>
      <c r="AA17" s="166"/>
      <c r="AB17" s="166"/>
      <c r="AC17" s="166" t="e">
        <f t="shared" si="10"/>
        <v>#N/A</v>
      </c>
      <c r="AD17" s="491"/>
      <c r="AE17" s="182"/>
      <c r="AF17" s="166"/>
      <c r="AG17" s="166"/>
      <c r="AH17" s="166" t="e">
        <f t="shared" si="11"/>
        <v>#N/A</v>
      </c>
      <c r="AI17" s="491"/>
      <c r="AJ17" s="182"/>
      <c r="AK17" s="166"/>
      <c r="AL17" s="166"/>
      <c r="AM17" s="166">
        <f t="shared" si="12"/>
        <v>9</v>
      </c>
      <c r="AN17" s="491"/>
      <c r="AO17" s="182"/>
      <c r="AP17" s="166"/>
      <c r="AQ17" s="166"/>
      <c r="AR17" s="166" t="e">
        <f t="shared" si="13"/>
        <v>#N/A</v>
      </c>
      <c r="AS17" s="506"/>
      <c r="AT17" s="182"/>
      <c r="AU17" s="166"/>
      <c r="AV17" s="166"/>
      <c r="AW17" s="166" t="e">
        <f t="shared" si="14"/>
        <v>#N/A</v>
      </c>
      <c r="AX17" s="525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66"/>
      <c r="J18" s="166"/>
      <c r="K18" s="180"/>
      <c r="L18" s="460"/>
      <c r="M18" s="181" t="e">
        <f>RANK(K18, K$7:$K$21)</f>
        <v>#N/A</v>
      </c>
      <c r="N18" s="462"/>
      <c r="O18" s="462"/>
      <c r="P18" s="182" t="s">
        <v>244</v>
      </c>
      <c r="Q18" s="166" t="s">
        <v>244</v>
      </c>
      <c r="R18" s="166" t="s">
        <v>244</v>
      </c>
      <c r="S18" s="166" t="e">
        <f t="shared" si="8"/>
        <v>#VALUE!</v>
      </c>
      <c r="T18" s="506"/>
      <c r="U18" s="182"/>
      <c r="V18" s="166"/>
      <c r="W18" s="166"/>
      <c r="X18" s="166" t="e">
        <f t="shared" si="9"/>
        <v>#N/A</v>
      </c>
      <c r="Y18" s="491"/>
      <c r="Z18" s="182"/>
      <c r="AA18" s="166"/>
      <c r="AB18" s="166"/>
      <c r="AC18" s="166" t="e">
        <f t="shared" si="10"/>
        <v>#N/A</v>
      </c>
      <c r="AD18" s="491"/>
      <c r="AE18" s="182"/>
      <c r="AF18" s="166"/>
      <c r="AG18" s="166"/>
      <c r="AH18" s="166" t="e">
        <f t="shared" si="11"/>
        <v>#N/A</v>
      </c>
      <c r="AI18" s="491"/>
      <c r="AJ18" s="182"/>
      <c r="AK18" s="166"/>
      <c r="AL18" s="166"/>
      <c r="AM18" s="166">
        <f t="shared" si="12"/>
        <v>9</v>
      </c>
      <c r="AN18" s="491"/>
      <c r="AO18" s="182"/>
      <c r="AP18" s="166"/>
      <c r="AQ18" s="166"/>
      <c r="AR18" s="166" t="e">
        <f t="shared" si="13"/>
        <v>#N/A</v>
      </c>
      <c r="AS18" s="506"/>
      <c r="AT18" s="182"/>
      <c r="AU18" s="166"/>
      <c r="AV18" s="166"/>
      <c r="AW18" s="166" t="e">
        <f t="shared" si="14"/>
        <v>#N/A</v>
      </c>
      <c r="AX18" s="525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 t="s">
        <v>244</v>
      </c>
      <c r="Q19" s="166" t="s">
        <v>244</v>
      </c>
      <c r="R19" s="166" t="s">
        <v>244</v>
      </c>
      <c r="S19" s="166" t="e">
        <f t="shared" si="8"/>
        <v>#VALUE!</v>
      </c>
      <c r="T19" s="506"/>
      <c r="U19" s="182"/>
      <c r="V19" s="166"/>
      <c r="W19" s="166"/>
      <c r="X19" s="166" t="e">
        <f t="shared" si="9"/>
        <v>#N/A</v>
      </c>
      <c r="Y19" s="491"/>
      <c r="Z19" s="182"/>
      <c r="AA19" s="166"/>
      <c r="AB19" s="166"/>
      <c r="AC19" s="166" t="e">
        <f t="shared" si="10"/>
        <v>#N/A</v>
      </c>
      <c r="AD19" s="491"/>
      <c r="AE19" s="182"/>
      <c r="AF19" s="166"/>
      <c r="AG19" s="166"/>
      <c r="AH19" s="166" t="e">
        <f t="shared" si="11"/>
        <v>#N/A</v>
      </c>
      <c r="AI19" s="491"/>
      <c r="AJ19" s="182"/>
      <c r="AK19" s="166"/>
      <c r="AL19" s="166"/>
      <c r="AM19" s="166">
        <f t="shared" si="12"/>
        <v>9</v>
      </c>
      <c r="AN19" s="491"/>
      <c r="AO19" s="182"/>
      <c r="AP19" s="166"/>
      <c r="AQ19" s="166"/>
      <c r="AR19" s="166" t="e">
        <f t="shared" si="13"/>
        <v>#N/A</v>
      </c>
      <c r="AS19" s="506"/>
      <c r="AT19" s="182"/>
      <c r="AU19" s="166"/>
      <c r="AV19" s="166"/>
      <c r="AW19" s="166" t="e">
        <f t="shared" si="14"/>
        <v>#N/A</v>
      </c>
      <c r="AX19" s="525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 t="s">
        <v>244</v>
      </c>
      <c r="Q20" s="166" t="s">
        <v>244</v>
      </c>
      <c r="R20" s="166" t="s">
        <v>244</v>
      </c>
      <c r="S20" s="166" t="e">
        <f t="shared" si="8"/>
        <v>#VALUE!</v>
      </c>
      <c r="T20" s="506"/>
      <c r="U20" s="182"/>
      <c r="V20" s="166"/>
      <c r="W20" s="166"/>
      <c r="X20" s="166" t="e">
        <f t="shared" si="9"/>
        <v>#N/A</v>
      </c>
      <c r="Y20" s="491"/>
      <c r="Z20" s="182"/>
      <c r="AA20" s="166"/>
      <c r="AB20" s="166"/>
      <c r="AC20" s="166" t="e">
        <f t="shared" si="10"/>
        <v>#N/A</v>
      </c>
      <c r="AD20" s="491"/>
      <c r="AE20" s="182"/>
      <c r="AF20" s="166"/>
      <c r="AG20" s="166"/>
      <c r="AH20" s="166" t="e">
        <f t="shared" si="11"/>
        <v>#N/A</v>
      </c>
      <c r="AI20" s="491"/>
      <c r="AJ20" s="182"/>
      <c r="AK20" s="166"/>
      <c r="AL20" s="166"/>
      <c r="AM20" s="166">
        <f t="shared" si="12"/>
        <v>9</v>
      </c>
      <c r="AN20" s="491"/>
      <c r="AO20" s="182"/>
      <c r="AP20" s="166"/>
      <c r="AQ20" s="166"/>
      <c r="AR20" s="166" t="e">
        <f t="shared" si="13"/>
        <v>#N/A</v>
      </c>
      <c r="AS20" s="506"/>
      <c r="AT20" s="182"/>
      <c r="AU20" s="166"/>
      <c r="AV20" s="166"/>
      <c r="AW20" s="166" t="e">
        <f t="shared" si="14"/>
        <v>#N/A</v>
      </c>
      <c r="AX20" s="525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 t="s">
        <v>244</v>
      </c>
      <c r="Q21" s="166" t="s">
        <v>244</v>
      </c>
      <c r="R21" s="166" t="s">
        <v>244</v>
      </c>
      <c r="S21" s="166" t="e">
        <f t="shared" si="8"/>
        <v>#VALUE!</v>
      </c>
      <c r="T21" s="506"/>
      <c r="U21" s="182"/>
      <c r="V21" s="166"/>
      <c r="W21" s="166"/>
      <c r="X21" s="166" t="e">
        <f t="shared" si="9"/>
        <v>#N/A</v>
      </c>
      <c r="Y21" s="491"/>
      <c r="Z21" s="182"/>
      <c r="AA21" s="166"/>
      <c r="AB21" s="166"/>
      <c r="AC21" s="166" t="e">
        <f t="shared" si="10"/>
        <v>#N/A</v>
      </c>
      <c r="AD21" s="491"/>
      <c r="AE21" s="182"/>
      <c r="AF21" s="166"/>
      <c r="AG21" s="166"/>
      <c r="AH21" s="166" t="e">
        <f t="shared" si="11"/>
        <v>#N/A</v>
      </c>
      <c r="AI21" s="491"/>
      <c r="AJ21" s="182"/>
      <c r="AK21" s="166"/>
      <c r="AL21" s="166"/>
      <c r="AM21" s="166">
        <f t="shared" si="12"/>
        <v>9</v>
      </c>
      <c r="AN21" s="491"/>
      <c r="AO21" s="182"/>
      <c r="AP21" s="166"/>
      <c r="AQ21" s="166"/>
      <c r="AR21" s="166" t="e">
        <f t="shared" si="13"/>
        <v>#N/A</v>
      </c>
      <c r="AS21" s="506"/>
      <c r="AT21" s="182"/>
      <c r="AU21" s="166"/>
      <c r="AV21" s="166"/>
      <c r="AW21" s="166" t="e">
        <f t="shared" si="14"/>
        <v>#N/A</v>
      </c>
      <c r="AX21" s="525"/>
      <c r="AZ21" s="166" t="e">
        <f>RANK(AX21, $K$7:AX$21)</f>
        <v>#N/A</v>
      </c>
      <c r="BB21" s="182" t="e">
        <f t="shared" si="15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342</v>
      </c>
      <c r="C27" s="182">
        <v>1</v>
      </c>
      <c r="D27" s="203" t="s">
        <v>333</v>
      </c>
      <c r="E27" s="166">
        <v>18</v>
      </c>
      <c r="F27" s="182">
        <v>1636</v>
      </c>
      <c r="G27" s="180">
        <v>90.9</v>
      </c>
      <c r="H27" s="459">
        <f>AVERAGE(G27:G41)</f>
        <v>81.277777777777771</v>
      </c>
      <c r="I27" s="166">
        <f>AVERAGE(P27,U27,Z27,AE27,AJ27,AO27,AT27)</f>
        <v>17.428571428571427</v>
      </c>
      <c r="J27" s="166">
        <f>AVERAGE(Q27,V27,AA27,AF27,AK27,AP27,AU27)</f>
        <v>1445.0362610114255</v>
      </c>
      <c r="K27" s="180">
        <f>AVERAGE(R27,W27,AB27,AG27,AL27,AQ27,AV27)</f>
        <v>83.149799255562343</v>
      </c>
      <c r="L27" s="459">
        <f>IFERROR(AVERAGE(K27:K41),"-")</f>
        <v>68.594669634244582</v>
      </c>
      <c r="M27" s="181">
        <f>RANK(K27, K$27:$K$41)</f>
        <v>2</v>
      </c>
      <c r="N27" s="462"/>
      <c r="O27" s="462"/>
      <c r="P27" s="182">
        <v>16</v>
      </c>
      <c r="Q27" s="166">
        <v>1447.2527472527472</v>
      </c>
      <c r="R27" s="166">
        <v>90.453296703296701</v>
      </c>
      <c r="S27" s="182">
        <f t="shared" ref="S27:S41" si="16">RANK(R27, R$27:R$41)</f>
        <v>2</v>
      </c>
      <c r="T27" s="491">
        <f>AVERAGE(R27:R41)</f>
        <v>69.762851276381099</v>
      </c>
      <c r="U27" s="182">
        <v>18</v>
      </c>
      <c r="V27" s="166">
        <v>1463.6842105263163</v>
      </c>
      <c r="W27" s="166">
        <v>81.315789473684234</v>
      </c>
      <c r="X27" s="182">
        <f t="shared" ref="X27:X41" si="17">RANK(W27, W$27:W$41)</f>
        <v>2</v>
      </c>
      <c r="Y27" s="491">
        <f t="shared" ref="Y27" si="18">AVERAGE(W27:W41)</f>
        <v>70.06533673527845</v>
      </c>
      <c r="Z27" s="182">
        <v>18</v>
      </c>
      <c r="AA27" s="166">
        <v>1440.7500000000009</v>
      </c>
      <c r="AB27" s="166">
        <v>80.041666666666714</v>
      </c>
      <c r="AC27" s="182">
        <f t="shared" ref="AC27:AC41" si="19">RANK(AB27, AB$27:AB$41)</f>
        <v>2</v>
      </c>
      <c r="AD27" s="491">
        <f t="shared" ref="AD27" si="20">AVERAGE(AB27:AB41)</f>
        <v>68.099062270589414</v>
      </c>
      <c r="AE27" s="182">
        <v>18</v>
      </c>
      <c r="AF27" s="166">
        <v>1447.4999999999995</v>
      </c>
      <c r="AG27" s="166">
        <v>80.416666666666643</v>
      </c>
      <c r="AH27" s="182">
        <f t="shared" ref="AH27:AH41" si="21">RANK(AG27, AG$27:AG$41)</f>
        <v>2</v>
      </c>
      <c r="AI27" s="491">
        <f t="shared" ref="AI27" si="22">AVERAGE(AG27:AG41)</f>
        <v>67.601239648078291</v>
      </c>
      <c r="AJ27" s="182">
        <v>18</v>
      </c>
      <c r="AK27" s="166">
        <v>1429.714285714286</v>
      </c>
      <c r="AL27" s="166">
        <v>79.428571428571445</v>
      </c>
      <c r="AM27" s="182">
        <f t="shared" ref="AM27:AM41" si="23">RANK(AL27, AL$27:AL$41)</f>
        <v>2</v>
      </c>
      <c r="AN27" s="491">
        <f t="shared" ref="AN27" si="24">AVERAGE(AL27:AL41)</f>
        <v>66.128680078189134</v>
      </c>
      <c r="AO27" s="182">
        <v>18</v>
      </c>
      <c r="AP27" s="166">
        <v>1440.6382978723407</v>
      </c>
      <c r="AQ27" s="166">
        <v>80.035460992907815</v>
      </c>
      <c r="AR27" s="182">
        <f t="shared" ref="AR27:AR41" si="25">RANK(AQ27, AQ$27:AQ$41)</f>
        <v>2</v>
      </c>
      <c r="AS27" s="491">
        <f t="shared" ref="AS27" si="26">AVERAGE(AQ27:AQ41)</f>
        <v>67.952406738261729</v>
      </c>
      <c r="AT27" s="166">
        <v>16</v>
      </c>
      <c r="AU27" s="166">
        <v>1445.7142857142853</v>
      </c>
      <c r="AV27" s="166">
        <v>90.357142857142833</v>
      </c>
      <c r="AW27" s="182">
        <f t="shared" ref="AW27:AW41" si="27">RANK(AV27, AV$27:AV$41)</f>
        <v>2</v>
      </c>
      <c r="AX27" s="491">
        <f t="shared" ref="AX27" si="28">AVERAGE(AV27:AV41)</f>
        <v>70.55311069293397</v>
      </c>
    </row>
    <row r="28" spans="2:54">
      <c r="B28" s="479"/>
      <c r="C28" s="182">
        <v>2</v>
      </c>
      <c r="D28" s="203" t="s">
        <v>334</v>
      </c>
      <c r="E28" s="166">
        <v>14</v>
      </c>
      <c r="F28" s="182">
        <v>1500</v>
      </c>
      <c r="G28" s="180">
        <v>107.1</v>
      </c>
      <c r="H28" s="460"/>
      <c r="I28" s="166">
        <f t="shared" ref="I28:I33" si="29">AVERAGE(P28,U28,Z28,AE28,AJ28,AO28,AT28)</f>
        <v>13</v>
      </c>
      <c r="J28" s="166">
        <f t="shared" ref="J28:J33" si="30">AVERAGE(Q28,V28,AA28,AF28,AK28,AP28,AU28)</f>
        <v>1269.3784640792239</v>
      </c>
      <c r="K28" s="180">
        <f t="shared" ref="K28:K33" si="31">AVERAGE(R28,W28,AB28,AG28,AL28,AQ28,AV28)</f>
        <v>97.808764877692269</v>
      </c>
      <c r="L28" s="460"/>
      <c r="M28" s="181">
        <f>RANK(K28, K$27:$K$41)</f>
        <v>1</v>
      </c>
      <c r="N28" s="462"/>
      <c r="O28" s="462"/>
      <c r="P28" s="182">
        <v>13</v>
      </c>
      <c r="Q28" s="166">
        <v>1340.6250000000016</v>
      </c>
      <c r="R28" s="166">
        <v>103.12500000000013</v>
      </c>
      <c r="S28" s="182">
        <f t="shared" si="16"/>
        <v>1</v>
      </c>
      <c r="T28" s="491"/>
      <c r="U28" s="182">
        <v>13</v>
      </c>
      <c r="V28" s="166">
        <v>1293.7500000000016</v>
      </c>
      <c r="W28" s="166">
        <v>99.519230769230887</v>
      </c>
      <c r="X28" s="182">
        <f t="shared" si="17"/>
        <v>1</v>
      </c>
      <c r="Y28" s="491"/>
      <c r="Z28" s="182">
        <v>14</v>
      </c>
      <c r="AA28" s="166">
        <v>1326.2068965517251</v>
      </c>
      <c r="AB28" s="166">
        <v>94.729064039408939</v>
      </c>
      <c r="AC28" s="182">
        <f t="shared" si="19"/>
        <v>1</v>
      </c>
      <c r="AD28" s="491"/>
      <c r="AE28" s="182">
        <v>13</v>
      </c>
      <c r="AF28" s="166">
        <v>1153.8461538461545</v>
      </c>
      <c r="AG28" s="166">
        <v>88.757396449704189</v>
      </c>
      <c r="AH28" s="182">
        <f t="shared" si="21"/>
        <v>1</v>
      </c>
      <c r="AI28" s="491"/>
      <c r="AJ28" s="182">
        <v>13</v>
      </c>
      <c r="AK28" s="166">
        <v>1145.8064516129043</v>
      </c>
      <c r="AL28" s="166">
        <v>88.138957816377257</v>
      </c>
      <c r="AM28" s="182">
        <f t="shared" si="23"/>
        <v>1</v>
      </c>
      <c r="AN28" s="491"/>
      <c r="AO28" s="182">
        <v>13</v>
      </c>
      <c r="AP28" s="166">
        <v>1309.2857142857151</v>
      </c>
      <c r="AQ28" s="166">
        <v>100.71428571428578</v>
      </c>
      <c r="AR28" s="182">
        <f t="shared" si="25"/>
        <v>1</v>
      </c>
      <c r="AS28" s="491"/>
      <c r="AT28" s="166">
        <v>12</v>
      </c>
      <c r="AU28" s="166">
        <v>1316.1290322580658</v>
      </c>
      <c r="AV28" s="166">
        <v>109.67741935483882</v>
      </c>
      <c r="AW28" s="182">
        <f t="shared" si="27"/>
        <v>1</v>
      </c>
      <c r="AX28" s="491"/>
    </row>
    <row r="29" spans="2:54">
      <c r="B29" s="479"/>
      <c r="C29" s="182">
        <v>3</v>
      </c>
      <c r="D29" s="203" t="s">
        <v>335</v>
      </c>
      <c r="E29" s="166">
        <v>17</v>
      </c>
      <c r="F29" s="182">
        <v>1636</v>
      </c>
      <c r="G29" s="180">
        <v>96.3</v>
      </c>
      <c r="H29" s="460"/>
      <c r="I29" s="166">
        <f t="shared" si="29"/>
        <v>18</v>
      </c>
      <c r="J29" s="166">
        <f t="shared" si="30"/>
        <v>1351.9917789994154</v>
      </c>
      <c r="K29" s="180">
        <f t="shared" si="31"/>
        <v>75.110654388856418</v>
      </c>
      <c r="L29" s="460"/>
      <c r="M29" s="181">
        <f>RANK(K29, K$27:$K$41)</f>
        <v>3</v>
      </c>
      <c r="N29" s="462"/>
      <c r="O29" s="462"/>
      <c r="P29" s="182">
        <v>18</v>
      </c>
      <c r="Q29" s="166">
        <v>1335.7546012269943</v>
      </c>
      <c r="R29" s="166">
        <v>74.208588957055241</v>
      </c>
      <c r="S29" s="182">
        <f t="shared" si="16"/>
        <v>3</v>
      </c>
      <c r="T29" s="491"/>
      <c r="U29" s="182">
        <v>18</v>
      </c>
      <c r="V29" s="166">
        <v>1341.473684210526</v>
      </c>
      <c r="W29" s="166">
        <v>74.526315789473671</v>
      </c>
      <c r="X29" s="182">
        <f t="shared" si="17"/>
        <v>3</v>
      </c>
      <c r="Y29" s="491"/>
      <c r="Z29" s="182">
        <v>18</v>
      </c>
      <c r="AA29" s="166">
        <v>1354.5957446808516</v>
      </c>
      <c r="AB29" s="166">
        <v>75.255319148936195</v>
      </c>
      <c r="AC29" s="182">
        <f t="shared" si="19"/>
        <v>3</v>
      </c>
      <c r="AD29" s="491"/>
      <c r="AE29" s="182">
        <v>18</v>
      </c>
      <c r="AF29" s="166">
        <v>1420.7727272727263</v>
      </c>
      <c r="AG29" s="166">
        <v>78.93181818181813</v>
      </c>
      <c r="AH29" s="182">
        <f t="shared" si="21"/>
        <v>3</v>
      </c>
      <c r="AI29" s="491"/>
      <c r="AJ29" s="182">
        <v>18</v>
      </c>
      <c r="AK29" s="166">
        <v>1335.8940397350991</v>
      </c>
      <c r="AL29" s="166">
        <v>74.216335540838841</v>
      </c>
      <c r="AM29" s="182">
        <f t="shared" si="23"/>
        <v>3</v>
      </c>
      <c r="AN29" s="491"/>
      <c r="AO29" s="182">
        <v>18</v>
      </c>
      <c r="AP29" s="166">
        <v>1349.8492462311556</v>
      </c>
      <c r="AQ29" s="166">
        <v>74.991624790619753</v>
      </c>
      <c r="AR29" s="182">
        <f t="shared" si="25"/>
        <v>4</v>
      </c>
      <c r="AS29" s="491"/>
      <c r="AT29" s="166">
        <v>18</v>
      </c>
      <c r="AU29" s="166">
        <v>1325.6024096385545</v>
      </c>
      <c r="AV29" s="166">
        <v>73.644578313253021</v>
      </c>
      <c r="AW29" s="182">
        <f t="shared" si="27"/>
        <v>4</v>
      </c>
      <c r="AX29" s="491"/>
    </row>
    <row r="30" spans="2:54">
      <c r="B30" s="479"/>
      <c r="C30" s="182">
        <v>4</v>
      </c>
      <c r="D30" s="203" t="s">
        <v>336</v>
      </c>
      <c r="E30" s="166">
        <v>18</v>
      </c>
      <c r="F30" s="182">
        <v>1500</v>
      </c>
      <c r="G30" s="180">
        <v>83.3</v>
      </c>
      <c r="H30" s="460"/>
      <c r="I30" s="166">
        <f t="shared" si="29"/>
        <v>17.428571428571427</v>
      </c>
      <c r="J30" s="166">
        <f t="shared" si="30"/>
        <v>1143.7807017543842</v>
      </c>
      <c r="K30" s="180">
        <f t="shared" si="31"/>
        <v>65.79713707345276</v>
      </c>
      <c r="L30" s="460"/>
      <c r="M30" s="181">
        <f>RANK(K30, K$27:$K$41)</f>
        <v>5</v>
      </c>
      <c r="N30" s="462"/>
      <c r="O30" s="462"/>
      <c r="P30" s="182">
        <v>16</v>
      </c>
      <c r="Q30" s="166">
        <v>1158.4615384615354</v>
      </c>
      <c r="R30" s="166">
        <v>72.403846153845961</v>
      </c>
      <c r="S30" s="182">
        <f t="shared" si="16"/>
        <v>5</v>
      </c>
      <c r="T30" s="491"/>
      <c r="U30" s="182">
        <v>18</v>
      </c>
      <c r="V30" s="166">
        <v>1151.5384615384587</v>
      </c>
      <c r="W30" s="166">
        <v>63.974358974358815</v>
      </c>
      <c r="X30" s="182">
        <f t="shared" si="17"/>
        <v>6</v>
      </c>
      <c r="Y30" s="491"/>
      <c r="Z30" s="182">
        <v>18</v>
      </c>
      <c r="AA30" s="166">
        <v>1127.9999999999968</v>
      </c>
      <c r="AB30" s="166">
        <v>62.666666666666487</v>
      </c>
      <c r="AC30" s="182">
        <f t="shared" si="19"/>
        <v>5</v>
      </c>
      <c r="AD30" s="491"/>
      <c r="AE30" s="182">
        <v>18</v>
      </c>
      <c r="AF30" s="166">
        <v>1212.6315789473674</v>
      </c>
      <c r="AG30" s="166">
        <v>67.368421052631518</v>
      </c>
      <c r="AH30" s="182">
        <f t="shared" si="21"/>
        <v>5</v>
      </c>
      <c r="AI30" s="491"/>
      <c r="AJ30" s="182">
        <v>18</v>
      </c>
      <c r="AK30" s="166">
        <v>1140.0000000000041</v>
      </c>
      <c r="AL30" s="166">
        <v>63.333333333333563</v>
      </c>
      <c r="AM30" s="182">
        <f t="shared" si="23"/>
        <v>5</v>
      </c>
      <c r="AN30" s="491"/>
      <c r="AO30" s="182">
        <v>18</v>
      </c>
      <c r="AP30" s="166">
        <v>1102.4999999999966</v>
      </c>
      <c r="AQ30" s="166">
        <v>61.249999999999808</v>
      </c>
      <c r="AR30" s="182">
        <f t="shared" si="25"/>
        <v>5</v>
      </c>
      <c r="AS30" s="491"/>
      <c r="AT30" s="166">
        <v>16</v>
      </c>
      <c r="AU30" s="166">
        <v>1113.3333333333308</v>
      </c>
      <c r="AV30" s="166">
        <v>69.583333333333172</v>
      </c>
      <c r="AW30" s="182">
        <f t="shared" si="27"/>
        <v>5</v>
      </c>
      <c r="AX30" s="491"/>
    </row>
    <row r="31" spans="2:54">
      <c r="B31" s="479"/>
      <c r="C31" s="182">
        <v>5</v>
      </c>
      <c r="D31" s="203" t="s">
        <v>337</v>
      </c>
      <c r="E31" s="166">
        <v>21</v>
      </c>
      <c r="F31" s="182">
        <v>1385</v>
      </c>
      <c r="G31" s="180">
        <v>65.900000000000006</v>
      </c>
      <c r="H31" s="460"/>
      <c r="I31" s="166">
        <f t="shared" si="29"/>
        <v>20</v>
      </c>
      <c r="J31" s="166">
        <f t="shared" si="30"/>
        <v>1076.8847926267258</v>
      </c>
      <c r="K31" s="180">
        <f t="shared" si="31"/>
        <v>53.844239631336293</v>
      </c>
      <c r="L31" s="460"/>
      <c r="M31" s="181">
        <f>RANK(K31, K$27:$K$41)</f>
        <v>8</v>
      </c>
      <c r="N31" s="462"/>
      <c r="O31" s="462"/>
      <c r="P31" s="182">
        <v>20</v>
      </c>
      <c r="Q31" s="166">
        <v>1016.1290322580629</v>
      </c>
      <c r="R31" s="166">
        <v>50.806451612903146</v>
      </c>
      <c r="S31" s="182">
        <f t="shared" si="16"/>
        <v>9</v>
      </c>
      <c r="T31" s="491"/>
      <c r="U31" s="182">
        <v>20</v>
      </c>
      <c r="V31" s="166">
        <v>1211.6129032258045</v>
      </c>
      <c r="W31" s="166">
        <v>60.580645161290228</v>
      </c>
      <c r="X31" s="182">
        <f t="shared" si="17"/>
        <v>7</v>
      </c>
      <c r="Y31" s="491"/>
      <c r="Z31" s="182">
        <v>20</v>
      </c>
      <c r="AA31" s="166">
        <v>1186.4516129032238</v>
      </c>
      <c r="AB31" s="166">
        <v>59.322580645161189</v>
      </c>
      <c r="AC31" s="182">
        <f t="shared" si="19"/>
        <v>6</v>
      </c>
      <c r="AD31" s="491"/>
      <c r="AE31" s="182">
        <v>20</v>
      </c>
      <c r="AF31" s="166">
        <v>995.99999999999704</v>
      </c>
      <c r="AG31" s="166">
        <v>49.799999999999855</v>
      </c>
      <c r="AH31" s="182">
        <f t="shared" si="21"/>
        <v>9</v>
      </c>
      <c r="AI31" s="491"/>
      <c r="AJ31" s="182">
        <v>20</v>
      </c>
      <c r="AK31" s="166">
        <v>1039.9999999999975</v>
      </c>
      <c r="AL31" s="166">
        <v>51.999999999999872</v>
      </c>
      <c r="AM31" s="182">
        <f t="shared" si="23"/>
        <v>8</v>
      </c>
      <c r="AN31" s="491"/>
      <c r="AO31" s="182">
        <v>20</v>
      </c>
      <c r="AP31" s="166">
        <v>1031.999999999997</v>
      </c>
      <c r="AQ31" s="166">
        <v>51.599999999999852</v>
      </c>
      <c r="AR31" s="182">
        <f t="shared" si="25"/>
        <v>9</v>
      </c>
      <c r="AS31" s="491"/>
      <c r="AT31" s="166">
        <v>20</v>
      </c>
      <c r="AU31" s="166">
        <v>1055.9999999999982</v>
      </c>
      <c r="AV31" s="166">
        <v>52.799999999999912</v>
      </c>
      <c r="AW31" s="182">
        <f t="shared" si="27"/>
        <v>8</v>
      </c>
      <c r="AX31" s="491"/>
    </row>
    <row r="32" spans="2:54">
      <c r="B32" s="479"/>
      <c r="C32" s="182">
        <v>6</v>
      </c>
      <c r="D32" s="203" t="s">
        <v>338</v>
      </c>
      <c r="E32" s="166">
        <v>21</v>
      </c>
      <c r="F32" s="182">
        <v>1385</v>
      </c>
      <c r="G32" s="180">
        <v>65.900000000000006</v>
      </c>
      <c r="H32" s="460"/>
      <c r="I32" s="166">
        <f t="shared" si="29"/>
        <v>19</v>
      </c>
      <c r="J32" s="166">
        <f t="shared" si="30"/>
        <v>1009.8988530266762</v>
      </c>
      <c r="K32" s="180">
        <f t="shared" si="31"/>
        <v>53.152571211930322</v>
      </c>
      <c r="L32" s="460"/>
      <c r="M32" s="181">
        <f>RANK(K32, K$27:$K$41)</f>
        <v>9</v>
      </c>
      <c r="N32" s="462"/>
      <c r="O32" s="462"/>
      <c r="P32" s="182">
        <v>19</v>
      </c>
      <c r="Q32" s="166">
        <v>990.00000000000341</v>
      </c>
      <c r="R32" s="166">
        <v>52.105263157894917</v>
      </c>
      <c r="S32" s="182">
        <f t="shared" si="16"/>
        <v>8</v>
      </c>
      <c r="T32" s="491"/>
      <c r="U32" s="182">
        <v>19</v>
      </c>
      <c r="V32" s="166">
        <v>1030.9090909090946</v>
      </c>
      <c r="W32" s="166">
        <v>54.258373205741826</v>
      </c>
      <c r="X32" s="182">
        <f t="shared" si="17"/>
        <v>9</v>
      </c>
      <c r="Y32" s="491"/>
      <c r="Z32" s="182">
        <v>19</v>
      </c>
      <c r="AA32" s="166">
        <v>1026.0000000000036</v>
      </c>
      <c r="AB32" s="166">
        <v>54.000000000000192</v>
      </c>
      <c r="AC32" s="182">
        <f t="shared" si="19"/>
        <v>9</v>
      </c>
      <c r="AD32" s="491"/>
      <c r="AE32" s="182">
        <v>19</v>
      </c>
      <c r="AF32" s="166">
        <v>994.28571428571775</v>
      </c>
      <c r="AG32" s="166">
        <v>52.330827067669354</v>
      </c>
      <c r="AH32" s="182">
        <f t="shared" si="21"/>
        <v>8</v>
      </c>
      <c r="AI32" s="491"/>
      <c r="AJ32" s="182">
        <v>19</v>
      </c>
      <c r="AK32" s="166">
        <v>975.78947368421393</v>
      </c>
      <c r="AL32" s="166">
        <v>51.357340720221785</v>
      </c>
      <c r="AM32" s="182">
        <f t="shared" si="23"/>
        <v>9</v>
      </c>
      <c r="AN32" s="491"/>
      <c r="AO32" s="182">
        <v>19</v>
      </c>
      <c r="AP32" s="166">
        <v>1052.307692307696</v>
      </c>
      <c r="AQ32" s="166">
        <v>55.384615384615579</v>
      </c>
      <c r="AR32" s="182">
        <f t="shared" si="25"/>
        <v>7</v>
      </c>
      <c r="AS32" s="491"/>
      <c r="AT32" s="166">
        <v>19</v>
      </c>
      <c r="AU32" s="166">
        <v>1000.0000000000035</v>
      </c>
      <c r="AV32" s="166">
        <v>52.63157894736861</v>
      </c>
      <c r="AW32" s="182">
        <f t="shared" si="27"/>
        <v>9</v>
      </c>
      <c r="AX32" s="491"/>
    </row>
    <row r="33" spans="2:50">
      <c r="B33" s="479"/>
      <c r="C33" s="182">
        <v>7</v>
      </c>
      <c r="D33" s="203" t="s">
        <v>339</v>
      </c>
      <c r="E33" s="166">
        <v>18</v>
      </c>
      <c r="F33" s="182">
        <v>1500</v>
      </c>
      <c r="G33" s="180">
        <v>83.3</v>
      </c>
      <c r="H33" s="460"/>
      <c r="I33" s="166">
        <f t="shared" si="29"/>
        <v>18</v>
      </c>
      <c r="J33" s="166">
        <f t="shared" si="30"/>
        <v>1338.5651356018946</v>
      </c>
      <c r="K33" s="180">
        <f t="shared" si="31"/>
        <v>74.364729755660804</v>
      </c>
      <c r="L33" s="460"/>
      <c r="M33" s="181">
        <f>RANK(K33, K$27:$K$41)</f>
        <v>4</v>
      </c>
      <c r="N33" s="462"/>
      <c r="O33" s="462"/>
      <c r="P33" s="182">
        <v>18</v>
      </c>
      <c r="Q33" s="166">
        <v>1323.7582417582425</v>
      </c>
      <c r="R33" s="166">
        <v>73.542124542124583</v>
      </c>
      <c r="S33" s="182">
        <f t="shared" si="16"/>
        <v>4</v>
      </c>
      <c r="T33" s="491"/>
      <c r="U33" s="182">
        <v>18</v>
      </c>
      <c r="V33" s="166">
        <v>1327.2592592592596</v>
      </c>
      <c r="W33" s="166">
        <v>73.736625514403315</v>
      </c>
      <c r="X33" s="182">
        <f t="shared" si="17"/>
        <v>4</v>
      </c>
      <c r="Y33" s="491"/>
      <c r="Z33" s="182">
        <v>18</v>
      </c>
      <c r="AA33" s="166">
        <v>1327.9125000000006</v>
      </c>
      <c r="AB33" s="166">
        <v>73.772916666666703</v>
      </c>
      <c r="AC33" s="182">
        <f t="shared" si="19"/>
        <v>4</v>
      </c>
      <c r="AD33" s="491"/>
      <c r="AE33" s="182">
        <v>18</v>
      </c>
      <c r="AF33" s="166">
        <v>1365.1851851851852</v>
      </c>
      <c r="AG33" s="166">
        <v>75.843621399176953</v>
      </c>
      <c r="AH33" s="182">
        <f t="shared" si="21"/>
        <v>4</v>
      </c>
      <c r="AI33" s="491"/>
      <c r="AJ33" s="182">
        <v>18</v>
      </c>
      <c r="AK33" s="166">
        <v>1325.2747252747254</v>
      </c>
      <c r="AL33" s="166">
        <v>73.626373626373635</v>
      </c>
      <c r="AM33" s="182">
        <f t="shared" si="23"/>
        <v>4</v>
      </c>
      <c r="AN33" s="491"/>
      <c r="AO33" s="182">
        <v>18</v>
      </c>
      <c r="AP33" s="166">
        <v>1361.3207547169807</v>
      </c>
      <c r="AQ33" s="166">
        <v>75.628930817610041</v>
      </c>
      <c r="AR33" s="182">
        <f t="shared" si="25"/>
        <v>3</v>
      </c>
      <c r="AS33" s="491"/>
      <c r="AT33" s="166">
        <v>18</v>
      </c>
      <c r="AU33" s="166">
        <v>1339.2452830188677</v>
      </c>
      <c r="AV33" s="166">
        <v>74.402515723270426</v>
      </c>
      <c r="AW33" s="182">
        <f t="shared" si="27"/>
        <v>3</v>
      </c>
      <c r="AX33" s="491"/>
    </row>
    <row r="34" spans="2:50">
      <c r="B34" s="479"/>
      <c r="C34" s="182">
        <v>8</v>
      </c>
      <c r="D34" s="203" t="s">
        <v>340</v>
      </c>
      <c r="E34" s="166">
        <v>19</v>
      </c>
      <c r="F34" s="182">
        <v>1385</v>
      </c>
      <c r="G34" s="180">
        <v>72.900000000000006</v>
      </c>
      <c r="H34" s="460"/>
      <c r="I34" s="166">
        <f t="shared" ref="I34" si="32">AVERAGE(P34,U34,Z34,AE34,AJ34,AO34,AT34)</f>
        <v>18</v>
      </c>
      <c r="J34" s="166">
        <f t="shared" ref="J34" si="33">AVERAGE(Q34,V34,AA34,AF34,AK34,AP34,AU34)</f>
        <v>1052.2693581243734</v>
      </c>
      <c r="K34" s="180">
        <f t="shared" ref="K34" si="34">AVERAGE(R34,W34,AB34,AG34,AL34,AQ34,AV34)</f>
        <v>58.459408784687412</v>
      </c>
      <c r="L34" s="460"/>
      <c r="M34" s="181">
        <f>RANK(K34, K$27:$K$41)</f>
        <v>6</v>
      </c>
      <c r="N34" s="462"/>
      <c r="O34" s="462"/>
      <c r="P34" s="182">
        <v>18</v>
      </c>
      <c r="Q34" s="166">
        <v>1053.9999999999982</v>
      </c>
      <c r="R34" s="166">
        <v>58.555555555555458</v>
      </c>
      <c r="S34" s="182">
        <f t="shared" si="16"/>
        <v>6</v>
      </c>
      <c r="T34" s="491"/>
      <c r="U34" s="182">
        <v>18</v>
      </c>
      <c r="V34" s="166">
        <v>1054.2857142857119</v>
      </c>
      <c r="W34" s="166">
        <v>58.571428571428442</v>
      </c>
      <c r="X34" s="182">
        <f t="shared" si="17"/>
        <v>8</v>
      </c>
      <c r="Y34" s="491"/>
      <c r="Z34" s="182">
        <v>18</v>
      </c>
      <c r="AA34" s="166">
        <v>1062.8571428571406</v>
      </c>
      <c r="AB34" s="166">
        <v>59.047619047618923</v>
      </c>
      <c r="AC34" s="182">
        <f t="shared" si="19"/>
        <v>7</v>
      </c>
      <c r="AD34" s="491"/>
      <c r="AE34" s="182">
        <v>18</v>
      </c>
      <c r="AF34" s="166">
        <v>1089.4736842105301</v>
      </c>
      <c r="AG34" s="166">
        <v>60.526315789473898</v>
      </c>
      <c r="AH34" s="182">
        <f t="shared" si="21"/>
        <v>6</v>
      </c>
      <c r="AI34" s="491"/>
      <c r="AJ34" s="182">
        <v>18</v>
      </c>
      <c r="AK34" s="166">
        <v>1043.9999999999968</v>
      </c>
      <c r="AL34" s="166">
        <v>57.999999999999822</v>
      </c>
      <c r="AM34" s="182">
        <f t="shared" si="23"/>
        <v>6</v>
      </c>
      <c r="AN34" s="491"/>
      <c r="AO34" s="182">
        <v>18</v>
      </c>
      <c r="AP34" s="166">
        <v>1039.1999999999971</v>
      </c>
      <c r="AQ34" s="166">
        <v>57.733333333333171</v>
      </c>
      <c r="AR34" s="182">
        <f t="shared" si="25"/>
        <v>6</v>
      </c>
      <c r="AS34" s="491"/>
      <c r="AT34" s="166">
        <v>18</v>
      </c>
      <c r="AU34" s="166">
        <v>1022.0689655172393</v>
      </c>
      <c r="AV34" s="166">
        <v>56.781609195402183</v>
      </c>
      <c r="AW34" s="182">
        <f t="shared" si="27"/>
        <v>6</v>
      </c>
      <c r="AX34" s="491"/>
    </row>
    <row r="35" spans="2:50">
      <c r="B35" s="479"/>
      <c r="C35" s="182">
        <v>9</v>
      </c>
      <c r="D35" s="203" t="s">
        <v>341</v>
      </c>
      <c r="E35" s="166">
        <v>21</v>
      </c>
      <c r="F35" s="182">
        <v>1385</v>
      </c>
      <c r="G35" s="180">
        <v>65.900000000000006</v>
      </c>
      <c r="H35" s="460"/>
      <c r="I35" s="166">
        <f t="shared" ref="I35" si="35">AVERAGE(P35,U35,Z35,AE35,AJ35,AO35,AT35)</f>
        <v>19</v>
      </c>
      <c r="J35" s="166">
        <f t="shared" ref="J35" si="36">AVERAGE(Q35,V35,AA35,AF35,AK35,AP35,AU35)</f>
        <v>1057.6297128514302</v>
      </c>
      <c r="K35" s="180">
        <f t="shared" ref="K35" si="37">AVERAGE(R35,W35,AB35,AG35,AL35,AQ35,AV35)</f>
        <v>55.664721729022645</v>
      </c>
      <c r="L35" s="460"/>
      <c r="M35" s="181">
        <f>RANK(K35, K$27:$K$41)</f>
        <v>7</v>
      </c>
      <c r="N35" s="462"/>
      <c r="O35" s="462"/>
      <c r="P35" s="182">
        <v>19</v>
      </c>
      <c r="Q35" s="166">
        <v>1000.645161290321</v>
      </c>
      <c r="R35" s="166">
        <v>52.665534804753733</v>
      </c>
      <c r="S35" s="182">
        <f t="shared" si="16"/>
        <v>7</v>
      </c>
      <c r="T35" s="491"/>
      <c r="U35" s="182">
        <v>19</v>
      </c>
      <c r="V35" s="166">
        <v>1217.9999999999995</v>
      </c>
      <c r="W35" s="166">
        <v>64.105263157894711</v>
      </c>
      <c r="X35" s="182">
        <f t="shared" si="17"/>
        <v>5</v>
      </c>
      <c r="Y35" s="491"/>
      <c r="Z35" s="182">
        <v>19</v>
      </c>
      <c r="AA35" s="166">
        <v>1027.0588235294103</v>
      </c>
      <c r="AB35" s="166">
        <v>54.055727554179491</v>
      </c>
      <c r="AC35" s="182">
        <f t="shared" si="19"/>
        <v>8</v>
      </c>
      <c r="AD35" s="491"/>
      <c r="AE35" s="182">
        <v>19</v>
      </c>
      <c r="AF35" s="166">
        <v>1034.2857142857179</v>
      </c>
      <c r="AG35" s="166">
        <v>54.436090225564101</v>
      </c>
      <c r="AH35" s="182">
        <f t="shared" si="21"/>
        <v>7</v>
      </c>
      <c r="AI35" s="491"/>
      <c r="AJ35" s="182">
        <v>19</v>
      </c>
      <c r="AK35" s="166">
        <v>1046.0869565217356</v>
      </c>
      <c r="AL35" s="166">
        <v>55.057208237986082</v>
      </c>
      <c r="AM35" s="182">
        <f t="shared" si="23"/>
        <v>7</v>
      </c>
      <c r="AN35" s="491"/>
      <c r="AO35" s="182">
        <v>19</v>
      </c>
      <c r="AP35" s="166">
        <v>1030.4347826086921</v>
      </c>
      <c r="AQ35" s="166">
        <v>54.233409610983792</v>
      </c>
      <c r="AR35" s="182">
        <f t="shared" si="25"/>
        <v>8</v>
      </c>
      <c r="AS35" s="491"/>
      <c r="AT35" s="166">
        <v>19</v>
      </c>
      <c r="AU35" s="166">
        <v>1046.8965517241359</v>
      </c>
      <c r="AV35" s="166">
        <v>55.099818511796627</v>
      </c>
      <c r="AW35" s="182">
        <f t="shared" si="27"/>
        <v>7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66"/>
      <c r="R36" s="166"/>
      <c r="S36" s="182" t="e">
        <f t="shared" si="16"/>
        <v>#N/A</v>
      </c>
      <c r="T36" s="491"/>
      <c r="U36" s="182"/>
      <c r="V36" s="166"/>
      <c r="W36" s="166"/>
      <c r="X36" s="182" t="e">
        <f t="shared" si="17"/>
        <v>#N/A</v>
      </c>
      <c r="Y36" s="491"/>
      <c r="Z36" s="182"/>
      <c r="AA36" s="166"/>
      <c r="AB36" s="166"/>
      <c r="AC36" s="182" t="e">
        <f t="shared" si="19"/>
        <v>#N/A</v>
      </c>
      <c r="AD36" s="491"/>
      <c r="AE36" s="182"/>
      <c r="AF36" s="166"/>
      <c r="AG36" s="166"/>
      <c r="AH36" s="182" t="e">
        <f t="shared" si="21"/>
        <v>#N/A</v>
      </c>
      <c r="AI36" s="491"/>
      <c r="AJ36" s="182"/>
      <c r="AK36" s="166"/>
      <c r="AL36" s="166"/>
      <c r="AM36" s="182" t="e">
        <f t="shared" si="23"/>
        <v>#N/A</v>
      </c>
      <c r="AN36" s="491"/>
      <c r="AO36" s="182"/>
      <c r="AP36" s="166"/>
      <c r="AQ36" s="166"/>
      <c r="AR36" s="182" t="e">
        <f t="shared" si="25"/>
        <v>#N/A</v>
      </c>
      <c r="AS36" s="491"/>
      <c r="AT36" s="166"/>
      <c r="AU36" s="166"/>
      <c r="AV36" s="166"/>
      <c r="AW36" s="182" t="e">
        <f t="shared" si="27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66"/>
      <c r="J37" s="166"/>
      <c r="K37" s="180"/>
      <c r="L37" s="460"/>
      <c r="M37" s="181" t="e">
        <f>RANK(K37, K$27:$K$41)</f>
        <v>#N/A</v>
      </c>
      <c r="N37" s="462"/>
      <c r="O37" s="462"/>
      <c r="P37" s="182"/>
      <c r="Q37" s="166"/>
      <c r="R37" s="166"/>
      <c r="S37" s="182" t="e">
        <f t="shared" si="16"/>
        <v>#N/A</v>
      </c>
      <c r="T37" s="491"/>
      <c r="U37" s="182"/>
      <c r="V37" s="166"/>
      <c r="W37" s="166"/>
      <c r="X37" s="182" t="e">
        <f t="shared" si="17"/>
        <v>#N/A</v>
      </c>
      <c r="Y37" s="491"/>
      <c r="Z37" s="182"/>
      <c r="AA37" s="166"/>
      <c r="AB37" s="166"/>
      <c r="AC37" s="182" t="e">
        <f t="shared" si="19"/>
        <v>#N/A</v>
      </c>
      <c r="AD37" s="491"/>
      <c r="AE37" s="182"/>
      <c r="AF37" s="166"/>
      <c r="AG37" s="166"/>
      <c r="AH37" s="182" t="e">
        <f t="shared" si="21"/>
        <v>#N/A</v>
      </c>
      <c r="AI37" s="491"/>
      <c r="AJ37" s="182"/>
      <c r="AK37" s="166"/>
      <c r="AL37" s="166"/>
      <c r="AM37" s="182" t="e">
        <f t="shared" si="23"/>
        <v>#N/A</v>
      </c>
      <c r="AN37" s="491"/>
      <c r="AO37" s="182"/>
      <c r="AP37" s="166"/>
      <c r="AQ37" s="166"/>
      <c r="AR37" s="182" t="e">
        <f t="shared" si="25"/>
        <v>#N/A</v>
      </c>
      <c r="AS37" s="491"/>
      <c r="AT37" s="166"/>
      <c r="AU37" s="166"/>
      <c r="AV37" s="166"/>
      <c r="AW37" s="182" t="e">
        <f t="shared" si="27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66"/>
      <c r="J38" s="166"/>
      <c r="K38" s="180"/>
      <c r="L38" s="460"/>
      <c r="M38" s="181" t="e">
        <f>RANK(K38, K$27:$K$41)</f>
        <v>#N/A</v>
      </c>
      <c r="N38" s="462"/>
      <c r="O38" s="462"/>
      <c r="P38" s="182"/>
      <c r="Q38" s="166"/>
      <c r="R38" s="166"/>
      <c r="S38" s="182" t="e">
        <f t="shared" si="16"/>
        <v>#N/A</v>
      </c>
      <c r="T38" s="491"/>
      <c r="U38" s="182"/>
      <c r="V38" s="166"/>
      <c r="W38" s="166"/>
      <c r="X38" s="182" t="e">
        <f t="shared" si="17"/>
        <v>#N/A</v>
      </c>
      <c r="Y38" s="491"/>
      <c r="Z38" s="182"/>
      <c r="AA38" s="166"/>
      <c r="AB38" s="166"/>
      <c r="AC38" s="182" t="e">
        <f t="shared" si="19"/>
        <v>#N/A</v>
      </c>
      <c r="AD38" s="491"/>
      <c r="AE38" s="182"/>
      <c r="AF38" s="166"/>
      <c r="AG38" s="166"/>
      <c r="AH38" s="182" t="e">
        <f t="shared" si="21"/>
        <v>#N/A</v>
      </c>
      <c r="AI38" s="491"/>
      <c r="AJ38" s="182"/>
      <c r="AK38" s="166"/>
      <c r="AL38" s="166"/>
      <c r="AM38" s="182" t="e">
        <f t="shared" si="23"/>
        <v>#N/A</v>
      </c>
      <c r="AN38" s="491"/>
      <c r="AO38" s="182"/>
      <c r="AP38" s="166"/>
      <c r="AQ38" s="166"/>
      <c r="AR38" s="182" t="e">
        <f t="shared" si="25"/>
        <v>#N/A</v>
      </c>
      <c r="AS38" s="491"/>
      <c r="AT38" s="166"/>
      <c r="AU38" s="166"/>
      <c r="AV38" s="166"/>
      <c r="AW38" s="182" t="e">
        <f t="shared" si="27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16"/>
        <v>#N/A</v>
      </c>
      <c r="T39" s="491"/>
      <c r="U39" s="182"/>
      <c r="V39" s="166"/>
      <c r="W39" s="166"/>
      <c r="X39" s="182" t="e">
        <f t="shared" si="17"/>
        <v>#N/A</v>
      </c>
      <c r="Y39" s="491"/>
      <c r="Z39" s="182"/>
      <c r="AA39" s="166"/>
      <c r="AB39" s="166"/>
      <c r="AC39" s="182" t="e">
        <f t="shared" si="19"/>
        <v>#N/A</v>
      </c>
      <c r="AD39" s="491"/>
      <c r="AE39" s="182"/>
      <c r="AF39" s="166"/>
      <c r="AG39" s="166"/>
      <c r="AH39" s="182" t="e">
        <f t="shared" si="21"/>
        <v>#N/A</v>
      </c>
      <c r="AI39" s="491"/>
      <c r="AJ39" s="182"/>
      <c r="AK39" s="166"/>
      <c r="AL39" s="166"/>
      <c r="AM39" s="182" t="e">
        <f t="shared" si="23"/>
        <v>#N/A</v>
      </c>
      <c r="AN39" s="491"/>
      <c r="AO39" s="182"/>
      <c r="AP39" s="166"/>
      <c r="AQ39" s="166"/>
      <c r="AR39" s="182" t="e">
        <f t="shared" si="25"/>
        <v>#N/A</v>
      </c>
      <c r="AS39" s="491"/>
      <c r="AT39" s="166"/>
      <c r="AU39" s="166"/>
      <c r="AV39" s="166"/>
      <c r="AW39" s="182" t="e">
        <f t="shared" si="27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16"/>
        <v>#N/A</v>
      </c>
      <c r="T40" s="491"/>
      <c r="U40" s="182"/>
      <c r="V40" s="166"/>
      <c r="W40" s="166"/>
      <c r="X40" s="182" t="e">
        <f t="shared" si="17"/>
        <v>#N/A</v>
      </c>
      <c r="Y40" s="491"/>
      <c r="Z40" s="182"/>
      <c r="AA40" s="166"/>
      <c r="AB40" s="166"/>
      <c r="AC40" s="182" t="e">
        <f t="shared" si="19"/>
        <v>#N/A</v>
      </c>
      <c r="AD40" s="491"/>
      <c r="AE40" s="182"/>
      <c r="AF40" s="166"/>
      <c r="AG40" s="166"/>
      <c r="AH40" s="182" t="e">
        <f t="shared" si="21"/>
        <v>#N/A</v>
      </c>
      <c r="AI40" s="491"/>
      <c r="AJ40" s="182"/>
      <c r="AK40" s="166"/>
      <c r="AL40" s="166"/>
      <c r="AM40" s="182" t="e">
        <f t="shared" si="23"/>
        <v>#N/A</v>
      </c>
      <c r="AN40" s="491"/>
      <c r="AO40" s="182"/>
      <c r="AP40" s="166"/>
      <c r="AQ40" s="166"/>
      <c r="AR40" s="182" t="e">
        <f t="shared" si="25"/>
        <v>#N/A</v>
      </c>
      <c r="AS40" s="491"/>
      <c r="AT40" s="166"/>
      <c r="AU40" s="166"/>
      <c r="AV40" s="166"/>
      <c r="AW40" s="182" t="e">
        <f t="shared" si="27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16"/>
        <v>#N/A</v>
      </c>
      <c r="T41" s="491"/>
      <c r="U41" s="182"/>
      <c r="V41" s="166"/>
      <c r="W41" s="166"/>
      <c r="X41" s="182" t="e">
        <f t="shared" si="17"/>
        <v>#N/A</v>
      </c>
      <c r="Y41" s="491"/>
      <c r="Z41" s="182"/>
      <c r="AA41" s="166"/>
      <c r="AB41" s="166"/>
      <c r="AC41" s="182" t="e">
        <f t="shared" si="19"/>
        <v>#N/A</v>
      </c>
      <c r="AD41" s="491"/>
      <c r="AE41" s="182"/>
      <c r="AF41" s="166"/>
      <c r="AG41" s="166"/>
      <c r="AH41" s="182" t="e">
        <f t="shared" si="21"/>
        <v>#N/A</v>
      </c>
      <c r="AI41" s="491"/>
      <c r="AJ41" s="182"/>
      <c r="AK41" s="166"/>
      <c r="AL41" s="166"/>
      <c r="AM41" s="182" t="e">
        <f t="shared" si="23"/>
        <v>#N/A</v>
      </c>
      <c r="AN41" s="491"/>
      <c r="AO41" s="182"/>
      <c r="AP41" s="166"/>
      <c r="AQ41" s="166"/>
      <c r="AR41" s="182" t="e">
        <f t="shared" si="25"/>
        <v>#N/A</v>
      </c>
      <c r="AS41" s="491"/>
      <c r="AT41" s="166"/>
      <c r="AU41" s="166"/>
      <c r="AV41" s="166"/>
      <c r="AW41" s="182" t="e">
        <f t="shared" si="27"/>
        <v>#N/A</v>
      </c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342</v>
      </c>
      <c r="C47" s="182">
        <v>1</v>
      </c>
      <c r="D47" s="203" t="s">
        <v>334</v>
      </c>
      <c r="E47" s="166">
        <v>14</v>
      </c>
      <c r="F47" s="182">
        <v>1500</v>
      </c>
      <c r="G47" s="180">
        <v>107.1</v>
      </c>
      <c r="H47" s="459">
        <f>AVERAGE(G47:G61)</f>
        <v>80.075000000000003</v>
      </c>
      <c r="I47" s="166">
        <f>AVERAGE(P47,U47,Z47,AE47,AJ47,AO47,AT47)</f>
        <v>12.714285714285714</v>
      </c>
      <c r="J47" s="166">
        <f>AVERAGE(Q47,V47,AA47,AF47,AK47,AP47,AU47)</f>
        <v>1122.4003246753259</v>
      </c>
      <c r="K47" s="180">
        <f>AVERAGE(R47,W47,AB47,AG47,AL47,AQ47,AV47)</f>
        <v>88.419530469530557</v>
      </c>
      <c r="L47" s="459">
        <f>IFERROR(AVERAGE(K47:K61),"-")</f>
        <v>64.587995180055216</v>
      </c>
      <c r="M47" s="181">
        <f>RANK(K47, K$47:$K$61)</f>
        <v>1</v>
      </c>
      <c r="N47" s="462"/>
      <c r="O47" s="462"/>
      <c r="P47" s="182">
        <v>13</v>
      </c>
      <c r="Q47" s="166">
        <v>1260.0000000000014</v>
      </c>
      <c r="R47" s="166">
        <v>96.923076923077033</v>
      </c>
      <c r="S47" s="182">
        <f>RANK(R47, R$47:R$61)</f>
        <v>1</v>
      </c>
      <c r="T47" s="479">
        <f>AVERAGE(R47:R61)</f>
        <v>66.672451493880629</v>
      </c>
      <c r="U47" s="182">
        <v>13</v>
      </c>
      <c r="V47" s="166">
        <v>1095.0000000000014</v>
      </c>
      <c r="W47" s="166">
        <v>84.23076923076934</v>
      </c>
      <c r="X47" s="182">
        <f>RANK(W47, W$47:W$61)</f>
        <v>1</v>
      </c>
      <c r="Y47" s="479">
        <f>AVERAGE(W47:W61)</f>
        <v>64.215039617782452</v>
      </c>
      <c r="Z47" s="182">
        <v>13</v>
      </c>
      <c r="AA47" s="166">
        <v>1052.7272727272739</v>
      </c>
      <c r="AB47" s="166">
        <v>80.979020979021072</v>
      </c>
      <c r="AC47" s="182">
        <f>RANK(AB47, AB$47:AB$61)</f>
        <v>1</v>
      </c>
      <c r="AD47" s="479">
        <f>AVERAGE(AB47:AB61)</f>
        <v>71.202384108266443</v>
      </c>
      <c r="AE47" s="182">
        <v>13</v>
      </c>
      <c r="AF47" s="166">
        <v>1087.2000000000003</v>
      </c>
      <c r="AG47" s="166">
        <v>83.630769230769246</v>
      </c>
      <c r="AH47" s="182">
        <f>RANK(AG47, AG$47:AG$61)</f>
        <v>1</v>
      </c>
      <c r="AI47" s="479">
        <f>AVERAGE(AG47:AG61)</f>
        <v>71.734346403317872</v>
      </c>
      <c r="AJ47" s="182">
        <v>12</v>
      </c>
      <c r="AK47" s="166">
        <v>1081.8750000000014</v>
      </c>
      <c r="AL47" s="166">
        <v>90.156250000000114</v>
      </c>
      <c r="AM47" s="182">
        <f>RANK(AL47, AL$47:AL$61)</f>
        <v>1</v>
      </c>
      <c r="AN47" s="479">
        <f>AVERAGE(AL47:AL61)</f>
        <v>73.304386894645788</v>
      </c>
      <c r="AO47" s="182">
        <v>13</v>
      </c>
      <c r="AP47" s="166">
        <v>1089.3750000000014</v>
      </c>
      <c r="AQ47" s="166">
        <v>83.798076923077033</v>
      </c>
      <c r="AR47" s="182">
        <f>RANK(AQ47, AQ$47:AQ$61)</f>
        <v>1</v>
      </c>
      <c r="AS47" s="479">
        <f>AVERAGE(AQ47:AQ61)</f>
        <v>71.996079966732125</v>
      </c>
      <c r="AT47" s="182">
        <v>12</v>
      </c>
      <c r="AU47" s="166">
        <v>1190.6250000000014</v>
      </c>
      <c r="AV47" s="166">
        <v>99.218750000000114</v>
      </c>
      <c r="AW47" s="182">
        <f>RANK(AV47, AV$47:AV$61)</f>
        <v>1</v>
      </c>
      <c r="AX47" s="479">
        <f>AVERAGE(AV47:AV61)</f>
        <v>72.851735690999774</v>
      </c>
    </row>
    <row r="48" spans="2:50">
      <c r="B48" s="479"/>
      <c r="C48" s="182">
        <v>2</v>
      </c>
      <c r="D48" s="203" t="s">
        <v>335</v>
      </c>
      <c r="E48" s="166">
        <v>17</v>
      </c>
      <c r="F48" s="182">
        <v>1636</v>
      </c>
      <c r="G48" s="180">
        <v>96.3</v>
      </c>
      <c r="H48" s="460"/>
      <c r="I48" s="166">
        <f t="shared" ref="I48:I53" si="38">AVERAGE(P48,U48,Z48,AE48,AJ48,AO48,AT48)</f>
        <v>18</v>
      </c>
      <c r="J48" s="166">
        <f t="shared" ref="J48:J53" si="39">AVERAGE(Q48,V48,AA48,AF48,AK48,AP48,AU48)</f>
        <v>1272.6188068202177</v>
      </c>
      <c r="K48" s="180">
        <f t="shared" ref="K48:K53" si="40">AVERAGE(R48,W48,AB48,AG48,AL48,AQ48,AV48)</f>
        <v>70.701044823345441</v>
      </c>
      <c r="L48" s="460"/>
      <c r="M48" s="181">
        <f>RANK(K48, K$47:$K$61)</f>
        <v>3</v>
      </c>
      <c r="N48" s="462"/>
      <c r="O48" s="462"/>
      <c r="P48" s="182">
        <v>18</v>
      </c>
      <c r="Q48" s="166">
        <v>1284.0875912408758</v>
      </c>
      <c r="R48" s="166">
        <v>71.338199513381994</v>
      </c>
      <c r="S48" s="182">
        <f t="shared" ref="S48:S61" si="41">RANK(R48, R$47:R$61)</f>
        <v>3</v>
      </c>
      <c r="T48" s="479"/>
      <c r="U48" s="182">
        <v>18</v>
      </c>
      <c r="V48" s="166">
        <v>1282.8749999999998</v>
      </c>
      <c r="W48" s="166">
        <v>71.270833333333314</v>
      </c>
      <c r="X48" s="182">
        <f t="shared" ref="X48:X61" si="42">RANK(W48, W$47:W$61)</f>
        <v>4</v>
      </c>
      <c r="Y48" s="479"/>
      <c r="Z48" s="182">
        <v>18</v>
      </c>
      <c r="AA48" s="166">
        <v>1299.226890756303</v>
      </c>
      <c r="AB48" s="166">
        <v>72.179271708683501</v>
      </c>
      <c r="AC48" s="182">
        <f t="shared" ref="AC48:AC61" si="43">RANK(AB48, AB$47:AB$61)</f>
        <v>3</v>
      </c>
      <c r="AD48" s="479"/>
      <c r="AE48" s="182">
        <v>18</v>
      </c>
      <c r="AF48" s="166">
        <v>1270.9915966386559</v>
      </c>
      <c r="AG48" s="166">
        <v>70.6106442577031</v>
      </c>
      <c r="AH48" s="182">
        <f t="shared" ref="AH48:AH61" si="44">RANK(AG48, AG$47:AG$61)</f>
        <v>3</v>
      </c>
      <c r="AI48" s="479"/>
      <c r="AJ48" s="182">
        <v>18</v>
      </c>
      <c r="AK48" s="166">
        <v>1254.2439024390242</v>
      </c>
      <c r="AL48" s="166">
        <v>69.680216802168005</v>
      </c>
      <c r="AM48" s="182">
        <f t="shared" ref="AM48:AM61" si="45">RANK(AL48, AL$47:AL$61)</f>
        <v>4</v>
      </c>
      <c r="AN48" s="479"/>
      <c r="AO48" s="182">
        <v>18</v>
      </c>
      <c r="AP48" s="166">
        <v>1290.6666666666665</v>
      </c>
      <c r="AQ48" s="166">
        <v>71.703703703703695</v>
      </c>
      <c r="AR48" s="182">
        <f t="shared" ref="AR48:AR61" si="46">RANK(AQ48, AQ$47:AQ$61)</f>
        <v>3</v>
      </c>
      <c r="AS48" s="479"/>
      <c r="AT48" s="182">
        <v>18</v>
      </c>
      <c r="AU48" s="166">
        <v>1226.2399999999998</v>
      </c>
      <c r="AV48" s="166">
        <v>68.124444444444435</v>
      </c>
      <c r="AW48" s="182">
        <f t="shared" ref="AW48:AW61" si="47">RANK(AV48, AV$47:AV$61)</f>
        <v>3</v>
      </c>
      <c r="AX48" s="479"/>
    </row>
    <row r="49" spans="2:50">
      <c r="B49" s="479"/>
      <c r="C49" s="182">
        <v>3</v>
      </c>
      <c r="D49" s="203" t="s">
        <v>336</v>
      </c>
      <c r="E49" s="166">
        <v>18</v>
      </c>
      <c r="F49" s="182">
        <v>1500</v>
      </c>
      <c r="G49" s="180">
        <v>83.3</v>
      </c>
      <c r="H49" s="460"/>
      <c r="I49" s="166">
        <f t="shared" si="38"/>
        <v>16</v>
      </c>
      <c r="J49" s="166">
        <f t="shared" si="39"/>
        <v>1264.8541756824891</v>
      </c>
      <c r="K49" s="180">
        <f t="shared" si="40"/>
        <v>79.053385980155568</v>
      </c>
      <c r="L49" s="460"/>
      <c r="M49" s="181">
        <f>RANK(K49, K$47:$K$61)</f>
        <v>2</v>
      </c>
      <c r="N49" s="462"/>
      <c r="O49" s="462"/>
      <c r="P49" s="182">
        <v>16</v>
      </c>
      <c r="Q49" s="166">
        <v>1266.5624999999998</v>
      </c>
      <c r="R49" s="166">
        <v>79.160156249999986</v>
      </c>
      <c r="S49" s="182">
        <f t="shared" si="41"/>
        <v>2</v>
      </c>
      <c r="T49" s="479"/>
      <c r="U49" s="182">
        <v>16</v>
      </c>
      <c r="V49" s="166">
        <v>1263.5294117647059</v>
      </c>
      <c r="W49" s="166">
        <v>78.970588235294116</v>
      </c>
      <c r="X49" s="182">
        <f t="shared" si="42"/>
        <v>2</v>
      </c>
      <c r="Y49" s="479"/>
      <c r="Z49" s="182">
        <v>16</v>
      </c>
      <c r="AA49" s="166">
        <v>1264.7619047619046</v>
      </c>
      <c r="AB49" s="166">
        <v>79.047619047619037</v>
      </c>
      <c r="AC49" s="182">
        <f t="shared" si="43"/>
        <v>2</v>
      </c>
      <c r="AD49" s="479"/>
      <c r="AE49" s="182">
        <v>16</v>
      </c>
      <c r="AF49" s="166">
        <v>1286.0869565217392</v>
      </c>
      <c r="AG49" s="166">
        <v>80.380434782608702</v>
      </c>
      <c r="AH49" s="182">
        <f t="shared" si="44"/>
        <v>2</v>
      </c>
      <c r="AI49" s="479"/>
      <c r="AJ49" s="182">
        <v>16</v>
      </c>
      <c r="AK49" s="166">
        <v>1276.2711864406772</v>
      </c>
      <c r="AL49" s="166">
        <v>79.766949152542324</v>
      </c>
      <c r="AM49" s="182">
        <f t="shared" si="45"/>
        <v>2</v>
      </c>
      <c r="AN49" s="479"/>
      <c r="AO49" s="182">
        <v>16</v>
      </c>
      <c r="AP49" s="166">
        <v>1263.8095238095236</v>
      </c>
      <c r="AQ49" s="166">
        <v>78.988095238095227</v>
      </c>
      <c r="AR49" s="182">
        <f t="shared" si="46"/>
        <v>2</v>
      </c>
      <c r="AS49" s="479"/>
      <c r="AT49" s="182">
        <v>16</v>
      </c>
      <c r="AU49" s="166">
        <v>1232.9577464788736</v>
      </c>
      <c r="AV49" s="166">
        <v>77.059859154929597</v>
      </c>
      <c r="AW49" s="182">
        <f t="shared" si="47"/>
        <v>2</v>
      </c>
      <c r="AX49" s="479"/>
    </row>
    <row r="50" spans="2:50">
      <c r="B50" s="479"/>
      <c r="C50" s="182">
        <v>4</v>
      </c>
      <c r="D50" s="203" t="s">
        <v>337</v>
      </c>
      <c r="E50" s="166">
        <v>21</v>
      </c>
      <c r="F50" s="182">
        <v>1385</v>
      </c>
      <c r="G50" s="180">
        <v>65.900000000000006</v>
      </c>
      <c r="H50" s="460"/>
      <c r="I50" s="166">
        <f t="shared" si="38"/>
        <v>20</v>
      </c>
      <c r="J50" s="166">
        <f t="shared" si="39"/>
        <v>1009.4155844155825</v>
      </c>
      <c r="K50" s="180">
        <f t="shared" si="40"/>
        <v>50.470779220779121</v>
      </c>
      <c r="L50" s="460"/>
      <c r="M50" s="181">
        <f>RANK(K50, K$47:$K$61)</f>
        <v>7</v>
      </c>
      <c r="N50" s="462"/>
      <c r="O50" s="462"/>
      <c r="P50" s="182">
        <v>20</v>
      </c>
      <c r="Q50" s="166">
        <v>1024.2857142857119</v>
      </c>
      <c r="R50" s="166">
        <v>51.214285714285595</v>
      </c>
      <c r="S50" s="182">
        <f t="shared" si="41"/>
        <v>7</v>
      </c>
      <c r="T50" s="479"/>
      <c r="U50" s="182">
        <v>20</v>
      </c>
      <c r="V50" s="166">
        <v>994.54545454545314</v>
      </c>
      <c r="W50" s="166">
        <v>49.727272727272656</v>
      </c>
      <c r="X50" s="182">
        <f t="shared" si="42"/>
        <v>8</v>
      </c>
      <c r="Y50" s="479"/>
      <c r="Z50" s="182"/>
      <c r="AA50" s="166"/>
      <c r="AB50" s="166"/>
      <c r="AC50" s="182" t="e">
        <f t="shared" si="43"/>
        <v>#N/A</v>
      </c>
      <c r="AD50" s="479"/>
      <c r="AE50" s="182"/>
      <c r="AF50" s="166"/>
      <c r="AG50" s="166"/>
      <c r="AH50" s="182" t="e">
        <f t="shared" si="44"/>
        <v>#N/A</v>
      </c>
      <c r="AI50" s="479"/>
      <c r="AJ50" s="182"/>
      <c r="AK50" s="166"/>
      <c r="AL50" s="166"/>
      <c r="AM50" s="182" t="e">
        <f t="shared" si="45"/>
        <v>#N/A</v>
      </c>
      <c r="AN50" s="479"/>
      <c r="AO50" s="182"/>
      <c r="AP50" s="166"/>
      <c r="AQ50" s="166"/>
      <c r="AR50" s="182" t="e">
        <f t="shared" si="46"/>
        <v>#N/A</v>
      </c>
      <c r="AS50" s="479"/>
      <c r="AT50" s="182"/>
      <c r="AU50" s="166"/>
      <c r="AV50" s="166"/>
      <c r="AW50" s="182" t="e">
        <f t="shared" si="47"/>
        <v>#N/A</v>
      </c>
      <c r="AX50" s="479"/>
    </row>
    <row r="51" spans="2:50">
      <c r="B51" s="479"/>
      <c r="C51" s="182">
        <v>5</v>
      </c>
      <c r="D51" s="203" t="s">
        <v>338</v>
      </c>
      <c r="E51" s="166">
        <v>21</v>
      </c>
      <c r="F51" s="182">
        <v>1385</v>
      </c>
      <c r="G51" s="180">
        <v>65.900000000000006</v>
      </c>
      <c r="H51" s="460"/>
      <c r="I51" s="166">
        <f t="shared" si="38"/>
        <v>19.5</v>
      </c>
      <c r="J51" s="166">
        <f t="shared" si="39"/>
        <v>1016.3333333333342</v>
      </c>
      <c r="K51" s="180">
        <f t="shared" si="40"/>
        <v>52.101754385964959</v>
      </c>
      <c r="L51" s="460"/>
      <c r="M51" s="181">
        <f>RANK(K51, K$47:$K$61)</f>
        <v>6</v>
      </c>
      <c r="N51" s="462"/>
      <c r="O51" s="462"/>
      <c r="P51" s="182">
        <v>20</v>
      </c>
      <c r="Q51" s="166">
        <v>1055.9999999999982</v>
      </c>
      <c r="R51" s="166">
        <v>52.799999999999912</v>
      </c>
      <c r="S51" s="182">
        <f t="shared" si="41"/>
        <v>6</v>
      </c>
      <c r="T51" s="479"/>
      <c r="U51" s="182">
        <v>19</v>
      </c>
      <c r="V51" s="166">
        <v>976.66666666667015</v>
      </c>
      <c r="W51" s="166">
        <v>51.403508771930007</v>
      </c>
      <c r="X51" s="182">
        <f t="shared" si="42"/>
        <v>6</v>
      </c>
      <c r="Y51" s="479"/>
      <c r="Z51" s="182"/>
      <c r="AA51" s="166"/>
      <c r="AB51" s="166"/>
      <c r="AC51" s="182" t="e">
        <f t="shared" si="43"/>
        <v>#N/A</v>
      </c>
      <c r="AD51" s="479"/>
      <c r="AE51" s="182"/>
      <c r="AF51" s="166"/>
      <c r="AG51" s="166"/>
      <c r="AH51" s="182" t="e">
        <f t="shared" si="44"/>
        <v>#N/A</v>
      </c>
      <c r="AI51" s="479"/>
      <c r="AJ51" s="182"/>
      <c r="AK51" s="166"/>
      <c r="AL51" s="166"/>
      <c r="AM51" s="182" t="e">
        <f t="shared" si="45"/>
        <v>#N/A</v>
      </c>
      <c r="AN51" s="479"/>
      <c r="AO51" s="182"/>
      <c r="AP51" s="166"/>
      <c r="AQ51" s="166"/>
      <c r="AR51" s="182" t="e">
        <f t="shared" si="46"/>
        <v>#N/A</v>
      </c>
      <c r="AS51" s="479"/>
      <c r="AT51" s="182"/>
      <c r="AU51" s="166"/>
      <c r="AV51" s="166"/>
      <c r="AW51" s="182" t="e">
        <f t="shared" si="47"/>
        <v>#N/A</v>
      </c>
      <c r="AX51" s="479"/>
    </row>
    <row r="52" spans="2:50">
      <c r="B52" s="479"/>
      <c r="C52" s="182">
        <v>6</v>
      </c>
      <c r="D52" s="203" t="s">
        <v>339</v>
      </c>
      <c r="E52" s="166">
        <v>18</v>
      </c>
      <c r="F52" s="182">
        <v>1500</v>
      </c>
      <c r="G52" s="180">
        <v>83.3</v>
      </c>
      <c r="H52" s="460"/>
      <c r="I52" s="166">
        <f t="shared" si="38"/>
        <v>18</v>
      </c>
      <c r="J52" s="166">
        <f t="shared" si="39"/>
        <v>1261.4619938372089</v>
      </c>
      <c r="K52" s="180">
        <f t="shared" si="40"/>
        <v>70.081221879844932</v>
      </c>
      <c r="L52" s="460"/>
      <c r="M52" s="181">
        <f>RANK(K52, K$47:$K$61)</f>
        <v>4</v>
      </c>
      <c r="N52" s="462"/>
      <c r="O52" s="462"/>
      <c r="P52" s="182">
        <v>18</v>
      </c>
      <c r="Q52" s="166">
        <v>1273.3333333333328</v>
      </c>
      <c r="R52" s="166">
        <v>70.740740740740705</v>
      </c>
      <c r="S52" s="182">
        <f t="shared" si="41"/>
        <v>4</v>
      </c>
      <c r="T52" s="479"/>
      <c r="U52" s="182">
        <v>18</v>
      </c>
      <c r="V52" s="166">
        <v>1294.8571428571424</v>
      </c>
      <c r="W52" s="166">
        <v>71.936507936507908</v>
      </c>
      <c r="X52" s="182">
        <f t="shared" si="42"/>
        <v>3</v>
      </c>
      <c r="Y52" s="479"/>
      <c r="Z52" s="182">
        <v>18</v>
      </c>
      <c r="AA52" s="166">
        <v>1256.9696969696965</v>
      </c>
      <c r="AB52" s="166">
        <v>69.831649831649813</v>
      </c>
      <c r="AC52" s="182">
        <f t="shared" si="43"/>
        <v>4</v>
      </c>
      <c r="AD52" s="479"/>
      <c r="AE52" s="182">
        <v>18</v>
      </c>
      <c r="AF52" s="166">
        <v>1257.10843373494</v>
      </c>
      <c r="AG52" s="166">
        <v>69.839357429718888</v>
      </c>
      <c r="AH52" s="182">
        <f t="shared" si="44"/>
        <v>4</v>
      </c>
      <c r="AI52" s="479"/>
      <c r="AJ52" s="182">
        <v>18</v>
      </c>
      <c r="AK52" s="166">
        <v>1281.3333333333333</v>
      </c>
      <c r="AL52" s="166">
        <v>71.185185185185176</v>
      </c>
      <c r="AM52" s="182">
        <f t="shared" si="45"/>
        <v>3</v>
      </c>
      <c r="AN52" s="479"/>
      <c r="AO52" s="182">
        <v>18</v>
      </c>
      <c r="AP52" s="166">
        <v>1262.3076923076919</v>
      </c>
      <c r="AQ52" s="166">
        <v>70.12820512820511</v>
      </c>
      <c r="AR52" s="182">
        <f t="shared" si="46"/>
        <v>4</v>
      </c>
      <c r="AS52" s="479"/>
      <c r="AT52" s="182">
        <v>18</v>
      </c>
      <c r="AU52" s="166">
        <v>1204.3243243243244</v>
      </c>
      <c r="AV52" s="166">
        <v>66.906906906906912</v>
      </c>
      <c r="AW52" s="182">
        <f t="shared" si="47"/>
        <v>4</v>
      </c>
      <c r="AX52" s="479"/>
    </row>
    <row r="53" spans="2:50">
      <c r="B53" s="479"/>
      <c r="C53" s="182">
        <v>7</v>
      </c>
      <c r="D53" s="203" t="s">
        <v>340</v>
      </c>
      <c r="E53" s="166">
        <v>19</v>
      </c>
      <c r="F53" s="182">
        <v>1385</v>
      </c>
      <c r="G53" s="180">
        <v>72.900000000000006</v>
      </c>
      <c r="H53" s="460"/>
      <c r="I53" s="166">
        <f t="shared" si="38"/>
        <v>18.142857142857142</v>
      </c>
      <c r="J53" s="166">
        <f t="shared" si="39"/>
        <v>1009.1055196519707</v>
      </c>
      <c r="K53" s="180">
        <f t="shared" si="40"/>
        <v>55.572151113569753</v>
      </c>
      <c r="L53" s="460"/>
      <c r="M53" s="181">
        <f>RANK(K53, K$47:$K$61)</f>
        <v>5</v>
      </c>
      <c r="N53" s="462"/>
      <c r="O53" s="462"/>
      <c r="P53" s="182">
        <v>19</v>
      </c>
      <c r="Q53" s="166">
        <v>1171.3043478260831</v>
      </c>
      <c r="R53" s="166">
        <v>61.647597254004374</v>
      </c>
      <c r="S53" s="182">
        <f t="shared" si="41"/>
        <v>5</v>
      </c>
      <c r="T53" s="479"/>
      <c r="U53" s="182">
        <v>18</v>
      </c>
      <c r="V53" s="166">
        <v>992.30769230768965</v>
      </c>
      <c r="W53" s="166">
        <v>55.128205128204982</v>
      </c>
      <c r="X53" s="182">
        <f t="shared" si="42"/>
        <v>5</v>
      </c>
      <c r="Y53" s="479"/>
      <c r="Z53" s="182">
        <v>18</v>
      </c>
      <c r="AA53" s="166">
        <v>971.53846153845905</v>
      </c>
      <c r="AB53" s="166">
        <v>53.974358974358836</v>
      </c>
      <c r="AC53" s="182">
        <f t="shared" si="43"/>
        <v>5</v>
      </c>
      <c r="AD53" s="479"/>
      <c r="AE53" s="182">
        <v>18</v>
      </c>
      <c r="AF53" s="166">
        <v>975.78947368420972</v>
      </c>
      <c r="AG53" s="166">
        <v>54.21052631578943</v>
      </c>
      <c r="AH53" s="182">
        <f t="shared" si="44"/>
        <v>5</v>
      </c>
      <c r="AI53" s="479"/>
      <c r="AJ53" s="182">
        <v>18</v>
      </c>
      <c r="AK53" s="166">
        <v>1003.2000000000004</v>
      </c>
      <c r="AL53" s="166">
        <v>55.733333333333356</v>
      </c>
      <c r="AM53" s="182">
        <f t="shared" si="45"/>
        <v>5</v>
      </c>
      <c r="AN53" s="479"/>
      <c r="AO53" s="182">
        <v>18</v>
      </c>
      <c r="AP53" s="166">
        <v>996.52173913043146</v>
      </c>
      <c r="AQ53" s="166">
        <v>55.362318840579526</v>
      </c>
      <c r="AR53" s="182">
        <f t="shared" si="46"/>
        <v>5</v>
      </c>
      <c r="AS53" s="479"/>
      <c r="AT53" s="182">
        <v>18</v>
      </c>
      <c r="AU53" s="166">
        <v>953.07692307692059</v>
      </c>
      <c r="AV53" s="166">
        <v>52.948717948717814</v>
      </c>
      <c r="AW53" s="182">
        <f t="shared" si="47"/>
        <v>5</v>
      </c>
      <c r="AX53" s="479"/>
    </row>
    <row r="54" spans="2:50">
      <c r="B54" s="479"/>
      <c r="C54" s="182">
        <v>8</v>
      </c>
      <c r="D54" s="203" t="s">
        <v>341</v>
      </c>
      <c r="E54" s="166">
        <v>21</v>
      </c>
      <c r="F54" s="182">
        <v>1385</v>
      </c>
      <c r="G54" s="180">
        <v>65.900000000000006</v>
      </c>
      <c r="H54" s="460"/>
      <c r="I54" s="166">
        <f t="shared" ref="I54" si="48">AVERAGE(P54,U54,Z54,AE54,AJ54,AO54,AT54)</f>
        <v>19.5</v>
      </c>
      <c r="J54" s="166">
        <f t="shared" ref="J54" si="49">AVERAGE(Q54,V54,AA54,AF54,AK54,AP54,AU54)</f>
        <v>980.55555555555361</v>
      </c>
      <c r="K54" s="180">
        <f t="shared" ref="K54" si="50">AVERAGE(R54,W54,AB54,AG54,AL54,AQ54,AV54)</f>
        <v>50.304093567251364</v>
      </c>
      <c r="L54" s="460"/>
      <c r="M54" s="181">
        <f>RANK(K54, K$47:$K$61)</f>
        <v>8</v>
      </c>
      <c r="N54" s="462"/>
      <c r="O54" s="462"/>
      <c r="P54" s="182">
        <v>20</v>
      </c>
      <c r="Q54" s="166">
        <v>991.11111111110881</v>
      </c>
      <c r="R54" s="166">
        <v>49.555555555555443</v>
      </c>
      <c r="S54" s="182">
        <f t="shared" si="41"/>
        <v>8</v>
      </c>
      <c r="T54" s="479"/>
      <c r="U54" s="182">
        <v>19</v>
      </c>
      <c r="V54" s="166">
        <v>969.99999999999841</v>
      </c>
      <c r="W54" s="166">
        <v>51.052631578947285</v>
      </c>
      <c r="X54" s="182">
        <f t="shared" si="42"/>
        <v>7</v>
      </c>
      <c r="Y54" s="479"/>
      <c r="Z54" s="182"/>
      <c r="AA54" s="166"/>
      <c r="AB54" s="166"/>
      <c r="AC54" s="182" t="e">
        <f t="shared" si="43"/>
        <v>#N/A</v>
      </c>
      <c r="AD54" s="479"/>
      <c r="AE54" s="182"/>
      <c r="AF54" s="166"/>
      <c r="AG54" s="166"/>
      <c r="AH54" s="182" t="e">
        <f t="shared" si="44"/>
        <v>#N/A</v>
      </c>
      <c r="AI54" s="479"/>
      <c r="AJ54" s="182"/>
      <c r="AK54" s="166"/>
      <c r="AL54" s="166"/>
      <c r="AM54" s="182" t="e">
        <f t="shared" si="45"/>
        <v>#N/A</v>
      </c>
      <c r="AN54" s="479"/>
      <c r="AO54" s="182"/>
      <c r="AP54" s="166"/>
      <c r="AQ54" s="166"/>
      <c r="AR54" s="182" t="e">
        <f t="shared" si="46"/>
        <v>#N/A</v>
      </c>
      <c r="AS54" s="479"/>
      <c r="AT54" s="182"/>
      <c r="AU54" s="166"/>
      <c r="AV54" s="166"/>
      <c r="AW54" s="182" t="e">
        <f t="shared" si="47"/>
        <v>#N/A</v>
      </c>
      <c r="AX54" s="479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66"/>
      <c r="R55" s="166"/>
      <c r="S55" s="182" t="e">
        <f t="shared" si="41"/>
        <v>#N/A</v>
      </c>
      <c r="T55" s="479"/>
      <c r="U55" s="182"/>
      <c r="V55" s="166"/>
      <c r="W55" s="166"/>
      <c r="X55" s="182" t="e">
        <f t="shared" si="42"/>
        <v>#N/A</v>
      </c>
      <c r="Y55" s="479"/>
      <c r="Z55" s="182"/>
      <c r="AA55" s="166"/>
      <c r="AB55" s="166"/>
      <c r="AC55" s="182" t="e">
        <f t="shared" si="43"/>
        <v>#N/A</v>
      </c>
      <c r="AD55" s="479"/>
      <c r="AE55" s="182"/>
      <c r="AF55" s="166"/>
      <c r="AG55" s="166"/>
      <c r="AH55" s="182" t="e">
        <f t="shared" si="44"/>
        <v>#N/A</v>
      </c>
      <c r="AI55" s="479"/>
      <c r="AJ55" s="182"/>
      <c r="AK55" s="166"/>
      <c r="AL55" s="166"/>
      <c r="AM55" s="182" t="e">
        <f t="shared" si="45"/>
        <v>#N/A</v>
      </c>
      <c r="AN55" s="479"/>
      <c r="AO55" s="182"/>
      <c r="AP55" s="166"/>
      <c r="AQ55" s="166"/>
      <c r="AR55" s="182" t="e">
        <f t="shared" si="46"/>
        <v>#N/A</v>
      </c>
      <c r="AS55" s="479"/>
      <c r="AT55" s="182"/>
      <c r="AU55" s="166"/>
      <c r="AV55" s="166"/>
      <c r="AW55" s="182" t="e">
        <f t="shared" si="47"/>
        <v>#N/A</v>
      </c>
      <c r="AX55" s="479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66"/>
      <c r="R56" s="166"/>
      <c r="S56" s="182" t="e">
        <f t="shared" si="41"/>
        <v>#N/A</v>
      </c>
      <c r="T56" s="479"/>
      <c r="U56" s="182"/>
      <c r="V56" s="166"/>
      <c r="W56" s="166"/>
      <c r="X56" s="182" t="e">
        <f t="shared" si="42"/>
        <v>#N/A</v>
      </c>
      <c r="Y56" s="479"/>
      <c r="Z56" s="182"/>
      <c r="AA56" s="166"/>
      <c r="AB56" s="166"/>
      <c r="AC56" s="182" t="e">
        <f t="shared" si="43"/>
        <v>#N/A</v>
      </c>
      <c r="AD56" s="479"/>
      <c r="AE56" s="182"/>
      <c r="AF56" s="166"/>
      <c r="AG56" s="166"/>
      <c r="AH56" s="182" t="e">
        <f t="shared" si="44"/>
        <v>#N/A</v>
      </c>
      <c r="AI56" s="479"/>
      <c r="AJ56" s="182"/>
      <c r="AK56" s="166"/>
      <c r="AL56" s="166"/>
      <c r="AM56" s="182" t="e">
        <f t="shared" si="45"/>
        <v>#N/A</v>
      </c>
      <c r="AN56" s="479"/>
      <c r="AO56" s="182"/>
      <c r="AP56" s="166"/>
      <c r="AQ56" s="166"/>
      <c r="AR56" s="182" t="e">
        <f t="shared" si="46"/>
        <v>#N/A</v>
      </c>
      <c r="AS56" s="479"/>
      <c r="AT56" s="182"/>
      <c r="AU56" s="166"/>
      <c r="AV56" s="166"/>
      <c r="AW56" s="182" t="e">
        <f t="shared" si="47"/>
        <v>#N/A</v>
      </c>
      <c r="AX56" s="479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66"/>
      <c r="J57" s="166"/>
      <c r="K57" s="180"/>
      <c r="L57" s="460"/>
      <c r="M57" s="181" t="e">
        <f>RANK(K57, K$47:$K$61)</f>
        <v>#N/A</v>
      </c>
      <c r="N57" s="462"/>
      <c r="O57" s="462"/>
      <c r="P57" s="182"/>
      <c r="Q57" s="166"/>
      <c r="R57" s="166"/>
      <c r="S57" s="182" t="e">
        <f t="shared" si="41"/>
        <v>#N/A</v>
      </c>
      <c r="T57" s="479"/>
      <c r="U57" s="182"/>
      <c r="V57" s="166"/>
      <c r="W57" s="166"/>
      <c r="X57" s="182" t="e">
        <f t="shared" si="42"/>
        <v>#N/A</v>
      </c>
      <c r="Y57" s="479"/>
      <c r="Z57" s="182"/>
      <c r="AA57" s="166"/>
      <c r="AB57" s="166"/>
      <c r="AC57" s="182" t="e">
        <f t="shared" si="43"/>
        <v>#N/A</v>
      </c>
      <c r="AD57" s="479"/>
      <c r="AE57" s="182"/>
      <c r="AF57" s="166"/>
      <c r="AG57" s="166"/>
      <c r="AH57" s="182" t="e">
        <f t="shared" si="44"/>
        <v>#N/A</v>
      </c>
      <c r="AI57" s="479"/>
      <c r="AJ57" s="182"/>
      <c r="AK57" s="166"/>
      <c r="AL57" s="166"/>
      <c r="AM57" s="182" t="e">
        <f t="shared" si="45"/>
        <v>#N/A</v>
      </c>
      <c r="AN57" s="479"/>
      <c r="AO57" s="182"/>
      <c r="AP57" s="166"/>
      <c r="AQ57" s="166"/>
      <c r="AR57" s="182" t="e">
        <f t="shared" si="46"/>
        <v>#N/A</v>
      </c>
      <c r="AS57" s="479"/>
      <c r="AT57" s="182"/>
      <c r="AU57" s="166"/>
      <c r="AV57" s="166"/>
      <c r="AW57" s="182" t="e">
        <f t="shared" si="47"/>
        <v>#N/A</v>
      </c>
      <c r="AX57" s="479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66"/>
      <c r="J58" s="166"/>
      <c r="K58" s="180"/>
      <c r="L58" s="460"/>
      <c r="M58" s="181" t="e">
        <f>RANK(K58, K$47:$K$61)</f>
        <v>#N/A</v>
      </c>
      <c r="N58" s="462"/>
      <c r="O58" s="462"/>
      <c r="P58" s="182"/>
      <c r="Q58" s="166"/>
      <c r="R58" s="166"/>
      <c r="S58" s="182" t="e">
        <f t="shared" si="41"/>
        <v>#N/A</v>
      </c>
      <c r="T58" s="479"/>
      <c r="U58" s="182"/>
      <c r="V58" s="166"/>
      <c r="W58" s="166"/>
      <c r="X58" s="182" t="e">
        <f t="shared" si="42"/>
        <v>#N/A</v>
      </c>
      <c r="Y58" s="479"/>
      <c r="Z58" s="182"/>
      <c r="AA58" s="166"/>
      <c r="AB58" s="166"/>
      <c r="AC58" s="182" t="e">
        <f t="shared" si="43"/>
        <v>#N/A</v>
      </c>
      <c r="AD58" s="479"/>
      <c r="AE58" s="182"/>
      <c r="AF58" s="166"/>
      <c r="AG58" s="166"/>
      <c r="AH58" s="182" t="e">
        <f t="shared" si="44"/>
        <v>#N/A</v>
      </c>
      <c r="AI58" s="479"/>
      <c r="AJ58" s="182"/>
      <c r="AK58" s="166"/>
      <c r="AL58" s="166"/>
      <c r="AM58" s="182" t="e">
        <f t="shared" si="45"/>
        <v>#N/A</v>
      </c>
      <c r="AN58" s="479"/>
      <c r="AO58" s="182"/>
      <c r="AP58" s="166"/>
      <c r="AQ58" s="166"/>
      <c r="AR58" s="182" t="e">
        <f t="shared" si="46"/>
        <v>#N/A</v>
      </c>
      <c r="AS58" s="479"/>
      <c r="AT58" s="182"/>
      <c r="AU58" s="166"/>
      <c r="AV58" s="166"/>
      <c r="AW58" s="182" t="e">
        <f t="shared" si="47"/>
        <v>#N/A</v>
      </c>
      <c r="AX58" s="479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 t="e">
        <f t="shared" si="41"/>
        <v>#N/A</v>
      </c>
      <c r="T59" s="479"/>
      <c r="U59" s="182"/>
      <c r="V59" s="182"/>
      <c r="W59" s="182"/>
      <c r="X59" s="182" t="e">
        <f t="shared" si="42"/>
        <v>#N/A</v>
      </c>
      <c r="Y59" s="479"/>
      <c r="Z59" s="182"/>
      <c r="AA59" s="182"/>
      <c r="AB59" s="182"/>
      <c r="AC59" s="182" t="e">
        <f t="shared" si="43"/>
        <v>#N/A</v>
      </c>
      <c r="AD59" s="479"/>
      <c r="AE59" s="182"/>
      <c r="AF59" s="182"/>
      <c r="AG59" s="182"/>
      <c r="AH59" s="182" t="e">
        <f t="shared" si="44"/>
        <v>#N/A</v>
      </c>
      <c r="AI59" s="479"/>
      <c r="AJ59" s="182"/>
      <c r="AK59" s="182"/>
      <c r="AL59" s="182"/>
      <c r="AM59" s="182" t="e">
        <f t="shared" si="45"/>
        <v>#N/A</v>
      </c>
      <c r="AN59" s="479"/>
      <c r="AO59" s="182"/>
      <c r="AP59" s="182"/>
      <c r="AQ59" s="182"/>
      <c r="AR59" s="182" t="e">
        <f t="shared" si="46"/>
        <v>#N/A</v>
      </c>
      <c r="AS59" s="479"/>
      <c r="AT59" s="182"/>
      <c r="AU59" s="182"/>
      <c r="AV59" s="182"/>
      <c r="AW59" s="182" t="e">
        <f t="shared" si="47"/>
        <v>#N/A</v>
      </c>
      <c r="AX59" s="479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 t="e">
        <f t="shared" si="41"/>
        <v>#N/A</v>
      </c>
      <c r="T60" s="479"/>
      <c r="U60" s="182"/>
      <c r="V60" s="182"/>
      <c r="W60" s="182"/>
      <c r="X60" s="182" t="e">
        <f t="shared" si="42"/>
        <v>#N/A</v>
      </c>
      <c r="Y60" s="479"/>
      <c r="Z60" s="182"/>
      <c r="AA60" s="182"/>
      <c r="AB60" s="182"/>
      <c r="AC60" s="182" t="e">
        <f t="shared" si="43"/>
        <v>#N/A</v>
      </c>
      <c r="AD60" s="479"/>
      <c r="AE60" s="182"/>
      <c r="AF60" s="182"/>
      <c r="AG60" s="182"/>
      <c r="AH60" s="182" t="e">
        <f t="shared" si="44"/>
        <v>#N/A</v>
      </c>
      <c r="AI60" s="479"/>
      <c r="AJ60" s="182"/>
      <c r="AK60" s="182"/>
      <c r="AL60" s="182"/>
      <c r="AM60" s="182" t="e">
        <f t="shared" si="45"/>
        <v>#N/A</v>
      </c>
      <c r="AN60" s="479"/>
      <c r="AO60" s="182"/>
      <c r="AP60" s="182"/>
      <c r="AQ60" s="182"/>
      <c r="AR60" s="182" t="e">
        <f t="shared" si="46"/>
        <v>#N/A</v>
      </c>
      <c r="AS60" s="479"/>
      <c r="AT60" s="182"/>
      <c r="AU60" s="182"/>
      <c r="AV60" s="182"/>
      <c r="AW60" s="182" t="e">
        <f t="shared" si="47"/>
        <v>#N/A</v>
      </c>
      <c r="AX60" s="479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 t="e">
        <f t="shared" si="41"/>
        <v>#N/A</v>
      </c>
      <c r="T61" s="479"/>
      <c r="U61" s="182"/>
      <c r="V61" s="182"/>
      <c r="W61" s="182"/>
      <c r="X61" s="182" t="e">
        <f t="shared" si="42"/>
        <v>#N/A</v>
      </c>
      <c r="Y61" s="479"/>
      <c r="Z61" s="182"/>
      <c r="AA61" s="182"/>
      <c r="AB61" s="182"/>
      <c r="AC61" s="182" t="e">
        <f t="shared" si="43"/>
        <v>#N/A</v>
      </c>
      <c r="AD61" s="479"/>
      <c r="AE61" s="182"/>
      <c r="AF61" s="182"/>
      <c r="AG61" s="182"/>
      <c r="AH61" s="182" t="e">
        <f t="shared" si="44"/>
        <v>#N/A</v>
      </c>
      <c r="AI61" s="479"/>
      <c r="AJ61" s="182"/>
      <c r="AK61" s="182"/>
      <c r="AL61" s="182"/>
      <c r="AM61" s="182" t="e">
        <f t="shared" si="45"/>
        <v>#N/A</v>
      </c>
      <c r="AN61" s="479"/>
      <c r="AO61" s="182"/>
      <c r="AP61" s="182"/>
      <c r="AQ61" s="182"/>
      <c r="AR61" s="182" t="e">
        <f t="shared" si="46"/>
        <v>#N/A</v>
      </c>
      <c r="AS61" s="479"/>
      <c r="AT61" s="182"/>
      <c r="AU61" s="182"/>
      <c r="AV61" s="182"/>
      <c r="AW61" s="182" t="e">
        <f t="shared" si="47"/>
        <v>#N/A</v>
      </c>
      <c r="AX61" s="479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342</v>
      </c>
      <c r="C67" s="182">
        <v>1</v>
      </c>
      <c r="D67" s="203" t="s">
        <v>334</v>
      </c>
      <c r="E67" s="166">
        <v>14</v>
      </c>
      <c r="F67" s="182">
        <v>1500</v>
      </c>
      <c r="G67" s="180">
        <v>107.1</v>
      </c>
      <c r="H67" s="459">
        <f>AVERAGE(G67:G81)</f>
        <v>88.963937621832358</v>
      </c>
      <c r="I67" s="166">
        <f>AVERAGE(P67,U67,Z67,AE67,AJ67,AO67,AT67)</f>
        <v>13</v>
      </c>
      <c r="J67" s="166">
        <f>AVERAGE(Q67,V67,AA67,AF67,AK67,AP67,AU67)</f>
        <v>1132.3564059870109</v>
      </c>
      <c r="K67" s="180">
        <f>AVERAGE(R67,W67,AB67,AG67,AL67,AQ67,AV67)</f>
        <v>87.104338922077758</v>
      </c>
      <c r="L67" s="459">
        <f>IFERROR(AVERAGE(K67:K81),"-")</f>
        <v>76.532999763163886</v>
      </c>
      <c r="M67" s="181">
        <f>RANK(K67, K$67:$K$81)</f>
        <v>1</v>
      </c>
      <c r="N67" s="462"/>
      <c r="O67" s="462"/>
      <c r="P67" s="182">
        <v>13</v>
      </c>
      <c r="Q67" s="166">
        <v>1150.3448275862077</v>
      </c>
      <c r="R67" s="166">
        <v>88.488063660477508</v>
      </c>
      <c r="S67" s="182">
        <f>RANK(R67, R$67:R$81)</f>
        <v>1</v>
      </c>
      <c r="T67" s="491">
        <f>AVERAGE(R67:R81)</f>
        <v>77.498283102704079</v>
      </c>
      <c r="U67" s="182">
        <v>13</v>
      </c>
      <c r="V67" s="166">
        <v>1121.5384615384623</v>
      </c>
      <c r="W67" s="166">
        <v>86.272189349112494</v>
      </c>
      <c r="X67" s="182">
        <f t="shared" ref="X67:X81" si="51">RANK(W67, W$67:W$81)</f>
        <v>1</v>
      </c>
      <c r="Y67" s="491">
        <f t="shared" ref="Y67" si="52">AVERAGE(W67:W81)</f>
        <v>75.784231233510127</v>
      </c>
      <c r="Z67" s="182">
        <v>13</v>
      </c>
      <c r="AA67" s="166">
        <v>1128.461538461539</v>
      </c>
      <c r="AB67" s="166">
        <v>86.804733727810699</v>
      </c>
      <c r="AC67" s="182">
        <f t="shared" ref="AC67:AC81" si="53">RANK(AB67, AB$67:AB$81)</f>
        <v>1</v>
      </c>
      <c r="AD67" s="491">
        <f t="shared" ref="AD67" si="54">AVERAGE(AB67:AB81)</f>
        <v>76.621755792127715</v>
      </c>
      <c r="AE67" s="182">
        <v>13</v>
      </c>
      <c r="AF67" s="166">
        <v>1121.7391304347825</v>
      </c>
      <c r="AG67" s="166">
        <v>86.287625418060188</v>
      </c>
      <c r="AH67" s="182">
        <f t="shared" ref="AH67:AH81" si="55">RANK(AG67, AG$67:AG$81)</f>
        <v>1</v>
      </c>
      <c r="AI67" s="491">
        <f t="shared" ref="AI67" si="56">AVERAGE(AG67:AG81)</f>
        <v>75.882488757552863</v>
      </c>
      <c r="AJ67" s="182">
        <v>13</v>
      </c>
      <c r="AK67" s="166">
        <v>1144.1379310344837</v>
      </c>
      <c r="AL67" s="166">
        <v>88.01061007957567</v>
      </c>
      <c r="AM67" s="182">
        <f t="shared" ref="AM67:AM81" si="57">RANK(AL67, AL$67:AL$81)</f>
        <v>1</v>
      </c>
      <c r="AN67" s="491">
        <f t="shared" ref="AN67" si="58">AVERAGE(AL67:AL81)</f>
        <v>76.774446131160047</v>
      </c>
      <c r="AO67" s="182">
        <v>13</v>
      </c>
      <c r="AP67" s="166">
        <v>1137.6923076923083</v>
      </c>
      <c r="AQ67" s="166">
        <v>87.514792899408334</v>
      </c>
      <c r="AR67" s="182">
        <f t="shared" ref="AR67:AR81" si="59">RANK(AQ67, AQ$67:AQ$81)</f>
        <v>1</v>
      </c>
      <c r="AS67" s="491">
        <f t="shared" ref="AS67" si="60">AVERAGE(AQ67:AQ81)</f>
        <v>76.55632924137042</v>
      </c>
      <c r="AT67" s="166">
        <v>13</v>
      </c>
      <c r="AU67" s="166">
        <v>1122.5806451612914</v>
      </c>
      <c r="AV67" s="166">
        <v>86.352357320099344</v>
      </c>
      <c r="AW67" s="182">
        <f t="shared" ref="AW67:AW81" si="61">RANK(AV67, AV$67:AV$81)</f>
        <v>1</v>
      </c>
      <c r="AX67" s="491">
        <f t="shared" ref="AX67" si="62">AVERAGE(AV67:AV81)</f>
        <v>76.613464083721865</v>
      </c>
    </row>
    <row r="68" spans="2:50">
      <c r="B68" s="479"/>
      <c r="C68" s="182">
        <v>2</v>
      </c>
      <c r="D68" s="203" t="s">
        <v>335</v>
      </c>
      <c r="E68" s="166">
        <v>17</v>
      </c>
      <c r="F68" s="182">
        <v>1636</v>
      </c>
      <c r="G68" s="180">
        <v>96.3</v>
      </c>
      <c r="H68" s="460"/>
      <c r="I68" s="166">
        <f t="shared" ref="I68:I72" si="63">AVERAGE(P68,U68,Z68,AE68,AJ68,AO68,AT68)</f>
        <v>17</v>
      </c>
      <c r="J68" s="166">
        <f t="shared" ref="J68:J72" si="64">AVERAGE(Q68,V68,AA68,AF68,AK68,AP68,AU68)</f>
        <v>1340.131092438816</v>
      </c>
      <c r="K68" s="180">
        <f t="shared" ref="K68:K72" si="65">AVERAGE(R68,W68,AB68,AG68,AL68,AQ68,AV68)</f>
        <v>78.831240731695047</v>
      </c>
      <c r="L68" s="460"/>
      <c r="M68" s="181">
        <f>RANK(K68, K$67:$K$81)</f>
        <v>2</v>
      </c>
      <c r="N68" s="462"/>
      <c r="O68" s="462"/>
      <c r="P68" s="182">
        <v>17</v>
      </c>
      <c r="Q68" s="166">
        <v>1343.355704697987</v>
      </c>
      <c r="R68" s="166">
        <v>79.020923805763942</v>
      </c>
      <c r="S68" s="182">
        <f t="shared" ref="S68:S81" si="66">RANK(R68, R$67:R$81)</f>
        <v>3</v>
      </c>
      <c r="T68" s="491"/>
      <c r="U68" s="182">
        <v>17</v>
      </c>
      <c r="V68" s="166">
        <v>1350.4687499999998</v>
      </c>
      <c r="W68" s="166">
        <v>79.439338235294102</v>
      </c>
      <c r="X68" s="182">
        <f t="shared" si="51"/>
        <v>2</v>
      </c>
      <c r="Y68" s="491"/>
      <c r="Z68" s="182">
        <v>17</v>
      </c>
      <c r="AA68" s="166">
        <v>1330.0800000000004</v>
      </c>
      <c r="AB68" s="166">
        <v>78.240000000000023</v>
      </c>
      <c r="AC68" s="182">
        <f t="shared" si="53"/>
        <v>3</v>
      </c>
      <c r="AD68" s="491"/>
      <c r="AE68" s="182">
        <v>17</v>
      </c>
      <c r="AF68" s="166">
        <v>1352.4193548387093</v>
      </c>
      <c r="AG68" s="166">
        <v>79.554079696394666</v>
      </c>
      <c r="AH68" s="182">
        <f t="shared" si="55"/>
        <v>2</v>
      </c>
      <c r="AI68" s="491"/>
      <c r="AJ68" s="182">
        <v>17</v>
      </c>
      <c r="AK68" s="166">
        <v>1327.1428571428576</v>
      </c>
      <c r="AL68" s="166">
        <v>78.067226890756331</v>
      </c>
      <c r="AM68" s="182">
        <f t="shared" si="57"/>
        <v>4</v>
      </c>
      <c r="AN68" s="491"/>
      <c r="AO68" s="182">
        <v>17</v>
      </c>
      <c r="AP68" s="166">
        <v>1335.882352941177</v>
      </c>
      <c r="AQ68" s="166">
        <v>78.581314878892769</v>
      </c>
      <c r="AR68" s="182">
        <f t="shared" si="59"/>
        <v>3</v>
      </c>
      <c r="AS68" s="491"/>
      <c r="AT68" s="166">
        <v>17</v>
      </c>
      <c r="AU68" s="166">
        <v>1341.5686274509801</v>
      </c>
      <c r="AV68" s="166">
        <v>78.915801614763538</v>
      </c>
      <c r="AW68" s="182">
        <f t="shared" si="61"/>
        <v>3</v>
      </c>
      <c r="AX68" s="491"/>
    </row>
    <row r="69" spans="2:50">
      <c r="B69" s="479"/>
      <c r="C69" s="182">
        <v>3</v>
      </c>
      <c r="D69" s="203" t="s">
        <v>336</v>
      </c>
      <c r="E69" s="166">
        <v>18</v>
      </c>
      <c r="F69" s="182">
        <v>1500</v>
      </c>
      <c r="G69" s="180">
        <v>83.3</v>
      </c>
      <c r="H69" s="460"/>
      <c r="I69" s="166">
        <f t="shared" si="63"/>
        <v>16.857142857142858</v>
      </c>
      <c r="J69" s="166">
        <f t="shared" si="64"/>
        <v>1316.6312648667067</v>
      </c>
      <c r="K69" s="180">
        <f t="shared" si="65"/>
        <v>78.140001961153729</v>
      </c>
      <c r="L69" s="460"/>
      <c r="M69" s="181">
        <f>RANK(K69, K$67:$K$81)</f>
        <v>4</v>
      </c>
      <c r="N69" s="462"/>
      <c r="O69" s="462"/>
      <c r="P69" s="182">
        <v>16</v>
      </c>
      <c r="Q69" s="166">
        <v>1315.8620689655165</v>
      </c>
      <c r="R69" s="166">
        <v>82.241379310344783</v>
      </c>
      <c r="S69" s="182">
        <f t="shared" si="66"/>
        <v>2</v>
      </c>
      <c r="T69" s="491"/>
      <c r="U69" s="182">
        <v>17</v>
      </c>
      <c r="V69" s="166">
        <v>1316.7272727272737</v>
      </c>
      <c r="W69" s="166">
        <v>77.45454545454551</v>
      </c>
      <c r="X69" s="182">
        <f t="shared" si="51"/>
        <v>4</v>
      </c>
      <c r="Y69" s="491"/>
      <c r="Z69" s="182">
        <v>17</v>
      </c>
      <c r="AA69" s="166">
        <v>1312.2222222222229</v>
      </c>
      <c r="AB69" s="166">
        <v>77.189542483660162</v>
      </c>
      <c r="AC69" s="182">
        <f t="shared" si="53"/>
        <v>5</v>
      </c>
      <c r="AD69" s="491"/>
      <c r="AE69" s="182">
        <v>17</v>
      </c>
      <c r="AF69" s="166">
        <v>1316.7567567567573</v>
      </c>
      <c r="AG69" s="166">
        <v>77.456279809221016</v>
      </c>
      <c r="AH69" s="182">
        <f t="shared" si="55"/>
        <v>3</v>
      </c>
      <c r="AI69" s="491"/>
      <c r="AJ69" s="182">
        <v>17</v>
      </c>
      <c r="AK69" s="166">
        <v>1343.2653061224494</v>
      </c>
      <c r="AL69" s="166">
        <v>79.015606242497029</v>
      </c>
      <c r="AM69" s="182">
        <f t="shared" si="57"/>
        <v>3</v>
      </c>
      <c r="AN69" s="491"/>
      <c r="AO69" s="182">
        <v>17</v>
      </c>
      <c r="AP69" s="166">
        <v>1311.2727272727282</v>
      </c>
      <c r="AQ69" s="166">
        <v>77.133689839572241</v>
      </c>
      <c r="AR69" s="182">
        <f t="shared" si="59"/>
        <v>4</v>
      </c>
      <c r="AS69" s="491"/>
      <c r="AT69" s="166">
        <v>17</v>
      </c>
      <c r="AU69" s="166">
        <v>1300.3124999999998</v>
      </c>
      <c r="AV69" s="166">
        <v>76.488970588235276</v>
      </c>
      <c r="AW69" s="182">
        <f t="shared" si="61"/>
        <v>5</v>
      </c>
      <c r="AX69" s="491"/>
    </row>
    <row r="70" spans="2:50">
      <c r="B70" s="479"/>
      <c r="C70" s="182">
        <v>4</v>
      </c>
      <c r="D70" s="203" t="s">
        <v>339</v>
      </c>
      <c r="E70" s="166">
        <v>18</v>
      </c>
      <c r="F70" s="182">
        <v>1500</v>
      </c>
      <c r="G70" s="180">
        <v>83.3</v>
      </c>
      <c r="H70" s="460"/>
      <c r="I70" s="166">
        <f t="shared" si="63"/>
        <v>17</v>
      </c>
      <c r="J70" s="166">
        <f t="shared" si="64"/>
        <v>1335.7977075592494</v>
      </c>
      <c r="K70" s="180">
        <f t="shared" si="65"/>
        <v>78.576335738779377</v>
      </c>
      <c r="L70" s="460"/>
      <c r="M70" s="181">
        <f>RANK(K70, K$67:$K$81)</f>
        <v>3</v>
      </c>
      <c r="N70" s="462"/>
      <c r="O70" s="462"/>
      <c r="P70" s="182">
        <v>17</v>
      </c>
      <c r="Q70" s="166">
        <v>1322.045454545455</v>
      </c>
      <c r="R70" s="166">
        <v>77.767379679144412</v>
      </c>
      <c r="S70" s="182">
        <f t="shared" si="66"/>
        <v>4</v>
      </c>
      <c r="T70" s="491"/>
      <c r="U70" s="182">
        <v>17</v>
      </c>
      <c r="V70" s="166">
        <v>1318.4415584415585</v>
      </c>
      <c r="W70" s="166">
        <v>77.555385790679907</v>
      </c>
      <c r="X70" s="182">
        <f t="shared" si="51"/>
        <v>3</v>
      </c>
      <c r="Y70" s="491"/>
      <c r="Z70" s="182">
        <v>17</v>
      </c>
      <c r="AA70" s="166">
        <v>1340.7407407407411</v>
      </c>
      <c r="AB70" s="166">
        <v>78.867102396514184</v>
      </c>
      <c r="AC70" s="182">
        <f t="shared" si="53"/>
        <v>2</v>
      </c>
      <c r="AD70" s="491"/>
      <c r="AE70" s="182">
        <v>17</v>
      </c>
      <c r="AF70" s="166">
        <v>1313.4374999999998</v>
      </c>
      <c r="AG70" s="166">
        <v>77.261029411764696</v>
      </c>
      <c r="AH70" s="182">
        <f t="shared" si="55"/>
        <v>4</v>
      </c>
      <c r="AI70" s="491"/>
      <c r="AJ70" s="182">
        <v>17</v>
      </c>
      <c r="AK70" s="166">
        <v>1343.3333333333328</v>
      </c>
      <c r="AL70" s="166">
        <v>79.019607843137223</v>
      </c>
      <c r="AM70" s="182">
        <f t="shared" si="57"/>
        <v>2</v>
      </c>
      <c r="AN70" s="491"/>
      <c r="AO70" s="182">
        <v>17</v>
      </c>
      <c r="AP70" s="166">
        <v>1356.5853658536587</v>
      </c>
      <c r="AQ70" s="166">
        <v>79.799139167862279</v>
      </c>
      <c r="AR70" s="182">
        <f t="shared" si="59"/>
        <v>2</v>
      </c>
      <c r="AS70" s="491"/>
      <c r="AT70" s="166">
        <v>17</v>
      </c>
      <c r="AU70" s="166">
        <v>1356</v>
      </c>
      <c r="AV70" s="166">
        <v>79.764705882352942</v>
      </c>
      <c r="AW70" s="182">
        <f t="shared" si="61"/>
        <v>2</v>
      </c>
      <c r="AX70" s="491"/>
    </row>
    <row r="71" spans="2:50">
      <c r="B71" s="479"/>
      <c r="C71" s="182">
        <v>5</v>
      </c>
      <c r="D71" s="203" t="s">
        <v>343</v>
      </c>
      <c r="E71" s="166">
        <v>18</v>
      </c>
      <c r="F71" s="182">
        <v>1636</v>
      </c>
      <c r="G71" s="180">
        <v>90.888888888888886</v>
      </c>
      <c r="H71" s="460"/>
      <c r="I71" s="166">
        <f t="shared" si="63"/>
        <v>18</v>
      </c>
      <c r="J71" s="166">
        <f t="shared" si="64"/>
        <v>1384.6258111458299</v>
      </c>
      <c r="K71" s="180">
        <f t="shared" si="65"/>
        <v>76.923656174768325</v>
      </c>
      <c r="L71" s="460"/>
      <c r="M71" s="181">
        <f>RANK(K71, K$67:$K$81)</f>
        <v>5</v>
      </c>
      <c r="N71" s="462"/>
      <c r="O71" s="462"/>
      <c r="P71" s="182">
        <v>18</v>
      </c>
      <c r="Q71" s="166">
        <v>1376.8888888888885</v>
      </c>
      <c r="R71" s="166">
        <v>76.493827160493808</v>
      </c>
      <c r="S71" s="182">
        <f t="shared" si="66"/>
        <v>5</v>
      </c>
      <c r="T71" s="491"/>
      <c r="U71" s="182">
        <v>18</v>
      </c>
      <c r="V71" s="166">
        <v>1377.4821428571431</v>
      </c>
      <c r="W71" s="166">
        <v>76.526785714285722</v>
      </c>
      <c r="X71" s="182">
        <f t="shared" si="51"/>
        <v>5</v>
      </c>
      <c r="Y71" s="491"/>
      <c r="Z71" s="182">
        <v>18</v>
      </c>
      <c r="AA71" s="166">
        <v>1394.7187500000005</v>
      </c>
      <c r="AB71" s="166">
        <v>77.484375000000028</v>
      </c>
      <c r="AC71" s="182">
        <f t="shared" si="53"/>
        <v>4</v>
      </c>
      <c r="AD71" s="491"/>
      <c r="AE71" s="182">
        <v>18</v>
      </c>
      <c r="AF71" s="166">
        <v>1347.4687500000014</v>
      </c>
      <c r="AG71" s="166">
        <v>74.859375000000071</v>
      </c>
      <c r="AH71" s="182">
        <f t="shared" si="55"/>
        <v>5</v>
      </c>
      <c r="AI71" s="491"/>
      <c r="AJ71" s="182">
        <v>18</v>
      </c>
      <c r="AK71" s="166">
        <v>1397.6052631578937</v>
      </c>
      <c r="AL71" s="166">
        <v>77.644736842105203</v>
      </c>
      <c r="AM71" s="182">
        <f t="shared" si="57"/>
        <v>5</v>
      </c>
      <c r="AN71" s="491"/>
      <c r="AO71" s="182">
        <v>18</v>
      </c>
      <c r="AP71" s="166">
        <v>1388.0454545454545</v>
      </c>
      <c r="AQ71" s="166">
        <v>77.11363636363636</v>
      </c>
      <c r="AR71" s="182">
        <f t="shared" si="59"/>
        <v>5</v>
      </c>
      <c r="AS71" s="491"/>
      <c r="AT71" s="166">
        <v>18</v>
      </c>
      <c r="AU71" s="166">
        <v>1410.1714285714272</v>
      </c>
      <c r="AV71" s="166">
        <v>78.342857142857071</v>
      </c>
      <c r="AW71" s="182">
        <f t="shared" si="61"/>
        <v>4</v>
      </c>
      <c r="AX71" s="491"/>
    </row>
    <row r="72" spans="2:50">
      <c r="B72" s="479"/>
      <c r="C72" s="182">
        <v>6</v>
      </c>
      <c r="D72" s="203" t="s">
        <v>344</v>
      </c>
      <c r="E72" s="166">
        <v>19</v>
      </c>
      <c r="F72" s="182">
        <v>1385</v>
      </c>
      <c r="G72" s="180">
        <v>72.89473684210526</v>
      </c>
      <c r="H72" s="460"/>
      <c r="I72" s="166">
        <f t="shared" si="63"/>
        <v>18</v>
      </c>
      <c r="J72" s="166">
        <f t="shared" si="64"/>
        <v>1073.2036509091627</v>
      </c>
      <c r="K72" s="180">
        <f t="shared" si="65"/>
        <v>59.62242505050903</v>
      </c>
      <c r="L72" s="460"/>
      <c r="M72" s="181">
        <f>RANK(K72, K$67:$K$81)</f>
        <v>6</v>
      </c>
      <c r="N72" s="462"/>
      <c r="O72" s="462"/>
      <c r="P72" s="182">
        <v>18</v>
      </c>
      <c r="Q72" s="166">
        <v>1097.6062499999998</v>
      </c>
      <c r="R72" s="166">
        <v>60.978124999999991</v>
      </c>
      <c r="S72" s="182">
        <f t="shared" si="66"/>
        <v>6</v>
      </c>
      <c r="T72" s="491"/>
      <c r="U72" s="182">
        <v>18</v>
      </c>
      <c r="V72" s="166">
        <v>1034.2285714285749</v>
      </c>
      <c r="W72" s="166">
        <v>57.457142857143054</v>
      </c>
      <c r="X72" s="182">
        <f t="shared" si="51"/>
        <v>6</v>
      </c>
      <c r="Y72" s="491"/>
      <c r="Z72" s="182">
        <v>18</v>
      </c>
      <c r="AA72" s="166">
        <v>1100.606060606061</v>
      </c>
      <c r="AB72" s="166">
        <v>61.144781144781163</v>
      </c>
      <c r="AC72" s="182">
        <f t="shared" si="53"/>
        <v>6</v>
      </c>
      <c r="AD72" s="491"/>
      <c r="AE72" s="182">
        <v>18</v>
      </c>
      <c r="AF72" s="166">
        <v>1077.7777777777783</v>
      </c>
      <c r="AG72" s="166">
        <v>59.876543209876573</v>
      </c>
      <c r="AH72" s="182">
        <f t="shared" si="55"/>
        <v>6</v>
      </c>
      <c r="AI72" s="491"/>
      <c r="AJ72" s="182">
        <v>18</v>
      </c>
      <c r="AK72" s="166">
        <v>1059.9999999999995</v>
      </c>
      <c r="AL72" s="166">
        <v>58.888888888888864</v>
      </c>
      <c r="AM72" s="182">
        <f t="shared" si="57"/>
        <v>6</v>
      </c>
      <c r="AN72" s="491"/>
      <c r="AO72" s="182">
        <v>18</v>
      </c>
      <c r="AP72" s="166">
        <v>1065.5172413793096</v>
      </c>
      <c r="AQ72" s="166">
        <v>59.195402298850532</v>
      </c>
      <c r="AR72" s="182">
        <f t="shared" si="59"/>
        <v>6</v>
      </c>
      <c r="AS72" s="491"/>
      <c r="AT72" s="166">
        <v>18</v>
      </c>
      <c r="AU72" s="166">
        <v>1076.6896551724146</v>
      </c>
      <c r="AV72" s="166">
        <v>59.816091954023037</v>
      </c>
      <c r="AW72" s="182">
        <f t="shared" si="61"/>
        <v>6</v>
      </c>
      <c r="AX72" s="491"/>
    </row>
    <row r="73" spans="2:50">
      <c r="B73" s="479"/>
      <c r="C73" s="182">
        <v>7</v>
      </c>
      <c r="D73" s="203"/>
      <c r="E73" s="166"/>
      <c r="F73" s="182"/>
      <c r="G73" s="180"/>
      <c r="H73" s="460"/>
      <c r="I73" s="166"/>
      <c r="J73" s="166"/>
      <c r="K73" s="180"/>
      <c r="L73" s="460"/>
      <c r="M73" s="181" t="e">
        <f>RANK(K73, K$67:$K$81)</f>
        <v>#N/A</v>
      </c>
      <c r="N73" s="462"/>
      <c r="O73" s="462"/>
      <c r="P73" s="182"/>
      <c r="Q73" s="166"/>
      <c r="R73" s="166"/>
      <c r="S73" s="182" t="e">
        <f t="shared" si="66"/>
        <v>#N/A</v>
      </c>
      <c r="T73" s="491"/>
      <c r="U73" s="182"/>
      <c r="V73" s="166"/>
      <c r="W73" s="166"/>
      <c r="X73" s="182" t="e">
        <f t="shared" si="51"/>
        <v>#N/A</v>
      </c>
      <c r="Y73" s="491"/>
      <c r="Z73" s="182"/>
      <c r="AA73" s="166"/>
      <c r="AB73" s="166"/>
      <c r="AC73" s="182" t="e">
        <f t="shared" si="53"/>
        <v>#N/A</v>
      </c>
      <c r="AD73" s="491"/>
      <c r="AE73" s="182"/>
      <c r="AF73" s="166"/>
      <c r="AG73" s="166"/>
      <c r="AH73" s="182" t="e">
        <f t="shared" si="55"/>
        <v>#N/A</v>
      </c>
      <c r="AI73" s="491"/>
      <c r="AJ73" s="182"/>
      <c r="AK73" s="166"/>
      <c r="AL73" s="166"/>
      <c r="AM73" s="182" t="e">
        <f t="shared" si="57"/>
        <v>#N/A</v>
      </c>
      <c r="AN73" s="491"/>
      <c r="AO73" s="182"/>
      <c r="AP73" s="166"/>
      <c r="AQ73" s="166"/>
      <c r="AR73" s="182" t="e">
        <f t="shared" si="59"/>
        <v>#N/A</v>
      </c>
      <c r="AS73" s="491"/>
      <c r="AT73" s="166"/>
      <c r="AU73" s="166"/>
      <c r="AV73" s="166"/>
      <c r="AW73" s="182" t="e">
        <f t="shared" si="61"/>
        <v>#N/A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66"/>
      <c r="S74" s="182" t="e">
        <f t="shared" si="66"/>
        <v>#N/A</v>
      </c>
      <c r="T74" s="491"/>
      <c r="U74" s="182"/>
      <c r="V74" s="166"/>
      <c r="W74" s="166"/>
      <c r="X74" s="182" t="e">
        <f t="shared" si="51"/>
        <v>#N/A</v>
      </c>
      <c r="Y74" s="491"/>
      <c r="Z74" s="182"/>
      <c r="AA74" s="166"/>
      <c r="AB74" s="166"/>
      <c r="AC74" s="182" t="e">
        <f t="shared" si="53"/>
        <v>#N/A</v>
      </c>
      <c r="AD74" s="491"/>
      <c r="AE74" s="182"/>
      <c r="AF74" s="166"/>
      <c r="AG74" s="166"/>
      <c r="AH74" s="182" t="e">
        <f t="shared" si="55"/>
        <v>#N/A</v>
      </c>
      <c r="AI74" s="491"/>
      <c r="AJ74" s="182"/>
      <c r="AK74" s="166"/>
      <c r="AL74" s="166"/>
      <c r="AM74" s="182" t="e">
        <f t="shared" si="57"/>
        <v>#N/A</v>
      </c>
      <c r="AN74" s="491"/>
      <c r="AO74" s="182"/>
      <c r="AP74" s="166"/>
      <c r="AQ74" s="166"/>
      <c r="AR74" s="182" t="e">
        <f t="shared" si="59"/>
        <v>#N/A</v>
      </c>
      <c r="AS74" s="491"/>
      <c r="AT74" s="166"/>
      <c r="AU74" s="166"/>
      <c r="AV74" s="166"/>
      <c r="AW74" s="182" t="e">
        <f t="shared" si="61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66"/>
      <c r="S75" s="182" t="e">
        <f t="shared" si="66"/>
        <v>#N/A</v>
      </c>
      <c r="T75" s="491"/>
      <c r="U75" s="182"/>
      <c r="V75" s="166"/>
      <c r="W75" s="166"/>
      <c r="X75" s="182" t="e">
        <f t="shared" si="51"/>
        <v>#N/A</v>
      </c>
      <c r="Y75" s="491"/>
      <c r="Z75" s="182"/>
      <c r="AA75" s="166"/>
      <c r="AB75" s="166"/>
      <c r="AC75" s="182" t="e">
        <f t="shared" si="53"/>
        <v>#N/A</v>
      </c>
      <c r="AD75" s="491"/>
      <c r="AE75" s="182"/>
      <c r="AF75" s="166"/>
      <c r="AG75" s="166"/>
      <c r="AH75" s="182" t="e">
        <f t="shared" si="55"/>
        <v>#N/A</v>
      </c>
      <c r="AI75" s="491"/>
      <c r="AJ75" s="182"/>
      <c r="AK75" s="166"/>
      <c r="AL75" s="166"/>
      <c r="AM75" s="182" t="e">
        <f t="shared" si="57"/>
        <v>#N/A</v>
      </c>
      <c r="AN75" s="491"/>
      <c r="AO75" s="182"/>
      <c r="AP75" s="166"/>
      <c r="AQ75" s="166"/>
      <c r="AR75" s="182" t="e">
        <f t="shared" si="59"/>
        <v>#N/A</v>
      </c>
      <c r="AS75" s="491"/>
      <c r="AT75" s="166"/>
      <c r="AU75" s="166"/>
      <c r="AV75" s="166"/>
      <c r="AW75" s="182" t="e">
        <f t="shared" si="61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66"/>
      <c r="S76" s="182" t="e">
        <f t="shared" si="66"/>
        <v>#N/A</v>
      </c>
      <c r="T76" s="491"/>
      <c r="U76" s="182"/>
      <c r="V76" s="166"/>
      <c r="W76" s="166"/>
      <c r="X76" s="182" t="e">
        <f t="shared" si="51"/>
        <v>#N/A</v>
      </c>
      <c r="Y76" s="491"/>
      <c r="Z76" s="182"/>
      <c r="AA76" s="166"/>
      <c r="AB76" s="166"/>
      <c r="AC76" s="182" t="e">
        <f t="shared" si="53"/>
        <v>#N/A</v>
      </c>
      <c r="AD76" s="491"/>
      <c r="AE76" s="182"/>
      <c r="AF76" s="166"/>
      <c r="AG76" s="166"/>
      <c r="AH76" s="182" t="e">
        <f t="shared" si="55"/>
        <v>#N/A</v>
      </c>
      <c r="AI76" s="491"/>
      <c r="AJ76" s="182"/>
      <c r="AK76" s="166"/>
      <c r="AL76" s="166"/>
      <c r="AM76" s="182" t="e">
        <f t="shared" si="57"/>
        <v>#N/A</v>
      </c>
      <c r="AN76" s="491"/>
      <c r="AO76" s="182"/>
      <c r="AP76" s="166"/>
      <c r="AQ76" s="166"/>
      <c r="AR76" s="182" t="e">
        <f t="shared" si="59"/>
        <v>#N/A</v>
      </c>
      <c r="AS76" s="491"/>
      <c r="AT76" s="166"/>
      <c r="AU76" s="166"/>
      <c r="AV76" s="166"/>
      <c r="AW76" s="182" t="e">
        <f t="shared" si="61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66"/>
      <c r="R77" s="166"/>
      <c r="S77" s="182" t="e">
        <f t="shared" si="66"/>
        <v>#N/A</v>
      </c>
      <c r="T77" s="491"/>
      <c r="U77" s="182"/>
      <c r="V77" s="166"/>
      <c r="W77" s="166"/>
      <c r="X77" s="182" t="e">
        <f t="shared" si="51"/>
        <v>#N/A</v>
      </c>
      <c r="Y77" s="491"/>
      <c r="Z77" s="182"/>
      <c r="AA77" s="166"/>
      <c r="AB77" s="166"/>
      <c r="AC77" s="182" t="e">
        <f t="shared" si="53"/>
        <v>#N/A</v>
      </c>
      <c r="AD77" s="491"/>
      <c r="AE77" s="182"/>
      <c r="AF77" s="166"/>
      <c r="AG77" s="166"/>
      <c r="AH77" s="182" t="e">
        <f t="shared" si="55"/>
        <v>#N/A</v>
      </c>
      <c r="AI77" s="491"/>
      <c r="AJ77" s="182"/>
      <c r="AK77" s="166"/>
      <c r="AL77" s="166"/>
      <c r="AM77" s="182" t="e">
        <f t="shared" si="57"/>
        <v>#N/A</v>
      </c>
      <c r="AN77" s="491"/>
      <c r="AO77" s="182"/>
      <c r="AP77" s="166"/>
      <c r="AQ77" s="166"/>
      <c r="AR77" s="182" t="e">
        <f t="shared" si="59"/>
        <v>#N/A</v>
      </c>
      <c r="AS77" s="491"/>
      <c r="AT77" s="166"/>
      <c r="AU77" s="166"/>
      <c r="AV77" s="166"/>
      <c r="AW77" s="182" t="e">
        <f t="shared" si="61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66"/>
      <c r="R78" s="166"/>
      <c r="S78" s="182" t="e">
        <f t="shared" si="66"/>
        <v>#N/A</v>
      </c>
      <c r="T78" s="491"/>
      <c r="U78" s="182"/>
      <c r="V78" s="166"/>
      <c r="W78" s="166"/>
      <c r="X78" s="182" t="e">
        <f t="shared" si="51"/>
        <v>#N/A</v>
      </c>
      <c r="Y78" s="491"/>
      <c r="Z78" s="182"/>
      <c r="AA78" s="166"/>
      <c r="AB78" s="166"/>
      <c r="AC78" s="182" t="e">
        <f t="shared" si="53"/>
        <v>#N/A</v>
      </c>
      <c r="AD78" s="491"/>
      <c r="AE78" s="182"/>
      <c r="AF78" s="166"/>
      <c r="AG78" s="166"/>
      <c r="AH78" s="182" t="e">
        <f t="shared" si="55"/>
        <v>#N/A</v>
      </c>
      <c r="AI78" s="491"/>
      <c r="AJ78" s="182"/>
      <c r="AK78" s="166"/>
      <c r="AL78" s="166"/>
      <c r="AM78" s="182" t="e">
        <f t="shared" si="57"/>
        <v>#N/A</v>
      </c>
      <c r="AN78" s="491"/>
      <c r="AO78" s="182"/>
      <c r="AP78" s="166"/>
      <c r="AQ78" s="166"/>
      <c r="AR78" s="182" t="e">
        <f t="shared" si="59"/>
        <v>#N/A</v>
      </c>
      <c r="AS78" s="491"/>
      <c r="AT78" s="166"/>
      <c r="AU78" s="166"/>
      <c r="AV78" s="166"/>
      <c r="AW78" s="182" t="e">
        <f t="shared" si="61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66"/>
      <c r="R79" s="166"/>
      <c r="S79" s="182" t="e">
        <f t="shared" si="66"/>
        <v>#N/A</v>
      </c>
      <c r="T79" s="491"/>
      <c r="U79" s="182"/>
      <c r="V79" s="166"/>
      <c r="W79" s="166"/>
      <c r="X79" s="182" t="e">
        <f t="shared" si="51"/>
        <v>#N/A</v>
      </c>
      <c r="Y79" s="491"/>
      <c r="Z79" s="182"/>
      <c r="AA79" s="166"/>
      <c r="AB79" s="166"/>
      <c r="AC79" s="182" t="e">
        <f t="shared" si="53"/>
        <v>#N/A</v>
      </c>
      <c r="AD79" s="491"/>
      <c r="AE79" s="182"/>
      <c r="AF79" s="166"/>
      <c r="AG79" s="166"/>
      <c r="AH79" s="182" t="e">
        <f t="shared" si="55"/>
        <v>#N/A</v>
      </c>
      <c r="AI79" s="491"/>
      <c r="AJ79" s="182"/>
      <c r="AK79" s="166"/>
      <c r="AL79" s="166"/>
      <c r="AM79" s="182" t="e">
        <f t="shared" si="57"/>
        <v>#N/A</v>
      </c>
      <c r="AN79" s="491"/>
      <c r="AO79" s="182"/>
      <c r="AP79" s="166"/>
      <c r="AQ79" s="166"/>
      <c r="AR79" s="182" t="e">
        <f t="shared" si="59"/>
        <v>#N/A</v>
      </c>
      <c r="AS79" s="491"/>
      <c r="AT79" s="166"/>
      <c r="AU79" s="166"/>
      <c r="AV79" s="166"/>
      <c r="AW79" s="182" t="e">
        <f t="shared" si="61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66"/>
      <c r="R80" s="166"/>
      <c r="S80" s="182" t="e">
        <f t="shared" si="66"/>
        <v>#N/A</v>
      </c>
      <c r="T80" s="491"/>
      <c r="U80" s="182"/>
      <c r="V80" s="166"/>
      <c r="W80" s="166"/>
      <c r="X80" s="182" t="e">
        <f t="shared" si="51"/>
        <v>#N/A</v>
      </c>
      <c r="Y80" s="491"/>
      <c r="Z80" s="182"/>
      <c r="AA80" s="166"/>
      <c r="AB80" s="166"/>
      <c r="AC80" s="182" t="e">
        <f t="shared" si="53"/>
        <v>#N/A</v>
      </c>
      <c r="AD80" s="491"/>
      <c r="AE80" s="182"/>
      <c r="AF80" s="166"/>
      <c r="AG80" s="166"/>
      <c r="AH80" s="182" t="e">
        <f t="shared" si="55"/>
        <v>#N/A</v>
      </c>
      <c r="AI80" s="491"/>
      <c r="AJ80" s="182"/>
      <c r="AK80" s="166"/>
      <c r="AL80" s="166"/>
      <c r="AM80" s="182" t="e">
        <f t="shared" si="57"/>
        <v>#N/A</v>
      </c>
      <c r="AN80" s="491"/>
      <c r="AO80" s="182"/>
      <c r="AP80" s="166"/>
      <c r="AQ80" s="166"/>
      <c r="AR80" s="182" t="e">
        <f t="shared" si="59"/>
        <v>#N/A</v>
      </c>
      <c r="AS80" s="491"/>
      <c r="AT80" s="166"/>
      <c r="AU80" s="166"/>
      <c r="AV80" s="166"/>
      <c r="AW80" s="182" t="e">
        <f t="shared" si="61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66"/>
      <c r="R81" s="166"/>
      <c r="S81" s="182" t="e">
        <f t="shared" si="66"/>
        <v>#N/A</v>
      </c>
      <c r="T81" s="491"/>
      <c r="U81" s="182"/>
      <c r="V81" s="166"/>
      <c r="W81" s="166"/>
      <c r="X81" s="182" t="e">
        <f t="shared" si="51"/>
        <v>#N/A</v>
      </c>
      <c r="Y81" s="491"/>
      <c r="Z81" s="182"/>
      <c r="AA81" s="166"/>
      <c r="AB81" s="166"/>
      <c r="AC81" s="182" t="e">
        <f t="shared" si="53"/>
        <v>#N/A</v>
      </c>
      <c r="AD81" s="491"/>
      <c r="AE81" s="182"/>
      <c r="AF81" s="166"/>
      <c r="AG81" s="166"/>
      <c r="AH81" s="182" t="e">
        <f t="shared" si="55"/>
        <v>#N/A</v>
      </c>
      <c r="AI81" s="491"/>
      <c r="AJ81" s="182"/>
      <c r="AK81" s="166"/>
      <c r="AL81" s="166"/>
      <c r="AM81" s="182" t="e">
        <f t="shared" si="57"/>
        <v>#N/A</v>
      </c>
      <c r="AN81" s="491"/>
      <c r="AO81" s="182"/>
      <c r="AP81" s="166"/>
      <c r="AQ81" s="166"/>
      <c r="AR81" s="182" t="e">
        <f t="shared" si="59"/>
        <v>#N/A</v>
      </c>
      <c r="AS81" s="491"/>
      <c r="AT81" s="166"/>
      <c r="AU81" s="166"/>
      <c r="AV81" s="166"/>
      <c r="AW81" s="182" t="e">
        <f t="shared" si="61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342</v>
      </c>
      <c r="C87" s="182">
        <v>1</v>
      </c>
      <c r="D87" s="203"/>
      <c r="E87" s="166"/>
      <c r="F87" s="182"/>
      <c r="G87" s="180"/>
      <c r="H87" s="459" t="e">
        <f>AVERAGE(G87:G101)</f>
        <v>#DIV/0!</v>
      </c>
      <c r="I87" s="166" t="e">
        <f>AVERAGE(P87,U87,Z87,AE87,AJ87,AO87,AT87)</f>
        <v>#DIV/0!</v>
      </c>
      <c r="J87" s="166" t="e">
        <f>AVERAGE(Q87,V87,AA87,AF87,AK87,AP87,AU87)</f>
        <v>#DIV/0!</v>
      </c>
      <c r="K87" s="180" t="e">
        <f>AVERAGE(R87,W87,AB87,AG87,AL87,AQ87,AV87)</f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82"/>
      <c r="Q87" s="166"/>
      <c r="R87" s="166"/>
      <c r="S87" s="182" t="e">
        <f>RANK(R87, R$87:R$101)</f>
        <v>#N/A</v>
      </c>
      <c r="T87" s="491" t="e">
        <f>AVERAGE(R87:R101)</f>
        <v>#DIV/0!</v>
      </c>
      <c r="U87" s="182"/>
      <c r="V87" s="166"/>
      <c r="W87" s="166"/>
      <c r="X87" s="182" t="e">
        <f t="shared" ref="X87:X101" si="67">RANK(W87, W$87:W$101)</f>
        <v>#N/A</v>
      </c>
      <c r="Y87" s="491" t="e">
        <f t="shared" ref="Y87" si="68">AVERAGE(W87:W101)</f>
        <v>#DIV/0!</v>
      </c>
      <c r="Z87" s="182"/>
      <c r="AA87" s="166"/>
      <c r="AB87" s="166"/>
      <c r="AC87" s="182" t="e">
        <f t="shared" ref="AC87:AC101" si="69">RANK(AB87, AB$87:AB$101)</f>
        <v>#N/A</v>
      </c>
      <c r="AD87" s="491" t="e">
        <f t="shared" ref="AD87" si="70">AVERAGE(AB87:AB101)</f>
        <v>#DIV/0!</v>
      </c>
      <c r="AE87" s="182"/>
      <c r="AF87" s="166"/>
      <c r="AG87" s="166"/>
      <c r="AH87" s="182" t="e">
        <f t="shared" ref="AH87:AH101" si="71">RANK(AG87, AG$87:AG$101)</f>
        <v>#N/A</v>
      </c>
      <c r="AI87" s="491" t="e">
        <f t="shared" ref="AI87" si="72">AVERAGE(AG87:AG101)</f>
        <v>#DIV/0!</v>
      </c>
      <c r="AJ87" s="182"/>
      <c r="AK87" s="166"/>
      <c r="AL87" s="166"/>
      <c r="AM87" s="182" t="e">
        <f t="shared" ref="AM87:AM101" si="73">RANK(AL87, AL$87:AL$101)</f>
        <v>#N/A</v>
      </c>
      <c r="AN87" s="491" t="e">
        <f t="shared" ref="AN87" si="74">AVERAGE(AL87:AL101)</f>
        <v>#DIV/0!</v>
      </c>
      <c r="AO87" s="182"/>
      <c r="AP87" s="166"/>
      <c r="AQ87" s="166"/>
      <c r="AR87" s="182" t="e">
        <f t="shared" ref="AR87:AR101" si="75">RANK(AQ87, AQ$87:AQ$101)</f>
        <v>#N/A</v>
      </c>
      <c r="AS87" s="491" t="e">
        <f t="shared" ref="AS87" si="76">AVERAGE(AQ87:AQ101)</f>
        <v>#DIV/0!</v>
      </c>
      <c r="AT87" s="166"/>
      <c r="AU87" s="166"/>
      <c r="AV87" s="166"/>
      <c r="AW87" s="182" t="e">
        <f t="shared" ref="AW87:AW101" si="77">RANK(AV87, AV$87:AV$101)</f>
        <v>#N/A</v>
      </c>
      <c r="AX87" s="491" t="e">
        <f t="shared" ref="AX87" si="78">AVERAGE(AV87:AV101)</f>
        <v>#DIV/0!</v>
      </c>
    </row>
    <row r="88" spans="2:50">
      <c r="B88" s="479"/>
      <c r="C88" s="182">
        <v>2</v>
      </c>
      <c r="D88" s="203"/>
      <c r="E88" s="166"/>
      <c r="F88" s="182"/>
      <c r="G88" s="180"/>
      <c r="H88" s="460"/>
      <c r="I88" s="166" t="e">
        <f t="shared" ref="I88:K93" si="79">AVERAGE(P88,U88,Z88,AE88,AJ88,AO88,AT88)</f>
        <v>#DIV/0!</v>
      </c>
      <c r="J88" s="166" t="e">
        <f t="shared" si="79"/>
        <v>#DIV/0!</v>
      </c>
      <c r="K88" s="180" t="e">
        <f t="shared" si="79"/>
        <v>#DIV/0!</v>
      </c>
      <c r="L88" s="460"/>
      <c r="M88" s="181" t="e">
        <f>RANK(K88, K$87:$K$101)</f>
        <v>#DIV/0!</v>
      </c>
      <c r="N88" s="462"/>
      <c r="O88" s="462"/>
      <c r="P88" s="182"/>
      <c r="Q88" s="166"/>
      <c r="R88" s="166"/>
      <c r="S88" s="182" t="e">
        <f t="shared" ref="S88:S101" si="80">RANK(R88, R$87:R$101)</f>
        <v>#N/A</v>
      </c>
      <c r="T88" s="491"/>
      <c r="U88" s="182"/>
      <c r="V88" s="166"/>
      <c r="W88" s="166"/>
      <c r="X88" s="182" t="e">
        <f t="shared" si="67"/>
        <v>#N/A</v>
      </c>
      <c r="Y88" s="491"/>
      <c r="Z88" s="182"/>
      <c r="AA88" s="166"/>
      <c r="AB88" s="166"/>
      <c r="AC88" s="182" t="e">
        <f t="shared" si="69"/>
        <v>#N/A</v>
      </c>
      <c r="AD88" s="491"/>
      <c r="AE88" s="182"/>
      <c r="AF88" s="166"/>
      <c r="AG88" s="166"/>
      <c r="AH88" s="182" t="e">
        <f t="shared" si="71"/>
        <v>#N/A</v>
      </c>
      <c r="AI88" s="491"/>
      <c r="AJ88" s="182"/>
      <c r="AK88" s="166"/>
      <c r="AL88" s="166"/>
      <c r="AM88" s="182" t="e">
        <f t="shared" si="73"/>
        <v>#N/A</v>
      </c>
      <c r="AN88" s="491"/>
      <c r="AO88" s="182"/>
      <c r="AP88" s="166"/>
      <c r="AQ88" s="166"/>
      <c r="AR88" s="182" t="e">
        <f t="shared" si="75"/>
        <v>#N/A</v>
      </c>
      <c r="AS88" s="491"/>
      <c r="AT88" s="166"/>
      <c r="AU88" s="166"/>
      <c r="AV88" s="166"/>
      <c r="AW88" s="182" t="e">
        <f t="shared" si="77"/>
        <v>#N/A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 t="e">
        <f t="shared" si="79"/>
        <v>#DIV/0!</v>
      </c>
      <c r="J89" s="166" t="e">
        <f t="shared" si="79"/>
        <v>#DIV/0!</v>
      </c>
      <c r="K89" s="180" t="e">
        <f t="shared" si="79"/>
        <v>#DIV/0!</v>
      </c>
      <c r="L89" s="460"/>
      <c r="M89" s="181" t="e">
        <f>RANK(K89, K$87:$K$101)</f>
        <v>#DIV/0!</v>
      </c>
      <c r="N89" s="462"/>
      <c r="O89" s="462"/>
      <c r="P89" s="182"/>
      <c r="Q89" s="166"/>
      <c r="R89" s="166"/>
      <c r="S89" s="182" t="e">
        <f t="shared" si="80"/>
        <v>#N/A</v>
      </c>
      <c r="T89" s="491"/>
      <c r="U89" s="182"/>
      <c r="V89" s="166"/>
      <c r="W89" s="166"/>
      <c r="X89" s="182" t="e">
        <f t="shared" si="67"/>
        <v>#N/A</v>
      </c>
      <c r="Y89" s="491"/>
      <c r="Z89" s="182"/>
      <c r="AA89" s="166"/>
      <c r="AB89" s="166"/>
      <c r="AC89" s="182" t="e">
        <f t="shared" si="69"/>
        <v>#N/A</v>
      </c>
      <c r="AD89" s="491"/>
      <c r="AE89" s="182"/>
      <c r="AF89" s="166"/>
      <c r="AG89" s="166"/>
      <c r="AH89" s="182" t="e">
        <f t="shared" si="71"/>
        <v>#N/A</v>
      </c>
      <c r="AI89" s="491"/>
      <c r="AJ89" s="182"/>
      <c r="AK89" s="166"/>
      <c r="AL89" s="166"/>
      <c r="AM89" s="182" t="e">
        <f t="shared" si="73"/>
        <v>#N/A</v>
      </c>
      <c r="AN89" s="491"/>
      <c r="AO89" s="182"/>
      <c r="AP89" s="166"/>
      <c r="AQ89" s="166"/>
      <c r="AR89" s="182" t="e">
        <f t="shared" si="75"/>
        <v>#N/A</v>
      </c>
      <c r="AS89" s="491"/>
      <c r="AT89" s="166"/>
      <c r="AU89" s="166"/>
      <c r="AV89" s="166"/>
      <c r="AW89" s="182" t="e">
        <f t="shared" si="77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 t="e">
        <f t="shared" si="79"/>
        <v>#DIV/0!</v>
      </c>
      <c r="J90" s="166" t="e">
        <f t="shared" si="79"/>
        <v>#DIV/0!</v>
      </c>
      <c r="K90" s="180" t="e">
        <f t="shared" si="79"/>
        <v>#DIV/0!</v>
      </c>
      <c r="L90" s="460"/>
      <c r="M90" s="181" t="e">
        <f>RANK(K90, K$87:$K$101)</f>
        <v>#DIV/0!</v>
      </c>
      <c r="N90" s="462"/>
      <c r="O90" s="462"/>
      <c r="P90" s="182"/>
      <c r="Q90" s="166"/>
      <c r="R90" s="166"/>
      <c r="S90" s="182" t="e">
        <f t="shared" si="80"/>
        <v>#N/A</v>
      </c>
      <c r="T90" s="491"/>
      <c r="U90" s="182"/>
      <c r="V90" s="166"/>
      <c r="W90" s="166"/>
      <c r="X90" s="182" t="e">
        <f t="shared" si="67"/>
        <v>#N/A</v>
      </c>
      <c r="Y90" s="491"/>
      <c r="Z90" s="182"/>
      <c r="AA90" s="166"/>
      <c r="AB90" s="166"/>
      <c r="AC90" s="182" t="e">
        <f t="shared" si="69"/>
        <v>#N/A</v>
      </c>
      <c r="AD90" s="491"/>
      <c r="AE90" s="182"/>
      <c r="AF90" s="166"/>
      <c r="AG90" s="166"/>
      <c r="AH90" s="182" t="e">
        <f t="shared" si="71"/>
        <v>#N/A</v>
      </c>
      <c r="AI90" s="491"/>
      <c r="AJ90" s="182"/>
      <c r="AK90" s="166"/>
      <c r="AL90" s="166"/>
      <c r="AM90" s="182" t="e">
        <f t="shared" si="73"/>
        <v>#N/A</v>
      </c>
      <c r="AN90" s="491"/>
      <c r="AO90" s="182"/>
      <c r="AP90" s="166"/>
      <c r="AQ90" s="166"/>
      <c r="AR90" s="182" t="e">
        <f t="shared" si="75"/>
        <v>#N/A</v>
      </c>
      <c r="AS90" s="491"/>
      <c r="AT90" s="166"/>
      <c r="AU90" s="166"/>
      <c r="AV90" s="166"/>
      <c r="AW90" s="182" t="e">
        <f t="shared" si="77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 t="e">
        <f t="shared" si="79"/>
        <v>#DIV/0!</v>
      </c>
      <c r="J91" s="166" t="e">
        <f t="shared" si="79"/>
        <v>#DIV/0!</v>
      </c>
      <c r="K91" s="180" t="e">
        <f t="shared" si="79"/>
        <v>#DIV/0!</v>
      </c>
      <c r="L91" s="460"/>
      <c r="M91" s="181" t="e">
        <f>RANK(K91, K$87:$K$101)</f>
        <v>#DIV/0!</v>
      </c>
      <c r="N91" s="462"/>
      <c r="O91" s="462"/>
      <c r="P91" s="182"/>
      <c r="Q91" s="166"/>
      <c r="R91" s="166"/>
      <c r="S91" s="182" t="e">
        <f t="shared" si="80"/>
        <v>#N/A</v>
      </c>
      <c r="T91" s="491"/>
      <c r="U91" s="182"/>
      <c r="V91" s="166"/>
      <c r="W91" s="166"/>
      <c r="X91" s="182" t="e">
        <f t="shared" si="67"/>
        <v>#N/A</v>
      </c>
      <c r="Y91" s="491"/>
      <c r="Z91" s="182"/>
      <c r="AA91" s="166"/>
      <c r="AB91" s="166"/>
      <c r="AC91" s="182" t="e">
        <f t="shared" si="69"/>
        <v>#N/A</v>
      </c>
      <c r="AD91" s="491"/>
      <c r="AE91" s="182"/>
      <c r="AF91" s="166"/>
      <c r="AG91" s="166"/>
      <c r="AH91" s="182" t="e">
        <f t="shared" si="71"/>
        <v>#N/A</v>
      </c>
      <c r="AI91" s="491"/>
      <c r="AJ91" s="182"/>
      <c r="AK91" s="166"/>
      <c r="AL91" s="166"/>
      <c r="AM91" s="182" t="e">
        <f t="shared" si="73"/>
        <v>#N/A</v>
      </c>
      <c r="AN91" s="491"/>
      <c r="AO91" s="182"/>
      <c r="AP91" s="166"/>
      <c r="AQ91" s="166"/>
      <c r="AR91" s="182" t="e">
        <f t="shared" si="75"/>
        <v>#N/A</v>
      </c>
      <c r="AS91" s="491"/>
      <c r="AT91" s="166"/>
      <c r="AU91" s="166"/>
      <c r="AV91" s="166"/>
      <c r="AW91" s="182" t="e">
        <f t="shared" si="77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 t="e">
        <f t="shared" si="79"/>
        <v>#DIV/0!</v>
      </c>
      <c r="J92" s="166" t="e">
        <f t="shared" si="79"/>
        <v>#DIV/0!</v>
      </c>
      <c r="K92" s="180" t="e">
        <f t="shared" si="79"/>
        <v>#DIV/0!</v>
      </c>
      <c r="L92" s="460"/>
      <c r="M92" s="181" t="e">
        <f>RANK(K92, K$87:$K$101)</f>
        <v>#DIV/0!</v>
      </c>
      <c r="N92" s="462"/>
      <c r="O92" s="462"/>
      <c r="P92" s="182"/>
      <c r="Q92" s="166"/>
      <c r="R92" s="166"/>
      <c r="S92" s="182" t="e">
        <f t="shared" si="80"/>
        <v>#N/A</v>
      </c>
      <c r="T92" s="491"/>
      <c r="U92" s="182"/>
      <c r="V92" s="166"/>
      <c r="W92" s="166"/>
      <c r="X92" s="182" t="e">
        <f t="shared" si="67"/>
        <v>#N/A</v>
      </c>
      <c r="Y92" s="491"/>
      <c r="Z92" s="182"/>
      <c r="AA92" s="166"/>
      <c r="AB92" s="166"/>
      <c r="AC92" s="182" t="e">
        <f t="shared" si="69"/>
        <v>#N/A</v>
      </c>
      <c r="AD92" s="491"/>
      <c r="AE92" s="182"/>
      <c r="AF92" s="166"/>
      <c r="AG92" s="166"/>
      <c r="AH92" s="182" t="e">
        <f t="shared" si="71"/>
        <v>#N/A</v>
      </c>
      <c r="AI92" s="491"/>
      <c r="AJ92" s="182"/>
      <c r="AK92" s="166"/>
      <c r="AL92" s="166"/>
      <c r="AM92" s="182" t="e">
        <f t="shared" si="73"/>
        <v>#N/A</v>
      </c>
      <c r="AN92" s="491"/>
      <c r="AO92" s="182"/>
      <c r="AP92" s="166"/>
      <c r="AQ92" s="166"/>
      <c r="AR92" s="182" t="e">
        <f t="shared" si="75"/>
        <v>#N/A</v>
      </c>
      <c r="AS92" s="491"/>
      <c r="AT92" s="166"/>
      <c r="AU92" s="166"/>
      <c r="AV92" s="166"/>
      <c r="AW92" s="182" t="e">
        <f t="shared" si="77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 t="e">
        <f t="shared" si="79"/>
        <v>#DIV/0!</v>
      </c>
      <c r="J93" s="166" t="e">
        <f t="shared" si="79"/>
        <v>#DIV/0!</v>
      </c>
      <c r="K93" s="180" t="e">
        <f t="shared" si="79"/>
        <v>#DIV/0!</v>
      </c>
      <c r="L93" s="460"/>
      <c r="M93" s="181" t="e">
        <f>RANK(K93, K$87:$K$101)</f>
        <v>#DIV/0!</v>
      </c>
      <c r="N93" s="462"/>
      <c r="O93" s="462"/>
      <c r="P93" s="182"/>
      <c r="Q93" s="166"/>
      <c r="R93" s="166"/>
      <c r="S93" s="182" t="e">
        <f t="shared" si="80"/>
        <v>#N/A</v>
      </c>
      <c r="T93" s="491"/>
      <c r="U93" s="182"/>
      <c r="V93" s="166"/>
      <c r="W93" s="166"/>
      <c r="X93" s="182" t="e">
        <f t="shared" si="67"/>
        <v>#N/A</v>
      </c>
      <c r="Y93" s="491"/>
      <c r="Z93" s="182"/>
      <c r="AA93" s="166"/>
      <c r="AB93" s="166"/>
      <c r="AC93" s="182" t="e">
        <f t="shared" si="69"/>
        <v>#N/A</v>
      </c>
      <c r="AD93" s="491"/>
      <c r="AE93" s="182"/>
      <c r="AF93" s="166"/>
      <c r="AG93" s="166"/>
      <c r="AH93" s="182" t="e">
        <f t="shared" si="71"/>
        <v>#N/A</v>
      </c>
      <c r="AI93" s="491"/>
      <c r="AJ93" s="182"/>
      <c r="AK93" s="166"/>
      <c r="AL93" s="166"/>
      <c r="AM93" s="182" t="e">
        <f t="shared" si="73"/>
        <v>#N/A</v>
      </c>
      <c r="AN93" s="491"/>
      <c r="AO93" s="182"/>
      <c r="AP93" s="166"/>
      <c r="AQ93" s="166"/>
      <c r="AR93" s="182" t="e">
        <f t="shared" si="75"/>
        <v>#N/A</v>
      </c>
      <c r="AS93" s="491"/>
      <c r="AT93" s="166"/>
      <c r="AU93" s="166"/>
      <c r="AV93" s="166"/>
      <c r="AW93" s="182" t="e">
        <f t="shared" si="77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 t="e">
        <f t="shared" ref="I94:I95" si="81">AVERAGE(P94,U94,Z94,AE94,AJ94,AO94,AT94)</f>
        <v>#DIV/0!</v>
      </c>
      <c r="J94" s="166" t="e">
        <f t="shared" ref="J94:J95" si="82">AVERAGE(Q94,V94,AA94,AF94,AK94,AP94,AU94)</f>
        <v>#DIV/0!</v>
      </c>
      <c r="K94" s="180" t="e">
        <f t="shared" ref="K94:K95" si="83">AVERAGE(R94,W94,AB94,AG94,AL94,AQ94,AV94)</f>
        <v>#DIV/0!</v>
      </c>
      <c r="L94" s="460"/>
      <c r="M94" s="181" t="e">
        <f>RANK(K94, K$87:$K$101)</f>
        <v>#DIV/0!</v>
      </c>
      <c r="N94" s="462"/>
      <c r="O94" s="462"/>
      <c r="P94" s="182"/>
      <c r="Q94" s="166"/>
      <c r="R94" s="166"/>
      <c r="S94" s="182" t="e">
        <f t="shared" si="80"/>
        <v>#N/A</v>
      </c>
      <c r="T94" s="491"/>
      <c r="U94" s="182"/>
      <c r="V94" s="166"/>
      <c r="W94" s="166"/>
      <c r="X94" s="182" t="e">
        <f t="shared" si="67"/>
        <v>#N/A</v>
      </c>
      <c r="Y94" s="491"/>
      <c r="Z94" s="182"/>
      <c r="AA94" s="166"/>
      <c r="AB94" s="166"/>
      <c r="AC94" s="182" t="e">
        <f t="shared" si="69"/>
        <v>#N/A</v>
      </c>
      <c r="AD94" s="491"/>
      <c r="AE94" s="182"/>
      <c r="AF94" s="166"/>
      <c r="AG94" s="166"/>
      <c r="AH94" s="182" t="e">
        <f t="shared" si="71"/>
        <v>#N/A</v>
      </c>
      <c r="AI94" s="491"/>
      <c r="AJ94" s="182"/>
      <c r="AK94" s="166"/>
      <c r="AL94" s="166"/>
      <c r="AM94" s="182" t="e">
        <f t="shared" si="73"/>
        <v>#N/A</v>
      </c>
      <c r="AN94" s="491"/>
      <c r="AO94" s="182"/>
      <c r="AP94" s="166"/>
      <c r="AQ94" s="166"/>
      <c r="AR94" s="182" t="e">
        <f t="shared" si="75"/>
        <v>#N/A</v>
      </c>
      <c r="AS94" s="491"/>
      <c r="AT94" s="166"/>
      <c r="AU94" s="166"/>
      <c r="AV94" s="166"/>
      <c r="AW94" s="182" t="e">
        <f t="shared" si="77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 t="e">
        <f t="shared" si="81"/>
        <v>#DIV/0!</v>
      </c>
      <c r="J95" s="166" t="e">
        <f t="shared" si="82"/>
        <v>#DIV/0!</v>
      </c>
      <c r="K95" s="180" t="e">
        <f t="shared" si="83"/>
        <v>#DIV/0!</v>
      </c>
      <c r="L95" s="460"/>
      <c r="M95" s="181" t="e">
        <f>RANK(K95, K$87:$K$101)</f>
        <v>#DIV/0!</v>
      </c>
      <c r="N95" s="462"/>
      <c r="O95" s="462"/>
      <c r="P95" s="182"/>
      <c r="Q95" s="166"/>
      <c r="R95" s="166"/>
      <c r="S95" s="182" t="e">
        <f t="shared" si="80"/>
        <v>#N/A</v>
      </c>
      <c r="T95" s="491"/>
      <c r="U95" s="182"/>
      <c r="V95" s="166"/>
      <c r="W95" s="166"/>
      <c r="X95" s="182" t="e">
        <f t="shared" si="67"/>
        <v>#N/A</v>
      </c>
      <c r="Y95" s="491"/>
      <c r="Z95" s="182"/>
      <c r="AA95" s="166"/>
      <c r="AB95" s="166"/>
      <c r="AC95" s="182" t="e">
        <f t="shared" si="69"/>
        <v>#N/A</v>
      </c>
      <c r="AD95" s="491"/>
      <c r="AE95" s="182"/>
      <c r="AF95" s="166"/>
      <c r="AG95" s="166"/>
      <c r="AH95" s="182" t="e">
        <f t="shared" si="71"/>
        <v>#N/A</v>
      </c>
      <c r="AI95" s="491"/>
      <c r="AJ95" s="182"/>
      <c r="AK95" s="166"/>
      <c r="AL95" s="166"/>
      <c r="AM95" s="182" t="e">
        <f t="shared" si="73"/>
        <v>#N/A</v>
      </c>
      <c r="AN95" s="491"/>
      <c r="AO95" s="182"/>
      <c r="AP95" s="166"/>
      <c r="AQ95" s="166"/>
      <c r="AR95" s="182" t="e">
        <f t="shared" si="75"/>
        <v>#N/A</v>
      </c>
      <c r="AS95" s="491"/>
      <c r="AT95" s="166"/>
      <c r="AU95" s="166"/>
      <c r="AV95" s="166"/>
      <c r="AW95" s="182" t="e">
        <f t="shared" si="77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#DIV/0!</v>
      </c>
      <c r="N96" s="462"/>
      <c r="O96" s="462"/>
      <c r="P96" s="182"/>
      <c r="Q96" s="166"/>
      <c r="R96" s="166"/>
      <c r="S96" s="182" t="e">
        <f t="shared" si="80"/>
        <v>#N/A</v>
      </c>
      <c r="T96" s="491"/>
      <c r="U96" s="182"/>
      <c r="V96" s="166"/>
      <c r="W96" s="166"/>
      <c r="X96" s="182" t="e">
        <f t="shared" si="67"/>
        <v>#N/A</v>
      </c>
      <c r="Y96" s="491"/>
      <c r="Z96" s="182"/>
      <c r="AA96" s="166"/>
      <c r="AB96" s="166"/>
      <c r="AC96" s="182" t="e">
        <f t="shared" si="69"/>
        <v>#N/A</v>
      </c>
      <c r="AD96" s="491"/>
      <c r="AE96" s="182"/>
      <c r="AF96" s="166"/>
      <c r="AG96" s="166"/>
      <c r="AH96" s="182" t="e">
        <f t="shared" si="71"/>
        <v>#N/A</v>
      </c>
      <c r="AI96" s="491"/>
      <c r="AJ96" s="182"/>
      <c r="AK96" s="166"/>
      <c r="AL96" s="166"/>
      <c r="AM96" s="182" t="e">
        <f t="shared" si="73"/>
        <v>#N/A</v>
      </c>
      <c r="AN96" s="491"/>
      <c r="AO96" s="182"/>
      <c r="AP96" s="166"/>
      <c r="AQ96" s="166"/>
      <c r="AR96" s="182" t="e">
        <f t="shared" si="75"/>
        <v>#N/A</v>
      </c>
      <c r="AS96" s="491"/>
      <c r="AT96" s="166"/>
      <c r="AU96" s="166"/>
      <c r="AV96" s="166"/>
      <c r="AW96" s="182" t="e">
        <f t="shared" si="77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66"/>
      <c r="J97" s="166"/>
      <c r="K97" s="180"/>
      <c r="L97" s="460"/>
      <c r="M97" s="181" t="e">
        <f>RANK(K97, K$87:$K$101)</f>
        <v>#DIV/0!</v>
      </c>
      <c r="N97" s="462"/>
      <c r="O97" s="462"/>
      <c r="P97" s="182"/>
      <c r="Q97" s="166"/>
      <c r="R97" s="166"/>
      <c r="S97" s="182" t="e">
        <f t="shared" si="80"/>
        <v>#N/A</v>
      </c>
      <c r="T97" s="491"/>
      <c r="U97" s="182"/>
      <c r="V97" s="166"/>
      <c r="W97" s="166"/>
      <c r="X97" s="182" t="e">
        <f t="shared" si="67"/>
        <v>#N/A</v>
      </c>
      <c r="Y97" s="491"/>
      <c r="Z97" s="182"/>
      <c r="AA97" s="166"/>
      <c r="AB97" s="166"/>
      <c r="AC97" s="182" t="e">
        <f t="shared" si="69"/>
        <v>#N/A</v>
      </c>
      <c r="AD97" s="491"/>
      <c r="AE97" s="182"/>
      <c r="AF97" s="166"/>
      <c r="AG97" s="166"/>
      <c r="AH97" s="182" t="e">
        <f t="shared" si="71"/>
        <v>#N/A</v>
      </c>
      <c r="AI97" s="491"/>
      <c r="AJ97" s="182"/>
      <c r="AK97" s="166"/>
      <c r="AL97" s="166"/>
      <c r="AM97" s="182" t="e">
        <f t="shared" si="73"/>
        <v>#N/A</v>
      </c>
      <c r="AN97" s="491"/>
      <c r="AO97" s="182"/>
      <c r="AP97" s="166"/>
      <c r="AQ97" s="166"/>
      <c r="AR97" s="182" t="e">
        <f t="shared" si="75"/>
        <v>#N/A</v>
      </c>
      <c r="AS97" s="491"/>
      <c r="AT97" s="166"/>
      <c r="AU97" s="166"/>
      <c r="AV97" s="166"/>
      <c r="AW97" s="182" t="e">
        <f t="shared" si="77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#DIV/0!</v>
      </c>
      <c r="N98" s="462"/>
      <c r="O98" s="462"/>
      <c r="P98" s="182"/>
      <c r="Q98" s="166"/>
      <c r="R98" s="166"/>
      <c r="S98" s="182" t="e">
        <f t="shared" si="80"/>
        <v>#N/A</v>
      </c>
      <c r="T98" s="491"/>
      <c r="U98" s="182"/>
      <c r="V98" s="166"/>
      <c r="W98" s="166"/>
      <c r="X98" s="182" t="e">
        <f t="shared" si="67"/>
        <v>#N/A</v>
      </c>
      <c r="Y98" s="491"/>
      <c r="Z98" s="182"/>
      <c r="AA98" s="166"/>
      <c r="AB98" s="166"/>
      <c r="AC98" s="182" t="e">
        <f t="shared" si="69"/>
        <v>#N/A</v>
      </c>
      <c r="AD98" s="491"/>
      <c r="AE98" s="182"/>
      <c r="AF98" s="166"/>
      <c r="AG98" s="166"/>
      <c r="AH98" s="182" t="e">
        <f t="shared" si="71"/>
        <v>#N/A</v>
      </c>
      <c r="AI98" s="491"/>
      <c r="AJ98" s="182"/>
      <c r="AK98" s="166"/>
      <c r="AL98" s="166"/>
      <c r="AM98" s="182" t="e">
        <f t="shared" si="73"/>
        <v>#N/A</v>
      </c>
      <c r="AN98" s="491"/>
      <c r="AO98" s="182"/>
      <c r="AP98" s="166"/>
      <c r="AQ98" s="166"/>
      <c r="AR98" s="182" t="e">
        <f t="shared" si="75"/>
        <v>#N/A</v>
      </c>
      <c r="AS98" s="491"/>
      <c r="AT98" s="166"/>
      <c r="AU98" s="166"/>
      <c r="AV98" s="166"/>
      <c r="AW98" s="182" t="e">
        <f t="shared" si="77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#DIV/0!</v>
      </c>
      <c r="N99" s="462"/>
      <c r="O99" s="462"/>
      <c r="P99" s="182"/>
      <c r="Q99" s="166"/>
      <c r="R99" s="166"/>
      <c r="S99" s="182" t="e">
        <f t="shared" si="80"/>
        <v>#N/A</v>
      </c>
      <c r="T99" s="491"/>
      <c r="U99" s="182"/>
      <c r="V99" s="166"/>
      <c r="W99" s="166"/>
      <c r="X99" s="182" t="e">
        <f t="shared" si="67"/>
        <v>#N/A</v>
      </c>
      <c r="Y99" s="491"/>
      <c r="Z99" s="182"/>
      <c r="AA99" s="166"/>
      <c r="AB99" s="166"/>
      <c r="AC99" s="182" t="e">
        <f t="shared" si="69"/>
        <v>#N/A</v>
      </c>
      <c r="AD99" s="491"/>
      <c r="AE99" s="182"/>
      <c r="AF99" s="166"/>
      <c r="AG99" s="166"/>
      <c r="AH99" s="182" t="e">
        <f t="shared" si="71"/>
        <v>#N/A</v>
      </c>
      <c r="AI99" s="491"/>
      <c r="AJ99" s="182"/>
      <c r="AK99" s="166"/>
      <c r="AL99" s="166"/>
      <c r="AM99" s="182" t="e">
        <f t="shared" si="73"/>
        <v>#N/A</v>
      </c>
      <c r="AN99" s="491"/>
      <c r="AO99" s="182"/>
      <c r="AP99" s="166"/>
      <c r="AQ99" s="166"/>
      <c r="AR99" s="182" t="e">
        <f t="shared" si="75"/>
        <v>#N/A</v>
      </c>
      <c r="AS99" s="491"/>
      <c r="AT99" s="166"/>
      <c r="AU99" s="166"/>
      <c r="AV99" s="166"/>
      <c r="AW99" s="182" t="e">
        <f t="shared" si="77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#DIV/0!</v>
      </c>
      <c r="N100" s="462"/>
      <c r="O100" s="462"/>
      <c r="P100" s="182"/>
      <c r="Q100" s="166"/>
      <c r="R100" s="166"/>
      <c r="S100" s="182" t="e">
        <f t="shared" si="80"/>
        <v>#N/A</v>
      </c>
      <c r="T100" s="491"/>
      <c r="U100" s="182"/>
      <c r="V100" s="166"/>
      <c r="W100" s="166"/>
      <c r="X100" s="182" t="e">
        <f t="shared" si="67"/>
        <v>#N/A</v>
      </c>
      <c r="Y100" s="491"/>
      <c r="Z100" s="182"/>
      <c r="AA100" s="166"/>
      <c r="AB100" s="166"/>
      <c r="AC100" s="182" t="e">
        <f t="shared" si="69"/>
        <v>#N/A</v>
      </c>
      <c r="AD100" s="491"/>
      <c r="AE100" s="182"/>
      <c r="AF100" s="166"/>
      <c r="AG100" s="166"/>
      <c r="AH100" s="182" t="e">
        <f t="shared" si="71"/>
        <v>#N/A</v>
      </c>
      <c r="AI100" s="491"/>
      <c r="AJ100" s="182"/>
      <c r="AK100" s="166"/>
      <c r="AL100" s="166"/>
      <c r="AM100" s="182" t="e">
        <f t="shared" si="73"/>
        <v>#N/A</v>
      </c>
      <c r="AN100" s="491"/>
      <c r="AO100" s="182"/>
      <c r="AP100" s="166"/>
      <c r="AQ100" s="166"/>
      <c r="AR100" s="182" t="e">
        <f t="shared" si="75"/>
        <v>#N/A</v>
      </c>
      <c r="AS100" s="491"/>
      <c r="AT100" s="166"/>
      <c r="AU100" s="166"/>
      <c r="AV100" s="166"/>
      <c r="AW100" s="182" t="e">
        <f t="shared" si="77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#DIV/0!</v>
      </c>
      <c r="N101" s="462"/>
      <c r="O101" s="462"/>
      <c r="P101" s="182"/>
      <c r="Q101" s="166"/>
      <c r="R101" s="166"/>
      <c r="S101" s="182" t="e">
        <f t="shared" si="80"/>
        <v>#N/A</v>
      </c>
      <c r="T101" s="491"/>
      <c r="U101" s="182"/>
      <c r="V101" s="166"/>
      <c r="W101" s="166"/>
      <c r="X101" s="182" t="e">
        <f t="shared" si="67"/>
        <v>#N/A</v>
      </c>
      <c r="Y101" s="491"/>
      <c r="Z101" s="182"/>
      <c r="AA101" s="166"/>
      <c r="AB101" s="166"/>
      <c r="AC101" s="182" t="e">
        <f t="shared" si="69"/>
        <v>#N/A</v>
      </c>
      <c r="AD101" s="491"/>
      <c r="AE101" s="182"/>
      <c r="AF101" s="166"/>
      <c r="AG101" s="166"/>
      <c r="AH101" s="182" t="e">
        <f t="shared" si="71"/>
        <v>#N/A</v>
      </c>
      <c r="AI101" s="491"/>
      <c r="AJ101" s="182"/>
      <c r="AK101" s="166"/>
      <c r="AL101" s="166"/>
      <c r="AM101" s="182" t="e">
        <f t="shared" si="73"/>
        <v>#N/A</v>
      </c>
      <c r="AN101" s="491"/>
      <c r="AO101" s="182"/>
      <c r="AP101" s="166"/>
      <c r="AQ101" s="166"/>
      <c r="AR101" s="182" t="e">
        <f t="shared" si="75"/>
        <v>#N/A</v>
      </c>
      <c r="AS101" s="491"/>
      <c r="AT101" s="166"/>
      <c r="AU101" s="166"/>
      <c r="AV101" s="166"/>
      <c r="AW101" s="182" t="e">
        <f t="shared" si="77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321</v>
      </c>
      <c r="C104" s="462" t="s">
        <v>322</v>
      </c>
      <c r="D104" s="462"/>
      <c r="E104" s="462" t="s">
        <v>323</v>
      </c>
      <c r="F104" s="462"/>
      <c r="G104" s="462"/>
      <c r="H104" s="463" t="s">
        <v>324</v>
      </c>
      <c r="I104" s="462" t="s">
        <v>325</v>
      </c>
      <c r="J104" s="462"/>
      <c r="K104" s="462"/>
      <c r="L104" s="463" t="s">
        <v>324</v>
      </c>
      <c r="M104" s="469" t="s">
        <v>326</v>
      </c>
      <c r="N104" s="462"/>
      <c r="O104" s="462" t="s">
        <v>327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328</v>
      </c>
      <c r="F105" s="462"/>
      <c r="G105" s="462"/>
      <c r="H105" s="464"/>
      <c r="I105" s="462" t="s">
        <v>328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329</v>
      </c>
      <c r="F106" s="271" t="s">
        <v>330</v>
      </c>
      <c r="G106" s="271" t="s">
        <v>331</v>
      </c>
      <c r="H106" s="465"/>
      <c r="I106" s="271" t="s">
        <v>329</v>
      </c>
      <c r="J106" s="271" t="s">
        <v>330</v>
      </c>
      <c r="K106" s="271" t="s">
        <v>331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332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82"/>
      <c r="Q107" s="166"/>
      <c r="R107" s="166"/>
      <c r="S107" s="166" t="e">
        <f>RANK(R107, R$67:R$81)</f>
        <v>#N/A</v>
      </c>
      <c r="T107" s="506" t="e">
        <f>AVERAGE(R107:R121)</f>
        <v>#DIV/0!</v>
      </c>
      <c r="U107" s="182"/>
      <c r="V107" s="166"/>
      <c r="W107" s="166"/>
      <c r="X107" s="166" t="e">
        <f>RANK(W107, W$67:W$81)</f>
        <v>#N/A</v>
      </c>
      <c r="Y107" s="491" t="e">
        <f>AVERAGE(W107:W121)</f>
        <v>#DIV/0!</v>
      </c>
      <c r="Z107" s="182"/>
      <c r="AA107" s="166"/>
      <c r="AB107" s="166"/>
      <c r="AC107" s="166" t="e">
        <f>RANK(AB107, AB$67:AB$81)</f>
        <v>#N/A</v>
      </c>
      <c r="AD107" s="491" t="e">
        <f>AVERAGE(AB107:AB121)</f>
        <v>#DIV/0!</v>
      </c>
      <c r="AE107" s="182"/>
      <c r="AF107" s="166"/>
      <c r="AG107" s="166"/>
      <c r="AH107" s="166" t="e">
        <f>RANK(AG107, AG$67:AG$81)</f>
        <v>#N/A</v>
      </c>
      <c r="AI107" s="491" t="e">
        <f>AVERAGE(AG107:AG121)</f>
        <v>#DIV/0!</v>
      </c>
      <c r="AJ107" s="182"/>
      <c r="AK107" s="166"/>
      <c r="AL107" s="166"/>
      <c r="AM107" s="166" t="e">
        <f>RANK(AL107, AL$67:AL$81)</f>
        <v>#N/A</v>
      </c>
      <c r="AN107" s="491" t="e">
        <f>AVERAGE(AL107:AL121)</f>
        <v>#DIV/0!</v>
      </c>
      <c r="AO107" s="182"/>
      <c r="AP107" s="166"/>
      <c r="AQ107" s="166"/>
      <c r="AR107" s="166" t="e">
        <f>RANK(AQ107, AQ$67:AQ$81)</f>
        <v>#N/A</v>
      </c>
      <c r="AS107" s="506" t="e">
        <f>AVERAGE(AQ107:AQ121)</f>
        <v>#DIV/0!</v>
      </c>
      <c r="AT107" s="166"/>
      <c r="AU107" s="166"/>
      <c r="AV107" s="166"/>
      <c r="AW107" s="182" t="e">
        <f>RANK(AV107, AV$67:AV$81)</f>
        <v>#N/A</v>
      </c>
      <c r="AX107" s="525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ref="I108:K115" si="84">AVERAGE(P108,U108,Z108,AE108,AJ108,AO108,AT108)</f>
        <v>#DIV/0!</v>
      </c>
      <c r="J108" s="166" t="e">
        <f t="shared" si="84"/>
        <v>#DIV/0!</v>
      </c>
      <c r="K108" s="180" t="e">
        <f t="shared" si="84"/>
        <v>#DIV/0!</v>
      </c>
      <c r="L108" s="460"/>
      <c r="M108" s="166" t="e">
        <f>RANK(K108, K$67:$K$81)</f>
        <v>#DIV/0!</v>
      </c>
      <c r="N108" s="462"/>
      <c r="O108" s="462"/>
      <c r="P108" s="182"/>
      <c r="Q108" s="166"/>
      <c r="R108" s="166"/>
      <c r="S108" s="166" t="e">
        <f t="shared" ref="S108:S121" si="85">RANK(R108, R$67:R$81)</f>
        <v>#N/A</v>
      </c>
      <c r="T108" s="506"/>
      <c r="U108" s="182"/>
      <c r="V108" s="166"/>
      <c r="W108" s="166"/>
      <c r="X108" s="166" t="e">
        <f t="shared" ref="X108:X121" si="86">RANK(W108, W$67:W$81)</f>
        <v>#N/A</v>
      </c>
      <c r="Y108" s="491"/>
      <c r="Z108" s="182"/>
      <c r="AA108" s="166"/>
      <c r="AB108" s="166"/>
      <c r="AC108" s="166" t="e">
        <f t="shared" ref="AC108:AC121" si="87">RANK(AB108, AB$67:AB$81)</f>
        <v>#N/A</v>
      </c>
      <c r="AD108" s="491"/>
      <c r="AE108" s="182"/>
      <c r="AF108" s="166"/>
      <c r="AG108" s="166"/>
      <c r="AH108" s="166" t="e">
        <f t="shared" ref="AH108:AH121" si="88">RANK(AG108, AG$67:AG$81)</f>
        <v>#N/A</v>
      </c>
      <c r="AI108" s="491"/>
      <c r="AJ108" s="182"/>
      <c r="AK108" s="166"/>
      <c r="AL108" s="166"/>
      <c r="AM108" s="166" t="e">
        <f t="shared" ref="AM108:AM121" si="89">RANK(AL108, AL$67:AL$81)</f>
        <v>#N/A</v>
      </c>
      <c r="AN108" s="491"/>
      <c r="AO108" s="182"/>
      <c r="AP108" s="166"/>
      <c r="AQ108" s="166"/>
      <c r="AR108" s="166" t="e">
        <f t="shared" ref="AR108:AR121" si="90">RANK(AQ108, AQ$67:AQ$81)</f>
        <v>#N/A</v>
      </c>
      <c r="AS108" s="506"/>
      <c r="AT108" s="166"/>
      <c r="AU108" s="166"/>
      <c r="AV108" s="166"/>
      <c r="AW108" s="182" t="e">
        <f t="shared" ref="AW108:AW121" si="91">RANK(AV108, AV$67:AV$81)</f>
        <v>#N/A</v>
      </c>
      <c r="AX108" s="525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 t="e">
        <f t="shared" si="84"/>
        <v>#DIV/0!</v>
      </c>
      <c r="J109" s="166" t="e">
        <f t="shared" si="84"/>
        <v>#DIV/0!</v>
      </c>
      <c r="K109" s="180" t="e">
        <f t="shared" si="84"/>
        <v>#DIV/0!</v>
      </c>
      <c r="L109" s="460"/>
      <c r="M109" s="166" t="e">
        <f>RANK(K109, K$67:$K$81)</f>
        <v>#DIV/0!</v>
      </c>
      <c r="N109" s="462"/>
      <c r="O109" s="462"/>
      <c r="P109" s="182"/>
      <c r="Q109" s="166"/>
      <c r="R109" s="166"/>
      <c r="S109" s="166" t="e">
        <f t="shared" si="85"/>
        <v>#N/A</v>
      </c>
      <c r="T109" s="506"/>
      <c r="U109" s="182"/>
      <c r="V109" s="166"/>
      <c r="W109" s="166"/>
      <c r="X109" s="166" t="e">
        <f t="shared" si="86"/>
        <v>#N/A</v>
      </c>
      <c r="Y109" s="491"/>
      <c r="Z109" s="182"/>
      <c r="AA109" s="166"/>
      <c r="AB109" s="166"/>
      <c r="AC109" s="166" t="e">
        <f t="shared" si="87"/>
        <v>#N/A</v>
      </c>
      <c r="AD109" s="491"/>
      <c r="AE109" s="182"/>
      <c r="AF109" s="166"/>
      <c r="AG109" s="166"/>
      <c r="AH109" s="166" t="e">
        <f t="shared" si="88"/>
        <v>#N/A</v>
      </c>
      <c r="AI109" s="491"/>
      <c r="AJ109" s="182"/>
      <c r="AK109" s="166"/>
      <c r="AL109" s="166"/>
      <c r="AM109" s="166" t="e">
        <f t="shared" si="89"/>
        <v>#N/A</v>
      </c>
      <c r="AN109" s="491"/>
      <c r="AO109" s="182"/>
      <c r="AP109" s="166"/>
      <c r="AQ109" s="166"/>
      <c r="AR109" s="166" t="e">
        <f t="shared" si="90"/>
        <v>#N/A</v>
      </c>
      <c r="AS109" s="506"/>
      <c r="AT109" s="166"/>
      <c r="AU109" s="166"/>
      <c r="AV109" s="166"/>
      <c r="AW109" s="182" t="e">
        <f t="shared" si="91"/>
        <v>#N/A</v>
      </c>
      <c r="AX109" s="525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 t="e">
        <f t="shared" si="84"/>
        <v>#DIV/0!</v>
      </c>
      <c r="J110" s="166" t="e">
        <f t="shared" si="84"/>
        <v>#DIV/0!</v>
      </c>
      <c r="K110" s="180" t="e">
        <f t="shared" si="84"/>
        <v>#DIV/0!</v>
      </c>
      <c r="L110" s="460"/>
      <c r="M110" s="166" t="e">
        <f>RANK(K110, K$67:$K$81)</f>
        <v>#DIV/0!</v>
      </c>
      <c r="N110" s="462"/>
      <c r="O110" s="462"/>
      <c r="P110" s="182"/>
      <c r="Q110" s="166"/>
      <c r="R110" s="166"/>
      <c r="S110" s="166" t="e">
        <f t="shared" si="85"/>
        <v>#N/A</v>
      </c>
      <c r="T110" s="506"/>
      <c r="U110" s="182"/>
      <c r="V110" s="166"/>
      <c r="W110" s="166"/>
      <c r="X110" s="166" t="e">
        <f t="shared" si="86"/>
        <v>#N/A</v>
      </c>
      <c r="Y110" s="491"/>
      <c r="Z110" s="182"/>
      <c r="AA110" s="166"/>
      <c r="AB110" s="166"/>
      <c r="AC110" s="166" t="e">
        <f t="shared" si="87"/>
        <v>#N/A</v>
      </c>
      <c r="AD110" s="491"/>
      <c r="AE110" s="182"/>
      <c r="AF110" s="166"/>
      <c r="AG110" s="166"/>
      <c r="AH110" s="166" t="e">
        <f t="shared" si="88"/>
        <v>#N/A</v>
      </c>
      <c r="AI110" s="491"/>
      <c r="AJ110" s="182"/>
      <c r="AK110" s="166"/>
      <c r="AL110" s="166"/>
      <c r="AM110" s="166" t="e">
        <f t="shared" si="89"/>
        <v>#N/A</v>
      </c>
      <c r="AN110" s="491"/>
      <c r="AO110" s="182"/>
      <c r="AP110" s="166"/>
      <c r="AQ110" s="166"/>
      <c r="AR110" s="166" t="e">
        <f t="shared" si="90"/>
        <v>#N/A</v>
      </c>
      <c r="AS110" s="506"/>
      <c r="AT110" s="166"/>
      <c r="AU110" s="166"/>
      <c r="AV110" s="166"/>
      <c r="AW110" s="182" t="e">
        <f t="shared" si="91"/>
        <v>#N/A</v>
      </c>
      <c r="AX110" s="525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 t="e">
        <f t="shared" si="84"/>
        <v>#DIV/0!</v>
      </c>
      <c r="J111" s="166" t="e">
        <f t="shared" si="84"/>
        <v>#DIV/0!</v>
      </c>
      <c r="K111" s="180" t="e">
        <f t="shared" si="84"/>
        <v>#DIV/0!</v>
      </c>
      <c r="L111" s="460"/>
      <c r="M111" s="166" t="e">
        <f>RANK(K111, K$67:$K$81)</f>
        <v>#DIV/0!</v>
      </c>
      <c r="N111" s="462"/>
      <c r="O111" s="462"/>
      <c r="P111" s="182"/>
      <c r="Q111" s="166"/>
      <c r="R111" s="166"/>
      <c r="S111" s="166" t="e">
        <f t="shared" si="85"/>
        <v>#N/A</v>
      </c>
      <c r="T111" s="506"/>
      <c r="U111" s="182"/>
      <c r="V111" s="166"/>
      <c r="W111" s="166"/>
      <c r="X111" s="166" t="e">
        <f t="shared" si="86"/>
        <v>#N/A</v>
      </c>
      <c r="Y111" s="491"/>
      <c r="Z111" s="182"/>
      <c r="AA111" s="166"/>
      <c r="AB111" s="166"/>
      <c r="AC111" s="166" t="e">
        <f t="shared" si="87"/>
        <v>#N/A</v>
      </c>
      <c r="AD111" s="491"/>
      <c r="AE111" s="182"/>
      <c r="AF111" s="166"/>
      <c r="AG111" s="166"/>
      <c r="AH111" s="166" t="e">
        <f t="shared" si="88"/>
        <v>#N/A</v>
      </c>
      <c r="AI111" s="491"/>
      <c r="AJ111" s="182"/>
      <c r="AK111" s="166"/>
      <c r="AL111" s="166"/>
      <c r="AM111" s="166" t="e">
        <f t="shared" si="89"/>
        <v>#N/A</v>
      </c>
      <c r="AN111" s="491"/>
      <c r="AO111" s="182"/>
      <c r="AP111" s="166"/>
      <c r="AQ111" s="166"/>
      <c r="AR111" s="166" t="e">
        <f t="shared" si="90"/>
        <v>#N/A</v>
      </c>
      <c r="AS111" s="506"/>
      <c r="AT111" s="166"/>
      <c r="AU111" s="166"/>
      <c r="AV111" s="166"/>
      <c r="AW111" s="182" t="e">
        <f t="shared" si="91"/>
        <v>#N/A</v>
      </c>
      <c r="AX111" s="525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 t="e">
        <f t="shared" si="84"/>
        <v>#DIV/0!</v>
      </c>
      <c r="J112" s="166" t="e">
        <f t="shared" si="84"/>
        <v>#DIV/0!</v>
      </c>
      <c r="K112" s="180" t="e">
        <f t="shared" si="84"/>
        <v>#DIV/0!</v>
      </c>
      <c r="L112" s="460"/>
      <c r="M112" s="166" t="e">
        <f>RANK(K112, K$67:$K$81)</f>
        <v>#DIV/0!</v>
      </c>
      <c r="N112" s="462"/>
      <c r="O112" s="462"/>
      <c r="P112" s="182"/>
      <c r="Q112" s="166"/>
      <c r="R112" s="166"/>
      <c r="S112" s="166" t="e">
        <f t="shared" si="85"/>
        <v>#N/A</v>
      </c>
      <c r="T112" s="506"/>
      <c r="U112" s="182"/>
      <c r="V112" s="166"/>
      <c r="W112" s="166"/>
      <c r="X112" s="166" t="e">
        <f t="shared" si="86"/>
        <v>#N/A</v>
      </c>
      <c r="Y112" s="491"/>
      <c r="Z112" s="182"/>
      <c r="AA112" s="166"/>
      <c r="AB112" s="166"/>
      <c r="AC112" s="166" t="e">
        <f t="shared" si="87"/>
        <v>#N/A</v>
      </c>
      <c r="AD112" s="491"/>
      <c r="AE112" s="182"/>
      <c r="AF112" s="166"/>
      <c r="AG112" s="166"/>
      <c r="AH112" s="166" t="e">
        <f t="shared" si="88"/>
        <v>#N/A</v>
      </c>
      <c r="AI112" s="491"/>
      <c r="AJ112" s="182"/>
      <c r="AK112" s="166"/>
      <c r="AL112" s="166"/>
      <c r="AM112" s="166" t="e">
        <f t="shared" si="89"/>
        <v>#N/A</v>
      </c>
      <c r="AN112" s="491"/>
      <c r="AO112" s="182"/>
      <c r="AP112" s="166"/>
      <c r="AQ112" s="166"/>
      <c r="AR112" s="166" t="e">
        <f t="shared" si="90"/>
        <v>#N/A</v>
      </c>
      <c r="AS112" s="506"/>
      <c r="AT112" s="166"/>
      <c r="AU112" s="166"/>
      <c r="AV112" s="166"/>
      <c r="AW112" s="182" t="e">
        <f t="shared" si="91"/>
        <v>#N/A</v>
      </c>
      <c r="AX112" s="525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 t="e">
        <f t="shared" si="84"/>
        <v>#DIV/0!</v>
      </c>
      <c r="J113" s="166" t="e">
        <f t="shared" si="84"/>
        <v>#DIV/0!</v>
      </c>
      <c r="K113" s="180" t="e">
        <f t="shared" si="84"/>
        <v>#DIV/0!</v>
      </c>
      <c r="L113" s="460"/>
      <c r="M113" s="166" t="e">
        <f>RANK(K113, K$67:$K$81)</f>
        <v>#DIV/0!</v>
      </c>
      <c r="N113" s="462"/>
      <c r="O113" s="462"/>
      <c r="P113" s="182"/>
      <c r="Q113" s="166"/>
      <c r="R113" s="166"/>
      <c r="S113" s="166" t="e">
        <f t="shared" si="85"/>
        <v>#N/A</v>
      </c>
      <c r="T113" s="506"/>
      <c r="U113" s="182"/>
      <c r="V113" s="166"/>
      <c r="W113" s="166"/>
      <c r="X113" s="166" t="e">
        <f t="shared" si="86"/>
        <v>#N/A</v>
      </c>
      <c r="Y113" s="491"/>
      <c r="Z113" s="182"/>
      <c r="AA113" s="166"/>
      <c r="AB113" s="166"/>
      <c r="AC113" s="166" t="e">
        <f t="shared" si="87"/>
        <v>#N/A</v>
      </c>
      <c r="AD113" s="491"/>
      <c r="AE113" s="182"/>
      <c r="AF113" s="166"/>
      <c r="AG113" s="166"/>
      <c r="AH113" s="166" t="e">
        <f t="shared" si="88"/>
        <v>#N/A</v>
      </c>
      <c r="AI113" s="491"/>
      <c r="AJ113" s="182"/>
      <c r="AK113" s="166"/>
      <c r="AL113" s="166"/>
      <c r="AM113" s="166" t="e">
        <f t="shared" si="89"/>
        <v>#N/A</v>
      </c>
      <c r="AN113" s="491"/>
      <c r="AO113" s="182"/>
      <c r="AP113" s="166"/>
      <c r="AQ113" s="166"/>
      <c r="AR113" s="166" t="e">
        <f t="shared" si="90"/>
        <v>#N/A</v>
      </c>
      <c r="AS113" s="506"/>
      <c r="AT113" s="166"/>
      <c r="AU113" s="166"/>
      <c r="AV113" s="166"/>
      <c r="AW113" s="182" t="e">
        <f t="shared" si="91"/>
        <v>#N/A</v>
      </c>
      <c r="AX113" s="525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 t="e">
        <f t="shared" si="84"/>
        <v>#DIV/0!</v>
      </c>
      <c r="J114" s="166" t="e">
        <f t="shared" si="84"/>
        <v>#DIV/0!</v>
      </c>
      <c r="K114" s="180" t="e">
        <f t="shared" si="84"/>
        <v>#DIV/0!</v>
      </c>
      <c r="L114" s="460"/>
      <c r="M114" s="166" t="e">
        <f>RANK(K114, K$67:$K$81)</f>
        <v>#DIV/0!</v>
      </c>
      <c r="N114" s="462"/>
      <c r="O114" s="462"/>
      <c r="P114" s="182"/>
      <c r="Q114" s="166"/>
      <c r="R114" s="166"/>
      <c r="S114" s="166" t="e">
        <f t="shared" si="85"/>
        <v>#N/A</v>
      </c>
      <c r="T114" s="506"/>
      <c r="U114" s="182"/>
      <c r="V114" s="166"/>
      <c r="W114" s="166"/>
      <c r="X114" s="166" t="e">
        <f t="shared" si="86"/>
        <v>#N/A</v>
      </c>
      <c r="Y114" s="491"/>
      <c r="Z114" s="182"/>
      <c r="AA114" s="166"/>
      <c r="AB114" s="166"/>
      <c r="AC114" s="166" t="e">
        <f t="shared" si="87"/>
        <v>#N/A</v>
      </c>
      <c r="AD114" s="491"/>
      <c r="AE114" s="182"/>
      <c r="AF114" s="166"/>
      <c r="AG114" s="166"/>
      <c r="AH114" s="166" t="e">
        <f t="shared" si="88"/>
        <v>#N/A</v>
      </c>
      <c r="AI114" s="491"/>
      <c r="AJ114" s="182"/>
      <c r="AK114" s="166"/>
      <c r="AL114" s="166"/>
      <c r="AM114" s="166" t="e">
        <f t="shared" si="89"/>
        <v>#N/A</v>
      </c>
      <c r="AN114" s="491"/>
      <c r="AO114" s="182"/>
      <c r="AP114" s="166"/>
      <c r="AQ114" s="166"/>
      <c r="AR114" s="166" t="e">
        <f t="shared" si="90"/>
        <v>#N/A</v>
      </c>
      <c r="AS114" s="506"/>
      <c r="AT114" s="166"/>
      <c r="AU114" s="166"/>
      <c r="AV114" s="166"/>
      <c r="AW114" s="182" t="e">
        <f t="shared" si="91"/>
        <v>#N/A</v>
      </c>
      <c r="AX114" s="525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 t="e">
        <f t="shared" si="84"/>
        <v>#DIV/0!</v>
      </c>
      <c r="J115" s="166" t="e">
        <f t="shared" si="84"/>
        <v>#DIV/0!</v>
      </c>
      <c r="K115" s="180" t="e">
        <f t="shared" si="84"/>
        <v>#DIV/0!</v>
      </c>
      <c r="L115" s="460"/>
      <c r="M115" s="166" t="e">
        <f>RANK(K115, K$67:$K$81)</f>
        <v>#DIV/0!</v>
      </c>
      <c r="N115" s="462"/>
      <c r="O115" s="462"/>
      <c r="P115" s="182"/>
      <c r="Q115" s="166"/>
      <c r="R115" s="166"/>
      <c r="S115" s="166" t="e">
        <f t="shared" si="85"/>
        <v>#N/A</v>
      </c>
      <c r="T115" s="506"/>
      <c r="U115" s="182"/>
      <c r="V115" s="166"/>
      <c r="W115" s="166"/>
      <c r="X115" s="166" t="e">
        <f t="shared" si="86"/>
        <v>#N/A</v>
      </c>
      <c r="Y115" s="491"/>
      <c r="Z115" s="182"/>
      <c r="AA115" s="166"/>
      <c r="AB115" s="166"/>
      <c r="AC115" s="166" t="e">
        <f t="shared" si="87"/>
        <v>#N/A</v>
      </c>
      <c r="AD115" s="491"/>
      <c r="AE115" s="182"/>
      <c r="AF115" s="166"/>
      <c r="AG115" s="166"/>
      <c r="AH115" s="166" t="e">
        <f t="shared" si="88"/>
        <v>#N/A</v>
      </c>
      <c r="AI115" s="491"/>
      <c r="AJ115" s="182"/>
      <c r="AK115" s="166"/>
      <c r="AL115" s="166"/>
      <c r="AM115" s="166" t="e">
        <f t="shared" si="89"/>
        <v>#N/A</v>
      </c>
      <c r="AN115" s="491"/>
      <c r="AO115" s="182"/>
      <c r="AP115" s="166"/>
      <c r="AQ115" s="166"/>
      <c r="AR115" s="166" t="e">
        <f t="shared" si="90"/>
        <v>#N/A</v>
      </c>
      <c r="AS115" s="506"/>
      <c r="AT115" s="166"/>
      <c r="AU115" s="166"/>
      <c r="AV115" s="166"/>
      <c r="AW115" s="182" t="e">
        <f t="shared" si="91"/>
        <v>#N/A</v>
      </c>
      <c r="AX115" s="525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/>
      <c r="J116" s="166"/>
      <c r="K116" s="180"/>
      <c r="L116" s="460"/>
      <c r="M116" s="166" t="e">
        <f>RANK(K116, K$67:$K$81)</f>
        <v>#N/A</v>
      </c>
      <c r="N116" s="462"/>
      <c r="O116" s="462"/>
      <c r="P116" s="182"/>
      <c r="Q116" s="166"/>
      <c r="R116" s="166"/>
      <c r="S116" s="166" t="e">
        <f t="shared" si="85"/>
        <v>#N/A</v>
      </c>
      <c r="T116" s="506"/>
      <c r="U116" s="182"/>
      <c r="V116" s="166"/>
      <c r="W116" s="166"/>
      <c r="X116" s="166" t="e">
        <f t="shared" si="86"/>
        <v>#N/A</v>
      </c>
      <c r="Y116" s="491"/>
      <c r="Z116" s="182"/>
      <c r="AA116" s="166"/>
      <c r="AB116" s="166"/>
      <c r="AC116" s="166" t="e">
        <f t="shared" si="87"/>
        <v>#N/A</v>
      </c>
      <c r="AD116" s="491"/>
      <c r="AE116" s="182"/>
      <c r="AF116" s="166"/>
      <c r="AG116" s="166"/>
      <c r="AH116" s="166" t="e">
        <f t="shared" si="88"/>
        <v>#N/A</v>
      </c>
      <c r="AI116" s="491"/>
      <c r="AJ116" s="182"/>
      <c r="AK116" s="166"/>
      <c r="AL116" s="166"/>
      <c r="AM116" s="166" t="e">
        <f t="shared" si="89"/>
        <v>#N/A</v>
      </c>
      <c r="AN116" s="491"/>
      <c r="AO116" s="182"/>
      <c r="AP116" s="166"/>
      <c r="AQ116" s="166"/>
      <c r="AR116" s="166" t="e">
        <f t="shared" si="90"/>
        <v>#N/A</v>
      </c>
      <c r="AS116" s="506"/>
      <c r="AT116" s="166"/>
      <c r="AU116" s="166"/>
      <c r="AV116" s="166"/>
      <c r="AW116" s="182" t="e">
        <f t="shared" si="91"/>
        <v>#N/A</v>
      </c>
      <c r="AX116" s="525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66"/>
      <c r="J117" s="166"/>
      <c r="K117" s="180"/>
      <c r="L117" s="460"/>
      <c r="M117" s="166" t="e">
        <f>RANK(K117, K$67:$K$81)</f>
        <v>#N/A</v>
      </c>
      <c r="N117" s="462"/>
      <c r="O117" s="462"/>
      <c r="P117" s="182"/>
      <c r="Q117" s="166"/>
      <c r="R117" s="166"/>
      <c r="S117" s="166" t="e">
        <f t="shared" si="85"/>
        <v>#N/A</v>
      </c>
      <c r="T117" s="506"/>
      <c r="U117" s="182"/>
      <c r="V117" s="166"/>
      <c r="W117" s="166"/>
      <c r="X117" s="166" t="e">
        <f t="shared" si="86"/>
        <v>#N/A</v>
      </c>
      <c r="Y117" s="491"/>
      <c r="Z117" s="182"/>
      <c r="AA117" s="166"/>
      <c r="AB117" s="166"/>
      <c r="AC117" s="166" t="e">
        <f t="shared" si="87"/>
        <v>#N/A</v>
      </c>
      <c r="AD117" s="491"/>
      <c r="AE117" s="182"/>
      <c r="AF117" s="166"/>
      <c r="AG117" s="166"/>
      <c r="AH117" s="166" t="e">
        <f t="shared" si="88"/>
        <v>#N/A</v>
      </c>
      <c r="AI117" s="491"/>
      <c r="AJ117" s="182"/>
      <c r="AK117" s="166"/>
      <c r="AL117" s="166"/>
      <c r="AM117" s="166" t="e">
        <f t="shared" si="89"/>
        <v>#N/A</v>
      </c>
      <c r="AN117" s="491"/>
      <c r="AO117" s="182"/>
      <c r="AP117" s="166"/>
      <c r="AQ117" s="166"/>
      <c r="AR117" s="166" t="e">
        <f t="shared" si="90"/>
        <v>#N/A</v>
      </c>
      <c r="AS117" s="506"/>
      <c r="AT117" s="166"/>
      <c r="AU117" s="166"/>
      <c r="AV117" s="166"/>
      <c r="AW117" s="182" t="e">
        <f t="shared" si="91"/>
        <v>#N/A</v>
      </c>
      <c r="AX117" s="525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66"/>
      <c r="J118" s="166"/>
      <c r="K118" s="180"/>
      <c r="L118" s="460"/>
      <c r="M118" s="166" t="e">
        <f>RANK(K118, K$67:$K$81)</f>
        <v>#N/A</v>
      </c>
      <c r="N118" s="462"/>
      <c r="O118" s="462"/>
      <c r="P118" s="182"/>
      <c r="Q118" s="166"/>
      <c r="R118" s="166"/>
      <c r="S118" s="166" t="e">
        <f t="shared" si="85"/>
        <v>#N/A</v>
      </c>
      <c r="T118" s="506"/>
      <c r="U118" s="182"/>
      <c r="V118" s="166"/>
      <c r="W118" s="166"/>
      <c r="X118" s="166" t="e">
        <f t="shared" si="86"/>
        <v>#N/A</v>
      </c>
      <c r="Y118" s="491"/>
      <c r="Z118" s="182"/>
      <c r="AA118" s="166"/>
      <c r="AB118" s="166"/>
      <c r="AC118" s="166" t="e">
        <f t="shared" si="87"/>
        <v>#N/A</v>
      </c>
      <c r="AD118" s="491"/>
      <c r="AE118" s="182"/>
      <c r="AF118" s="166"/>
      <c r="AG118" s="166"/>
      <c r="AH118" s="166" t="e">
        <f t="shared" si="88"/>
        <v>#N/A</v>
      </c>
      <c r="AI118" s="491"/>
      <c r="AJ118" s="182"/>
      <c r="AK118" s="166"/>
      <c r="AL118" s="166"/>
      <c r="AM118" s="166" t="e">
        <f t="shared" si="89"/>
        <v>#N/A</v>
      </c>
      <c r="AN118" s="491"/>
      <c r="AO118" s="182"/>
      <c r="AP118" s="166"/>
      <c r="AQ118" s="166"/>
      <c r="AR118" s="166" t="e">
        <f t="shared" si="90"/>
        <v>#N/A</v>
      </c>
      <c r="AS118" s="506"/>
      <c r="AT118" s="166"/>
      <c r="AU118" s="166"/>
      <c r="AV118" s="166"/>
      <c r="AW118" s="182" t="e">
        <f t="shared" si="91"/>
        <v>#N/A</v>
      </c>
      <c r="AX118" s="525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66" t="e">
        <f>RANK(K119, K$67:$K$81)</f>
        <v>#N/A</v>
      </c>
      <c r="N119" s="462"/>
      <c r="O119" s="462"/>
      <c r="P119" s="182"/>
      <c r="Q119" s="166"/>
      <c r="R119" s="166"/>
      <c r="S119" s="166" t="e">
        <f t="shared" si="85"/>
        <v>#N/A</v>
      </c>
      <c r="T119" s="506"/>
      <c r="U119" s="182"/>
      <c r="V119" s="166"/>
      <c r="W119" s="166"/>
      <c r="X119" s="166" t="e">
        <f t="shared" si="86"/>
        <v>#N/A</v>
      </c>
      <c r="Y119" s="491"/>
      <c r="Z119" s="182"/>
      <c r="AA119" s="166"/>
      <c r="AB119" s="166"/>
      <c r="AC119" s="180" t="e">
        <f t="shared" si="87"/>
        <v>#N/A</v>
      </c>
      <c r="AD119" s="491"/>
      <c r="AE119" s="182"/>
      <c r="AF119" s="166"/>
      <c r="AG119" s="166"/>
      <c r="AH119" s="166" t="e">
        <f t="shared" si="88"/>
        <v>#N/A</v>
      </c>
      <c r="AI119" s="491"/>
      <c r="AJ119" s="182"/>
      <c r="AK119" s="166"/>
      <c r="AL119" s="166"/>
      <c r="AM119" s="166" t="e">
        <f t="shared" si="89"/>
        <v>#N/A</v>
      </c>
      <c r="AN119" s="491"/>
      <c r="AO119" s="182"/>
      <c r="AP119" s="166"/>
      <c r="AQ119" s="166"/>
      <c r="AR119" s="180" t="e">
        <f t="shared" si="90"/>
        <v>#N/A</v>
      </c>
      <c r="AS119" s="506"/>
      <c r="AT119" s="166"/>
      <c r="AU119" s="166"/>
      <c r="AV119" s="166"/>
      <c r="AW119" s="182" t="e">
        <f t="shared" si="91"/>
        <v>#N/A</v>
      </c>
      <c r="AX119" s="525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66" t="e">
        <f>RANK(K120, K$67:$K$81)</f>
        <v>#N/A</v>
      </c>
      <c r="N120" s="462"/>
      <c r="O120" s="462"/>
      <c r="P120" s="182"/>
      <c r="Q120" s="166"/>
      <c r="R120" s="166"/>
      <c r="S120" s="166" t="e">
        <f t="shared" si="85"/>
        <v>#N/A</v>
      </c>
      <c r="T120" s="506"/>
      <c r="U120" s="182"/>
      <c r="V120" s="166"/>
      <c r="W120" s="166"/>
      <c r="X120" s="166" t="e">
        <f t="shared" si="86"/>
        <v>#N/A</v>
      </c>
      <c r="Y120" s="491"/>
      <c r="Z120" s="182"/>
      <c r="AA120" s="166"/>
      <c r="AB120" s="166"/>
      <c r="AC120" s="180" t="e">
        <f t="shared" si="87"/>
        <v>#N/A</v>
      </c>
      <c r="AD120" s="491"/>
      <c r="AE120" s="182"/>
      <c r="AF120" s="166"/>
      <c r="AG120" s="166"/>
      <c r="AH120" s="180" t="e">
        <f t="shared" si="88"/>
        <v>#N/A</v>
      </c>
      <c r="AI120" s="491"/>
      <c r="AJ120" s="182"/>
      <c r="AK120" s="166"/>
      <c r="AL120" s="166"/>
      <c r="AM120" s="180" t="e">
        <f t="shared" si="89"/>
        <v>#N/A</v>
      </c>
      <c r="AN120" s="491"/>
      <c r="AO120" s="182"/>
      <c r="AP120" s="166"/>
      <c r="AQ120" s="166"/>
      <c r="AR120" s="180" t="e">
        <f t="shared" si="90"/>
        <v>#N/A</v>
      </c>
      <c r="AS120" s="506"/>
      <c r="AT120" s="166"/>
      <c r="AU120" s="166"/>
      <c r="AV120" s="166"/>
      <c r="AW120" s="182" t="e">
        <f t="shared" si="91"/>
        <v>#N/A</v>
      </c>
      <c r="AX120" s="525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66" t="e">
        <f>RANK(K121, K$67:$K$81)</f>
        <v>#N/A</v>
      </c>
      <c r="N121" s="462"/>
      <c r="O121" s="462"/>
      <c r="P121" s="182"/>
      <c r="Q121" s="166"/>
      <c r="R121" s="166"/>
      <c r="S121" s="166" t="e">
        <f t="shared" si="85"/>
        <v>#N/A</v>
      </c>
      <c r="T121" s="506"/>
      <c r="U121" s="182"/>
      <c r="V121" s="166"/>
      <c r="W121" s="166"/>
      <c r="X121" s="180" t="e">
        <f t="shared" si="86"/>
        <v>#N/A</v>
      </c>
      <c r="Y121" s="491"/>
      <c r="Z121" s="182"/>
      <c r="AA121" s="166"/>
      <c r="AB121" s="166"/>
      <c r="AC121" s="180" t="e">
        <f t="shared" si="87"/>
        <v>#N/A</v>
      </c>
      <c r="AD121" s="491"/>
      <c r="AE121" s="182"/>
      <c r="AF121" s="166"/>
      <c r="AG121" s="166"/>
      <c r="AH121" s="180" t="e">
        <f t="shared" si="88"/>
        <v>#N/A</v>
      </c>
      <c r="AI121" s="491"/>
      <c r="AJ121" s="182"/>
      <c r="AK121" s="166"/>
      <c r="AL121" s="166"/>
      <c r="AM121" s="180" t="e">
        <f t="shared" si="89"/>
        <v>#N/A</v>
      </c>
      <c r="AN121" s="491"/>
      <c r="AO121" s="182"/>
      <c r="AP121" s="166"/>
      <c r="AQ121" s="166"/>
      <c r="AR121" s="180" t="e">
        <f t="shared" si="90"/>
        <v>#N/A</v>
      </c>
      <c r="AS121" s="506"/>
      <c r="AT121" s="166"/>
      <c r="AU121" s="166"/>
      <c r="AV121" s="166"/>
      <c r="AW121" s="182" t="e">
        <f t="shared" si="91"/>
        <v>#N/A</v>
      </c>
      <c r="AX121" s="525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342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7" si="92">AVERAGEIF($D$7:$D$121,$D128,I$7:I$121)</f>
        <v>#DIV/0!</v>
      </c>
      <c r="J128" s="166" t="e">
        <f t="shared" si="92"/>
        <v>#DIV/0!</v>
      </c>
      <c r="K128" s="166" t="e">
        <f t="shared" ref="K128:K137" si="93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92"/>
        <v>#DIV/0!</v>
      </c>
      <c r="J129" s="166" t="e">
        <f t="shared" si="92"/>
        <v>#DIV/0!</v>
      </c>
      <c r="K129" s="166" t="e">
        <f t="shared" si="93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92"/>
        <v>#DIV/0!</v>
      </c>
      <c r="J130" s="166" t="e">
        <f t="shared" si="92"/>
        <v>#DIV/0!</v>
      </c>
      <c r="K130" s="166" t="e">
        <f t="shared" si="93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92"/>
        <v>#DIV/0!</v>
      </c>
      <c r="J131" s="166" t="e">
        <f t="shared" si="92"/>
        <v>#DIV/0!</v>
      </c>
      <c r="K131" s="166" t="e">
        <f t="shared" si="93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92"/>
        <v>#DIV/0!</v>
      </c>
      <c r="J132" s="166" t="e">
        <f t="shared" si="92"/>
        <v>#DIV/0!</v>
      </c>
      <c r="K132" s="166" t="e">
        <f t="shared" si="93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92"/>
        <v>#DIV/0!</v>
      </c>
      <c r="J133" s="166" t="e">
        <f t="shared" si="92"/>
        <v>#DIV/0!</v>
      </c>
      <c r="K133" s="166" t="e">
        <f t="shared" si="93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92"/>
        <v>#DIV/0!</v>
      </c>
      <c r="J134" s="166" t="e">
        <f t="shared" si="92"/>
        <v>#DIV/0!</v>
      </c>
      <c r="K134" s="166" t="e">
        <f t="shared" si="93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 t="e">
        <f t="shared" si="92"/>
        <v>#DIV/0!</v>
      </c>
      <c r="J135" s="166" t="e">
        <f t="shared" si="92"/>
        <v>#DIV/0!</v>
      </c>
      <c r="K135" s="166" t="e">
        <f t="shared" si="93"/>
        <v>#DIV/0!</v>
      </c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 t="e">
        <f t="shared" si="92"/>
        <v>#DIV/0!</v>
      </c>
      <c r="J136" s="166" t="e">
        <f t="shared" si="92"/>
        <v>#DIV/0!</v>
      </c>
      <c r="K136" s="166" t="e">
        <f t="shared" si="93"/>
        <v>#DIV/0!</v>
      </c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 t="e">
        <f t="shared" si="92"/>
        <v>#DIV/0!</v>
      </c>
      <c r="J137" s="166" t="e">
        <f t="shared" si="92"/>
        <v>#DIV/0!</v>
      </c>
      <c r="K137" s="166" t="e">
        <f t="shared" si="93"/>
        <v>#DIV/0!</v>
      </c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8" zoomScale="55" zoomScaleNormal="55" workbookViewId="0">
      <pane xSplit="15" topLeftCell="P1" activePane="topRight" state="frozen"/>
      <selection activeCell="A7" sqref="A7:L28"/>
      <selection pane="topRight" activeCell="L107" sqref="L107:L12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122.96404371984323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321</v>
      </c>
      <c r="C4" s="462" t="s">
        <v>322</v>
      </c>
      <c r="D4" s="462"/>
      <c r="E4" s="462" t="s">
        <v>323</v>
      </c>
      <c r="F4" s="462"/>
      <c r="G4" s="462"/>
      <c r="H4" s="463" t="s">
        <v>324</v>
      </c>
      <c r="I4" s="462" t="s">
        <v>325</v>
      </c>
      <c r="J4" s="462"/>
      <c r="K4" s="462"/>
      <c r="L4" s="463" t="s">
        <v>324</v>
      </c>
      <c r="M4" s="469" t="s">
        <v>326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328</v>
      </c>
      <c r="F5" s="462"/>
      <c r="G5" s="462"/>
      <c r="H5" s="464"/>
      <c r="I5" s="462" t="s">
        <v>328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329</v>
      </c>
      <c r="F6" s="271" t="s">
        <v>330</v>
      </c>
      <c r="G6" s="271" t="s">
        <v>331</v>
      </c>
      <c r="H6" s="465"/>
      <c r="I6" s="271" t="s">
        <v>329</v>
      </c>
      <c r="J6" s="271" t="s">
        <v>330</v>
      </c>
      <c r="K6" s="271" t="s">
        <v>331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345</v>
      </c>
      <c r="C7" s="182">
        <v>1</v>
      </c>
      <c r="D7" s="203" t="s">
        <v>346</v>
      </c>
      <c r="E7" s="166">
        <v>20</v>
      </c>
      <c r="F7" s="166">
        <v>2400</v>
      </c>
      <c r="G7" s="166">
        <v>120</v>
      </c>
      <c r="H7" s="508">
        <f>AVERAGE(G7:G21)</f>
        <v>144.76</v>
      </c>
      <c r="I7" s="166">
        <f>AVERAGE(P7,U7,Z7,AE7,AJ7,AO7,AT7)</f>
        <v>19</v>
      </c>
      <c r="J7" s="166">
        <f>AVERAGE(Q7,V7,AA7,AF7,AK7,AP7,AU7)</f>
        <v>2207.9388907490534</v>
      </c>
      <c r="K7" s="180">
        <f>AVERAGE(R7,W7,AB7,AG7,AL7,AQ7,AV7)</f>
        <v>116.20731003942386</v>
      </c>
      <c r="L7" s="459">
        <f>AVERAGE(K7:K21)</f>
        <v>121.83720288647581</v>
      </c>
      <c r="M7" s="181">
        <f>RANK(K7, K$7:$K$21)</f>
        <v>4</v>
      </c>
      <c r="N7" s="462"/>
      <c r="O7" s="462"/>
      <c r="P7" s="182">
        <v>19</v>
      </c>
      <c r="Q7" s="166">
        <v>2232.692307692309</v>
      </c>
      <c r="R7" s="166">
        <v>117.51012145748994</v>
      </c>
      <c r="S7" s="182">
        <f>RANK(R7, R$7:R$21)</f>
        <v>4</v>
      </c>
      <c r="T7" s="491">
        <f>AVERAGE(R7:R21)</f>
        <v>122.74257603272761</v>
      </c>
      <c r="U7" s="182">
        <v>19</v>
      </c>
      <c r="V7" s="166">
        <v>2253.7674418604647</v>
      </c>
      <c r="W7" s="166">
        <v>118.61933904528762</v>
      </c>
      <c r="X7" s="182">
        <f>RANK(W7, W$7:W$21)</f>
        <v>4</v>
      </c>
      <c r="Y7" s="491">
        <f>AVERAGE(W7:W21)</f>
        <v>121.58201312116944</v>
      </c>
      <c r="Z7" s="182">
        <v>19</v>
      </c>
      <c r="AA7" s="166">
        <v>2217.4468085106387</v>
      </c>
      <c r="AB7" s="166">
        <v>116.70772676371783</v>
      </c>
      <c r="AC7" s="182">
        <f>RANK(AB7, AB$7:AB$21)</f>
        <v>4</v>
      </c>
      <c r="AD7" s="491">
        <f>AVERAGE(AB7:AB21)</f>
        <v>122.86117239237055</v>
      </c>
      <c r="AE7" s="182">
        <v>19</v>
      </c>
      <c r="AF7" s="166">
        <v>2258.0000000000014</v>
      </c>
      <c r="AG7" s="166">
        <v>118.84210526315796</v>
      </c>
      <c r="AH7" s="182">
        <f>RANK(AG7, AG$7:AG$21)</f>
        <v>4</v>
      </c>
      <c r="AI7" s="491">
        <f>AVERAGE(AG7:AG21)</f>
        <v>121.92249475084914</v>
      </c>
      <c r="AJ7" s="182">
        <v>19</v>
      </c>
      <c r="AK7" s="166">
        <v>2211.9999999999986</v>
      </c>
      <c r="AL7" s="166">
        <v>116.42105263157887</v>
      </c>
      <c r="AM7" s="182">
        <f>RANK(AL7, AL$7:AL$21)</f>
        <v>4</v>
      </c>
      <c r="AN7" s="491">
        <f>AVERAGE(AL7:AL21)</f>
        <v>120.65226412528045</v>
      </c>
      <c r="AO7" s="182">
        <v>19</v>
      </c>
      <c r="AP7" s="166">
        <v>2282.5636363636345</v>
      </c>
      <c r="AQ7" s="166">
        <v>120.13492822966498</v>
      </c>
      <c r="AR7" s="182">
        <f>RANK(AQ7, AQ$7:AQ$21)</f>
        <v>4</v>
      </c>
      <c r="AS7" s="491">
        <f>AVERAGE(AQ7:AQ21)</f>
        <v>122.49580863854924</v>
      </c>
      <c r="AT7" s="182">
        <v>19</v>
      </c>
      <c r="AU7" s="166">
        <v>1999.1020408163272</v>
      </c>
      <c r="AV7" s="166">
        <v>105.21589688506985</v>
      </c>
      <c r="AW7" s="182">
        <f>RANK(AV7, AV$7:AV$21)</f>
        <v>4</v>
      </c>
      <c r="AX7" s="491">
        <f>AVERAGE(AV7:AV21)</f>
        <v>120.60409114438421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347</v>
      </c>
      <c r="E8" s="166">
        <v>18</v>
      </c>
      <c r="F8" s="166">
        <v>3000</v>
      </c>
      <c r="G8" s="166">
        <v>166.7</v>
      </c>
      <c r="H8" s="509"/>
      <c r="I8" s="166">
        <f t="shared" ref="I8:I11" si="5">AVERAGE(P8,U8,Z8,AE8,AJ8,AO8,AT8)</f>
        <v>18.857142857142858</v>
      </c>
      <c r="J8" s="166">
        <f t="shared" ref="J8:J11" si="6">AVERAGE(Q8,V8,AA8,AF8,AK8,AP8,AU8)</f>
        <v>2473.4242407838474</v>
      </c>
      <c r="K8" s="180">
        <f t="shared" ref="K8:K11" si="7">AVERAGE(R8,W8,AB8,AG8,AL8,AQ8,AV8)</f>
        <v>131.18917414795047</v>
      </c>
      <c r="L8" s="460"/>
      <c r="M8" s="181">
        <f>RANK(K8, K$7:$K$21)</f>
        <v>2</v>
      </c>
      <c r="N8" s="462"/>
      <c r="O8" s="462"/>
      <c r="P8" s="182">
        <v>19</v>
      </c>
      <c r="Q8" s="166">
        <v>2505.0000000000014</v>
      </c>
      <c r="R8" s="166">
        <v>131.84210526315798</v>
      </c>
      <c r="S8" s="182">
        <f t="shared" ref="S8:S21" si="8">RANK(R8, R$7:R$21)</f>
        <v>3</v>
      </c>
      <c r="T8" s="491"/>
      <c r="U8" s="182">
        <v>19</v>
      </c>
      <c r="V8" s="166">
        <v>2489.3076923076933</v>
      </c>
      <c r="W8" s="166">
        <v>131.01619433198385</v>
      </c>
      <c r="X8" s="182">
        <f t="shared" ref="X8:X21" si="9">RANK(W8, W$7:W$21)</f>
        <v>1</v>
      </c>
      <c r="Y8" s="491"/>
      <c r="Z8" s="182">
        <v>19</v>
      </c>
      <c r="AA8" s="166">
        <v>2518.3846153846166</v>
      </c>
      <c r="AB8" s="166">
        <v>132.5465587044535</v>
      </c>
      <c r="AC8" s="182">
        <f t="shared" ref="AC8:AC21" si="10">RANK(AB8, AB$7:AB$21)</f>
        <v>2</v>
      </c>
      <c r="AD8" s="491"/>
      <c r="AE8" s="182">
        <v>19</v>
      </c>
      <c r="AF8" s="166">
        <v>2499.2307692307704</v>
      </c>
      <c r="AG8" s="166">
        <v>131.5384615384616</v>
      </c>
      <c r="AH8" s="182">
        <f t="shared" ref="AH8:AH21" si="11">RANK(AG8, AG$7:AG$21)</f>
        <v>2</v>
      </c>
      <c r="AI8" s="491"/>
      <c r="AJ8" s="182">
        <v>19</v>
      </c>
      <c r="AK8" s="166">
        <v>2439.3103448275879</v>
      </c>
      <c r="AL8" s="166">
        <v>128.38475499092567</v>
      </c>
      <c r="AM8" s="182">
        <f t="shared" ref="AM8:AM21" si="12">RANK(AL8, AL$7:AL$21)</f>
        <v>3</v>
      </c>
      <c r="AN8" s="491"/>
      <c r="AO8" s="182">
        <v>19</v>
      </c>
      <c r="AP8" s="166">
        <v>2447.3076923076937</v>
      </c>
      <c r="AQ8" s="166">
        <v>128.8056680161944</v>
      </c>
      <c r="AR8" s="182">
        <f t="shared" ref="AR8:AR21" si="13">RANK(AQ8, AQ$7:AQ$21)</f>
        <v>3</v>
      </c>
      <c r="AS8" s="491"/>
      <c r="AT8" s="182">
        <v>18</v>
      </c>
      <c r="AU8" s="166">
        <v>2415.4285714285706</v>
      </c>
      <c r="AV8" s="166">
        <v>134.19047619047615</v>
      </c>
      <c r="AW8" s="182">
        <f t="shared" ref="AW8:AW21" si="14">RANK(AV8, AV$7:AV$21)</f>
        <v>2</v>
      </c>
      <c r="AX8" s="491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348</v>
      </c>
      <c r="E9" s="166">
        <v>18</v>
      </c>
      <c r="F9" s="166">
        <v>3000</v>
      </c>
      <c r="G9" s="166">
        <v>166.7</v>
      </c>
      <c r="H9" s="509"/>
      <c r="I9" s="166">
        <f t="shared" si="5"/>
        <v>19.142857142857142</v>
      </c>
      <c r="J9" s="166">
        <f t="shared" si="6"/>
        <v>2490.4161321443894</v>
      </c>
      <c r="K9" s="180">
        <f t="shared" si="7"/>
        <v>130.12839519830345</v>
      </c>
      <c r="L9" s="460"/>
      <c r="M9" s="181">
        <f>RANK(K9, K$7:$K$21)</f>
        <v>3</v>
      </c>
      <c r="N9" s="462"/>
      <c r="O9" s="462"/>
      <c r="P9" s="182">
        <v>19</v>
      </c>
      <c r="Q9" s="166">
        <v>2522.9508196721304</v>
      </c>
      <c r="R9" s="166">
        <v>132.7868852459016</v>
      </c>
      <c r="S9" s="182">
        <f t="shared" si="8"/>
        <v>1</v>
      </c>
      <c r="T9" s="491"/>
      <c r="U9" s="182">
        <v>20</v>
      </c>
      <c r="V9" s="166">
        <v>2516.7272727272707</v>
      </c>
      <c r="W9" s="166">
        <v>125.83636363636353</v>
      </c>
      <c r="X9" s="182">
        <f t="shared" si="9"/>
        <v>3</v>
      </c>
      <c r="Y9" s="491"/>
      <c r="Z9" s="182">
        <v>19</v>
      </c>
      <c r="AA9" s="166">
        <v>2491.6363636363617</v>
      </c>
      <c r="AB9" s="166">
        <v>131.13875598086113</v>
      </c>
      <c r="AC9" s="182">
        <f t="shared" si="10"/>
        <v>3</v>
      </c>
      <c r="AD9" s="491"/>
      <c r="AE9" s="182">
        <v>19</v>
      </c>
      <c r="AF9" s="166">
        <v>2451.6279069767438</v>
      </c>
      <c r="AG9" s="166">
        <v>129.03304773561808</v>
      </c>
      <c r="AH9" s="182">
        <f t="shared" si="11"/>
        <v>3</v>
      </c>
      <c r="AI9" s="491"/>
      <c r="AJ9" s="182">
        <v>19</v>
      </c>
      <c r="AK9" s="166">
        <v>2480.3389830508463</v>
      </c>
      <c r="AL9" s="166">
        <v>130.54415700267612</v>
      </c>
      <c r="AM9" s="182">
        <f t="shared" si="12"/>
        <v>2</v>
      </c>
      <c r="AN9" s="491"/>
      <c r="AO9" s="182">
        <v>19</v>
      </c>
      <c r="AP9" s="166">
        <v>2512.6315789473701</v>
      </c>
      <c r="AQ9" s="166">
        <v>132.24376731301948</v>
      </c>
      <c r="AR9" s="182">
        <f t="shared" si="13"/>
        <v>1</v>
      </c>
      <c r="AS9" s="491"/>
      <c r="AT9" s="182">
        <v>19</v>
      </c>
      <c r="AU9" s="166">
        <v>2457.0000000000023</v>
      </c>
      <c r="AV9" s="166">
        <v>129.31578947368433</v>
      </c>
      <c r="AW9" s="182">
        <f t="shared" si="14"/>
        <v>3</v>
      </c>
      <c r="AX9" s="491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 t="s">
        <v>349</v>
      </c>
      <c r="E10" s="166">
        <v>19</v>
      </c>
      <c r="F10" s="166">
        <v>3000</v>
      </c>
      <c r="G10" s="166">
        <v>157.9</v>
      </c>
      <c r="H10" s="509"/>
      <c r="I10" s="166">
        <f t="shared" si="5"/>
        <v>18.857142857142858</v>
      </c>
      <c r="J10" s="166">
        <f t="shared" si="6"/>
        <v>2499.1838474101692</v>
      </c>
      <c r="K10" s="180">
        <f t="shared" si="7"/>
        <v>132.55721973717201</v>
      </c>
      <c r="L10" s="460"/>
      <c r="M10" s="181">
        <f>RANK(K10, K$7:$K$21)</f>
        <v>1</v>
      </c>
      <c r="N10" s="462"/>
      <c r="O10" s="462"/>
      <c r="P10" s="182">
        <v>19</v>
      </c>
      <c r="Q10" s="166">
        <v>2521.2765957446813</v>
      </c>
      <c r="R10" s="166">
        <v>132.6987681970885</v>
      </c>
      <c r="S10" s="182">
        <f t="shared" si="8"/>
        <v>2</v>
      </c>
      <c r="T10" s="491"/>
      <c r="U10" s="182">
        <v>19</v>
      </c>
      <c r="V10" s="166">
        <v>2486.6666666666656</v>
      </c>
      <c r="W10" s="166">
        <v>130.87719298245608</v>
      </c>
      <c r="X10" s="182">
        <f t="shared" si="9"/>
        <v>2</v>
      </c>
      <c r="Y10" s="491"/>
      <c r="Z10" s="182">
        <v>19</v>
      </c>
      <c r="AA10" s="166">
        <v>2543.0769230769215</v>
      </c>
      <c r="AB10" s="166">
        <v>133.84615384615375</v>
      </c>
      <c r="AC10" s="182">
        <f t="shared" si="10"/>
        <v>1</v>
      </c>
      <c r="AD10" s="491"/>
      <c r="AE10" s="182">
        <v>19</v>
      </c>
      <c r="AF10" s="166">
        <v>2504.5714285714294</v>
      </c>
      <c r="AG10" s="166">
        <v>131.81954887218049</v>
      </c>
      <c r="AH10" s="182">
        <f t="shared" si="11"/>
        <v>1</v>
      </c>
      <c r="AI10" s="491"/>
      <c r="AJ10" s="182">
        <v>19</v>
      </c>
      <c r="AK10" s="166">
        <v>2481.7021276595751</v>
      </c>
      <c r="AL10" s="166">
        <v>130.6159014557671</v>
      </c>
      <c r="AM10" s="182">
        <f t="shared" si="12"/>
        <v>1</v>
      </c>
      <c r="AN10" s="491"/>
      <c r="AO10" s="182">
        <v>19</v>
      </c>
      <c r="AP10" s="166">
        <v>2512.1739130434785</v>
      </c>
      <c r="AQ10" s="166">
        <v>132.21967963386729</v>
      </c>
      <c r="AR10" s="182">
        <f t="shared" si="13"/>
        <v>2</v>
      </c>
      <c r="AS10" s="491"/>
      <c r="AT10" s="182">
        <v>18</v>
      </c>
      <c r="AU10" s="166">
        <v>2444.8192771084327</v>
      </c>
      <c r="AV10" s="166">
        <v>135.82329317269071</v>
      </c>
      <c r="AW10" s="182">
        <f t="shared" si="14"/>
        <v>1</v>
      </c>
      <c r="AX10" s="491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350</v>
      </c>
      <c r="E11" s="166">
        <v>20</v>
      </c>
      <c r="F11" s="166">
        <v>2250</v>
      </c>
      <c r="G11" s="166">
        <v>112.5</v>
      </c>
      <c r="H11" s="509"/>
      <c r="I11" s="166">
        <f t="shared" si="5"/>
        <v>20</v>
      </c>
      <c r="J11" s="166">
        <f t="shared" si="6"/>
        <v>1982.0783061905854</v>
      </c>
      <c r="K11" s="180">
        <f t="shared" si="7"/>
        <v>99.10391530952927</v>
      </c>
      <c r="L11" s="460"/>
      <c r="M11" s="181">
        <f>RANK(K11, K$7:$K$21)</f>
        <v>5</v>
      </c>
      <c r="N11" s="462"/>
      <c r="O11" s="462"/>
      <c r="P11" s="182">
        <v>20</v>
      </c>
      <c r="Q11" s="166">
        <v>1977.5000000000005</v>
      </c>
      <c r="R11" s="166">
        <v>98.875000000000028</v>
      </c>
      <c r="S11" s="182">
        <f t="shared" si="8"/>
        <v>5</v>
      </c>
      <c r="T11" s="491"/>
      <c r="U11" s="182">
        <v>20</v>
      </c>
      <c r="V11" s="166">
        <v>2031.2195121951213</v>
      </c>
      <c r="W11" s="166">
        <v>101.56097560975607</v>
      </c>
      <c r="X11" s="182">
        <f t="shared" si="9"/>
        <v>5</v>
      </c>
      <c r="Y11" s="491"/>
      <c r="Z11" s="182">
        <v>20</v>
      </c>
      <c r="AA11" s="166">
        <v>2001.3333333333333</v>
      </c>
      <c r="AB11" s="166">
        <v>100.06666666666666</v>
      </c>
      <c r="AC11" s="182">
        <f t="shared" si="10"/>
        <v>5</v>
      </c>
      <c r="AD11" s="491"/>
      <c r="AE11" s="182">
        <v>20</v>
      </c>
      <c r="AF11" s="166">
        <v>1967.5862068965507</v>
      </c>
      <c r="AG11" s="166">
        <v>98.37931034482753</v>
      </c>
      <c r="AH11" s="182">
        <f t="shared" si="11"/>
        <v>5</v>
      </c>
      <c r="AI11" s="491"/>
      <c r="AJ11" s="182">
        <v>20</v>
      </c>
      <c r="AK11" s="166">
        <v>1945.9090909090908</v>
      </c>
      <c r="AL11" s="166">
        <v>97.295454545454533</v>
      </c>
      <c r="AM11" s="182">
        <f t="shared" si="12"/>
        <v>5</v>
      </c>
      <c r="AN11" s="491"/>
      <c r="AO11" s="182">
        <v>20</v>
      </c>
      <c r="AP11" s="166">
        <v>1981.5000000000011</v>
      </c>
      <c r="AQ11" s="166">
        <v>99.07500000000006</v>
      </c>
      <c r="AR11" s="182">
        <f t="shared" si="13"/>
        <v>5</v>
      </c>
      <c r="AS11" s="491"/>
      <c r="AT11" s="182">
        <v>20</v>
      </c>
      <c r="AU11" s="166">
        <v>1969.5000000000009</v>
      </c>
      <c r="AV11" s="166">
        <v>98.475000000000051</v>
      </c>
      <c r="AW11" s="182">
        <f t="shared" si="14"/>
        <v>5</v>
      </c>
      <c r="AX11" s="491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/>
      <c r="E12" s="166" t="s">
        <v>244</v>
      </c>
      <c r="F12" s="166" t="s">
        <v>244</v>
      </c>
      <c r="G12" s="166" t="s">
        <v>244</v>
      </c>
      <c r="H12" s="509"/>
      <c r="I12" s="166"/>
      <c r="J12" s="166"/>
      <c r="K12" s="180"/>
      <c r="L12" s="460"/>
      <c r="M12" s="181" t="e">
        <f>RANK(K12, K$7:$K$21)</f>
        <v>#N/A</v>
      </c>
      <c r="N12" s="462"/>
      <c r="O12" s="462"/>
      <c r="P12" s="182" t="s">
        <v>244</v>
      </c>
      <c r="Q12" s="166" t="s">
        <v>244</v>
      </c>
      <c r="R12" s="166" t="s">
        <v>244</v>
      </c>
      <c r="S12" s="182" t="e">
        <f t="shared" si="8"/>
        <v>#VALUE!</v>
      </c>
      <c r="T12" s="491"/>
      <c r="U12" s="182"/>
      <c r="V12" s="166"/>
      <c r="W12" s="166"/>
      <c r="X12" s="182" t="e">
        <f t="shared" si="9"/>
        <v>#N/A</v>
      </c>
      <c r="Y12" s="491"/>
      <c r="Z12" s="182"/>
      <c r="AA12" s="166"/>
      <c r="AB12" s="166"/>
      <c r="AC12" s="182" t="e">
        <f t="shared" si="10"/>
        <v>#N/A</v>
      </c>
      <c r="AD12" s="491"/>
      <c r="AE12" s="182"/>
      <c r="AF12" s="166"/>
      <c r="AG12" s="166"/>
      <c r="AH12" s="182" t="e">
        <f t="shared" si="11"/>
        <v>#N/A</v>
      </c>
      <c r="AI12" s="491"/>
      <c r="AJ12" s="182"/>
      <c r="AK12" s="166"/>
      <c r="AL12" s="166"/>
      <c r="AM12" s="182" t="e">
        <f t="shared" si="12"/>
        <v>#N/A</v>
      </c>
      <c r="AN12" s="491"/>
      <c r="AO12" s="182"/>
      <c r="AP12" s="166"/>
      <c r="AQ12" s="166"/>
      <c r="AR12" s="182" t="e">
        <f t="shared" si="13"/>
        <v>#N/A</v>
      </c>
      <c r="AS12" s="491"/>
      <c r="AT12" s="182"/>
      <c r="AU12" s="166"/>
      <c r="AV12" s="166"/>
      <c r="AW12" s="182" t="e">
        <f t="shared" si="14"/>
        <v>#N/A</v>
      </c>
      <c r="AX12" s="491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/>
      <c r="E13" s="166" t="s">
        <v>244</v>
      </c>
      <c r="F13" s="166" t="s">
        <v>244</v>
      </c>
      <c r="G13" s="166" t="s">
        <v>244</v>
      </c>
      <c r="H13" s="509"/>
      <c r="I13" s="166"/>
      <c r="J13" s="166"/>
      <c r="K13" s="180"/>
      <c r="L13" s="460"/>
      <c r="M13" s="181" t="e">
        <f>RANK(K13, K$7:$K$21)</f>
        <v>#N/A</v>
      </c>
      <c r="N13" s="462"/>
      <c r="O13" s="462"/>
      <c r="P13" s="182" t="s">
        <v>244</v>
      </c>
      <c r="Q13" s="166" t="s">
        <v>244</v>
      </c>
      <c r="R13" s="166" t="s">
        <v>244</v>
      </c>
      <c r="S13" s="182" t="e">
        <f t="shared" si="8"/>
        <v>#VALUE!</v>
      </c>
      <c r="T13" s="491"/>
      <c r="U13" s="182"/>
      <c r="V13" s="166"/>
      <c r="W13" s="166"/>
      <c r="X13" s="182" t="e">
        <f t="shared" si="9"/>
        <v>#N/A</v>
      </c>
      <c r="Y13" s="491"/>
      <c r="Z13" s="182"/>
      <c r="AA13" s="166"/>
      <c r="AB13" s="166"/>
      <c r="AC13" s="182" t="e">
        <f t="shared" si="10"/>
        <v>#N/A</v>
      </c>
      <c r="AD13" s="491"/>
      <c r="AE13" s="182"/>
      <c r="AF13" s="166"/>
      <c r="AG13" s="166"/>
      <c r="AH13" s="182" t="e">
        <f t="shared" si="11"/>
        <v>#N/A</v>
      </c>
      <c r="AI13" s="491"/>
      <c r="AJ13" s="182"/>
      <c r="AK13" s="166"/>
      <c r="AL13" s="166"/>
      <c r="AM13" s="182" t="e">
        <f t="shared" si="12"/>
        <v>#N/A</v>
      </c>
      <c r="AN13" s="491"/>
      <c r="AO13" s="182"/>
      <c r="AP13" s="166"/>
      <c r="AQ13" s="166"/>
      <c r="AR13" s="182" t="e">
        <f t="shared" si="13"/>
        <v>#N/A</v>
      </c>
      <c r="AS13" s="491"/>
      <c r="AT13" s="182"/>
      <c r="AU13" s="166"/>
      <c r="AV13" s="166"/>
      <c r="AW13" s="182" t="e">
        <f t="shared" si="14"/>
        <v>#N/A</v>
      </c>
      <c r="AX13" s="491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/>
      <c r="E14" s="166" t="s">
        <v>244</v>
      </c>
      <c r="F14" s="166" t="s">
        <v>244</v>
      </c>
      <c r="G14" s="166" t="s">
        <v>244</v>
      </c>
      <c r="H14" s="509"/>
      <c r="I14" s="166"/>
      <c r="J14" s="166"/>
      <c r="K14" s="180"/>
      <c r="L14" s="460"/>
      <c r="M14" s="181" t="e">
        <f>RANK(K14, K$7:$K$21)</f>
        <v>#N/A</v>
      </c>
      <c r="N14" s="462"/>
      <c r="O14" s="462"/>
      <c r="P14" s="182" t="s">
        <v>244</v>
      </c>
      <c r="Q14" s="166" t="s">
        <v>244</v>
      </c>
      <c r="R14" s="166" t="s">
        <v>244</v>
      </c>
      <c r="S14" s="182" t="e">
        <f t="shared" si="8"/>
        <v>#VALUE!</v>
      </c>
      <c r="T14" s="491"/>
      <c r="U14" s="182"/>
      <c r="V14" s="166"/>
      <c r="W14" s="166"/>
      <c r="X14" s="182" t="e">
        <f t="shared" si="9"/>
        <v>#N/A</v>
      </c>
      <c r="Y14" s="491"/>
      <c r="Z14" s="182"/>
      <c r="AA14" s="166"/>
      <c r="AB14" s="166"/>
      <c r="AC14" s="182" t="e">
        <f t="shared" si="10"/>
        <v>#N/A</v>
      </c>
      <c r="AD14" s="491"/>
      <c r="AE14" s="182"/>
      <c r="AF14" s="166"/>
      <c r="AG14" s="166"/>
      <c r="AH14" s="182" t="e">
        <f t="shared" si="11"/>
        <v>#N/A</v>
      </c>
      <c r="AI14" s="491"/>
      <c r="AJ14" s="182"/>
      <c r="AK14" s="166"/>
      <c r="AL14" s="166"/>
      <c r="AM14" s="182" t="e">
        <f t="shared" si="12"/>
        <v>#N/A</v>
      </c>
      <c r="AN14" s="491"/>
      <c r="AO14" s="182"/>
      <c r="AP14" s="166"/>
      <c r="AQ14" s="166"/>
      <c r="AR14" s="182" t="e">
        <f t="shared" si="13"/>
        <v>#N/A</v>
      </c>
      <c r="AS14" s="491"/>
      <c r="AT14" s="182"/>
      <c r="AU14" s="166"/>
      <c r="AV14" s="166"/>
      <c r="AW14" s="182" t="e">
        <f t="shared" si="14"/>
        <v>#N/A</v>
      </c>
      <c r="AX14" s="491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/>
      <c r="E15" s="166" t="s">
        <v>244</v>
      </c>
      <c r="F15" s="166" t="s">
        <v>244</v>
      </c>
      <c r="G15" s="166" t="s">
        <v>244</v>
      </c>
      <c r="H15" s="509"/>
      <c r="I15" s="166"/>
      <c r="J15" s="166"/>
      <c r="K15" s="180"/>
      <c r="L15" s="460"/>
      <c r="M15" s="181" t="e">
        <f>RANK(K15, K$7:$K$21)</f>
        <v>#N/A</v>
      </c>
      <c r="N15" s="462"/>
      <c r="O15" s="462"/>
      <c r="P15" s="182" t="s">
        <v>244</v>
      </c>
      <c r="Q15" s="166" t="s">
        <v>244</v>
      </c>
      <c r="R15" s="166" t="s">
        <v>244</v>
      </c>
      <c r="S15" s="182" t="e">
        <f t="shared" si="8"/>
        <v>#VALUE!</v>
      </c>
      <c r="T15" s="491"/>
      <c r="U15" s="182"/>
      <c r="V15" s="166"/>
      <c r="W15" s="166"/>
      <c r="X15" s="182" t="e">
        <f t="shared" si="9"/>
        <v>#N/A</v>
      </c>
      <c r="Y15" s="491"/>
      <c r="Z15" s="182"/>
      <c r="AA15" s="166"/>
      <c r="AB15" s="166"/>
      <c r="AC15" s="182" t="e">
        <f t="shared" si="10"/>
        <v>#N/A</v>
      </c>
      <c r="AD15" s="491"/>
      <c r="AE15" s="182"/>
      <c r="AF15" s="166"/>
      <c r="AG15" s="166"/>
      <c r="AH15" s="182" t="e">
        <f t="shared" si="11"/>
        <v>#N/A</v>
      </c>
      <c r="AI15" s="491"/>
      <c r="AJ15" s="182"/>
      <c r="AK15" s="166"/>
      <c r="AL15" s="166"/>
      <c r="AM15" s="182" t="e">
        <f t="shared" si="12"/>
        <v>#N/A</v>
      </c>
      <c r="AN15" s="491"/>
      <c r="AO15" s="182"/>
      <c r="AP15" s="166"/>
      <c r="AQ15" s="166"/>
      <c r="AR15" s="182" t="e">
        <f t="shared" si="13"/>
        <v>#N/A</v>
      </c>
      <c r="AS15" s="491"/>
      <c r="AT15" s="182"/>
      <c r="AU15" s="166"/>
      <c r="AV15" s="166"/>
      <c r="AW15" s="182" t="e">
        <f t="shared" si="14"/>
        <v>#N/A</v>
      </c>
      <c r="AX15" s="491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509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 t="s">
        <v>244</v>
      </c>
      <c r="Q16" s="166" t="s">
        <v>244</v>
      </c>
      <c r="R16" s="166" t="s">
        <v>244</v>
      </c>
      <c r="S16" s="182" t="e">
        <f t="shared" si="8"/>
        <v>#VALUE!</v>
      </c>
      <c r="T16" s="491"/>
      <c r="U16" s="182"/>
      <c r="V16" s="166"/>
      <c r="W16" s="166"/>
      <c r="X16" s="182" t="e">
        <f t="shared" si="9"/>
        <v>#N/A</v>
      </c>
      <c r="Y16" s="491"/>
      <c r="Z16" s="182"/>
      <c r="AA16" s="166"/>
      <c r="AB16" s="166"/>
      <c r="AC16" s="182" t="e">
        <f t="shared" si="10"/>
        <v>#N/A</v>
      </c>
      <c r="AD16" s="491"/>
      <c r="AE16" s="182"/>
      <c r="AF16" s="166"/>
      <c r="AG16" s="166"/>
      <c r="AH16" s="182" t="e">
        <f t="shared" si="11"/>
        <v>#N/A</v>
      </c>
      <c r="AI16" s="491"/>
      <c r="AJ16" s="182"/>
      <c r="AK16" s="166"/>
      <c r="AL16" s="166"/>
      <c r="AM16" s="182" t="e">
        <f t="shared" si="12"/>
        <v>#N/A</v>
      </c>
      <c r="AN16" s="491"/>
      <c r="AO16" s="182"/>
      <c r="AP16" s="166"/>
      <c r="AQ16" s="166"/>
      <c r="AR16" s="182" t="e">
        <f t="shared" si="13"/>
        <v>#N/A</v>
      </c>
      <c r="AS16" s="491"/>
      <c r="AT16" s="182"/>
      <c r="AU16" s="166"/>
      <c r="AV16" s="166"/>
      <c r="AW16" s="182" t="e">
        <f t="shared" si="14"/>
        <v>#N/A</v>
      </c>
      <c r="AX16" s="491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509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 t="s">
        <v>244</v>
      </c>
      <c r="Q17" s="166" t="s">
        <v>244</v>
      </c>
      <c r="R17" s="166" t="s">
        <v>244</v>
      </c>
      <c r="S17" s="182" t="e">
        <f t="shared" si="8"/>
        <v>#VALUE!</v>
      </c>
      <c r="T17" s="491"/>
      <c r="U17" s="182"/>
      <c r="V17" s="166"/>
      <c r="W17" s="166"/>
      <c r="X17" s="182" t="e">
        <f t="shared" si="9"/>
        <v>#N/A</v>
      </c>
      <c r="Y17" s="491"/>
      <c r="Z17" s="182"/>
      <c r="AA17" s="166"/>
      <c r="AB17" s="166"/>
      <c r="AC17" s="182" t="e">
        <f t="shared" si="10"/>
        <v>#N/A</v>
      </c>
      <c r="AD17" s="491"/>
      <c r="AE17" s="182"/>
      <c r="AF17" s="166"/>
      <c r="AG17" s="166"/>
      <c r="AH17" s="182" t="e">
        <f t="shared" si="11"/>
        <v>#N/A</v>
      </c>
      <c r="AI17" s="491"/>
      <c r="AJ17" s="182"/>
      <c r="AK17" s="166"/>
      <c r="AL17" s="166"/>
      <c r="AM17" s="182" t="e">
        <f t="shared" si="12"/>
        <v>#N/A</v>
      </c>
      <c r="AN17" s="491"/>
      <c r="AO17" s="182"/>
      <c r="AP17" s="166"/>
      <c r="AQ17" s="166"/>
      <c r="AR17" s="182" t="e">
        <f t="shared" si="13"/>
        <v>#N/A</v>
      </c>
      <c r="AS17" s="491"/>
      <c r="AT17" s="182"/>
      <c r="AU17" s="166"/>
      <c r="AV17" s="166"/>
      <c r="AW17" s="182" t="e">
        <f t="shared" si="14"/>
        <v>#N/A</v>
      </c>
      <c r="AX17" s="491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509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 t="s">
        <v>244</v>
      </c>
      <c r="Q18" s="166" t="s">
        <v>244</v>
      </c>
      <c r="R18" s="166" t="s">
        <v>244</v>
      </c>
      <c r="S18" s="182" t="e">
        <f t="shared" si="8"/>
        <v>#VALUE!</v>
      </c>
      <c r="T18" s="491"/>
      <c r="U18" s="182"/>
      <c r="V18" s="166"/>
      <c r="W18" s="166"/>
      <c r="X18" s="182" t="e">
        <f t="shared" si="9"/>
        <v>#N/A</v>
      </c>
      <c r="Y18" s="491"/>
      <c r="Z18" s="182"/>
      <c r="AA18" s="166"/>
      <c r="AB18" s="166"/>
      <c r="AC18" s="182" t="e">
        <f t="shared" si="10"/>
        <v>#N/A</v>
      </c>
      <c r="AD18" s="491"/>
      <c r="AE18" s="182"/>
      <c r="AF18" s="166"/>
      <c r="AG18" s="166"/>
      <c r="AH18" s="182" t="e">
        <f t="shared" si="11"/>
        <v>#N/A</v>
      </c>
      <c r="AI18" s="491"/>
      <c r="AJ18" s="182"/>
      <c r="AK18" s="166"/>
      <c r="AL18" s="166"/>
      <c r="AM18" s="182" t="e">
        <f t="shared" si="12"/>
        <v>#N/A</v>
      </c>
      <c r="AN18" s="491"/>
      <c r="AO18" s="182"/>
      <c r="AP18" s="166"/>
      <c r="AQ18" s="166"/>
      <c r="AR18" s="182" t="e">
        <f t="shared" si="13"/>
        <v>#N/A</v>
      </c>
      <c r="AS18" s="491"/>
      <c r="AT18" s="182"/>
      <c r="AU18" s="166"/>
      <c r="AV18" s="166"/>
      <c r="AW18" s="182" t="e">
        <f t="shared" si="14"/>
        <v>#N/A</v>
      </c>
      <c r="AX18" s="491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509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 t="s">
        <v>244</v>
      </c>
      <c r="Q19" s="166" t="s">
        <v>244</v>
      </c>
      <c r="R19" s="166" t="s">
        <v>244</v>
      </c>
      <c r="S19" s="182" t="e">
        <f t="shared" si="8"/>
        <v>#VALUE!</v>
      </c>
      <c r="T19" s="491"/>
      <c r="U19" s="182"/>
      <c r="V19" s="166"/>
      <c r="W19" s="166"/>
      <c r="X19" s="182" t="e">
        <f t="shared" si="9"/>
        <v>#N/A</v>
      </c>
      <c r="Y19" s="491"/>
      <c r="Z19" s="182"/>
      <c r="AA19" s="166"/>
      <c r="AB19" s="166"/>
      <c r="AC19" s="182" t="e">
        <f t="shared" si="10"/>
        <v>#N/A</v>
      </c>
      <c r="AD19" s="491"/>
      <c r="AE19" s="182"/>
      <c r="AF19" s="166"/>
      <c r="AG19" s="166"/>
      <c r="AH19" s="182" t="e">
        <f t="shared" si="11"/>
        <v>#N/A</v>
      </c>
      <c r="AI19" s="491"/>
      <c r="AJ19" s="182"/>
      <c r="AK19" s="166"/>
      <c r="AL19" s="166"/>
      <c r="AM19" s="182" t="e">
        <f t="shared" si="12"/>
        <v>#N/A</v>
      </c>
      <c r="AN19" s="491"/>
      <c r="AO19" s="182"/>
      <c r="AP19" s="166"/>
      <c r="AQ19" s="166"/>
      <c r="AR19" s="182" t="e">
        <f t="shared" si="13"/>
        <v>#N/A</v>
      </c>
      <c r="AS19" s="491"/>
      <c r="AT19" s="182"/>
      <c r="AU19" s="166"/>
      <c r="AV19" s="166"/>
      <c r="AW19" s="182" t="e">
        <f t="shared" si="14"/>
        <v>#N/A</v>
      </c>
      <c r="AX19" s="491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509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 t="s">
        <v>244</v>
      </c>
      <c r="Q20" s="166" t="s">
        <v>244</v>
      </c>
      <c r="R20" s="166" t="s">
        <v>244</v>
      </c>
      <c r="S20" s="182" t="e">
        <f t="shared" si="8"/>
        <v>#VALUE!</v>
      </c>
      <c r="T20" s="491"/>
      <c r="U20" s="182"/>
      <c r="V20" s="166"/>
      <c r="W20" s="166"/>
      <c r="X20" s="182" t="e">
        <f t="shared" si="9"/>
        <v>#N/A</v>
      </c>
      <c r="Y20" s="491"/>
      <c r="Z20" s="182"/>
      <c r="AA20" s="166"/>
      <c r="AB20" s="166"/>
      <c r="AC20" s="182" t="e">
        <f t="shared" si="10"/>
        <v>#N/A</v>
      </c>
      <c r="AD20" s="491"/>
      <c r="AE20" s="182"/>
      <c r="AF20" s="166"/>
      <c r="AG20" s="166"/>
      <c r="AH20" s="182" t="e">
        <f t="shared" si="11"/>
        <v>#N/A</v>
      </c>
      <c r="AI20" s="491"/>
      <c r="AJ20" s="182"/>
      <c r="AK20" s="166"/>
      <c r="AL20" s="166"/>
      <c r="AM20" s="182" t="e">
        <f t="shared" si="12"/>
        <v>#N/A</v>
      </c>
      <c r="AN20" s="491"/>
      <c r="AO20" s="182"/>
      <c r="AP20" s="166"/>
      <c r="AQ20" s="166"/>
      <c r="AR20" s="182" t="e">
        <f t="shared" si="13"/>
        <v>#N/A</v>
      </c>
      <c r="AS20" s="491"/>
      <c r="AT20" s="182"/>
      <c r="AU20" s="166"/>
      <c r="AV20" s="166"/>
      <c r="AW20" s="182" t="e">
        <f t="shared" si="14"/>
        <v>#N/A</v>
      </c>
      <c r="AX20" s="491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510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 t="s">
        <v>244</v>
      </c>
      <c r="Q21" s="166" t="s">
        <v>244</v>
      </c>
      <c r="R21" s="166" t="s">
        <v>244</v>
      </c>
      <c r="S21" s="182" t="e">
        <f t="shared" si="8"/>
        <v>#VALUE!</v>
      </c>
      <c r="T21" s="491"/>
      <c r="U21" s="182"/>
      <c r="V21" s="166"/>
      <c r="W21" s="166"/>
      <c r="X21" s="182" t="e">
        <f t="shared" si="9"/>
        <v>#N/A</v>
      </c>
      <c r="Y21" s="491"/>
      <c r="Z21" s="182"/>
      <c r="AA21" s="166"/>
      <c r="AB21" s="166"/>
      <c r="AC21" s="182" t="e">
        <f t="shared" si="10"/>
        <v>#N/A</v>
      </c>
      <c r="AD21" s="491"/>
      <c r="AE21" s="182"/>
      <c r="AF21" s="166"/>
      <c r="AG21" s="166"/>
      <c r="AH21" s="182" t="e">
        <f t="shared" si="11"/>
        <v>#N/A</v>
      </c>
      <c r="AI21" s="491"/>
      <c r="AJ21" s="182"/>
      <c r="AK21" s="166"/>
      <c r="AL21" s="166"/>
      <c r="AM21" s="182" t="e">
        <f t="shared" si="12"/>
        <v>#N/A</v>
      </c>
      <c r="AN21" s="491"/>
      <c r="AO21" s="182"/>
      <c r="AP21" s="166"/>
      <c r="AQ21" s="166"/>
      <c r="AR21" s="182" t="e">
        <f t="shared" si="13"/>
        <v>#N/A</v>
      </c>
      <c r="AS21" s="491"/>
      <c r="AT21" s="182"/>
      <c r="AU21" s="166"/>
      <c r="AV21" s="166"/>
      <c r="AW21" s="182" t="e">
        <f t="shared" si="14"/>
        <v>#N/A</v>
      </c>
      <c r="AX21" s="491"/>
      <c r="AZ21" s="166" t="e">
        <f>RANK(AX21, $K$7:AX$21)</f>
        <v>#N/A</v>
      </c>
      <c r="BB21" s="182" t="e">
        <f t="shared" si="15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351</v>
      </c>
      <c r="C27" s="182">
        <v>1</v>
      </c>
      <c r="D27" s="203" t="s">
        <v>346</v>
      </c>
      <c r="E27" s="166">
        <v>20</v>
      </c>
      <c r="F27" s="182">
        <v>2400</v>
      </c>
      <c r="G27" s="180">
        <v>120</v>
      </c>
      <c r="H27" s="459">
        <f>AVERAGE(G27:G41)</f>
        <v>144.76</v>
      </c>
      <c r="I27" s="166">
        <f t="shared" ref="I27:K29" si="16">AVERAGE(P27,U27,Z27,AE27,AJ27,AO27,AT27)</f>
        <v>19.857142857142858</v>
      </c>
      <c r="J27" s="166">
        <f t="shared" si="16"/>
        <v>2134.4567798674166</v>
      </c>
      <c r="K27" s="180">
        <f t="shared" si="16"/>
        <v>107.52974261606391</v>
      </c>
      <c r="L27" s="459">
        <f>IFERROR(AVERAGE(K27:K41),"-")</f>
        <v>122.74185149722962</v>
      </c>
      <c r="M27" s="181">
        <f>RANK(K27, K$27:$K$41)</f>
        <v>4</v>
      </c>
      <c r="N27" s="462"/>
      <c r="O27" s="462"/>
      <c r="P27" s="182">
        <v>19</v>
      </c>
      <c r="Q27" s="166">
        <v>2146.3636363636365</v>
      </c>
      <c r="R27" s="166">
        <v>112.96650717703351</v>
      </c>
      <c r="S27" s="182">
        <f t="shared" ref="S27:S41" si="17">RANK(R27, R$27:R$41)</f>
        <v>4</v>
      </c>
      <c r="T27" s="459">
        <f>AVERAGE(R27:R41)</f>
        <v>124.16342937611425</v>
      </c>
      <c r="U27" s="182">
        <v>20</v>
      </c>
      <c r="V27" s="166">
        <v>2172.5000000000005</v>
      </c>
      <c r="W27" s="166">
        <v>108.62500000000003</v>
      </c>
      <c r="X27" s="182">
        <f t="shared" ref="X27:X41" si="18">RANK(W27, W$27:W$41)</f>
        <v>4</v>
      </c>
      <c r="Y27" s="459">
        <f t="shared" ref="Y27" si="19">AVERAGE(W27:W41)</f>
        <v>122.74105842229145</v>
      </c>
      <c r="Z27" s="182">
        <v>20</v>
      </c>
      <c r="AA27" s="166">
        <v>2090.0000000000009</v>
      </c>
      <c r="AB27" s="166">
        <v>104.50000000000004</v>
      </c>
      <c r="AC27" s="182">
        <f t="shared" ref="AC27:AC41" si="20">RANK(AB27, AB$27:AB$41)</f>
        <v>4</v>
      </c>
      <c r="AD27" s="459">
        <f t="shared" ref="AD27" si="21">AVERAGE(AB27:AB41)</f>
        <v>121.9225555410635</v>
      </c>
      <c r="AE27" s="182">
        <v>20</v>
      </c>
      <c r="AF27" s="166">
        <v>2147.027027027028</v>
      </c>
      <c r="AG27" s="166">
        <v>107.3513513513514</v>
      </c>
      <c r="AH27" s="182">
        <f t="shared" ref="AH27:AH41" si="22">RANK(AG27, AG$27:AG$41)</f>
        <v>4</v>
      </c>
      <c r="AI27" s="459">
        <f t="shared" ref="AI27" si="23">AVERAGE(AG27:AG41)</f>
        <v>122.89660292795796</v>
      </c>
      <c r="AJ27" s="182">
        <v>20</v>
      </c>
      <c r="AK27" s="166">
        <v>2129.538461538461</v>
      </c>
      <c r="AL27" s="166">
        <v>106.47692307692304</v>
      </c>
      <c r="AM27" s="182">
        <f t="shared" ref="AM27:AM41" si="24">RANK(AL27, AL$27:AL$41)</f>
        <v>4</v>
      </c>
      <c r="AN27" s="459">
        <f t="shared" ref="AN27" si="25">AVERAGE(AL27:AL41)</f>
        <v>122.1900326538525</v>
      </c>
      <c r="AO27" s="182">
        <v>20</v>
      </c>
      <c r="AP27" s="166">
        <v>2148.9655172413786</v>
      </c>
      <c r="AQ27" s="166">
        <v>107.44827586206893</v>
      </c>
      <c r="AR27" s="182">
        <f t="shared" ref="AR27:AR41" si="26">RANK(AQ27, AQ$27:AQ$41)</f>
        <v>4</v>
      </c>
      <c r="AS27" s="459">
        <f t="shared" ref="AS27" si="27">AVERAGE(AQ27:AQ41)</f>
        <v>122.35309328416604</v>
      </c>
      <c r="AT27" s="166">
        <v>20</v>
      </c>
      <c r="AU27" s="180">
        <v>2106.8028169014083</v>
      </c>
      <c r="AV27" s="180">
        <v>105.34014084507041</v>
      </c>
      <c r="AW27" s="182">
        <f t="shared" ref="AW27:AW41" si="28">RANK(AV27, AV$27:AV$41)</f>
        <v>4</v>
      </c>
      <c r="AX27" s="491">
        <f t="shared" ref="AX27" si="29">AVERAGE(AV27:AV41)</f>
        <v>122.92618827516173</v>
      </c>
    </row>
    <row r="28" spans="2:54">
      <c r="B28" s="479"/>
      <c r="C28" s="182">
        <v>2</v>
      </c>
      <c r="D28" s="203" t="s">
        <v>347</v>
      </c>
      <c r="E28" s="166">
        <v>18</v>
      </c>
      <c r="F28" s="182">
        <v>3000</v>
      </c>
      <c r="G28" s="180">
        <v>166.7</v>
      </c>
      <c r="H28" s="460"/>
      <c r="I28" s="166">
        <f t="shared" si="16"/>
        <v>19</v>
      </c>
      <c r="J28" s="166">
        <f t="shared" si="16"/>
        <v>2621.0503708161245</v>
      </c>
      <c r="K28" s="180">
        <f t="shared" si="16"/>
        <v>137.95001951663815</v>
      </c>
      <c r="L28" s="460"/>
      <c r="M28" s="181">
        <f>RANK(K28, K$27:$K$41)</f>
        <v>2</v>
      </c>
      <c r="N28" s="462"/>
      <c r="O28" s="462"/>
      <c r="P28" s="182">
        <v>19</v>
      </c>
      <c r="Q28" s="166">
        <v>2597.7777777777792</v>
      </c>
      <c r="R28" s="166">
        <v>136.72514619883049</v>
      </c>
      <c r="S28" s="182">
        <f t="shared" si="17"/>
        <v>2</v>
      </c>
      <c r="T28" s="460"/>
      <c r="U28" s="182">
        <v>19</v>
      </c>
      <c r="V28" s="166">
        <v>2673.1034482758641</v>
      </c>
      <c r="W28" s="166">
        <v>140.68965517241389</v>
      </c>
      <c r="X28" s="182">
        <f t="shared" si="18"/>
        <v>1</v>
      </c>
      <c r="Y28" s="460"/>
      <c r="Z28" s="182">
        <v>19</v>
      </c>
      <c r="AA28" s="166">
        <v>2554.5454545454572</v>
      </c>
      <c r="AB28" s="166">
        <v>134.44976076555039</v>
      </c>
      <c r="AC28" s="182">
        <f t="shared" si="20"/>
        <v>2</v>
      </c>
      <c r="AD28" s="460"/>
      <c r="AE28" s="182">
        <v>19</v>
      </c>
      <c r="AF28" s="166">
        <v>2667.6923076923094</v>
      </c>
      <c r="AG28" s="166">
        <v>140.40485829959525</v>
      </c>
      <c r="AH28" s="182">
        <f t="shared" si="22"/>
        <v>1</v>
      </c>
      <c r="AI28" s="460"/>
      <c r="AJ28" s="182">
        <v>19</v>
      </c>
      <c r="AK28" s="166">
        <v>2622.2222222222235</v>
      </c>
      <c r="AL28" s="166">
        <v>138.01169590643281</v>
      </c>
      <c r="AM28" s="182">
        <f t="shared" si="24"/>
        <v>2</v>
      </c>
      <c r="AN28" s="460"/>
      <c r="AO28" s="182">
        <v>19</v>
      </c>
      <c r="AP28" s="166">
        <v>2636.1290322580667</v>
      </c>
      <c r="AQ28" s="166">
        <v>138.74363327674035</v>
      </c>
      <c r="AR28" s="182">
        <f t="shared" si="26"/>
        <v>1</v>
      </c>
      <c r="AS28" s="460"/>
      <c r="AT28" s="182">
        <v>19</v>
      </c>
      <c r="AU28" s="180">
        <v>2595.8823529411729</v>
      </c>
      <c r="AV28" s="180">
        <v>136.62538699690384</v>
      </c>
      <c r="AW28" s="182">
        <f t="shared" si="28"/>
        <v>2</v>
      </c>
      <c r="AX28" s="491"/>
    </row>
    <row r="29" spans="2:54">
      <c r="B29" s="479"/>
      <c r="C29" s="182">
        <v>3</v>
      </c>
      <c r="D29" s="203" t="s">
        <v>348</v>
      </c>
      <c r="E29" s="166">
        <v>18</v>
      </c>
      <c r="F29" s="182">
        <v>3000</v>
      </c>
      <c r="G29" s="180">
        <v>166.7</v>
      </c>
      <c r="H29" s="460"/>
      <c r="I29" s="166">
        <f t="shared" si="16"/>
        <v>19</v>
      </c>
      <c r="J29" s="166">
        <f t="shared" si="16"/>
        <v>2471.3636205715179</v>
      </c>
      <c r="K29" s="180">
        <f t="shared" si="16"/>
        <v>130.0717695037641</v>
      </c>
      <c r="L29" s="460"/>
      <c r="M29" s="181">
        <f>RANK(K29, K$27:$K$41)</f>
        <v>3</v>
      </c>
      <c r="N29" s="462"/>
      <c r="O29" s="462"/>
      <c r="P29" s="182">
        <v>19</v>
      </c>
      <c r="Q29" s="166">
        <v>2497.8260869565215</v>
      </c>
      <c r="R29" s="166">
        <v>131.46453089244849</v>
      </c>
      <c r="S29" s="182">
        <f t="shared" si="17"/>
        <v>3</v>
      </c>
      <c r="T29" s="460"/>
      <c r="U29" s="182">
        <v>19</v>
      </c>
      <c r="V29" s="166">
        <v>2413.2000000000007</v>
      </c>
      <c r="W29" s="166">
        <v>127.01052631578951</v>
      </c>
      <c r="X29" s="182">
        <f t="shared" si="18"/>
        <v>3</v>
      </c>
      <c r="Y29" s="460"/>
      <c r="Z29" s="182">
        <v>19</v>
      </c>
      <c r="AA29" s="166">
        <v>2514.1176470588248</v>
      </c>
      <c r="AB29" s="166">
        <v>132.32198142414867</v>
      </c>
      <c r="AC29" s="182">
        <f t="shared" si="20"/>
        <v>3</v>
      </c>
      <c r="AD29" s="460"/>
      <c r="AE29" s="182">
        <v>19</v>
      </c>
      <c r="AF29" s="166">
        <v>2500.8510638297876</v>
      </c>
      <c r="AG29" s="166">
        <v>131.62374020156776</v>
      </c>
      <c r="AH29" s="182">
        <f t="shared" si="22"/>
        <v>3</v>
      </c>
      <c r="AI29" s="460"/>
      <c r="AJ29" s="182">
        <v>19</v>
      </c>
      <c r="AK29" s="166">
        <v>2410.4347826086955</v>
      </c>
      <c r="AL29" s="166">
        <v>126.86498855835239</v>
      </c>
      <c r="AM29" s="182">
        <f t="shared" si="24"/>
        <v>3</v>
      </c>
      <c r="AN29" s="460"/>
      <c r="AO29" s="182">
        <v>19</v>
      </c>
      <c r="AP29" s="166">
        <v>2452.7586206896535</v>
      </c>
      <c r="AQ29" s="166">
        <v>129.09255898366598</v>
      </c>
      <c r="AR29" s="182">
        <f t="shared" si="26"/>
        <v>3</v>
      </c>
      <c r="AS29" s="460"/>
      <c r="AT29" s="182">
        <v>19</v>
      </c>
      <c r="AU29" s="180">
        <v>2510.3571428571408</v>
      </c>
      <c r="AV29" s="180">
        <v>132.12406015037584</v>
      </c>
      <c r="AW29" s="182">
        <f t="shared" si="28"/>
        <v>3</v>
      </c>
      <c r="AX29" s="491"/>
    </row>
    <row r="30" spans="2:54">
      <c r="B30" s="479"/>
      <c r="C30" s="182">
        <v>4</v>
      </c>
      <c r="D30" s="203" t="s">
        <v>349</v>
      </c>
      <c r="E30" s="166">
        <v>19</v>
      </c>
      <c r="F30" s="182">
        <v>3000</v>
      </c>
      <c r="G30" s="180">
        <v>157.9</v>
      </c>
      <c r="H30" s="460"/>
      <c r="I30" s="166">
        <f t="shared" ref="I30:I31" si="30">AVERAGE(P30,U30,Z30,AE30,AJ30,AO30,AT30)</f>
        <v>19</v>
      </c>
      <c r="J30" s="166">
        <f t="shared" ref="J30:J31" si="31">AVERAGE(Q30,V30,AA30,AF30,AK30,AP30,AU30)</f>
        <v>2653.6837451332285</v>
      </c>
      <c r="K30" s="180">
        <f t="shared" ref="K30:K31" si="32">AVERAGE(R30,W30,AB30,AG30,AL30,AQ30,AV30)</f>
        <v>139.6675655333278</v>
      </c>
      <c r="L30" s="460"/>
      <c r="M30" s="181">
        <f>RANK(K30, K$27:$K$41)</f>
        <v>1</v>
      </c>
      <c r="N30" s="462"/>
      <c r="O30" s="462"/>
      <c r="P30" s="182">
        <v>19</v>
      </c>
      <c r="Q30" s="166">
        <v>2691.0447761194027</v>
      </c>
      <c r="R30" s="166">
        <v>141.63393558523171</v>
      </c>
      <c r="S30" s="182">
        <f t="shared" si="17"/>
        <v>1</v>
      </c>
      <c r="T30" s="460"/>
      <c r="U30" s="182">
        <v>19</v>
      </c>
      <c r="V30" s="166">
        <v>2646.7605633802823</v>
      </c>
      <c r="W30" s="166">
        <v>139.30318754633063</v>
      </c>
      <c r="X30" s="182">
        <f t="shared" si="18"/>
        <v>2</v>
      </c>
      <c r="Y30" s="460"/>
      <c r="Z30" s="182">
        <v>19</v>
      </c>
      <c r="AA30" s="166">
        <v>2668.3333333333339</v>
      </c>
      <c r="AB30" s="166">
        <v>140.43859649122811</v>
      </c>
      <c r="AC30" s="182">
        <f t="shared" si="20"/>
        <v>1</v>
      </c>
      <c r="AD30" s="460"/>
      <c r="AE30" s="182">
        <v>19</v>
      </c>
      <c r="AF30" s="166">
        <v>2594.5945945945955</v>
      </c>
      <c r="AG30" s="166">
        <v>136.55761024182081</v>
      </c>
      <c r="AH30" s="182">
        <f t="shared" si="22"/>
        <v>2</v>
      </c>
      <c r="AI30" s="460"/>
      <c r="AJ30" s="182">
        <v>19</v>
      </c>
      <c r="AK30" s="166">
        <v>2674.6874999999995</v>
      </c>
      <c r="AL30" s="166">
        <v>140.77302631578945</v>
      </c>
      <c r="AM30" s="182">
        <f t="shared" si="24"/>
        <v>1</v>
      </c>
      <c r="AN30" s="460"/>
      <c r="AO30" s="182">
        <v>19</v>
      </c>
      <c r="AP30" s="166">
        <v>2624.6511627906975</v>
      </c>
      <c r="AQ30" s="166">
        <v>138.13953488372093</v>
      </c>
      <c r="AR30" s="182">
        <f t="shared" si="26"/>
        <v>2</v>
      </c>
      <c r="AS30" s="460"/>
      <c r="AT30" s="182">
        <v>19</v>
      </c>
      <c r="AU30" s="180">
        <v>2675.7142857142849</v>
      </c>
      <c r="AV30" s="180">
        <v>140.82706766917289</v>
      </c>
      <c r="AW30" s="182">
        <f t="shared" si="28"/>
        <v>1</v>
      </c>
      <c r="AX30" s="491"/>
    </row>
    <row r="31" spans="2:54">
      <c r="B31" s="479"/>
      <c r="C31" s="182">
        <v>5</v>
      </c>
      <c r="D31" s="203" t="s">
        <v>350</v>
      </c>
      <c r="E31" s="166">
        <v>20</v>
      </c>
      <c r="F31" s="182">
        <v>2250</v>
      </c>
      <c r="G31" s="180">
        <v>112.5</v>
      </c>
      <c r="H31" s="460"/>
      <c r="I31" s="166">
        <f t="shared" si="30"/>
        <v>20</v>
      </c>
      <c r="J31" s="166">
        <f t="shared" si="31"/>
        <v>1969.8032063270841</v>
      </c>
      <c r="K31" s="180">
        <f t="shared" si="32"/>
        <v>98.490160316354192</v>
      </c>
      <c r="L31" s="460"/>
      <c r="M31" s="181">
        <f>RANK(K31, K$27:$K$41)</f>
        <v>5</v>
      </c>
      <c r="N31" s="462"/>
      <c r="O31" s="462"/>
      <c r="P31" s="182">
        <v>20</v>
      </c>
      <c r="Q31" s="166">
        <v>1960.5405405405415</v>
      </c>
      <c r="R31" s="166">
        <v>98.027027027027074</v>
      </c>
      <c r="S31" s="182">
        <f t="shared" si="17"/>
        <v>5</v>
      </c>
      <c r="T31" s="460"/>
      <c r="U31" s="182">
        <v>20</v>
      </c>
      <c r="V31" s="166">
        <v>1961.5384615384623</v>
      </c>
      <c r="W31" s="166">
        <v>98.076923076923123</v>
      </c>
      <c r="X31" s="182">
        <f t="shared" si="18"/>
        <v>5</v>
      </c>
      <c r="Y31" s="460"/>
      <c r="Z31" s="182">
        <v>20</v>
      </c>
      <c r="AA31" s="166">
        <v>1958.0487804878044</v>
      </c>
      <c r="AB31" s="166">
        <v>97.902439024390219</v>
      </c>
      <c r="AC31" s="182">
        <f t="shared" si="20"/>
        <v>5</v>
      </c>
      <c r="AD31" s="460"/>
      <c r="AE31" s="182">
        <v>20</v>
      </c>
      <c r="AF31" s="166">
        <v>1970.909090909091</v>
      </c>
      <c r="AG31" s="166">
        <v>98.545454545454547</v>
      </c>
      <c r="AH31" s="182">
        <f t="shared" si="22"/>
        <v>5</v>
      </c>
      <c r="AI31" s="460"/>
      <c r="AJ31" s="182">
        <v>20</v>
      </c>
      <c r="AK31" s="166">
        <v>1976.4705882352939</v>
      </c>
      <c r="AL31" s="166">
        <v>98.823529411764696</v>
      </c>
      <c r="AM31" s="182">
        <f t="shared" si="24"/>
        <v>5</v>
      </c>
      <c r="AN31" s="460"/>
      <c r="AO31" s="182">
        <v>20</v>
      </c>
      <c r="AP31" s="166">
        <v>1966.8292682926822</v>
      </c>
      <c r="AQ31" s="166">
        <v>98.341463414634106</v>
      </c>
      <c r="AR31" s="182">
        <f t="shared" si="26"/>
        <v>5</v>
      </c>
      <c r="AS31" s="460"/>
      <c r="AT31" s="182">
        <v>20</v>
      </c>
      <c r="AU31" s="180">
        <v>1994.2857142857135</v>
      </c>
      <c r="AV31" s="180">
        <v>99.71428571428568</v>
      </c>
      <c r="AW31" s="182">
        <f t="shared" si="28"/>
        <v>5</v>
      </c>
      <c r="AX31" s="491"/>
    </row>
    <row r="32" spans="2:54">
      <c r="B32" s="479"/>
      <c r="C32" s="182">
        <v>6</v>
      </c>
      <c r="D32" s="203"/>
      <c r="E32" s="166"/>
      <c r="F32" s="182"/>
      <c r="G32" s="180"/>
      <c r="H32" s="460"/>
      <c r="I32" s="166"/>
      <c r="J32" s="166"/>
      <c r="K32" s="180"/>
      <c r="L32" s="460"/>
      <c r="M32" s="181" t="e">
        <f>RANK(K32, K$27:$K$41)</f>
        <v>#N/A</v>
      </c>
      <c r="N32" s="462"/>
      <c r="O32" s="462"/>
      <c r="P32" s="182"/>
      <c r="Q32" s="166"/>
      <c r="R32" s="166"/>
      <c r="S32" s="182" t="e">
        <f t="shared" si="17"/>
        <v>#N/A</v>
      </c>
      <c r="T32" s="460"/>
      <c r="U32" s="182"/>
      <c r="V32" s="166"/>
      <c r="W32" s="166"/>
      <c r="X32" s="182" t="e">
        <f t="shared" si="18"/>
        <v>#N/A</v>
      </c>
      <c r="Y32" s="460"/>
      <c r="Z32" s="182"/>
      <c r="AA32" s="166"/>
      <c r="AB32" s="166"/>
      <c r="AC32" s="182" t="e">
        <f t="shared" si="20"/>
        <v>#N/A</v>
      </c>
      <c r="AD32" s="460"/>
      <c r="AE32" s="182"/>
      <c r="AF32" s="166"/>
      <c r="AG32" s="166"/>
      <c r="AH32" s="182" t="e">
        <f t="shared" si="22"/>
        <v>#N/A</v>
      </c>
      <c r="AI32" s="460"/>
      <c r="AJ32" s="182"/>
      <c r="AK32" s="166"/>
      <c r="AL32" s="166"/>
      <c r="AM32" s="182" t="e">
        <f t="shared" si="24"/>
        <v>#N/A</v>
      </c>
      <c r="AN32" s="460"/>
      <c r="AO32" s="182"/>
      <c r="AP32" s="166"/>
      <c r="AQ32" s="166"/>
      <c r="AR32" s="182" t="e">
        <f t="shared" si="26"/>
        <v>#N/A</v>
      </c>
      <c r="AS32" s="460"/>
      <c r="AT32" s="182"/>
      <c r="AU32" s="180"/>
      <c r="AV32" s="180"/>
      <c r="AW32" s="182" t="e">
        <f t="shared" si="28"/>
        <v>#N/A</v>
      </c>
      <c r="AX32" s="491"/>
    </row>
    <row r="33" spans="2:50">
      <c r="B33" s="479"/>
      <c r="C33" s="182">
        <v>7</v>
      </c>
      <c r="D33" s="203"/>
      <c r="E33" s="166"/>
      <c r="F33" s="182"/>
      <c r="G33" s="180"/>
      <c r="H33" s="460"/>
      <c r="I33" s="166"/>
      <c r="J33" s="166"/>
      <c r="K33" s="180"/>
      <c r="L33" s="460"/>
      <c r="M33" s="181" t="e">
        <f>RANK(K33, K$27:$K$41)</f>
        <v>#N/A</v>
      </c>
      <c r="N33" s="462"/>
      <c r="O33" s="462"/>
      <c r="P33" s="182"/>
      <c r="Q33" s="166"/>
      <c r="R33" s="166"/>
      <c r="S33" s="182" t="e">
        <f t="shared" si="17"/>
        <v>#N/A</v>
      </c>
      <c r="T33" s="460"/>
      <c r="U33" s="182"/>
      <c r="V33" s="166"/>
      <c r="W33" s="166"/>
      <c r="X33" s="182" t="e">
        <f t="shared" si="18"/>
        <v>#N/A</v>
      </c>
      <c r="Y33" s="460"/>
      <c r="Z33" s="182"/>
      <c r="AA33" s="166"/>
      <c r="AB33" s="166"/>
      <c r="AC33" s="182" t="e">
        <f t="shared" si="20"/>
        <v>#N/A</v>
      </c>
      <c r="AD33" s="460"/>
      <c r="AE33" s="182"/>
      <c r="AF33" s="166"/>
      <c r="AG33" s="166"/>
      <c r="AH33" s="182" t="e">
        <f t="shared" si="22"/>
        <v>#N/A</v>
      </c>
      <c r="AI33" s="460"/>
      <c r="AJ33" s="182"/>
      <c r="AK33" s="166"/>
      <c r="AL33" s="166"/>
      <c r="AM33" s="182" t="e">
        <f t="shared" si="24"/>
        <v>#N/A</v>
      </c>
      <c r="AN33" s="460"/>
      <c r="AO33" s="182"/>
      <c r="AP33" s="166"/>
      <c r="AQ33" s="166"/>
      <c r="AR33" s="182" t="e">
        <f t="shared" si="26"/>
        <v>#N/A</v>
      </c>
      <c r="AS33" s="460"/>
      <c r="AT33" s="182"/>
      <c r="AU33" s="180"/>
      <c r="AV33" s="180"/>
      <c r="AW33" s="182" t="e">
        <f t="shared" si="28"/>
        <v>#N/A</v>
      </c>
      <c r="AX33" s="491"/>
    </row>
    <row r="34" spans="2:50">
      <c r="B34" s="479"/>
      <c r="C34" s="182">
        <v>8</v>
      </c>
      <c r="D34" s="203"/>
      <c r="E34" s="166"/>
      <c r="F34" s="182"/>
      <c r="G34" s="180"/>
      <c r="H34" s="460"/>
      <c r="I34" s="166"/>
      <c r="J34" s="166"/>
      <c r="K34" s="180"/>
      <c r="L34" s="460"/>
      <c r="M34" s="181" t="e">
        <f>RANK(K34, K$27:$K$41)</f>
        <v>#N/A</v>
      </c>
      <c r="N34" s="462"/>
      <c r="O34" s="462"/>
      <c r="P34" s="182"/>
      <c r="Q34" s="166"/>
      <c r="R34" s="166"/>
      <c r="S34" s="182" t="e">
        <f t="shared" si="17"/>
        <v>#N/A</v>
      </c>
      <c r="T34" s="460"/>
      <c r="U34" s="182"/>
      <c r="V34" s="166"/>
      <c r="W34" s="166"/>
      <c r="X34" s="182" t="e">
        <f t="shared" si="18"/>
        <v>#N/A</v>
      </c>
      <c r="Y34" s="460"/>
      <c r="Z34" s="182"/>
      <c r="AA34" s="166"/>
      <c r="AB34" s="166"/>
      <c r="AC34" s="182" t="e">
        <f t="shared" si="20"/>
        <v>#N/A</v>
      </c>
      <c r="AD34" s="460"/>
      <c r="AE34" s="182"/>
      <c r="AF34" s="166"/>
      <c r="AG34" s="166"/>
      <c r="AH34" s="182" t="e">
        <f t="shared" si="22"/>
        <v>#N/A</v>
      </c>
      <c r="AI34" s="460"/>
      <c r="AJ34" s="182"/>
      <c r="AK34" s="166"/>
      <c r="AL34" s="166"/>
      <c r="AM34" s="182" t="e">
        <f t="shared" si="24"/>
        <v>#N/A</v>
      </c>
      <c r="AN34" s="460"/>
      <c r="AO34" s="182"/>
      <c r="AP34" s="166"/>
      <c r="AQ34" s="166"/>
      <c r="AR34" s="182" t="e">
        <f t="shared" si="26"/>
        <v>#N/A</v>
      </c>
      <c r="AS34" s="460"/>
      <c r="AT34" s="182"/>
      <c r="AU34" s="180"/>
      <c r="AV34" s="180"/>
      <c r="AW34" s="182" t="e">
        <f t="shared" si="28"/>
        <v>#N/A</v>
      </c>
      <c r="AX34" s="491"/>
    </row>
    <row r="35" spans="2:50">
      <c r="B35" s="479"/>
      <c r="C35" s="182">
        <v>9</v>
      </c>
      <c r="D35" s="203"/>
      <c r="E35" s="166"/>
      <c r="F35" s="182"/>
      <c r="G35" s="180"/>
      <c r="H35" s="460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66"/>
      <c r="R35" s="166"/>
      <c r="S35" s="182" t="e">
        <f t="shared" si="17"/>
        <v>#N/A</v>
      </c>
      <c r="T35" s="460"/>
      <c r="U35" s="182"/>
      <c r="V35" s="166"/>
      <c r="W35" s="166"/>
      <c r="X35" s="182" t="e">
        <f t="shared" si="18"/>
        <v>#N/A</v>
      </c>
      <c r="Y35" s="460"/>
      <c r="Z35" s="182"/>
      <c r="AA35" s="166"/>
      <c r="AB35" s="166"/>
      <c r="AC35" s="182" t="e">
        <f t="shared" si="20"/>
        <v>#N/A</v>
      </c>
      <c r="AD35" s="460"/>
      <c r="AE35" s="182"/>
      <c r="AF35" s="166"/>
      <c r="AG35" s="166"/>
      <c r="AH35" s="182" t="e">
        <f t="shared" si="22"/>
        <v>#N/A</v>
      </c>
      <c r="AI35" s="460"/>
      <c r="AJ35" s="182"/>
      <c r="AK35" s="166"/>
      <c r="AL35" s="166"/>
      <c r="AM35" s="182" t="e">
        <f t="shared" si="24"/>
        <v>#N/A</v>
      </c>
      <c r="AN35" s="460"/>
      <c r="AO35" s="182"/>
      <c r="AP35" s="166"/>
      <c r="AQ35" s="166"/>
      <c r="AR35" s="182" t="e">
        <f t="shared" si="26"/>
        <v>#N/A</v>
      </c>
      <c r="AS35" s="460"/>
      <c r="AT35" s="182"/>
      <c r="AU35" s="180"/>
      <c r="AV35" s="180"/>
      <c r="AW35" s="182" t="e">
        <f t="shared" si="28"/>
        <v>#N/A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66"/>
      <c r="R36" s="166"/>
      <c r="S36" s="182" t="e">
        <f t="shared" si="17"/>
        <v>#N/A</v>
      </c>
      <c r="T36" s="460"/>
      <c r="U36" s="182"/>
      <c r="V36" s="166"/>
      <c r="W36" s="166"/>
      <c r="X36" s="182" t="e">
        <f t="shared" si="18"/>
        <v>#N/A</v>
      </c>
      <c r="Y36" s="460"/>
      <c r="Z36" s="182"/>
      <c r="AA36" s="166"/>
      <c r="AB36" s="166"/>
      <c r="AC36" s="182" t="e">
        <f t="shared" si="20"/>
        <v>#N/A</v>
      </c>
      <c r="AD36" s="460"/>
      <c r="AE36" s="182"/>
      <c r="AF36" s="166"/>
      <c r="AG36" s="166"/>
      <c r="AH36" s="182" t="e">
        <f t="shared" si="22"/>
        <v>#N/A</v>
      </c>
      <c r="AI36" s="460"/>
      <c r="AJ36" s="182"/>
      <c r="AK36" s="166"/>
      <c r="AL36" s="166"/>
      <c r="AM36" s="182" t="e">
        <f t="shared" si="24"/>
        <v>#N/A</v>
      </c>
      <c r="AN36" s="460"/>
      <c r="AO36" s="182"/>
      <c r="AP36" s="166"/>
      <c r="AQ36" s="166"/>
      <c r="AR36" s="182" t="e">
        <f t="shared" si="26"/>
        <v>#N/A</v>
      </c>
      <c r="AS36" s="460"/>
      <c r="AT36" s="182"/>
      <c r="AU36" s="182"/>
      <c r="AV36" s="180"/>
      <c r="AW36" s="182" t="e">
        <f t="shared" si="28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82"/>
      <c r="J37" s="182"/>
      <c r="K37" s="182"/>
      <c r="L37" s="460"/>
      <c r="M37" s="181" t="e">
        <f>RANK(K37, K$27:$K$41)</f>
        <v>#N/A</v>
      </c>
      <c r="N37" s="462"/>
      <c r="O37" s="462"/>
      <c r="P37" s="182"/>
      <c r="Q37" s="166"/>
      <c r="R37" s="166"/>
      <c r="S37" s="182" t="e">
        <f t="shared" si="17"/>
        <v>#N/A</v>
      </c>
      <c r="T37" s="460"/>
      <c r="U37" s="182"/>
      <c r="V37" s="166"/>
      <c r="W37" s="166"/>
      <c r="X37" s="182" t="e">
        <f t="shared" si="18"/>
        <v>#N/A</v>
      </c>
      <c r="Y37" s="460"/>
      <c r="Z37" s="182"/>
      <c r="AA37" s="166"/>
      <c r="AB37" s="166"/>
      <c r="AC37" s="182" t="e">
        <f t="shared" si="20"/>
        <v>#N/A</v>
      </c>
      <c r="AD37" s="460"/>
      <c r="AE37" s="182"/>
      <c r="AF37" s="166"/>
      <c r="AG37" s="166"/>
      <c r="AH37" s="182" t="e">
        <f t="shared" si="22"/>
        <v>#N/A</v>
      </c>
      <c r="AI37" s="460"/>
      <c r="AJ37" s="182"/>
      <c r="AK37" s="166"/>
      <c r="AL37" s="166"/>
      <c r="AM37" s="182" t="e">
        <f t="shared" si="24"/>
        <v>#N/A</v>
      </c>
      <c r="AN37" s="460"/>
      <c r="AO37" s="182"/>
      <c r="AP37" s="166"/>
      <c r="AQ37" s="166"/>
      <c r="AR37" s="182" t="e">
        <f t="shared" si="26"/>
        <v>#N/A</v>
      </c>
      <c r="AS37" s="460"/>
      <c r="AT37" s="182"/>
      <c r="AU37" s="182"/>
      <c r="AV37" s="182"/>
      <c r="AW37" s="182" t="e">
        <f t="shared" si="28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82"/>
      <c r="J38" s="182"/>
      <c r="K38" s="182"/>
      <c r="L38" s="460"/>
      <c r="M38" s="181" t="e">
        <f>RANK(K38, K$27:$K$41)</f>
        <v>#N/A</v>
      </c>
      <c r="N38" s="462"/>
      <c r="O38" s="462"/>
      <c r="P38" s="182"/>
      <c r="Q38" s="166"/>
      <c r="R38" s="166"/>
      <c r="S38" s="182" t="e">
        <f t="shared" si="17"/>
        <v>#N/A</v>
      </c>
      <c r="T38" s="460"/>
      <c r="U38" s="182"/>
      <c r="V38" s="166"/>
      <c r="W38" s="166"/>
      <c r="X38" s="182" t="e">
        <f t="shared" si="18"/>
        <v>#N/A</v>
      </c>
      <c r="Y38" s="460"/>
      <c r="Z38" s="182"/>
      <c r="AA38" s="166"/>
      <c r="AB38" s="166"/>
      <c r="AC38" s="182" t="e">
        <f t="shared" si="20"/>
        <v>#N/A</v>
      </c>
      <c r="AD38" s="460"/>
      <c r="AE38" s="182"/>
      <c r="AF38" s="166"/>
      <c r="AG38" s="166"/>
      <c r="AH38" s="182" t="e">
        <f t="shared" si="22"/>
        <v>#N/A</v>
      </c>
      <c r="AI38" s="460"/>
      <c r="AJ38" s="182"/>
      <c r="AK38" s="166"/>
      <c r="AL38" s="166"/>
      <c r="AM38" s="182" t="e">
        <f t="shared" si="24"/>
        <v>#N/A</v>
      </c>
      <c r="AN38" s="460"/>
      <c r="AO38" s="182"/>
      <c r="AP38" s="166"/>
      <c r="AQ38" s="166"/>
      <c r="AR38" s="182" t="e">
        <f t="shared" si="26"/>
        <v>#N/A</v>
      </c>
      <c r="AS38" s="460"/>
      <c r="AT38" s="182"/>
      <c r="AU38" s="182"/>
      <c r="AV38" s="182"/>
      <c r="AW38" s="182" t="e">
        <f t="shared" si="28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17"/>
        <v>#N/A</v>
      </c>
      <c r="T39" s="460"/>
      <c r="U39" s="182"/>
      <c r="V39" s="166"/>
      <c r="W39" s="166"/>
      <c r="X39" s="182" t="e">
        <f t="shared" si="18"/>
        <v>#N/A</v>
      </c>
      <c r="Y39" s="460"/>
      <c r="Z39" s="182"/>
      <c r="AA39" s="166"/>
      <c r="AB39" s="166"/>
      <c r="AC39" s="182" t="e">
        <f t="shared" si="20"/>
        <v>#N/A</v>
      </c>
      <c r="AD39" s="460"/>
      <c r="AE39" s="182"/>
      <c r="AF39" s="166"/>
      <c r="AG39" s="166"/>
      <c r="AH39" s="182" t="e">
        <f t="shared" si="22"/>
        <v>#N/A</v>
      </c>
      <c r="AI39" s="460"/>
      <c r="AJ39" s="182"/>
      <c r="AK39" s="166"/>
      <c r="AL39" s="166"/>
      <c r="AM39" s="182" t="e">
        <f t="shared" si="24"/>
        <v>#N/A</v>
      </c>
      <c r="AN39" s="460"/>
      <c r="AO39" s="182"/>
      <c r="AP39" s="166"/>
      <c r="AQ39" s="166"/>
      <c r="AR39" s="182" t="e">
        <f t="shared" si="26"/>
        <v>#N/A</v>
      </c>
      <c r="AS39" s="460"/>
      <c r="AT39" s="182"/>
      <c r="AU39" s="182"/>
      <c r="AV39" s="182"/>
      <c r="AW39" s="182" t="e">
        <f t="shared" si="28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17"/>
        <v>#N/A</v>
      </c>
      <c r="T40" s="460"/>
      <c r="U40" s="182"/>
      <c r="V40" s="166"/>
      <c r="W40" s="166"/>
      <c r="X40" s="182" t="e">
        <f t="shared" si="18"/>
        <v>#N/A</v>
      </c>
      <c r="Y40" s="460"/>
      <c r="Z40" s="182"/>
      <c r="AA40" s="166"/>
      <c r="AB40" s="166"/>
      <c r="AC40" s="182" t="e">
        <f t="shared" si="20"/>
        <v>#N/A</v>
      </c>
      <c r="AD40" s="460"/>
      <c r="AE40" s="182"/>
      <c r="AF40" s="166"/>
      <c r="AG40" s="166"/>
      <c r="AH40" s="182" t="e">
        <f t="shared" si="22"/>
        <v>#N/A</v>
      </c>
      <c r="AI40" s="460"/>
      <c r="AJ40" s="182"/>
      <c r="AK40" s="166"/>
      <c r="AL40" s="166"/>
      <c r="AM40" s="182" t="e">
        <f t="shared" si="24"/>
        <v>#N/A</v>
      </c>
      <c r="AN40" s="460"/>
      <c r="AO40" s="182"/>
      <c r="AP40" s="166"/>
      <c r="AQ40" s="166"/>
      <c r="AR40" s="182" t="e">
        <f t="shared" si="26"/>
        <v>#N/A</v>
      </c>
      <c r="AS40" s="460"/>
      <c r="AT40" s="182"/>
      <c r="AU40" s="182"/>
      <c r="AV40" s="182"/>
      <c r="AW40" s="182" t="e">
        <f t="shared" si="28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17"/>
        <v>#N/A</v>
      </c>
      <c r="T41" s="461"/>
      <c r="U41" s="182"/>
      <c r="V41" s="166"/>
      <c r="W41" s="166"/>
      <c r="X41" s="182" t="e">
        <f t="shared" si="18"/>
        <v>#N/A</v>
      </c>
      <c r="Y41" s="461"/>
      <c r="Z41" s="182"/>
      <c r="AA41" s="166"/>
      <c r="AB41" s="166"/>
      <c r="AC41" s="182" t="e">
        <f t="shared" si="20"/>
        <v>#N/A</v>
      </c>
      <c r="AD41" s="461"/>
      <c r="AE41" s="182"/>
      <c r="AF41" s="166"/>
      <c r="AG41" s="166"/>
      <c r="AH41" s="182" t="e">
        <f t="shared" si="22"/>
        <v>#N/A</v>
      </c>
      <c r="AI41" s="461"/>
      <c r="AJ41" s="182"/>
      <c r="AK41" s="166"/>
      <c r="AL41" s="166"/>
      <c r="AM41" s="182" t="e">
        <f t="shared" si="24"/>
        <v>#N/A</v>
      </c>
      <c r="AN41" s="461"/>
      <c r="AO41" s="182"/>
      <c r="AP41" s="166"/>
      <c r="AQ41" s="166"/>
      <c r="AR41" s="182" t="e">
        <f t="shared" si="26"/>
        <v>#N/A</v>
      </c>
      <c r="AS41" s="461"/>
      <c r="AT41" s="182"/>
      <c r="AU41" s="182"/>
      <c r="AV41" s="182"/>
      <c r="AW41" s="182" t="e">
        <f t="shared" si="28"/>
        <v>#N/A</v>
      </c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351</v>
      </c>
      <c r="C47" s="182">
        <v>1</v>
      </c>
      <c r="D47" s="203" t="s">
        <v>346</v>
      </c>
      <c r="E47" s="166">
        <v>20</v>
      </c>
      <c r="F47" s="182">
        <v>2400</v>
      </c>
      <c r="G47" s="180">
        <v>120</v>
      </c>
      <c r="H47" s="459">
        <f>AVERAGE(G47:G61)</f>
        <v>144.76</v>
      </c>
      <c r="I47" s="166">
        <f t="shared" ref="I47:K50" si="33">AVERAGE(P47,U47,Z47,AE47,AJ47,AO47,AT47)</f>
        <v>19</v>
      </c>
      <c r="J47" s="166">
        <f t="shared" si="33"/>
        <v>2033.8437724479593</v>
      </c>
      <c r="K47" s="180">
        <f t="shared" si="33"/>
        <v>107.04440907620838</v>
      </c>
      <c r="L47" s="459">
        <f>IFERROR(AVERAGE(K47:K61),"-")</f>
        <v>122.65858568790588</v>
      </c>
      <c r="M47" s="181">
        <f>RANK(K47, K$47:$K$61)</f>
        <v>4</v>
      </c>
      <c r="N47" s="462"/>
      <c r="O47" s="462"/>
      <c r="P47" s="182">
        <v>19</v>
      </c>
      <c r="Q47" s="166">
        <v>2030.736842105262</v>
      </c>
      <c r="R47" s="166">
        <v>106.88088642659274</v>
      </c>
      <c r="S47" s="182">
        <f t="shared" ref="S47:S51" si="34">RANK(R47, R$47:R$61)</f>
        <v>4</v>
      </c>
      <c r="T47" s="491">
        <f>AVERAGE(R47:R61)</f>
        <v>122.41974935893089</v>
      </c>
      <c r="U47" s="182">
        <v>19</v>
      </c>
      <c r="V47" s="166">
        <v>2037.3888888888903</v>
      </c>
      <c r="W47" s="166">
        <v>107.23099415204686</v>
      </c>
      <c r="X47" s="182">
        <f t="shared" ref="X47:X51" si="35">RANK(W47, W$47:W$61)</f>
        <v>4</v>
      </c>
      <c r="Y47" s="491">
        <f>AVERAGE(W47:W61)</f>
        <v>123.38858814848211</v>
      </c>
      <c r="Z47" s="182">
        <v>19</v>
      </c>
      <c r="AA47" s="166">
        <v>2072.1509433962278</v>
      </c>
      <c r="AB47" s="166">
        <v>109.06057596822252</v>
      </c>
      <c r="AC47" s="182">
        <f t="shared" ref="AC47:AC51" si="36">RANK(AB47, AB$47:AB$61)</f>
        <v>4</v>
      </c>
      <c r="AD47" s="491">
        <f>AVERAGE(AB47:AB61)</f>
        <v>122.55924966966275</v>
      </c>
      <c r="AE47" s="182">
        <v>19</v>
      </c>
      <c r="AF47" s="166">
        <v>1984.7454545454532</v>
      </c>
      <c r="AG47" s="166">
        <v>104.46028708133964</v>
      </c>
      <c r="AH47" s="182">
        <f t="shared" ref="AH47:AH51" si="37">RANK(AG47, AG$47:AG$61)</f>
        <v>4</v>
      </c>
      <c r="AI47" s="491">
        <f>AVERAGE(AG47:AG61)</f>
        <v>123.65864335516524</v>
      </c>
      <c r="AJ47" s="182">
        <v>19</v>
      </c>
      <c r="AK47" s="166">
        <v>2048.1724137931024</v>
      </c>
      <c r="AL47" s="166">
        <v>107.79854809437381</v>
      </c>
      <c r="AM47" s="182">
        <f t="shared" ref="AM47:AM51" si="38">RANK(AL47, AL$47:AL$61)</f>
        <v>4</v>
      </c>
      <c r="AN47" s="491">
        <f>AVERAGE(AL47:AL61)</f>
        <v>123.70451154707375</v>
      </c>
      <c r="AO47" s="182">
        <v>19</v>
      </c>
      <c r="AP47" s="166">
        <v>2040.9999999999995</v>
      </c>
      <c r="AQ47" s="166">
        <v>107.42105263157892</v>
      </c>
      <c r="AR47" s="182">
        <f t="shared" ref="AR47:AR51" si="39">RANK(AQ47, AQ$47:AQ$61)</f>
        <v>4</v>
      </c>
      <c r="AS47" s="491">
        <f>AVERAGE(AQ47:AQ61)</f>
        <v>124.22854639961625</v>
      </c>
      <c r="AT47" s="182">
        <v>19</v>
      </c>
      <c r="AU47" s="166">
        <v>2022.7118644067789</v>
      </c>
      <c r="AV47" s="166">
        <v>106.45851917930415</v>
      </c>
      <c r="AW47" s="182">
        <f t="shared" ref="AW47:AW51" si="40">RANK(AV47, AV$47:AV$61)</f>
        <v>4</v>
      </c>
      <c r="AX47" s="491">
        <f>AVERAGE(AV47:AV61)</f>
        <v>118.65081133641027</v>
      </c>
    </row>
    <row r="48" spans="2:50">
      <c r="B48" s="479"/>
      <c r="C48" s="182">
        <v>2</v>
      </c>
      <c r="D48" s="203" t="s">
        <v>347</v>
      </c>
      <c r="E48" s="166">
        <v>18</v>
      </c>
      <c r="F48" s="182">
        <v>3000</v>
      </c>
      <c r="G48" s="180">
        <v>166.7</v>
      </c>
      <c r="H48" s="460"/>
      <c r="I48" s="166">
        <f t="shared" si="33"/>
        <v>18</v>
      </c>
      <c r="J48" s="166">
        <f t="shared" si="33"/>
        <v>2480.2999858836815</v>
      </c>
      <c r="K48" s="180">
        <f t="shared" si="33"/>
        <v>137.79444366020454</v>
      </c>
      <c r="L48" s="460"/>
      <c r="M48" s="181">
        <f>RANK(K48, K$47:$K$61)</f>
        <v>2</v>
      </c>
      <c r="N48" s="462"/>
      <c r="O48" s="462"/>
      <c r="P48" s="182">
        <v>18</v>
      </c>
      <c r="Q48" s="166">
        <v>2462.0869565217395</v>
      </c>
      <c r="R48" s="166">
        <v>136.78260869565219</v>
      </c>
      <c r="S48" s="182">
        <f t="shared" si="34"/>
        <v>2</v>
      </c>
      <c r="T48" s="491"/>
      <c r="U48" s="182">
        <v>18</v>
      </c>
      <c r="V48" s="166">
        <v>2439.2727272727275</v>
      </c>
      <c r="W48" s="166">
        <v>135.51515151515153</v>
      </c>
      <c r="X48" s="182">
        <f t="shared" si="35"/>
        <v>3</v>
      </c>
      <c r="Y48" s="491"/>
      <c r="Z48" s="182">
        <v>18</v>
      </c>
      <c r="AA48" s="166">
        <v>2482.4347826086955</v>
      </c>
      <c r="AB48" s="166">
        <v>137.91304347826087</v>
      </c>
      <c r="AC48" s="182">
        <f t="shared" si="36"/>
        <v>2</v>
      </c>
      <c r="AD48" s="491"/>
      <c r="AE48" s="182">
        <v>18</v>
      </c>
      <c r="AF48" s="166">
        <v>2572.0499999999993</v>
      </c>
      <c r="AG48" s="166">
        <v>142.89166666666662</v>
      </c>
      <c r="AH48" s="182">
        <f t="shared" si="37"/>
        <v>1</v>
      </c>
      <c r="AI48" s="491"/>
      <c r="AJ48" s="182">
        <v>18</v>
      </c>
      <c r="AK48" s="166">
        <v>2525.2500000000009</v>
      </c>
      <c r="AL48" s="166">
        <v>140.29166666666671</v>
      </c>
      <c r="AM48" s="182">
        <f t="shared" si="38"/>
        <v>2</v>
      </c>
      <c r="AN48" s="491"/>
      <c r="AO48" s="182">
        <v>18</v>
      </c>
      <c r="AP48" s="166">
        <v>2523.130434782609</v>
      </c>
      <c r="AQ48" s="166">
        <v>140.17391304347828</v>
      </c>
      <c r="AR48" s="182">
        <f t="shared" si="39"/>
        <v>2</v>
      </c>
      <c r="AS48" s="491"/>
      <c r="AT48" s="182">
        <v>18</v>
      </c>
      <c r="AU48" s="166">
        <v>2357.8750000000009</v>
      </c>
      <c r="AV48" s="166">
        <v>130.9930555555556</v>
      </c>
      <c r="AW48" s="182">
        <f t="shared" si="40"/>
        <v>2</v>
      </c>
      <c r="AX48" s="491"/>
    </row>
    <row r="49" spans="2:50">
      <c r="B49" s="479"/>
      <c r="C49" s="182">
        <v>3</v>
      </c>
      <c r="D49" s="203" t="s">
        <v>348</v>
      </c>
      <c r="E49" s="166">
        <v>18</v>
      </c>
      <c r="F49" s="182">
        <v>3000</v>
      </c>
      <c r="G49" s="180">
        <v>166.7</v>
      </c>
      <c r="H49" s="460"/>
      <c r="I49" s="166">
        <f t="shared" si="33"/>
        <v>19</v>
      </c>
      <c r="J49" s="166">
        <f t="shared" si="33"/>
        <v>2529.5485873531502</v>
      </c>
      <c r="K49" s="180">
        <f t="shared" si="33"/>
        <v>133.13413617648158</v>
      </c>
      <c r="L49" s="460"/>
      <c r="M49" s="181">
        <f>RANK(K49, K$47:$K$61)</f>
        <v>3</v>
      </c>
      <c r="N49" s="462"/>
      <c r="O49" s="462"/>
      <c r="P49" s="182">
        <v>19</v>
      </c>
      <c r="Q49" s="166">
        <v>2582.2222222222235</v>
      </c>
      <c r="R49" s="166">
        <v>135.90643274853809</v>
      </c>
      <c r="S49" s="182">
        <f t="shared" si="34"/>
        <v>3</v>
      </c>
      <c r="T49" s="491"/>
      <c r="U49" s="182">
        <v>19</v>
      </c>
      <c r="V49" s="166">
        <v>2592.6923076923094</v>
      </c>
      <c r="W49" s="166">
        <v>136.45748987854259</v>
      </c>
      <c r="X49" s="182">
        <f t="shared" si="35"/>
        <v>2</v>
      </c>
      <c r="Y49" s="491"/>
      <c r="Z49" s="182">
        <v>19</v>
      </c>
      <c r="AA49" s="166">
        <v>2496.4285714285697</v>
      </c>
      <c r="AB49" s="166">
        <v>131.39097744360893</v>
      </c>
      <c r="AC49" s="182">
        <f t="shared" si="36"/>
        <v>3</v>
      </c>
      <c r="AD49" s="491"/>
      <c r="AE49" s="182">
        <v>19</v>
      </c>
      <c r="AF49" s="166">
        <v>2537.3076923076937</v>
      </c>
      <c r="AG49" s="166">
        <v>133.54251012145755</v>
      </c>
      <c r="AH49" s="182">
        <f t="shared" si="37"/>
        <v>3</v>
      </c>
      <c r="AI49" s="491"/>
      <c r="AJ49" s="182">
        <v>19</v>
      </c>
      <c r="AK49" s="166">
        <v>2535.7377049180318</v>
      </c>
      <c r="AL49" s="166">
        <v>133.45987920621221</v>
      </c>
      <c r="AM49" s="182">
        <f t="shared" si="38"/>
        <v>3</v>
      </c>
      <c r="AN49" s="491"/>
      <c r="AO49" s="182">
        <v>19</v>
      </c>
      <c r="AP49" s="166">
        <v>2545.9999999999991</v>
      </c>
      <c r="AQ49" s="166">
        <v>133.99999999999994</v>
      </c>
      <c r="AR49" s="182">
        <f t="shared" si="39"/>
        <v>3</v>
      </c>
      <c r="AS49" s="491"/>
      <c r="AT49" s="182">
        <v>19</v>
      </c>
      <c r="AU49" s="166">
        <v>2416.4516129032249</v>
      </c>
      <c r="AV49" s="166">
        <v>127.18166383701184</v>
      </c>
      <c r="AW49" s="182">
        <f t="shared" si="40"/>
        <v>3</v>
      </c>
      <c r="AX49" s="491"/>
    </row>
    <row r="50" spans="2:50">
      <c r="B50" s="479"/>
      <c r="C50" s="182">
        <v>4</v>
      </c>
      <c r="D50" s="203" t="s">
        <v>349</v>
      </c>
      <c r="E50" s="166">
        <v>19</v>
      </c>
      <c r="F50" s="182">
        <v>3000</v>
      </c>
      <c r="G50" s="180">
        <v>157.9</v>
      </c>
      <c r="H50" s="460"/>
      <c r="I50" s="166">
        <f t="shared" si="33"/>
        <v>18</v>
      </c>
      <c r="J50" s="166">
        <f t="shared" si="33"/>
        <v>2529.6941961230664</v>
      </c>
      <c r="K50" s="180">
        <f t="shared" si="33"/>
        <v>140.53856645128147</v>
      </c>
      <c r="L50" s="460"/>
      <c r="M50" s="181">
        <f>RANK(K50, K$47:$K$61)</f>
        <v>1</v>
      </c>
      <c r="N50" s="462"/>
      <c r="O50" s="462"/>
      <c r="P50" s="182">
        <v>18</v>
      </c>
      <c r="Q50" s="166">
        <v>2510.3448275862065</v>
      </c>
      <c r="R50" s="166">
        <v>139.46360153256703</v>
      </c>
      <c r="S50" s="182">
        <f t="shared" si="34"/>
        <v>1</v>
      </c>
      <c r="T50" s="491"/>
      <c r="U50" s="182">
        <v>18</v>
      </c>
      <c r="V50" s="166">
        <v>2568.8888888888882</v>
      </c>
      <c r="W50" s="166">
        <v>142.71604938271602</v>
      </c>
      <c r="X50" s="182">
        <f t="shared" si="35"/>
        <v>1</v>
      </c>
      <c r="Y50" s="491"/>
      <c r="Z50" s="182">
        <v>18</v>
      </c>
      <c r="AA50" s="166">
        <v>2514.074074074073</v>
      </c>
      <c r="AB50" s="166">
        <v>139.67078189300406</v>
      </c>
      <c r="AC50" s="182">
        <f t="shared" si="36"/>
        <v>1</v>
      </c>
      <c r="AD50" s="491"/>
      <c r="AE50" s="182">
        <v>18</v>
      </c>
      <c r="AF50" s="166">
        <v>2538.0722891566256</v>
      </c>
      <c r="AG50" s="166">
        <v>141.00401606425697</v>
      </c>
      <c r="AH50" s="182">
        <f t="shared" si="37"/>
        <v>2</v>
      </c>
      <c r="AI50" s="491"/>
      <c r="AJ50" s="182">
        <v>18</v>
      </c>
      <c r="AK50" s="166">
        <v>2536.304347826087</v>
      </c>
      <c r="AL50" s="166">
        <v>140.90579710144928</v>
      </c>
      <c r="AM50" s="182">
        <f t="shared" si="38"/>
        <v>1</v>
      </c>
      <c r="AN50" s="491"/>
      <c r="AO50" s="182">
        <v>18</v>
      </c>
      <c r="AP50" s="166">
        <v>2588.6597938144337</v>
      </c>
      <c r="AQ50" s="166">
        <v>143.81443298969077</v>
      </c>
      <c r="AR50" s="182">
        <f t="shared" si="39"/>
        <v>1</v>
      </c>
      <c r="AS50" s="491"/>
      <c r="AT50" s="182">
        <v>18</v>
      </c>
      <c r="AU50" s="166">
        <v>2451.5151515151506</v>
      </c>
      <c r="AV50" s="166">
        <v>136.19528619528614</v>
      </c>
      <c r="AW50" s="182">
        <f t="shared" si="40"/>
        <v>1</v>
      </c>
      <c r="AX50" s="491"/>
    </row>
    <row r="51" spans="2:50">
      <c r="B51" s="479"/>
      <c r="C51" s="182">
        <v>5</v>
      </c>
      <c r="D51" s="203" t="s">
        <v>350</v>
      </c>
      <c r="E51" s="166">
        <v>20</v>
      </c>
      <c r="F51" s="182">
        <v>2250</v>
      </c>
      <c r="G51" s="180">
        <v>112.5</v>
      </c>
      <c r="H51" s="460"/>
      <c r="I51" s="166">
        <f t="shared" ref="I51" si="41">AVERAGE(P51,U51,Z51,AE51,AJ51,AO51,AT51)</f>
        <v>20</v>
      </c>
      <c r="J51" s="166">
        <f t="shared" ref="J51" si="42">AVERAGE(Q51,V51,AA51,AF51,AK51,AP51,AU51)</f>
        <v>1895.6274615070688</v>
      </c>
      <c r="K51" s="180">
        <f t="shared" ref="K51" si="43">AVERAGE(R51,W51,AB51,AG51,AL51,AQ51,AV51)</f>
        <v>94.781373075353443</v>
      </c>
      <c r="L51" s="460"/>
      <c r="M51" s="181">
        <f>RANK(K51, K$47:$K$61)</f>
        <v>5</v>
      </c>
      <c r="N51" s="462"/>
      <c r="O51" s="462"/>
      <c r="P51" s="182">
        <v>20</v>
      </c>
      <c r="Q51" s="166">
        <v>1861.304347826087</v>
      </c>
      <c r="R51" s="166">
        <v>93.065217391304344</v>
      </c>
      <c r="S51" s="182">
        <f t="shared" si="34"/>
        <v>5</v>
      </c>
      <c r="T51" s="491"/>
      <c r="U51" s="182">
        <v>20</v>
      </c>
      <c r="V51" s="166">
        <v>1900.4651162790694</v>
      </c>
      <c r="W51" s="166">
        <v>95.023255813953469</v>
      </c>
      <c r="X51" s="182">
        <f t="shared" si="35"/>
        <v>5</v>
      </c>
      <c r="Y51" s="491"/>
      <c r="Z51" s="182">
        <v>20</v>
      </c>
      <c r="AA51" s="166">
        <v>1895.2173913043478</v>
      </c>
      <c r="AB51" s="166">
        <v>94.760869565217391</v>
      </c>
      <c r="AC51" s="182">
        <f t="shared" si="36"/>
        <v>5</v>
      </c>
      <c r="AD51" s="491"/>
      <c r="AE51" s="182">
        <v>20</v>
      </c>
      <c r="AF51" s="166">
        <v>1927.8947368421059</v>
      </c>
      <c r="AG51" s="166">
        <v>96.394736842105289</v>
      </c>
      <c r="AH51" s="182">
        <f t="shared" si="37"/>
        <v>5</v>
      </c>
      <c r="AI51" s="491"/>
      <c r="AJ51" s="182">
        <v>20</v>
      </c>
      <c r="AK51" s="166">
        <v>1921.3333333333335</v>
      </c>
      <c r="AL51" s="166">
        <v>96.066666666666677</v>
      </c>
      <c r="AM51" s="182">
        <f t="shared" si="38"/>
        <v>5</v>
      </c>
      <c r="AN51" s="491"/>
      <c r="AO51" s="182">
        <v>20</v>
      </c>
      <c r="AP51" s="166">
        <v>1914.6666666666667</v>
      </c>
      <c r="AQ51" s="166">
        <v>95.733333333333334</v>
      </c>
      <c r="AR51" s="182">
        <f t="shared" si="39"/>
        <v>5</v>
      </c>
      <c r="AS51" s="491"/>
      <c r="AT51" s="182">
        <v>20</v>
      </c>
      <c r="AU51" s="166">
        <v>1848.5106382978727</v>
      </c>
      <c r="AV51" s="166">
        <v>92.425531914893639</v>
      </c>
      <c r="AW51" s="182">
        <f t="shared" si="40"/>
        <v>5</v>
      </c>
      <c r="AX51" s="491"/>
    </row>
    <row r="52" spans="2:50">
      <c r="B52" s="479"/>
      <c r="C52" s="182">
        <v>6</v>
      </c>
      <c r="D52" s="203"/>
      <c r="E52" s="166"/>
      <c r="F52" s="182"/>
      <c r="G52" s="180"/>
      <c r="H52" s="460"/>
      <c r="I52" s="166"/>
      <c r="J52" s="166"/>
      <c r="K52" s="180"/>
      <c r="L52" s="460"/>
      <c r="M52" s="181" t="e">
        <f>RANK(K52, K$47:$K$61)</f>
        <v>#N/A</v>
      </c>
      <c r="N52" s="462"/>
      <c r="O52" s="462"/>
      <c r="P52" s="182"/>
      <c r="Q52" s="166"/>
      <c r="R52" s="166"/>
      <c r="S52" s="182"/>
      <c r="T52" s="491"/>
      <c r="U52" s="182"/>
      <c r="V52" s="166"/>
      <c r="W52" s="166"/>
      <c r="X52" s="182"/>
      <c r="Y52" s="491"/>
      <c r="Z52" s="182"/>
      <c r="AA52" s="166"/>
      <c r="AB52" s="166"/>
      <c r="AC52" s="182"/>
      <c r="AD52" s="491"/>
      <c r="AE52" s="182" t="s">
        <v>244</v>
      </c>
      <c r="AF52" s="166" t="s">
        <v>244</v>
      </c>
      <c r="AG52" s="166" t="s">
        <v>244</v>
      </c>
      <c r="AH52" s="182"/>
      <c r="AI52" s="491"/>
      <c r="AJ52" s="182" t="s">
        <v>244</v>
      </c>
      <c r="AK52" s="166" t="s">
        <v>244</v>
      </c>
      <c r="AL52" s="166" t="s">
        <v>244</v>
      </c>
      <c r="AM52" s="182"/>
      <c r="AN52" s="491"/>
      <c r="AO52" s="182" t="s">
        <v>244</v>
      </c>
      <c r="AP52" s="166" t="s">
        <v>244</v>
      </c>
      <c r="AQ52" s="166" t="s">
        <v>244</v>
      </c>
      <c r="AR52" s="182"/>
      <c r="AS52" s="491"/>
      <c r="AT52" s="182" t="s">
        <v>244</v>
      </c>
      <c r="AU52" s="166" t="s">
        <v>244</v>
      </c>
      <c r="AV52" s="166" t="s">
        <v>244</v>
      </c>
      <c r="AW52" s="182"/>
      <c r="AX52" s="491"/>
    </row>
    <row r="53" spans="2:50">
      <c r="B53" s="479"/>
      <c r="C53" s="182">
        <v>7</v>
      </c>
      <c r="D53" s="203"/>
      <c r="E53" s="166"/>
      <c r="F53" s="182"/>
      <c r="G53" s="180"/>
      <c r="H53" s="460"/>
      <c r="I53" s="166"/>
      <c r="J53" s="166"/>
      <c r="K53" s="180"/>
      <c r="L53" s="460"/>
      <c r="M53" s="181" t="e">
        <f>RANK(K53, K$47:$K$61)</f>
        <v>#N/A</v>
      </c>
      <c r="N53" s="462"/>
      <c r="O53" s="462"/>
      <c r="P53" s="182"/>
      <c r="Q53" s="182"/>
      <c r="R53" s="182"/>
      <c r="S53" s="182"/>
      <c r="T53" s="491"/>
      <c r="U53" s="182"/>
      <c r="V53" s="182"/>
      <c r="W53" s="182"/>
      <c r="X53" s="182"/>
      <c r="Y53" s="491"/>
      <c r="Z53" s="182"/>
      <c r="AA53" s="182"/>
      <c r="AB53" s="182"/>
      <c r="AC53" s="182"/>
      <c r="AD53" s="491"/>
      <c r="AE53" s="182"/>
      <c r="AF53" s="182"/>
      <c r="AG53" s="182"/>
      <c r="AH53" s="182"/>
      <c r="AI53" s="491"/>
      <c r="AJ53" s="182"/>
      <c r="AK53" s="182"/>
      <c r="AL53" s="182"/>
      <c r="AM53" s="182"/>
      <c r="AN53" s="491"/>
      <c r="AO53" s="182"/>
      <c r="AP53" s="182"/>
      <c r="AQ53" s="182"/>
      <c r="AR53" s="182"/>
      <c r="AS53" s="491"/>
      <c r="AT53" s="182"/>
      <c r="AU53" s="182"/>
      <c r="AV53" s="182"/>
      <c r="AW53" s="182"/>
      <c r="AX53" s="491"/>
    </row>
    <row r="54" spans="2:50">
      <c r="B54" s="479"/>
      <c r="C54" s="182">
        <v>8</v>
      </c>
      <c r="D54" s="203"/>
      <c r="E54" s="166"/>
      <c r="F54" s="182"/>
      <c r="G54" s="180"/>
      <c r="H54" s="460"/>
      <c r="I54" s="166"/>
      <c r="J54" s="166"/>
      <c r="K54" s="180"/>
      <c r="L54" s="460"/>
      <c r="M54" s="181" t="e">
        <f>RANK(K54, K$47:$K$61)</f>
        <v>#N/A</v>
      </c>
      <c r="N54" s="462"/>
      <c r="O54" s="462"/>
      <c r="P54" s="182"/>
      <c r="Q54" s="182"/>
      <c r="R54" s="182"/>
      <c r="S54" s="182"/>
      <c r="T54" s="491"/>
      <c r="U54" s="182"/>
      <c r="V54" s="182"/>
      <c r="W54" s="182"/>
      <c r="X54" s="182"/>
      <c r="Y54" s="491"/>
      <c r="Z54" s="182"/>
      <c r="AA54" s="182"/>
      <c r="AB54" s="182"/>
      <c r="AC54" s="182"/>
      <c r="AD54" s="491"/>
      <c r="AE54" s="182"/>
      <c r="AF54" s="182"/>
      <c r="AG54" s="182"/>
      <c r="AH54" s="182"/>
      <c r="AI54" s="491"/>
      <c r="AJ54" s="182"/>
      <c r="AK54" s="182"/>
      <c r="AL54" s="182"/>
      <c r="AM54" s="182"/>
      <c r="AN54" s="491"/>
      <c r="AO54" s="182"/>
      <c r="AP54" s="182"/>
      <c r="AQ54" s="182"/>
      <c r="AR54" s="182"/>
      <c r="AS54" s="491"/>
      <c r="AT54" s="182"/>
      <c r="AU54" s="182"/>
      <c r="AV54" s="182"/>
      <c r="AW54" s="182"/>
      <c r="AX54" s="491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/>
      <c r="T55" s="491"/>
      <c r="U55" s="182"/>
      <c r="V55" s="182"/>
      <c r="W55" s="182"/>
      <c r="X55" s="182"/>
      <c r="Y55" s="491"/>
      <c r="Z55" s="182"/>
      <c r="AA55" s="182"/>
      <c r="AB55" s="182"/>
      <c r="AC55" s="182"/>
      <c r="AD55" s="491"/>
      <c r="AE55" s="182"/>
      <c r="AF55" s="182"/>
      <c r="AG55" s="182"/>
      <c r="AH55" s="182"/>
      <c r="AI55" s="491"/>
      <c r="AJ55" s="182"/>
      <c r="AK55" s="182"/>
      <c r="AL55" s="182"/>
      <c r="AM55" s="182"/>
      <c r="AN55" s="491"/>
      <c r="AO55" s="182"/>
      <c r="AP55" s="182"/>
      <c r="AQ55" s="182"/>
      <c r="AR55" s="182"/>
      <c r="AS55" s="491"/>
      <c r="AT55" s="182"/>
      <c r="AU55" s="182"/>
      <c r="AV55" s="182"/>
      <c r="AW55" s="182"/>
      <c r="AX55" s="491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/>
      <c r="T56" s="491"/>
      <c r="U56" s="182"/>
      <c r="V56" s="182"/>
      <c r="W56" s="182"/>
      <c r="X56" s="182"/>
      <c r="Y56" s="491"/>
      <c r="Z56" s="182"/>
      <c r="AA56" s="182"/>
      <c r="AB56" s="182"/>
      <c r="AC56" s="182"/>
      <c r="AD56" s="491"/>
      <c r="AE56" s="182"/>
      <c r="AF56" s="182"/>
      <c r="AG56" s="182"/>
      <c r="AH56" s="182"/>
      <c r="AI56" s="491"/>
      <c r="AJ56" s="182"/>
      <c r="AK56" s="182"/>
      <c r="AL56" s="182"/>
      <c r="AM56" s="182"/>
      <c r="AN56" s="491"/>
      <c r="AO56" s="182"/>
      <c r="AP56" s="182"/>
      <c r="AQ56" s="182"/>
      <c r="AR56" s="182"/>
      <c r="AS56" s="491"/>
      <c r="AT56" s="182"/>
      <c r="AU56" s="182"/>
      <c r="AV56" s="182"/>
      <c r="AW56" s="182"/>
      <c r="AX56" s="491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82"/>
      <c r="J57" s="182"/>
      <c r="K57" s="182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/>
      <c r="T57" s="491"/>
      <c r="U57" s="182"/>
      <c r="V57" s="182"/>
      <c r="W57" s="182"/>
      <c r="X57" s="180"/>
      <c r="Y57" s="491"/>
      <c r="Z57" s="182"/>
      <c r="AA57" s="182"/>
      <c r="AB57" s="182"/>
      <c r="AC57" s="182"/>
      <c r="AD57" s="491"/>
      <c r="AE57" s="182"/>
      <c r="AF57" s="182"/>
      <c r="AG57" s="182"/>
      <c r="AH57" s="182"/>
      <c r="AI57" s="491"/>
      <c r="AJ57" s="182"/>
      <c r="AK57" s="182"/>
      <c r="AL57" s="182"/>
      <c r="AM57" s="182"/>
      <c r="AN57" s="491"/>
      <c r="AO57" s="182"/>
      <c r="AP57" s="182"/>
      <c r="AQ57" s="182"/>
      <c r="AR57" s="182"/>
      <c r="AS57" s="491"/>
      <c r="AT57" s="182"/>
      <c r="AU57" s="182"/>
      <c r="AV57" s="182"/>
      <c r="AW57" s="182"/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82"/>
      <c r="J58" s="182"/>
      <c r="K58" s="182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/>
      <c r="T58" s="491"/>
      <c r="U58" s="182"/>
      <c r="V58" s="182"/>
      <c r="W58" s="182"/>
      <c r="X58" s="182"/>
      <c r="Y58" s="491"/>
      <c r="Z58" s="182"/>
      <c r="AA58" s="182"/>
      <c r="AB58" s="182"/>
      <c r="AC58" s="182"/>
      <c r="AD58" s="491"/>
      <c r="AE58" s="182"/>
      <c r="AF58" s="182"/>
      <c r="AG58" s="182"/>
      <c r="AH58" s="182"/>
      <c r="AI58" s="491"/>
      <c r="AJ58" s="182"/>
      <c r="AK58" s="182"/>
      <c r="AL58" s="182"/>
      <c r="AM58" s="182"/>
      <c r="AN58" s="491"/>
      <c r="AO58" s="182"/>
      <c r="AP58" s="182"/>
      <c r="AQ58" s="182"/>
      <c r="AR58" s="182"/>
      <c r="AS58" s="491"/>
      <c r="AT58" s="182"/>
      <c r="AU58" s="182"/>
      <c r="AV58" s="182"/>
      <c r="AW58" s="182"/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/>
      <c r="T59" s="491"/>
      <c r="U59" s="182"/>
      <c r="V59" s="182"/>
      <c r="W59" s="182"/>
      <c r="X59" s="182"/>
      <c r="Y59" s="491"/>
      <c r="Z59" s="182"/>
      <c r="AA59" s="182"/>
      <c r="AB59" s="182"/>
      <c r="AC59" s="182"/>
      <c r="AD59" s="491"/>
      <c r="AE59" s="182"/>
      <c r="AF59" s="182"/>
      <c r="AG59" s="182"/>
      <c r="AH59" s="182"/>
      <c r="AI59" s="491"/>
      <c r="AJ59" s="182"/>
      <c r="AK59" s="182"/>
      <c r="AL59" s="182"/>
      <c r="AM59" s="182"/>
      <c r="AN59" s="491"/>
      <c r="AO59" s="182"/>
      <c r="AP59" s="182"/>
      <c r="AQ59" s="182"/>
      <c r="AR59" s="182"/>
      <c r="AS59" s="491"/>
      <c r="AT59" s="182"/>
      <c r="AU59" s="182"/>
      <c r="AV59" s="182"/>
      <c r="AW59" s="182"/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/>
      <c r="T60" s="491"/>
      <c r="U60" s="182"/>
      <c r="V60" s="182"/>
      <c r="W60" s="182"/>
      <c r="X60" s="182"/>
      <c r="Y60" s="491"/>
      <c r="Z60" s="182"/>
      <c r="AA60" s="182"/>
      <c r="AB60" s="182"/>
      <c r="AC60" s="182"/>
      <c r="AD60" s="491"/>
      <c r="AE60" s="182"/>
      <c r="AF60" s="182"/>
      <c r="AG60" s="182"/>
      <c r="AH60" s="182"/>
      <c r="AI60" s="491"/>
      <c r="AJ60" s="182"/>
      <c r="AK60" s="182"/>
      <c r="AL60" s="182"/>
      <c r="AM60" s="182"/>
      <c r="AN60" s="491"/>
      <c r="AO60" s="182"/>
      <c r="AP60" s="182"/>
      <c r="AQ60" s="182"/>
      <c r="AR60" s="182"/>
      <c r="AS60" s="491"/>
      <c r="AT60" s="182"/>
      <c r="AU60" s="182"/>
      <c r="AV60" s="182"/>
      <c r="AW60" s="182"/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/>
      <c r="T61" s="491"/>
      <c r="U61" s="182"/>
      <c r="V61" s="182"/>
      <c r="W61" s="182"/>
      <c r="X61" s="182"/>
      <c r="Y61" s="491"/>
      <c r="Z61" s="182"/>
      <c r="AA61" s="182"/>
      <c r="AB61" s="182"/>
      <c r="AC61" s="182"/>
      <c r="AD61" s="491"/>
      <c r="AE61" s="182"/>
      <c r="AF61" s="182"/>
      <c r="AG61" s="182"/>
      <c r="AH61" s="182"/>
      <c r="AI61" s="491"/>
      <c r="AJ61" s="182"/>
      <c r="AK61" s="182"/>
      <c r="AL61" s="182"/>
      <c r="AM61" s="182"/>
      <c r="AN61" s="491"/>
      <c r="AO61" s="182"/>
      <c r="AP61" s="182"/>
      <c r="AQ61" s="182"/>
      <c r="AR61" s="182"/>
      <c r="AS61" s="491"/>
      <c r="AT61" s="182"/>
      <c r="AU61" s="182"/>
      <c r="AV61" s="182"/>
      <c r="AW61" s="182"/>
      <c r="AX61" s="491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351</v>
      </c>
      <c r="C67" s="182">
        <v>1</v>
      </c>
      <c r="D67" s="203" t="s">
        <v>346</v>
      </c>
      <c r="E67" s="166">
        <v>20</v>
      </c>
      <c r="F67" s="182">
        <v>2400</v>
      </c>
      <c r="G67" s="180">
        <v>120</v>
      </c>
      <c r="H67" s="459">
        <f>AVERAGE(G67:G81)</f>
        <v>144.76</v>
      </c>
      <c r="I67" s="166">
        <f t="shared" ref="I67:K70" si="44">AVERAGE(P67,U67,Z67,AE67,AJ67,AO67,AT67)</f>
        <v>19.142857142857142</v>
      </c>
      <c r="J67" s="166">
        <f t="shared" si="44"/>
        <v>2104.9564527210778</v>
      </c>
      <c r="K67" s="180">
        <f t="shared" si="44"/>
        <v>109.98829205613649</v>
      </c>
      <c r="L67" s="459">
        <f>IFERROR(AVERAGE(K67:K81),"-")</f>
        <v>124.61853480776165</v>
      </c>
      <c r="M67" s="181">
        <f>RANK(K67, K$67:$K$81)</f>
        <v>4</v>
      </c>
      <c r="N67" s="462"/>
      <c r="O67" s="462"/>
      <c r="P67" s="182">
        <v>20</v>
      </c>
      <c r="Q67" s="166">
        <v>2125.0465116279065</v>
      </c>
      <c r="R67" s="166">
        <v>106.25232558139533</v>
      </c>
      <c r="S67" s="182">
        <f>RANK(R67, R$67:R$81)</f>
        <v>4</v>
      </c>
      <c r="T67" s="459">
        <f>AVERAGE(R67:R81)</f>
        <v>120.07764011373403</v>
      </c>
      <c r="U67" s="182">
        <v>19</v>
      </c>
      <c r="V67" s="166">
        <v>1981.3695652173913</v>
      </c>
      <c r="W67" s="166">
        <v>104.28260869565217</v>
      </c>
      <c r="X67" s="182">
        <f t="shared" ref="X67:X81" si="45">RANK(W67, W$67:W$81)</f>
        <v>5</v>
      </c>
      <c r="Y67" s="459">
        <f t="shared" ref="Y67" si="46">AVERAGE(W67:W81)</f>
        <v>121.14226324079388</v>
      </c>
      <c r="Z67" s="182">
        <v>19</v>
      </c>
      <c r="AA67" s="166">
        <v>2165.5263157894719</v>
      </c>
      <c r="AB67" s="166">
        <v>113.97506925207747</v>
      </c>
      <c r="AC67" s="182">
        <f t="shared" ref="AC67:AC81" si="47">RANK(AB67, AB$67:AB$81)</f>
        <v>4</v>
      </c>
      <c r="AD67" s="459">
        <f t="shared" ref="AD67" si="48">AVERAGE(AB67:AB81)</f>
        <v>127.01771959204223</v>
      </c>
      <c r="AE67" s="182">
        <v>19</v>
      </c>
      <c r="AF67" s="166">
        <v>2117.5945945945932</v>
      </c>
      <c r="AG67" s="166">
        <v>111.45234708392596</v>
      </c>
      <c r="AH67" s="182">
        <f t="shared" ref="AH67:AH81" si="49">RANK(AG67, AG$67:AG$81)</f>
        <v>4</v>
      </c>
      <c r="AI67" s="459">
        <f t="shared" ref="AI67" si="50">AVERAGE(AG67:AG81)</f>
        <v>126.35628780891929</v>
      </c>
      <c r="AJ67" s="182">
        <v>19</v>
      </c>
      <c r="AK67" s="166">
        <v>2081.0400000000009</v>
      </c>
      <c r="AL67" s="166">
        <v>109.52842105263163</v>
      </c>
      <c r="AM67" s="182">
        <f t="shared" ref="AM67:AM81" si="51">RANK(AL67, AL$67:AL$81)</f>
        <v>4</v>
      </c>
      <c r="AN67" s="459">
        <f t="shared" ref="AN67" si="52">AVERAGE(AL67:AL81)</f>
        <v>124.87574397532293</v>
      </c>
      <c r="AO67" s="182">
        <v>19</v>
      </c>
      <c r="AP67" s="166">
        <v>2125.5000000000009</v>
      </c>
      <c r="AQ67" s="166">
        <v>111.86842105263163</v>
      </c>
      <c r="AR67" s="182">
        <f t="shared" ref="AR67:AR81" si="53">RANK(AQ67, AQ$67:AQ$81)</f>
        <v>4</v>
      </c>
      <c r="AS67" s="459">
        <f t="shared" ref="AS67" si="54">AVERAGE(AQ67:AQ81)</f>
        <v>125.94374168595721</v>
      </c>
      <c r="AT67" s="166">
        <v>19</v>
      </c>
      <c r="AU67" s="180">
        <v>2138.6181818181803</v>
      </c>
      <c r="AV67" s="180">
        <v>112.55885167464108</v>
      </c>
      <c r="AW67" s="182">
        <f t="shared" ref="AW67:AW81" si="55">RANK(AV67, AV$67:AV$81)</f>
        <v>4</v>
      </c>
      <c r="AX67" s="491">
        <f t="shared" ref="AX67" si="56">AVERAGE(AV67:AV81)</f>
        <v>126.91634723756188</v>
      </c>
    </row>
    <row r="68" spans="2:50">
      <c r="B68" s="479"/>
      <c r="C68" s="182">
        <v>2</v>
      </c>
      <c r="D68" s="203" t="s">
        <v>347</v>
      </c>
      <c r="E68" s="166">
        <v>18</v>
      </c>
      <c r="F68" s="182">
        <v>3000</v>
      </c>
      <c r="G68" s="180">
        <v>166.7</v>
      </c>
      <c r="H68" s="460"/>
      <c r="I68" s="166">
        <f t="shared" si="44"/>
        <v>19</v>
      </c>
      <c r="J68" s="166">
        <f t="shared" si="44"/>
        <v>2546.7412512258888</v>
      </c>
      <c r="K68" s="180">
        <f t="shared" si="44"/>
        <v>134.03901322241521</v>
      </c>
      <c r="L68" s="460"/>
      <c r="M68" s="181">
        <f>RANK(K68, K$67:$K$81)</f>
        <v>3</v>
      </c>
      <c r="N68" s="462"/>
      <c r="O68" s="462"/>
      <c r="P68" s="182">
        <v>19</v>
      </c>
      <c r="Q68" s="166">
        <v>2453.0999999999995</v>
      </c>
      <c r="R68" s="166">
        <v>129.11052631578946</v>
      </c>
      <c r="S68" s="182">
        <f t="shared" ref="S68:S81" si="57">RANK(R68, R$67:R$81)</f>
        <v>3</v>
      </c>
      <c r="T68" s="460"/>
      <c r="U68" s="182">
        <v>19</v>
      </c>
      <c r="V68" s="166">
        <v>2452.8947368421032</v>
      </c>
      <c r="W68" s="166">
        <v>129.09972299168965</v>
      </c>
      <c r="X68" s="182">
        <f t="shared" si="45"/>
        <v>3</v>
      </c>
      <c r="Y68" s="460"/>
      <c r="Z68" s="182">
        <v>19</v>
      </c>
      <c r="AA68" s="166">
        <v>2634.9374999999964</v>
      </c>
      <c r="AB68" s="166">
        <v>138.68092105263139</v>
      </c>
      <c r="AC68" s="182">
        <f t="shared" si="47"/>
        <v>2</v>
      </c>
      <c r="AD68" s="460"/>
      <c r="AE68" s="182">
        <v>19</v>
      </c>
      <c r="AF68" s="166">
        <v>2597.9999999999932</v>
      </c>
      <c r="AG68" s="166">
        <v>136.73684210526281</v>
      </c>
      <c r="AH68" s="182">
        <f t="shared" si="49"/>
        <v>3</v>
      </c>
      <c r="AI68" s="460"/>
      <c r="AJ68" s="182">
        <v>19</v>
      </c>
      <c r="AK68" s="166">
        <v>2523.2999999999993</v>
      </c>
      <c r="AL68" s="166">
        <v>132.8052631578947</v>
      </c>
      <c r="AM68" s="182">
        <f t="shared" si="51"/>
        <v>3</v>
      </c>
      <c r="AN68" s="460"/>
      <c r="AO68" s="182">
        <v>19</v>
      </c>
      <c r="AP68" s="166">
        <v>2612.9999999999982</v>
      </c>
      <c r="AQ68" s="166">
        <v>137.52631578947359</v>
      </c>
      <c r="AR68" s="182">
        <f t="shared" si="53"/>
        <v>2</v>
      </c>
      <c r="AS68" s="460"/>
      <c r="AT68" s="182">
        <v>19</v>
      </c>
      <c r="AU68" s="180">
        <v>2551.9565217391305</v>
      </c>
      <c r="AV68" s="180">
        <v>134.31350114416477</v>
      </c>
      <c r="AW68" s="182">
        <f t="shared" si="55"/>
        <v>3</v>
      </c>
      <c r="AX68" s="491"/>
    </row>
    <row r="69" spans="2:50">
      <c r="B69" s="479"/>
      <c r="C69" s="182">
        <v>3</v>
      </c>
      <c r="D69" s="203" t="s">
        <v>348</v>
      </c>
      <c r="E69" s="166">
        <v>18</v>
      </c>
      <c r="F69" s="182">
        <v>3000</v>
      </c>
      <c r="G69" s="180">
        <v>166.7</v>
      </c>
      <c r="H69" s="460"/>
      <c r="I69" s="166">
        <f t="shared" si="44"/>
        <v>19</v>
      </c>
      <c r="J69" s="166">
        <f t="shared" si="44"/>
        <v>2606.0613239427685</v>
      </c>
      <c r="K69" s="180">
        <f t="shared" si="44"/>
        <v>137.16112231277731</v>
      </c>
      <c r="L69" s="460"/>
      <c r="M69" s="181">
        <f>RANK(K69, K$67:$K$81)</f>
        <v>1</v>
      </c>
      <c r="N69" s="462"/>
      <c r="O69" s="462"/>
      <c r="P69" s="182">
        <v>19</v>
      </c>
      <c r="Q69" s="166">
        <v>2468.9361702127662</v>
      </c>
      <c r="R69" s="166">
        <v>129.94400895856666</v>
      </c>
      <c r="S69" s="182">
        <f t="shared" si="57"/>
        <v>2</v>
      </c>
      <c r="T69" s="460"/>
      <c r="U69" s="182">
        <v>19</v>
      </c>
      <c r="V69" s="166">
        <v>2553.913043478261</v>
      </c>
      <c r="W69" s="166">
        <v>134.41647597254004</v>
      </c>
      <c r="X69" s="182">
        <f t="shared" si="45"/>
        <v>1</v>
      </c>
      <c r="Y69" s="460"/>
      <c r="Z69" s="182">
        <v>19</v>
      </c>
      <c r="AA69" s="166">
        <v>2650.4999999999991</v>
      </c>
      <c r="AB69" s="166">
        <v>139.49999999999994</v>
      </c>
      <c r="AC69" s="182">
        <f t="shared" si="47"/>
        <v>1</v>
      </c>
      <c r="AD69" s="460"/>
      <c r="AE69" s="182">
        <v>19</v>
      </c>
      <c r="AF69" s="166">
        <v>2641.7142857142831</v>
      </c>
      <c r="AG69" s="166">
        <v>139.03759398496226</v>
      </c>
      <c r="AH69" s="182">
        <f t="shared" si="49"/>
        <v>2</v>
      </c>
      <c r="AI69" s="460"/>
      <c r="AJ69" s="182">
        <v>19</v>
      </c>
      <c r="AK69" s="166">
        <v>2641.2000000000007</v>
      </c>
      <c r="AL69" s="166">
        <v>139.01052631578952</v>
      </c>
      <c r="AM69" s="182">
        <f t="shared" si="51"/>
        <v>2</v>
      </c>
      <c r="AN69" s="460"/>
      <c r="AO69" s="182">
        <v>19</v>
      </c>
      <c r="AP69" s="166">
        <v>2615.094339622643</v>
      </c>
      <c r="AQ69" s="166">
        <v>137.63654419066543</v>
      </c>
      <c r="AR69" s="182">
        <f t="shared" si="53"/>
        <v>1</v>
      </c>
      <c r="AS69" s="460"/>
      <c r="AT69" s="182">
        <v>19</v>
      </c>
      <c r="AU69" s="180">
        <v>2671.0714285714266</v>
      </c>
      <c r="AV69" s="180">
        <v>140.5827067669172</v>
      </c>
      <c r="AW69" s="182">
        <f t="shared" si="55"/>
        <v>2</v>
      </c>
      <c r="AX69" s="491"/>
    </row>
    <row r="70" spans="2:50">
      <c r="B70" s="479"/>
      <c r="C70" s="182">
        <v>4</v>
      </c>
      <c r="D70" s="203" t="s">
        <v>349</v>
      </c>
      <c r="E70" s="166">
        <v>19</v>
      </c>
      <c r="F70" s="182">
        <v>3000</v>
      </c>
      <c r="G70" s="180">
        <v>157.9</v>
      </c>
      <c r="H70" s="460"/>
      <c r="I70" s="166">
        <f t="shared" si="44"/>
        <v>19</v>
      </c>
      <c r="J70" s="166">
        <f t="shared" si="44"/>
        <v>2604.2866226146239</v>
      </c>
      <c r="K70" s="180">
        <f t="shared" si="44"/>
        <v>137.06771697971706</v>
      </c>
      <c r="L70" s="460"/>
      <c r="M70" s="181">
        <f>RANK(K70, K$67:$K$81)</f>
        <v>2</v>
      </c>
      <c r="N70" s="462"/>
      <c r="O70" s="462"/>
      <c r="P70" s="182">
        <v>19</v>
      </c>
      <c r="Q70" s="166">
        <v>2472.0000000000009</v>
      </c>
      <c r="R70" s="166">
        <v>130.1052631578948</v>
      </c>
      <c r="S70" s="182">
        <f t="shared" si="57"/>
        <v>1</v>
      </c>
      <c r="T70" s="460"/>
      <c r="U70" s="182">
        <v>19</v>
      </c>
      <c r="V70" s="166">
        <v>2529.428571428572</v>
      </c>
      <c r="W70" s="166">
        <v>133.12781954887222</v>
      </c>
      <c r="X70" s="182">
        <f t="shared" si="45"/>
        <v>2</v>
      </c>
      <c r="Y70" s="460"/>
      <c r="Z70" s="182">
        <v>19</v>
      </c>
      <c r="AA70" s="166">
        <v>2600.0945454545435</v>
      </c>
      <c r="AB70" s="166">
        <v>136.84708133971282</v>
      </c>
      <c r="AC70" s="182">
        <f t="shared" si="47"/>
        <v>3</v>
      </c>
      <c r="AD70" s="460"/>
      <c r="AE70" s="182">
        <v>19</v>
      </c>
      <c r="AF70" s="166">
        <v>2685.0000000000009</v>
      </c>
      <c r="AG70" s="166">
        <v>141.31578947368425</v>
      </c>
      <c r="AH70" s="182">
        <f t="shared" si="49"/>
        <v>1</v>
      </c>
      <c r="AI70" s="460"/>
      <c r="AJ70" s="182">
        <v>19</v>
      </c>
      <c r="AK70" s="166">
        <v>2643.8095238095234</v>
      </c>
      <c r="AL70" s="166">
        <v>139.14786967418544</v>
      </c>
      <c r="AM70" s="182">
        <f t="shared" si="51"/>
        <v>1</v>
      </c>
      <c r="AN70" s="460"/>
      <c r="AO70" s="182">
        <v>19</v>
      </c>
      <c r="AP70" s="166">
        <v>2597.9032258064508</v>
      </c>
      <c r="AQ70" s="166">
        <v>136.7317487266553</v>
      </c>
      <c r="AR70" s="182">
        <f t="shared" si="53"/>
        <v>3</v>
      </c>
      <c r="AS70" s="460"/>
      <c r="AT70" s="182">
        <v>19</v>
      </c>
      <c r="AU70" s="180">
        <v>2701.7704918032773</v>
      </c>
      <c r="AV70" s="180">
        <v>142.19844693701461</v>
      </c>
      <c r="AW70" s="182">
        <f t="shared" si="55"/>
        <v>1</v>
      </c>
      <c r="AX70" s="491"/>
    </row>
    <row r="71" spans="2:50">
      <c r="B71" s="479"/>
      <c r="C71" s="182">
        <v>5</v>
      </c>
      <c r="D71" s="203" t="s">
        <v>350</v>
      </c>
      <c r="E71" s="166">
        <v>20</v>
      </c>
      <c r="F71" s="182">
        <v>2250</v>
      </c>
      <c r="G71" s="180">
        <v>112.5</v>
      </c>
      <c r="H71" s="460"/>
      <c r="I71" s="166">
        <f t="shared" ref="I71" si="58">AVERAGE(P71,U71,Z71,AE71,AJ71,AO71,AT71)</f>
        <v>19</v>
      </c>
      <c r="J71" s="166">
        <f t="shared" ref="J71" si="59">AVERAGE(Q71,V71,AA71,AF71,AK71,AP71,AU71)</f>
        <v>1991.8940598874813</v>
      </c>
      <c r="K71" s="180">
        <f t="shared" ref="K71" si="60">AVERAGE(R71,W71,AB71,AG71,AL71,AQ71,AV71)</f>
        <v>104.83652946776216</v>
      </c>
      <c r="L71" s="460"/>
      <c r="M71" s="181">
        <f>RANK(K71, K$67:$K$81)</f>
        <v>5</v>
      </c>
      <c r="N71" s="462"/>
      <c r="O71" s="462"/>
      <c r="P71" s="182">
        <v>19</v>
      </c>
      <c r="Q71" s="166">
        <v>1994.5454545454545</v>
      </c>
      <c r="R71" s="166">
        <v>104.97607655502392</v>
      </c>
      <c r="S71" s="182">
        <f t="shared" si="57"/>
        <v>5</v>
      </c>
      <c r="T71" s="460"/>
      <c r="U71" s="182">
        <v>19</v>
      </c>
      <c r="V71" s="166">
        <v>1990.9090909090908</v>
      </c>
      <c r="W71" s="166">
        <v>104.7846889952153</v>
      </c>
      <c r="X71" s="182">
        <f t="shared" si="45"/>
        <v>4</v>
      </c>
      <c r="Y71" s="460"/>
      <c r="Z71" s="182">
        <v>19</v>
      </c>
      <c r="AA71" s="166">
        <v>2015.6249999999995</v>
      </c>
      <c r="AB71" s="166">
        <v>106.08552631578945</v>
      </c>
      <c r="AC71" s="182">
        <f t="shared" si="47"/>
        <v>5</v>
      </c>
      <c r="AD71" s="460"/>
      <c r="AE71" s="182">
        <v>19</v>
      </c>
      <c r="AF71" s="166">
        <v>1961.5384615384623</v>
      </c>
      <c r="AG71" s="166">
        <v>103.23886639676118</v>
      </c>
      <c r="AH71" s="182">
        <f t="shared" si="49"/>
        <v>5</v>
      </c>
      <c r="AI71" s="460"/>
      <c r="AJ71" s="182">
        <v>19</v>
      </c>
      <c r="AK71" s="166">
        <v>1973.8461538461547</v>
      </c>
      <c r="AL71" s="166">
        <v>103.8866396761134</v>
      </c>
      <c r="AM71" s="182">
        <f t="shared" si="51"/>
        <v>5</v>
      </c>
      <c r="AN71" s="460"/>
      <c r="AO71" s="182">
        <v>19</v>
      </c>
      <c r="AP71" s="166">
        <v>2013.157894736843</v>
      </c>
      <c r="AQ71" s="166">
        <v>105.95567867036016</v>
      </c>
      <c r="AR71" s="182">
        <f t="shared" si="53"/>
        <v>5</v>
      </c>
      <c r="AS71" s="460"/>
      <c r="AT71" s="182">
        <v>19</v>
      </c>
      <c r="AU71" s="180">
        <v>1993.6363636363635</v>
      </c>
      <c r="AV71" s="180">
        <v>104.92822966507177</v>
      </c>
      <c r="AW71" s="182">
        <f t="shared" si="55"/>
        <v>5</v>
      </c>
      <c r="AX71" s="491"/>
    </row>
    <row r="72" spans="2:50">
      <c r="B72" s="479"/>
      <c r="C72" s="182">
        <v>6</v>
      </c>
      <c r="D72" s="203"/>
      <c r="E72" s="166"/>
      <c r="F72" s="182"/>
      <c r="G72" s="180"/>
      <c r="H72" s="460"/>
      <c r="I72" s="166"/>
      <c r="J72" s="166"/>
      <c r="K72" s="180"/>
      <c r="L72" s="460"/>
      <c r="M72" s="181" t="e">
        <f>RANK(K72, K$67:$K$81)</f>
        <v>#N/A</v>
      </c>
      <c r="N72" s="462"/>
      <c r="O72" s="462"/>
      <c r="P72" s="182"/>
      <c r="Q72" s="166"/>
      <c r="R72" s="166"/>
      <c r="S72" s="182" t="e">
        <f t="shared" si="57"/>
        <v>#N/A</v>
      </c>
      <c r="T72" s="460"/>
      <c r="U72" s="182"/>
      <c r="V72" s="166"/>
      <c r="W72" s="166"/>
      <c r="X72" s="182" t="e">
        <f t="shared" si="45"/>
        <v>#N/A</v>
      </c>
      <c r="Y72" s="460"/>
      <c r="Z72" s="182"/>
      <c r="AA72" s="166"/>
      <c r="AB72" s="166"/>
      <c r="AC72" s="182" t="e">
        <f t="shared" si="47"/>
        <v>#N/A</v>
      </c>
      <c r="AD72" s="460"/>
      <c r="AE72" s="182"/>
      <c r="AF72" s="166"/>
      <c r="AG72" s="166"/>
      <c r="AH72" s="182" t="e">
        <f t="shared" si="49"/>
        <v>#N/A</v>
      </c>
      <c r="AI72" s="460"/>
      <c r="AJ72" s="182"/>
      <c r="AK72" s="166"/>
      <c r="AL72" s="166"/>
      <c r="AM72" s="182" t="e">
        <f t="shared" si="51"/>
        <v>#N/A</v>
      </c>
      <c r="AN72" s="460"/>
      <c r="AO72" s="182"/>
      <c r="AP72" s="166"/>
      <c r="AQ72" s="166"/>
      <c r="AR72" s="182" t="e">
        <f t="shared" si="53"/>
        <v>#N/A</v>
      </c>
      <c r="AS72" s="460"/>
      <c r="AT72" s="182"/>
      <c r="AU72" s="180"/>
      <c r="AV72" s="180"/>
      <c r="AW72" s="182" t="e">
        <f t="shared" si="55"/>
        <v>#N/A</v>
      </c>
      <c r="AX72" s="491"/>
    </row>
    <row r="73" spans="2:50">
      <c r="B73" s="479"/>
      <c r="C73" s="182">
        <v>7</v>
      </c>
      <c r="D73" s="203"/>
      <c r="E73" s="166"/>
      <c r="F73" s="182"/>
      <c r="G73" s="180"/>
      <c r="H73" s="460"/>
      <c r="I73" s="166"/>
      <c r="J73" s="166"/>
      <c r="K73" s="180"/>
      <c r="L73" s="460"/>
      <c r="M73" s="181" t="e">
        <f>RANK(K73, K$67:$K$81)</f>
        <v>#N/A</v>
      </c>
      <c r="N73" s="462"/>
      <c r="O73" s="462"/>
      <c r="P73" s="182"/>
      <c r="Q73" s="166"/>
      <c r="R73" s="166"/>
      <c r="S73" s="182" t="e">
        <f t="shared" si="57"/>
        <v>#N/A</v>
      </c>
      <c r="T73" s="460"/>
      <c r="U73" s="182"/>
      <c r="V73" s="166"/>
      <c r="W73" s="166"/>
      <c r="X73" s="182" t="e">
        <f t="shared" si="45"/>
        <v>#N/A</v>
      </c>
      <c r="Y73" s="460"/>
      <c r="Z73" s="182"/>
      <c r="AA73" s="166"/>
      <c r="AB73" s="166"/>
      <c r="AC73" s="182" t="e">
        <f t="shared" si="47"/>
        <v>#N/A</v>
      </c>
      <c r="AD73" s="460"/>
      <c r="AE73" s="182"/>
      <c r="AF73" s="166"/>
      <c r="AG73" s="166"/>
      <c r="AH73" s="182" t="e">
        <f t="shared" si="49"/>
        <v>#N/A</v>
      </c>
      <c r="AI73" s="460"/>
      <c r="AJ73" s="182"/>
      <c r="AK73" s="166"/>
      <c r="AL73" s="166"/>
      <c r="AM73" s="182" t="e">
        <f t="shared" si="51"/>
        <v>#N/A</v>
      </c>
      <c r="AN73" s="460"/>
      <c r="AO73" s="182"/>
      <c r="AP73" s="166"/>
      <c r="AQ73" s="166"/>
      <c r="AR73" s="182" t="e">
        <f t="shared" si="53"/>
        <v>#N/A</v>
      </c>
      <c r="AS73" s="460"/>
      <c r="AT73" s="182"/>
      <c r="AU73" s="180"/>
      <c r="AV73" s="180"/>
      <c r="AW73" s="182" t="e">
        <f t="shared" si="55"/>
        <v>#N/A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66"/>
      <c r="S74" s="182" t="e">
        <f t="shared" si="57"/>
        <v>#N/A</v>
      </c>
      <c r="T74" s="460"/>
      <c r="U74" s="182"/>
      <c r="V74" s="166"/>
      <c r="W74" s="166"/>
      <c r="X74" s="182" t="e">
        <f t="shared" si="45"/>
        <v>#N/A</v>
      </c>
      <c r="Y74" s="460"/>
      <c r="Z74" s="182"/>
      <c r="AA74" s="166"/>
      <c r="AB74" s="166"/>
      <c r="AC74" s="182" t="e">
        <f t="shared" si="47"/>
        <v>#N/A</v>
      </c>
      <c r="AD74" s="460"/>
      <c r="AE74" s="182"/>
      <c r="AF74" s="166"/>
      <c r="AG74" s="166"/>
      <c r="AH74" s="182" t="e">
        <f t="shared" si="49"/>
        <v>#N/A</v>
      </c>
      <c r="AI74" s="460"/>
      <c r="AJ74" s="182"/>
      <c r="AK74" s="166"/>
      <c r="AL74" s="166"/>
      <c r="AM74" s="182" t="e">
        <f t="shared" si="51"/>
        <v>#N/A</v>
      </c>
      <c r="AN74" s="460"/>
      <c r="AO74" s="182"/>
      <c r="AP74" s="166"/>
      <c r="AQ74" s="166"/>
      <c r="AR74" s="182" t="e">
        <f t="shared" si="53"/>
        <v>#N/A</v>
      </c>
      <c r="AS74" s="460"/>
      <c r="AT74" s="182"/>
      <c r="AU74" s="180"/>
      <c r="AV74" s="180"/>
      <c r="AW74" s="182" t="e">
        <f t="shared" si="55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66"/>
      <c r="S75" s="182" t="e">
        <f t="shared" si="57"/>
        <v>#N/A</v>
      </c>
      <c r="T75" s="460"/>
      <c r="U75" s="182"/>
      <c r="V75" s="166"/>
      <c r="W75" s="166"/>
      <c r="X75" s="182" t="e">
        <f t="shared" si="45"/>
        <v>#N/A</v>
      </c>
      <c r="Y75" s="460"/>
      <c r="Z75" s="182"/>
      <c r="AA75" s="166"/>
      <c r="AB75" s="166"/>
      <c r="AC75" s="182" t="e">
        <f t="shared" si="47"/>
        <v>#N/A</v>
      </c>
      <c r="AD75" s="460"/>
      <c r="AE75" s="182"/>
      <c r="AF75" s="166"/>
      <c r="AG75" s="166"/>
      <c r="AH75" s="182" t="e">
        <f t="shared" si="49"/>
        <v>#N/A</v>
      </c>
      <c r="AI75" s="460"/>
      <c r="AJ75" s="182"/>
      <c r="AK75" s="166"/>
      <c r="AL75" s="166"/>
      <c r="AM75" s="182" t="e">
        <f t="shared" si="51"/>
        <v>#N/A</v>
      </c>
      <c r="AN75" s="460"/>
      <c r="AO75" s="182"/>
      <c r="AP75" s="166"/>
      <c r="AQ75" s="166"/>
      <c r="AR75" s="182" t="e">
        <f t="shared" si="53"/>
        <v>#N/A</v>
      </c>
      <c r="AS75" s="460"/>
      <c r="AT75" s="182"/>
      <c r="AU75" s="180"/>
      <c r="AV75" s="180"/>
      <c r="AW75" s="182" t="e">
        <f t="shared" si="55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66"/>
      <c r="S76" s="182" t="e">
        <f t="shared" si="57"/>
        <v>#N/A</v>
      </c>
      <c r="T76" s="460"/>
      <c r="U76" s="182"/>
      <c r="V76" s="166"/>
      <c r="W76" s="166"/>
      <c r="X76" s="182" t="e">
        <f t="shared" si="45"/>
        <v>#N/A</v>
      </c>
      <c r="Y76" s="460"/>
      <c r="Z76" s="182"/>
      <c r="AA76" s="166"/>
      <c r="AB76" s="166"/>
      <c r="AC76" s="182" t="e">
        <f t="shared" si="47"/>
        <v>#N/A</v>
      </c>
      <c r="AD76" s="460"/>
      <c r="AE76" s="182"/>
      <c r="AF76" s="166"/>
      <c r="AG76" s="166"/>
      <c r="AH76" s="182" t="e">
        <f t="shared" si="49"/>
        <v>#N/A</v>
      </c>
      <c r="AI76" s="460"/>
      <c r="AJ76" s="182"/>
      <c r="AK76" s="166"/>
      <c r="AL76" s="166"/>
      <c r="AM76" s="182" t="e">
        <f t="shared" si="51"/>
        <v>#N/A</v>
      </c>
      <c r="AN76" s="460"/>
      <c r="AO76" s="182"/>
      <c r="AP76" s="166"/>
      <c r="AQ76" s="166"/>
      <c r="AR76" s="182" t="e">
        <f t="shared" si="53"/>
        <v>#N/A</v>
      </c>
      <c r="AS76" s="460"/>
      <c r="AT76" s="182"/>
      <c r="AU76" s="182"/>
      <c r="AV76" s="180"/>
      <c r="AW76" s="182" t="e">
        <f t="shared" si="55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66"/>
      <c r="R77" s="166"/>
      <c r="S77" s="182" t="e">
        <f t="shared" si="57"/>
        <v>#N/A</v>
      </c>
      <c r="T77" s="460"/>
      <c r="U77" s="182"/>
      <c r="V77" s="166"/>
      <c r="W77" s="166"/>
      <c r="X77" s="182" t="e">
        <f t="shared" si="45"/>
        <v>#N/A</v>
      </c>
      <c r="Y77" s="460"/>
      <c r="Z77" s="182"/>
      <c r="AA77" s="166"/>
      <c r="AB77" s="166"/>
      <c r="AC77" s="182" t="e">
        <f t="shared" si="47"/>
        <v>#N/A</v>
      </c>
      <c r="AD77" s="460"/>
      <c r="AE77" s="182"/>
      <c r="AF77" s="166"/>
      <c r="AG77" s="166"/>
      <c r="AH77" s="182" t="e">
        <f t="shared" si="49"/>
        <v>#N/A</v>
      </c>
      <c r="AI77" s="460"/>
      <c r="AJ77" s="182"/>
      <c r="AK77" s="166"/>
      <c r="AL77" s="166"/>
      <c r="AM77" s="182" t="e">
        <f t="shared" si="51"/>
        <v>#N/A</v>
      </c>
      <c r="AN77" s="460"/>
      <c r="AO77" s="182"/>
      <c r="AP77" s="166"/>
      <c r="AQ77" s="166"/>
      <c r="AR77" s="182" t="e">
        <f t="shared" si="53"/>
        <v>#N/A</v>
      </c>
      <c r="AS77" s="460"/>
      <c r="AT77" s="182"/>
      <c r="AU77" s="182"/>
      <c r="AV77" s="182"/>
      <c r="AW77" s="182" t="e">
        <f t="shared" si="55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66"/>
      <c r="R78" s="166"/>
      <c r="S78" s="182" t="e">
        <f t="shared" si="57"/>
        <v>#N/A</v>
      </c>
      <c r="T78" s="460"/>
      <c r="U78" s="182"/>
      <c r="V78" s="166"/>
      <c r="W78" s="166"/>
      <c r="X78" s="182" t="e">
        <f t="shared" si="45"/>
        <v>#N/A</v>
      </c>
      <c r="Y78" s="460"/>
      <c r="Z78" s="182"/>
      <c r="AA78" s="166"/>
      <c r="AB78" s="166"/>
      <c r="AC78" s="182" t="e">
        <f t="shared" si="47"/>
        <v>#N/A</v>
      </c>
      <c r="AD78" s="460"/>
      <c r="AE78" s="182"/>
      <c r="AF78" s="166"/>
      <c r="AG78" s="166"/>
      <c r="AH78" s="182" t="e">
        <f t="shared" si="49"/>
        <v>#N/A</v>
      </c>
      <c r="AI78" s="460"/>
      <c r="AJ78" s="182"/>
      <c r="AK78" s="166"/>
      <c r="AL78" s="166"/>
      <c r="AM78" s="182" t="e">
        <f t="shared" si="51"/>
        <v>#N/A</v>
      </c>
      <c r="AN78" s="460"/>
      <c r="AO78" s="182"/>
      <c r="AP78" s="166"/>
      <c r="AQ78" s="166"/>
      <c r="AR78" s="182" t="e">
        <f t="shared" si="53"/>
        <v>#N/A</v>
      </c>
      <c r="AS78" s="460"/>
      <c r="AT78" s="182"/>
      <c r="AU78" s="182"/>
      <c r="AV78" s="182"/>
      <c r="AW78" s="182" t="e">
        <f t="shared" si="55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66"/>
      <c r="R79" s="166"/>
      <c r="S79" s="182" t="e">
        <f t="shared" si="57"/>
        <v>#N/A</v>
      </c>
      <c r="T79" s="460"/>
      <c r="U79" s="182"/>
      <c r="V79" s="166"/>
      <c r="W79" s="166"/>
      <c r="X79" s="182" t="e">
        <f t="shared" si="45"/>
        <v>#N/A</v>
      </c>
      <c r="Y79" s="460"/>
      <c r="Z79" s="182"/>
      <c r="AA79" s="166"/>
      <c r="AB79" s="166"/>
      <c r="AC79" s="182" t="e">
        <f t="shared" si="47"/>
        <v>#N/A</v>
      </c>
      <c r="AD79" s="460"/>
      <c r="AE79" s="182"/>
      <c r="AF79" s="166"/>
      <c r="AG79" s="166"/>
      <c r="AH79" s="182" t="e">
        <f t="shared" si="49"/>
        <v>#N/A</v>
      </c>
      <c r="AI79" s="460"/>
      <c r="AJ79" s="182"/>
      <c r="AK79" s="166"/>
      <c r="AL79" s="166"/>
      <c r="AM79" s="182" t="e">
        <f t="shared" si="51"/>
        <v>#N/A</v>
      </c>
      <c r="AN79" s="460"/>
      <c r="AO79" s="182"/>
      <c r="AP79" s="166"/>
      <c r="AQ79" s="166"/>
      <c r="AR79" s="182" t="e">
        <f t="shared" si="53"/>
        <v>#N/A</v>
      </c>
      <c r="AS79" s="460"/>
      <c r="AT79" s="182"/>
      <c r="AU79" s="182"/>
      <c r="AV79" s="182"/>
      <c r="AW79" s="182" t="e">
        <f t="shared" si="55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66"/>
      <c r="R80" s="166"/>
      <c r="S80" s="182" t="e">
        <f t="shared" si="57"/>
        <v>#N/A</v>
      </c>
      <c r="T80" s="460"/>
      <c r="U80" s="182"/>
      <c r="V80" s="166"/>
      <c r="W80" s="166"/>
      <c r="X80" s="182" t="e">
        <f t="shared" si="45"/>
        <v>#N/A</v>
      </c>
      <c r="Y80" s="460"/>
      <c r="Z80" s="182"/>
      <c r="AA80" s="166"/>
      <c r="AB80" s="166"/>
      <c r="AC80" s="182" t="e">
        <f t="shared" si="47"/>
        <v>#N/A</v>
      </c>
      <c r="AD80" s="460"/>
      <c r="AE80" s="182"/>
      <c r="AF80" s="166"/>
      <c r="AG80" s="166"/>
      <c r="AH80" s="182" t="e">
        <f t="shared" si="49"/>
        <v>#N/A</v>
      </c>
      <c r="AI80" s="460"/>
      <c r="AJ80" s="182"/>
      <c r="AK80" s="166"/>
      <c r="AL80" s="166"/>
      <c r="AM80" s="182" t="e">
        <f t="shared" si="51"/>
        <v>#N/A</v>
      </c>
      <c r="AN80" s="460"/>
      <c r="AO80" s="182"/>
      <c r="AP80" s="166"/>
      <c r="AQ80" s="166"/>
      <c r="AR80" s="182" t="e">
        <f t="shared" si="53"/>
        <v>#N/A</v>
      </c>
      <c r="AS80" s="460"/>
      <c r="AT80" s="182"/>
      <c r="AU80" s="182"/>
      <c r="AV80" s="182"/>
      <c r="AW80" s="182" t="e">
        <f t="shared" si="55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66"/>
      <c r="R81" s="166"/>
      <c r="S81" s="182" t="e">
        <f t="shared" si="57"/>
        <v>#N/A</v>
      </c>
      <c r="T81" s="461"/>
      <c r="U81" s="182"/>
      <c r="V81" s="166"/>
      <c r="W81" s="166"/>
      <c r="X81" s="182" t="e">
        <f t="shared" si="45"/>
        <v>#N/A</v>
      </c>
      <c r="Y81" s="461"/>
      <c r="Z81" s="182"/>
      <c r="AA81" s="166"/>
      <c r="AB81" s="166"/>
      <c r="AC81" s="182" t="e">
        <f t="shared" si="47"/>
        <v>#N/A</v>
      </c>
      <c r="AD81" s="461"/>
      <c r="AE81" s="182"/>
      <c r="AF81" s="166"/>
      <c r="AG81" s="166"/>
      <c r="AH81" s="182" t="e">
        <f t="shared" si="49"/>
        <v>#N/A</v>
      </c>
      <c r="AI81" s="461"/>
      <c r="AJ81" s="182"/>
      <c r="AK81" s="166"/>
      <c r="AL81" s="166"/>
      <c r="AM81" s="182" t="e">
        <f t="shared" si="51"/>
        <v>#N/A</v>
      </c>
      <c r="AN81" s="461"/>
      <c r="AO81" s="182"/>
      <c r="AP81" s="166"/>
      <c r="AQ81" s="166"/>
      <c r="AR81" s="182" t="e">
        <f t="shared" si="53"/>
        <v>#N/A</v>
      </c>
      <c r="AS81" s="461"/>
      <c r="AT81" s="182"/>
      <c r="AU81" s="182"/>
      <c r="AV81" s="182"/>
      <c r="AW81" s="182" t="e">
        <f t="shared" si="55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351</v>
      </c>
      <c r="C87" s="182">
        <v>1</v>
      </c>
      <c r="D87" s="203"/>
      <c r="E87" s="166"/>
      <c r="F87" s="182"/>
      <c r="G87" s="180"/>
      <c r="H87" s="459" t="e">
        <f>AVERAGE(G87:G101)</f>
        <v>#DIV/0!</v>
      </c>
      <c r="I87" s="166" t="e">
        <f>AVERAGE(P87,U87,Z87,AE87,AJ87,AO87,AT87)</f>
        <v>#DIV/0!</v>
      </c>
      <c r="J87" s="166" t="e">
        <f>AVERAGE(Q87,V87,AA87,AF87,AK87,AP87,AU87)</f>
        <v>#DIV/0!</v>
      </c>
      <c r="K87" s="180" t="e">
        <f>AVERAGE(R87,W87,AB87,AG87,AL87,AQ87,AV87)</f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82"/>
      <c r="Q87" s="166"/>
      <c r="R87" s="166"/>
      <c r="S87" s="182" t="e">
        <f>RANK(R87, R$87:R$101)</f>
        <v>#N/A</v>
      </c>
      <c r="T87" s="459" t="e">
        <f>AVERAGE(R87:R101)</f>
        <v>#DIV/0!</v>
      </c>
      <c r="U87" s="182"/>
      <c r="V87" s="166"/>
      <c r="W87" s="166"/>
      <c r="X87" s="182" t="e">
        <f t="shared" ref="X87:X101" si="61">RANK(W87, W$87:W$101)</f>
        <v>#N/A</v>
      </c>
      <c r="Y87" s="459" t="e">
        <f t="shared" ref="Y87" si="62">AVERAGE(W87:W101)</f>
        <v>#DIV/0!</v>
      </c>
      <c r="Z87" s="182"/>
      <c r="AA87" s="166"/>
      <c r="AB87" s="166"/>
      <c r="AC87" s="182" t="e">
        <f t="shared" ref="AC87:AC101" si="63">RANK(AB87, AB$87:AB$101)</f>
        <v>#N/A</v>
      </c>
      <c r="AD87" s="459" t="e">
        <f t="shared" ref="AD87" si="64">AVERAGE(AB87:AB101)</f>
        <v>#DIV/0!</v>
      </c>
      <c r="AE87" s="182"/>
      <c r="AF87" s="166"/>
      <c r="AG87" s="166"/>
      <c r="AH87" s="182" t="e">
        <f t="shared" ref="AH87:AH101" si="65">RANK(AG87, AG$87:AG$101)</f>
        <v>#N/A</v>
      </c>
      <c r="AI87" s="459" t="e">
        <f t="shared" ref="AI87" si="66">AVERAGE(AG87:AG101)</f>
        <v>#DIV/0!</v>
      </c>
      <c r="AJ87" s="182"/>
      <c r="AK87" s="166"/>
      <c r="AL87" s="166"/>
      <c r="AM87" s="182" t="e">
        <f t="shared" ref="AM87:AM101" si="67">RANK(AL87, AL$87:AL$101)</f>
        <v>#N/A</v>
      </c>
      <c r="AN87" s="459" t="e">
        <f t="shared" ref="AN87" si="68">AVERAGE(AL87:AL101)</f>
        <v>#DIV/0!</v>
      </c>
      <c r="AO87" s="182"/>
      <c r="AP87" s="166"/>
      <c r="AQ87" s="166"/>
      <c r="AR87" s="182" t="e">
        <f t="shared" ref="AR87:AR101" si="69">RANK(AQ87, AQ$87:AQ$101)</f>
        <v>#N/A</v>
      </c>
      <c r="AS87" s="459" t="e">
        <f t="shared" ref="AS87" si="70">AVERAGE(AQ87:AQ101)</f>
        <v>#DIV/0!</v>
      </c>
      <c r="AT87" s="166"/>
      <c r="AU87" s="180"/>
      <c r="AV87" s="180"/>
      <c r="AW87" s="182" t="e">
        <f t="shared" ref="AW87:AW101" si="71">RANK(AV87, AV$87:AV$101)</f>
        <v>#N/A</v>
      </c>
      <c r="AX87" s="491" t="e">
        <f t="shared" ref="AX87" si="72">AVERAGE(AV87:AV101)</f>
        <v>#DIV/0!</v>
      </c>
    </row>
    <row r="88" spans="2:50">
      <c r="B88" s="479"/>
      <c r="C88" s="182">
        <v>2</v>
      </c>
      <c r="D88" s="203"/>
      <c r="E88" s="166"/>
      <c r="F88" s="182"/>
      <c r="G88" s="180"/>
      <c r="H88" s="460"/>
      <c r="I88" s="166" t="e">
        <f t="shared" ref="I88:K91" si="73">AVERAGE(P88,U88,Z88,AE88,AJ88,AO88,AT88)</f>
        <v>#DIV/0!</v>
      </c>
      <c r="J88" s="166" t="e">
        <f t="shared" si="73"/>
        <v>#DIV/0!</v>
      </c>
      <c r="K88" s="180" t="e">
        <f t="shared" si="73"/>
        <v>#DIV/0!</v>
      </c>
      <c r="L88" s="460"/>
      <c r="M88" s="181" t="e">
        <f>RANK(K88, K$87:$K$101)</f>
        <v>#DIV/0!</v>
      </c>
      <c r="N88" s="462"/>
      <c r="O88" s="462"/>
      <c r="P88" s="182"/>
      <c r="Q88" s="166"/>
      <c r="R88" s="166"/>
      <c r="S88" s="182" t="e">
        <f t="shared" ref="S88:S101" si="74">RANK(R88, R$87:R$101)</f>
        <v>#N/A</v>
      </c>
      <c r="T88" s="460"/>
      <c r="U88" s="182"/>
      <c r="V88" s="166"/>
      <c r="W88" s="166"/>
      <c r="X88" s="182" t="e">
        <f t="shared" si="61"/>
        <v>#N/A</v>
      </c>
      <c r="Y88" s="460"/>
      <c r="Z88" s="182"/>
      <c r="AA88" s="166"/>
      <c r="AB88" s="166"/>
      <c r="AC88" s="182" t="e">
        <f t="shared" si="63"/>
        <v>#N/A</v>
      </c>
      <c r="AD88" s="460"/>
      <c r="AE88" s="182"/>
      <c r="AF88" s="166"/>
      <c r="AG88" s="166"/>
      <c r="AH88" s="182" t="e">
        <f t="shared" si="65"/>
        <v>#N/A</v>
      </c>
      <c r="AI88" s="460"/>
      <c r="AJ88" s="182"/>
      <c r="AK88" s="166"/>
      <c r="AL88" s="166"/>
      <c r="AM88" s="182" t="e">
        <f t="shared" si="67"/>
        <v>#N/A</v>
      </c>
      <c r="AN88" s="460"/>
      <c r="AO88" s="182"/>
      <c r="AP88" s="166"/>
      <c r="AQ88" s="166"/>
      <c r="AR88" s="182" t="e">
        <f t="shared" si="69"/>
        <v>#N/A</v>
      </c>
      <c r="AS88" s="460"/>
      <c r="AT88" s="182"/>
      <c r="AU88" s="180"/>
      <c r="AV88" s="180"/>
      <c r="AW88" s="182" t="e">
        <f t="shared" si="71"/>
        <v>#N/A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 t="e">
        <f t="shared" si="73"/>
        <v>#DIV/0!</v>
      </c>
      <c r="J89" s="166" t="e">
        <f t="shared" si="73"/>
        <v>#DIV/0!</v>
      </c>
      <c r="K89" s="180" t="e">
        <f t="shared" si="73"/>
        <v>#DIV/0!</v>
      </c>
      <c r="L89" s="460"/>
      <c r="M89" s="181" t="e">
        <f>RANK(K89, K$87:$K$101)</f>
        <v>#DIV/0!</v>
      </c>
      <c r="N89" s="462"/>
      <c r="O89" s="462"/>
      <c r="P89" s="182"/>
      <c r="Q89" s="166"/>
      <c r="R89" s="166"/>
      <c r="S89" s="182" t="e">
        <f t="shared" si="74"/>
        <v>#N/A</v>
      </c>
      <c r="T89" s="460"/>
      <c r="U89" s="182"/>
      <c r="V89" s="166"/>
      <c r="W89" s="166"/>
      <c r="X89" s="182" t="e">
        <f t="shared" si="61"/>
        <v>#N/A</v>
      </c>
      <c r="Y89" s="460"/>
      <c r="Z89" s="182"/>
      <c r="AA89" s="166"/>
      <c r="AB89" s="166"/>
      <c r="AC89" s="182" t="e">
        <f t="shared" si="63"/>
        <v>#N/A</v>
      </c>
      <c r="AD89" s="460"/>
      <c r="AE89" s="182"/>
      <c r="AF89" s="166"/>
      <c r="AG89" s="166"/>
      <c r="AH89" s="182" t="e">
        <f t="shared" si="65"/>
        <v>#N/A</v>
      </c>
      <c r="AI89" s="460"/>
      <c r="AJ89" s="182"/>
      <c r="AK89" s="166"/>
      <c r="AL89" s="166"/>
      <c r="AM89" s="182" t="e">
        <f t="shared" si="67"/>
        <v>#N/A</v>
      </c>
      <c r="AN89" s="460"/>
      <c r="AO89" s="182"/>
      <c r="AP89" s="166"/>
      <c r="AQ89" s="166"/>
      <c r="AR89" s="182" t="e">
        <f t="shared" si="69"/>
        <v>#N/A</v>
      </c>
      <c r="AS89" s="460"/>
      <c r="AT89" s="182"/>
      <c r="AU89" s="180"/>
      <c r="AV89" s="180"/>
      <c r="AW89" s="182" t="e">
        <f t="shared" si="71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 t="e">
        <f t="shared" si="73"/>
        <v>#DIV/0!</v>
      </c>
      <c r="J90" s="166" t="e">
        <f t="shared" si="73"/>
        <v>#DIV/0!</v>
      </c>
      <c r="K90" s="180" t="e">
        <f t="shared" si="73"/>
        <v>#DIV/0!</v>
      </c>
      <c r="L90" s="460"/>
      <c r="M90" s="181" t="e">
        <f>RANK(K90, K$87:$K$101)</f>
        <v>#DIV/0!</v>
      </c>
      <c r="N90" s="462"/>
      <c r="O90" s="462"/>
      <c r="P90" s="182"/>
      <c r="Q90" s="166"/>
      <c r="R90" s="166"/>
      <c r="S90" s="182" t="e">
        <f t="shared" si="74"/>
        <v>#N/A</v>
      </c>
      <c r="T90" s="460"/>
      <c r="U90" s="182"/>
      <c r="V90" s="166"/>
      <c r="W90" s="166"/>
      <c r="X90" s="182" t="e">
        <f t="shared" si="61"/>
        <v>#N/A</v>
      </c>
      <c r="Y90" s="460"/>
      <c r="Z90" s="182"/>
      <c r="AA90" s="166"/>
      <c r="AB90" s="166"/>
      <c r="AC90" s="182" t="e">
        <f t="shared" si="63"/>
        <v>#N/A</v>
      </c>
      <c r="AD90" s="460"/>
      <c r="AE90" s="182"/>
      <c r="AF90" s="166"/>
      <c r="AG90" s="166"/>
      <c r="AH90" s="182" t="e">
        <f t="shared" si="65"/>
        <v>#N/A</v>
      </c>
      <c r="AI90" s="460"/>
      <c r="AJ90" s="182"/>
      <c r="AK90" s="166"/>
      <c r="AL90" s="166"/>
      <c r="AM90" s="182" t="e">
        <f t="shared" si="67"/>
        <v>#N/A</v>
      </c>
      <c r="AN90" s="460"/>
      <c r="AO90" s="182"/>
      <c r="AP90" s="166"/>
      <c r="AQ90" s="166"/>
      <c r="AR90" s="182" t="e">
        <f t="shared" si="69"/>
        <v>#N/A</v>
      </c>
      <c r="AS90" s="460"/>
      <c r="AT90" s="182"/>
      <c r="AU90" s="180"/>
      <c r="AV90" s="180"/>
      <c r="AW90" s="182" t="e">
        <f t="shared" si="71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 t="e">
        <f t="shared" si="73"/>
        <v>#DIV/0!</v>
      </c>
      <c r="J91" s="166" t="e">
        <f t="shared" si="73"/>
        <v>#DIV/0!</v>
      </c>
      <c r="K91" s="180" t="e">
        <f t="shared" si="73"/>
        <v>#DIV/0!</v>
      </c>
      <c r="L91" s="460"/>
      <c r="M91" s="181" t="e">
        <f>RANK(K91, K$87:$K$101)</f>
        <v>#DIV/0!</v>
      </c>
      <c r="N91" s="462"/>
      <c r="O91" s="462"/>
      <c r="P91" s="182"/>
      <c r="Q91" s="166"/>
      <c r="R91" s="166"/>
      <c r="S91" s="182" t="e">
        <f t="shared" si="74"/>
        <v>#N/A</v>
      </c>
      <c r="T91" s="460"/>
      <c r="U91" s="182"/>
      <c r="V91" s="166"/>
      <c r="W91" s="166"/>
      <c r="X91" s="182" t="e">
        <f t="shared" si="61"/>
        <v>#N/A</v>
      </c>
      <c r="Y91" s="460"/>
      <c r="Z91" s="182"/>
      <c r="AA91" s="166"/>
      <c r="AB91" s="166"/>
      <c r="AC91" s="182" t="e">
        <f t="shared" si="63"/>
        <v>#N/A</v>
      </c>
      <c r="AD91" s="460"/>
      <c r="AE91" s="182"/>
      <c r="AF91" s="166"/>
      <c r="AG91" s="166"/>
      <c r="AH91" s="182" t="e">
        <f t="shared" si="65"/>
        <v>#N/A</v>
      </c>
      <c r="AI91" s="460"/>
      <c r="AJ91" s="182"/>
      <c r="AK91" s="166"/>
      <c r="AL91" s="166"/>
      <c r="AM91" s="182" t="e">
        <f t="shared" si="67"/>
        <v>#N/A</v>
      </c>
      <c r="AN91" s="460"/>
      <c r="AO91" s="182"/>
      <c r="AP91" s="166"/>
      <c r="AQ91" s="166"/>
      <c r="AR91" s="182" t="e">
        <f t="shared" si="69"/>
        <v>#N/A</v>
      </c>
      <c r="AS91" s="460"/>
      <c r="AT91" s="182"/>
      <c r="AU91" s="180"/>
      <c r="AV91" s="180"/>
      <c r="AW91" s="182" t="e">
        <f t="shared" si="71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/>
      <c r="J92" s="166"/>
      <c r="K92" s="180"/>
      <c r="L92" s="460"/>
      <c r="M92" s="181" t="e">
        <f>RANK(K92, K$87:$K$101)</f>
        <v>#DIV/0!</v>
      </c>
      <c r="N92" s="462"/>
      <c r="O92" s="462"/>
      <c r="P92" s="182"/>
      <c r="Q92" s="166"/>
      <c r="R92" s="166"/>
      <c r="S92" s="182" t="e">
        <f t="shared" si="74"/>
        <v>#N/A</v>
      </c>
      <c r="T92" s="460"/>
      <c r="U92" s="182"/>
      <c r="V92" s="166"/>
      <c r="W92" s="166"/>
      <c r="X92" s="182" t="e">
        <f t="shared" si="61"/>
        <v>#N/A</v>
      </c>
      <c r="Y92" s="460"/>
      <c r="Z92" s="182"/>
      <c r="AA92" s="166"/>
      <c r="AB92" s="166"/>
      <c r="AC92" s="182" t="e">
        <f t="shared" si="63"/>
        <v>#N/A</v>
      </c>
      <c r="AD92" s="460"/>
      <c r="AE92" s="182"/>
      <c r="AF92" s="166"/>
      <c r="AG92" s="166"/>
      <c r="AH92" s="182" t="e">
        <f t="shared" si="65"/>
        <v>#N/A</v>
      </c>
      <c r="AI92" s="460"/>
      <c r="AJ92" s="182"/>
      <c r="AK92" s="166"/>
      <c r="AL92" s="166"/>
      <c r="AM92" s="182" t="e">
        <f t="shared" si="67"/>
        <v>#N/A</v>
      </c>
      <c r="AN92" s="460"/>
      <c r="AO92" s="182"/>
      <c r="AP92" s="166"/>
      <c r="AQ92" s="166"/>
      <c r="AR92" s="182" t="e">
        <f t="shared" si="69"/>
        <v>#N/A</v>
      </c>
      <c r="AS92" s="460"/>
      <c r="AT92" s="182"/>
      <c r="AU92" s="180"/>
      <c r="AV92" s="180"/>
      <c r="AW92" s="182" t="e">
        <f t="shared" si="71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/>
      <c r="J93" s="166"/>
      <c r="K93" s="180"/>
      <c r="L93" s="460"/>
      <c r="M93" s="181" t="e">
        <f>RANK(K93, K$87:$K$101)</f>
        <v>#DIV/0!</v>
      </c>
      <c r="N93" s="462"/>
      <c r="O93" s="462"/>
      <c r="P93" s="182"/>
      <c r="Q93" s="166"/>
      <c r="R93" s="166"/>
      <c r="S93" s="182" t="e">
        <f t="shared" si="74"/>
        <v>#N/A</v>
      </c>
      <c r="T93" s="460"/>
      <c r="U93" s="182"/>
      <c r="V93" s="166"/>
      <c r="W93" s="166"/>
      <c r="X93" s="182" t="e">
        <f t="shared" si="61"/>
        <v>#N/A</v>
      </c>
      <c r="Y93" s="460"/>
      <c r="Z93" s="182"/>
      <c r="AA93" s="166"/>
      <c r="AB93" s="166"/>
      <c r="AC93" s="182" t="e">
        <f t="shared" si="63"/>
        <v>#N/A</v>
      </c>
      <c r="AD93" s="460"/>
      <c r="AE93" s="182"/>
      <c r="AF93" s="166"/>
      <c r="AG93" s="166"/>
      <c r="AH93" s="182" t="e">
        <f t="shared" si="65"/>
        <v>#N/A</v>
      </c>
      <c r="AI93" s="460"/>
      <c r="AJ93" s="182"/>
      <c r="AK93" s="166"/>
      <c r="AL93" s="166"/>
      <c r="AM93" s="182" t="e">
        <f t="shared" si="67"/>
        <v>#N/A</v>
      </c>
      <c r="AN93" s="460"/>
      <c r="AO93" s="182"/>
      <c r="AP93" s="166"/>
      <c r="AQ93" s="166"/>
      <c r="AR93" s="182" t="e">
        <f t="shared" si="69"/>
        <v>#N/A</v>
      </c>
      <c r="AS93" s="460"/>
      <c r="AT93" s="182"/>
      <c r="AU93" s="180"/>
      <c r="AV93" s="180"/>
      <c r="AW93" s="182" t="e">
        <f t="shared" si="71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/>
      <c r="J94" s="166"/>
      <c r="K94" s="180"/>
      <c r="L94" s="460"/>
      <c r="M94" s="181" t="e">
        <f>RANK(K94, K$87:$K$101)</f>
        <v>#DIV/0!</v>
      </c>
      <c r="N94" s="462"/>
      <c r="O94" s="462"/>
      <c r="P94" s="182"/>
      <c r="Q94" s="166"/>
      <c r="R94" s="166"/>
      <c r="S94" s="182" t="e">
        <f t="shared" si="74"/>
        <v>#N/A</v>
      </c>
      <c r="T94" s="460"/>
      <c r="U94" s="182"/>
      <c r="V94" s="166"/>
      <c r="W94" s="166"/>
      <c r="X94" s="182" t="e">
        <f t="shared" si="61"/>
        <v>#N/A</v>
      </c>
      <c r="Y94" s="460"/>
      <c r="Z94" s="182"/>
      <c r="AA94" s="166"/>
      <c r="AB94" s="166"/>
      <c r="AC94" s="182" t="e">
        <f t="shared" si="63"/>
        <v>#N/A</v>
      </c>
      <c r="AD94" s="460"/>
      <c r="AE94" s="182"/>
      <c r="AF94" s="166"/>
      <c r="AG94" s="166"/>
      <c r="AH94" s="182" t="e">
        <f t="shared" si="65"/>
        <v>#N/A</v>
      </c>
      <c r="AI94" s="460"/>
      <c r="AJ94" s="182"/>
      <c r="AK94" s="166"/>
      <c r="AL94" s="166"/>
      <c r="AM94" s="182" t="e">
        <f t="shared" si="67"/>
        <v>#N/A</v>
      </c>
      <c r="AN94" s="460"/>
      <c r="AO94" s="182"/>
      <c r="AP94" s="166"/>
      <c r="AQ94" s="166"/>
      <c r="AR94" s="182" t="e">
        <f t="shared" si="69"/>
        <v>#N/A</v>
      </c>
      <c r="AS94" s="460"/>
      <c r="AT94" s="182"/>
      <c r="AU94" s="180"/>
      <c r="AV94" s="180"/>
      <c r="AW94" s="182" t="e">
        <f t="shared" si="71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#DIV/0!</v>
      </c>
      <c r="N95" s="462"/>
      <c r="O95" s="462"/>
      <c r="P95" s="182"/>
      <c r="Q95" s="166"/>
      <c r="R95" s="166"/>
      <c r="S95" s="182" t="e">
        <f t="shared" si="74"/>
        <v>#N/A</v>
      </c>
      <c r="T95" s="460"/>
      <c r="U95" s="182"/>
      <c r="V95" s="166"/>
      <c r="W95" s="166"/>
      <c r="X95" s="182" t="e">
        <f t="shared" si="61"/>
        <v>#N/A</v>
      </c>
      <c r="Y95" s="460"/>
      <c r="Z95" s="182"/>
      <c r="AA95" s="166"/>
      <c r="AB95" s="166"/>
      <c r="AC95" s="182" t="e">
        <f t="shared" si="63"/>
        <v>#N/A</v>
      </c>
      <c r="AD95" s="460"/>
      <c r="AE95" s="182"/>
      <c r="AF95" s="166"/>
      <c r="AG95" s="166"/>
      <c r="AH95" s="182" t="e">
        <f t="shared" si="65"/>
        <v>#N/A</v>
      </c>
      <c r="AI95" s="460"/>
      <c r="AJ95" s="182"/>
      <c r="AK95" s="166"/>
      <c r="AL95" s="166"/>
      <c r="AM95" s="182" t="e">
        <f t="shared" si="67"/>
        <v>#N/A</v>
      </c>
      <c r="AN95" s="460"/>
      <c r="AO95" s="182"/>
      <c r="AP95" s="166"/>
      <c r="AQ95" s="166"/>
      <c r="AR95" s="182" t="e">
        <f t="shared" si="69"/>
        <v>#N/A</v>
      </c>
      <c r="AS95" s="460"/>
      <c r="AT95" s="182"/>
      <c r="AU95" s="180"/>
      <c r="AV95" s="180"/>
      <c r="AW95" s="182" t="e">
        <f t="shared" si="71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#DIV/0!</v>
      </c>
      <c r="N96" s="462"/>
      <c r="O96" s="462"/>
      <c r="P96" s="182"/>
      <c r="Q96" s="166"/>
      <c r="R96" s="166"/>
      <c r="S96" s="182" t="e">
        <f t="shared" si="74"/>
        <v>#N/A</v>
      </c>
      <c r="T96" s="460"/>
      <c r="U96" s="182"/>
      <c r="V96" s="166"/>
      <c r="W96" s="166"/>
      <c r="X96" s="182" t="e">
        <f t="shared" si="61"/>
        <v>#N/A</v>
      </c>
      <c r="Y96" s="460"/>
      <c r="Z96" s="182"/>
      <c r="AA96" s="166"/>
      <c r="AB96" s="166"/>
      <c r="AC96" s="182" t="e">
        <f t="shared" si="63"/>
        <v>#N/A</v>
      </c>
      <c r="AD96" s="460"/>
      <c r="AE96" s="182"/>
      <c r="AF96" s="166"/>
      <c r="AG96" s="166"/>
      <c r="AH96" s="182" t="e">
        <f t="shared" si="65"/>
        <v>#N/A</v>
      </c>
      <c r="AI96" s="460"/>
      <c r="AJ96" s="182"/>
      <c r="AK96" s="166"/>
      <c r="AL96" s="166"/>
      <c r="AM96" s="182" t="e">
        <f t="shared" si="67"/>
        <v>#N/A</v>
      </c>
      <c r="AN96" s="460"/>
      <c r="AO96" s="182"/>
      <c r="AP96" s="166"/>
      <c r="AQ96" s="166"/>
      <c r="AR96" s="182" t="e">
        <f t="shared" si="69"/>
        <v>#N/A</v>
      </c>
      <c r="AS96" s="460"/>
      <c r="AT96" s="182"/>
      <c r="AU96" s="182"/>
      <c r="AV96" s="180"/>
      <c r="AW96" s="182" t="e">
        <f t="shared" si="71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82"/>
      <c r="J97" s="182"/>
      <c r="K97" s="182"/>
      <c r="L97" s="460"/>
      <c r="M97" s="181" t="e">
        <f>RANK(K97, K$87:$K$101)</f>
        <v>#DIV/0!</v>
      </c>
      <c r="N97" s="462"/>
      <c r="O97" s="462"/>
      <c r="P97" s="182"/>
      <c r="Q97" s="166"/>
      <c r="R97" s="166"/>
      <c r="S97" s="182" t="e">
        <f t="shared" si="74"/>
        <v>#N/A</v>
      </c>
      <c r="T97" s="460"/>
      <c r="U97" s="182"/>
      <c r="V97" s="166"/>
      <c r="W97" s="166"/>
      <c r="X97" s="182" t="e">
        <f t="shared" si="61"/>
        <v>#N/A</v>
      </c>
      <c r="Y97" s="460"/>
      <c r="Z97" s="182"/>
      <c r="AA97" s="166"/>
      <c r="AB97" s="166"/>
      <c r="AC97" s="182" t="e">
        <f t="shared" si="63"/>
        <v>#N/A</v>
      </c>
      <c r="AD97" s="460"/>
      <c r="AE97" s="182"/>
      <c r="AF97" s="166"/>
      <c r="AG97" s="166"/>
      <c r="AH97" s="182" t="e">
        <f t="shared" si="65"/>
        <v>#N/A</v>
      </c>
      <c r="AI97" s="460"/>
      <c r="AJ97" s="182"/>
      <c r="AK97" s="166"/>
      <c r="AL97" s="166"/>
      <c r="AM97" s="182" t="e">
        <f t="shared" si="67"/>
        <v>#N/A</v>
      </c>
      <c r="AN97" s="460"/>
      <c r="AO97" s="182"/>
      <c r="AP97" s="166"/>
      <c r="AQ97" s="166"/>
      <c r="AR97" s="182" t="e">
        <f t="shared" si="69"/>
        <v>#N/A</v>
      </c>
      <c r="AS97" s="460"/>
      <c r="AT97" s="182"/>
      <c r="AU97" s="182"/>
      <c r="AV97" s="182"/>
      <c r="AW97" s="182" t="e">
        <f t="shared" si="71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#DIV/0!</v>
      </c>
      <c r="N98" s="462"/>
      <c r="O98" s="462"/>
      <c r="P98" s="182"/>
      <c r="Q98" s="166"/>
      <c r="R98" s="166"/>
      <c r="S98" s="182" t="e">
        <f t="shared" si="74"/>
        <v>#N/A</v>
      </c>
      <c r="T98" s="460"/>
      <c r="U98" s="182"/>
      <c r="V98" s="166"/>
      <c r="W98" s="166"/>
      <c r="X98" s="182" t="e">
        <f t="shared" si="61"/>
        <v>#N/A</v>
      </c>
      <c r="Y98" s="460"/>
      <c r="Z98" s="182"/>
      <c r="AA98" s="166"/>
      <c r="AB98" s="166"/>
      <c r="AC98" s="182" t="e">
        <f t="shared" si="63"/>
        <v>#N/A</v>
      </c>
      <c r="AD98" s="460"/>
      <c r="AE98" s="182"/>
      <c r="AF98" s="166"/>
      <c r="AG98" s="166"/>
      <c r="AH98" s="182" t="e">
        <f t="shared" si="65"/>
        <v>#N/A</v>
      </c>
      <c r="AI98" s="460"/>
      <c r="AJ98" s="182"/>
      <c r="AK98" s="166"/>
      <c r="AL98" s="166"/>
      <c r="AM98" s="182" t="e">
        <f t="shared" si="67"/>
        <v>#N/A</v>
      </c>
      <c r="AN98" s="460"/>
      <c r="AO98" s="182"/>
      <c r="AP98" s="166"/>
      <c r="AQ98" s="166"/>
      <c r="AR98" s="182" t="e">
        <f t="shared" si="69"/>
        <v>#N/A</v>
      </c>
      <c r="AS98" s="460"/>
      <c r="AT98" s="182"/>
      <c r="AU98" s="182"/>
      <c r="AV98" s="182"/>
      <c r="AW98" s="182" t="e">
        <f t="shared" si="71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#DIV/0!</v>
      </c>
      <c r="N99" s="462"/>
      <c r="O99" s="462"/>
      <c r="P99" s="182"/>
      <c r="Q99" s="166"/>
      <c r="R99" s="166"/>
      <c r="S99" s="182" t="e">
        <f t="shared" si="74"/>
        <v>#N/A</v>
      </c>
      <c r="T99" s="460"/>
      <c r="U99" s="182"/>
      <c r="V99" s="166"/>
      <c r="W99" s="166"/>
      <c r="X99" s="182" t="e">
        <f t="shared" si="61"/>
        <v>#N/A</v>
      </c>
      <c r="Y99" s="460"/>
      <c r="Z99" s="182"/>
      <c r="AA99" s="166"/>
      <c r="AB99" s="166"/>
      <c r="AC99" s="182" t="e">
        <f t="shared" si="63"/>
        <v>#N/A</v>
      </c>
      <c r="AD99" s="460"/>
      <c r="AE99" s="182"/>
      <c r="AF99" s="166"/>
      <c r="AG99" s="166"/>
      <c r="AH99" s="182" t="e">
        <f t="shared" si="65"/>
        <v>#N/A</v>
      </c>
      <c r="AI99" s="460"/>
      <c r="AJ99" s="182"/>
      <c r="AK99" s="166"/>
      <c r="AL99" s="166"/>
      <c r="AM99" s="182" t="e">
        <f t="shared" si="67"/>
        <v>#N/A</v>
      </c>
      <c r="AN99" s="460"/>
      <c r="AO99" s="182"/>
      <c r="AP99" s="166"/>
      <c r="AQ99" s="166"/>
      <c r="AR99" s="182" t="e">
        <f t="shared" si="69"/>
        <v>#N/A</v>
      </c>
      <c r="AS99" s="460"/>
      <c r="AT99" s="182"/>
      <c r="AU99" s="182"/>
      <c r="AV99" s="182"/>
      <c r="AW99" s="182" t="e">
        <f t="shared" si="71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#DIV/0!</v>
      </c>
      <c r="N100" s="462"/>
      <c r="O100" s="462"/>
      <c r="P100" s="182"/>
      <c r="Q100" s="166"/>
      <c r="R100" s="166"/>
      <c r="S100" s="182" t="e">
        <f t="shared" si="74"/>
        <v>#N/A</v>
      </c>
      <c r="T100" s="460"/>
      <c r="U100" s="182"/>
      <c r="V100" s="166"/>
      <c r="W100" s="166"/>
      <c r="X100" s="182" t="e">
        <f t="shared" si="61"/>
        <v>#N/A</v>
      </c>
      <c r="Y100" s="460"/>
      <c r="Z100" s="182"/>
      <c r="AA100" s="166"/>
      <c r="AB100" s="166"/>
      <c r="AC100" s="182" t="e">
        <f t="shared" si="63"/>
        <v>#N/A</v>
      </c>
      <c r="AD100" s="460"/>
      <c r="AE100" s="182"/>
      <c r="AF100" s="166"/>
      <c r="AG100" s="166"/>
      <c r="AH100" s="182" t="e">
        <f t="shared" si="65"/>
        <v>#N/A</v>
      </c>
      <c r="AI100" s="460"/>
      <c r="AJ100" s="182"/>
      <c r="AK100" s="166"/>
      <c r="AL100" s="166"/>
      <c r="AM100" s="182" t="e">
        <f t="shared" si="67"/>
        <v>#N/A</v>
      </c>
      <c r="AN100" s="460"/>
      <c r="AO100" s="182"/>
      <c r="AP100" s="166"/>
      <c r="AQ100" s="166"/>
      <c r="AR100" s="182" t="e">
        <f t="shared" si="69"/>
        <v>#N/A</v>
      </c>
      <c r="AS100" s="460"/>
      <c r="AT100" s="182"/>
      <c r="AU100" s="182"/>
      <c r="AV100" s="182"/>
      <c r="AW100" s="182" t="e">
        <f t="shared" si="71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#DIV/0!</v>
      </c>
      <c r="N101" s="462"/>
      <c r="O101" s="462"/>
      <c r="P101" s="182"/>
      <c r="Q101" s="166"/>
      <c r="R101" s="166"/>
      <c r="S101" s="182" t="e">
        <f t="shared" si="74"/>
        <v>#N/A</v>
      </c>
      <c r="T101" s="461"/>
      <c r="U101" s="182"/>
      <c r="V101" s="166"/>
      <c r="W101" s="166"/>
      <c r="X101" s="182" t="e">
        <f t="shared" si="61"/>
        <v>#N/A</v>
      </c>
      <c r="Y101" s="461"/>
      <c r="Z101" s="182"/>
      <c r="AA101" s="166"/>
      <c r="AB101" s="166"/>
      <c r="AC101" s="182" t="e">
        <f t="shared" si="63"/>
        <v>#N/A</v>
      </c>
      <c r="AD101" s="461"/>
      <c r="AE101" s="182"/>
      <c r="AF101" s="166"/>
      <c r="AG101" s="166"/>
      <c r="AH101" s="182" t="e">
        <f t="shared" si="65"/>
        <v>#N/A</v>
      </c>
      <c r="AI101" s="461"/>
      <c r="AJ101" s="182"/>
      <c r="AK101" s="166"/>
      <c r="AL101" s="166"/>
      <c r="AM101" s="182" t="e">
        <f t="shared" si="67"/>
        <v>#N/A</v>
      </c>
      <c r="AN101" s="461"/>
      <c r="AO101" s="182"/>
      <c r="AP101" s="166"/>
      <c r="AQ101" s="166"/>
      <c r="AR101" s="182" t="e">
        <f t="shared" si="69"/>
        <v>#N/A</v>
      </c>
      <c r="AS101" s="461"/>
      <c r="AT101" s="182"/>
      <c r="AU101" s="182"/>
      <c r="AV101" s="182"/>
      <c r="AW101" s="182" t="e">
        <f t="shared" si="71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321</v>
      </c>
      <c r="C104" s="462" t="s">
        <v>322</v>
      </c>
      <c r="D104" s="462"/>
      <c r="E104" s="462" t="s">
        <v>323</v>
      </c>
      <c r="F104" s="462"/>
      <c r="G104" s="462"/>
      <c r="H104" s="463" t="s">
        <v>324</v>
      </c>
      <c r="I104" s="462" t="s">
        <v>325</v>
      </c>
      <c r="J104" s="462"/>
      <c r="K104" s="462"/>
      <c r="L104" s="463" t="s">
        <v>324</v>
      </c>
      <c r="M104" s="469" t="s">
        <v>326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328</v>
      </c>
      <c r="F105" s="462"/>
      <c r="G105" s="462"/>
      <c r="H105" s="464"/>
      <c r="I105" s="462" t="s">
        <v>328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329</v>
      </c>
      <c r="F106" s="271" t="s">
        <v>330</v>
      </c>
      <c r="G106" s="271" t="s">
        <v>331</v>
      </c>
      <c r="H106" s="465"/>
      <c r="I106" s="271" t="s">
        <v>329</v>
      </c>
      <c r="J106" s="271" t="s">
        <v>330</v>
      </c>
      <c r="K106" s="271" t="s">
        <v>331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345</v>
      </c>
      <c r="C107" s="182">
        <v>1</v>
      </c>
      <c r="D107" s="203"/>
      <c r="E107" s="166"/>
      <c r="F107" s="182"/>
      <c r="G107" s="180"/>
      <c r="H107" s="508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82"/>
      <c r="Q107" s="166"/>
      <c r="R107" s="166"/>
      <c r="S107" s="182" t="e">
        <f>RANK(R107, R$67:R$81)</f>
        <v>#N/A</v>
      </c>
      <c r="T107" s="491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91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91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91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91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91" t="e">
        <f>AVERAGE(AQ107:AQ121)</f>
        <v>#DIV/0!</v>
      </c>
      <c r="AT107" s="166"/>
      <c r="AU107" s="180"/>
      <c r="AV107" s="180"/>
      <c r="AW107" s="182" t="e">
        <f>RANK(AV107, AV$67:AV$81)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509"/>
      <c r="I108" s="166" t="e">
        <f t="shared" ref="I108:K111" si="75">AVERAGE(P108,U108,Z108,AE108,AJ108,AO108,AT108)</f>
        <v>#DIV/0!</v>
      </c>
      <c r="J108" s="166" t="e">
        <f t="shared" si="75"/>
        <v>#DIV/0!</v>
      </c>
      <c r="K108" s="180" t="e">
        <f t="shared" si="75"/>
        <v>#DIV/0!</v>
      </c>
      <c r="L108" s="460"/>
      <c r="M108" s="166" t="e">
        <f>RANK(K108, K$67:$K$81)</f>
        <v>#DIV/0!</v>
      </c>
      <c r="N108" s="462"/>
      <c r="O108" s="462"/>
      <c r="P108" s="182"/>
      <c r="Q108" s="166"/>
      <c r="R108" s="166"/>
      <c r="S108" s="182" t="e">
        <f t="shared" ref="S108:S121" si="76">RANK(R108, R$67:R$81)</f>
        <v>#N/A</v>
      </c>
      <c r="T108" s="491"/>
      <c r="U108" s="182"/>
      <c r="V108" s="166"/>
      <c r="W108" s="166"/>
      <c r="X108" s="182" t="e">
        <f t="shared" ref="X108:X121" si="77">RANK(W108, W$67:W$81)</f>
        <v>#N/A</v>
      </c>
      <c r="Y108" s="491"/>
      <c r="Z108" s="182"/>
      <c r="AA108" s="166"/>
      <c r="AB108" s="166"/>
      <c r="AC108" s="182" t="e">
        <f t="shared" ref="AC108:AC121" si="78">RANK(AB108, AB$67:AB$81)</f>
        <v>#N/A</v>
      </c>
      <c r="AD108" s="491"/>
      <c r="AE108" s="182"/>
      <c r="AF108" s="166"/>
      <c r="AG108" s="166"/>
      <c r="AH108" s="182" t="e">
        <f t="shared" ref="AH108:AH121" si="79">RANK(AG108, AG$67:AG$81)</f>
        <v>#N/A</v>
      </c>
      <c r="AI108" s="491"/>
      <c r="AJ108" s="182"/>
      <c r="AK108" s="166"/>
      <c r="AL108" s="166"/>
      <c r="AM108" s="182" t="e">
        <f t="shared" ref="AM108:AM121" si="80">RANK(AL108, AL$67:AL$81)</f>
        <v>#N/A</v>
      </c>
      <c r="AN108" s="491"/>
      <c r="AO108" s="182"/>
      <c r="AP108" s="166"/>
      <c r="AQ108" s="166"/>
      <c r="AR108" s="182" t="e">
        <f t="shared" ref="AR108:AR121" si="81">RANK(AQ108, AQ$67:AQ$81)</f>
        <v>#N/A</v>
      </c>
      <c r="AS108" s="491"/>
      <c r="AT108" s="182"/>
      <c r="AU108" s="180"/>
      <c r="AV108" s="180"/>
      <c r="AW108" s="182" t="e">
        <f t="shared" ref="AW108:AW121" si="82">RANK(AV108, AV$67:AV$81)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509"/>
      <c r="I109" s="166" t="e">
        <f t="shared" si="75"/>
        <v>#DIV/0!</v>
      </c>
      <c r="J109" s="166" t="e">
        <f t="shared" si="75"/>
        <v>#DIV/0!</v>
      </c>
      <c r="K109" s="180" t="e">
        <f t="shared" si="75"/>
        <v>#DIV/0!</v>
      </c>
      <c r="L109" s="460"/>
      <c r="M109" s="166" t="e">
        <f>RANK(K109, K$67:$K$81)</f>
        <v>#DIV/0!</v>
      </c>
      <c r="N109" s="462"/>
      <c r="O109" s="462"/>
      <c r="P109" s="182"/>
      <c r="Q109" s="166"/>
      <c r="R109" s="166"/>
      <c r="S109" s="182" t="e">
        <f t="shared" si="76"/>
        <v>#N/A</v>
      </c>
      <c r="T109" s="491"/>
      <c r="U109" s="182"/>
      <c r="V109" s="166"/>
      <c r="W109" s="166"/>
      <c r="X109" s="182" t="e">
        <f t="shared" si="77"/>
        <v>#N/A</v>
      </c>
      <c r="Y109" s="491"/>
      <c r="Z109" s="182"/>
      <c r="AA109" s="166"/>
      <c r="AB109" s="166"/>
      <c r="AC109" s="182" t="e">
        <f t="shared" si="78"/>
        <v>#N/A</v>
      </c>
      <c r="AD109" s="491"/>
      <c r="AE109" s="182"/>
      <c r="AF109" s="166"/>
      <c r="AG109" s="166"/>
      <c r="AH109" s="182" t="e">
        <f t="shared" si="79"/>
        <v>#N/A</v>
      </c>
      <c r="AI109" s="491"/>
      <c r="AJ109" s="182"/>
      <c r="AK109" s="166"/>
      <c r="AL109" s="166"/>
      <c r="AM109" s="182" t="e">
        <f t="shared" si="80"/>
        <v>#N/A</v>
      </c>
      <c r="AN109" s="491"/>
      <c r="AO109" s="182"/>
      <c r="AP109" s="166"/>
      <c r="AQ109" s="166"/>
      <c r="AR109" s="182" t="e">
        <f t="shared" si="81"/>
        <v>#N/A</v>
      </c>
      <c r="AS109" s="491"/>
      <c r="AT109" s="182"/>
      <c r="AU109" s="180"/>
      <c r="AV109" s="180"/>
      <c r="AW109" s="182" t="e">
        <f t="shared" si="82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509"/>
      <c r="I110" s="166" t="e">
        <f t="shared" si="75"/>
        <v>#DIV/0!</v>
      </c>
      <c r="J110" s="166" t="e">
        <f t="shared" si="75"/>
        <v>#DIV/0!</v>
      </c>
      <c r="K110" s="180" t="e">
        <f t="shared" si="75"/>
        <v>#DIV/0!</v>
      </c>
      <c r="L110" s="460"/>
      <c r="M110" s="166" t="e">
        <f>RANK(K110, K$67:$K$81)</f>
        <v>#DIV/0!</v>
      </c>
      <c r="N110" s="462"/>
      <c r="O110" s="462"/>
      <c r="P110" s="182"/>
      <c r="Q110" s="166"/>
      <c r="R110" s="166"/>
      <c r="S110" s="182" t="e">
        <f t="shared" si="76"/>
        <v>#N/A</v>
      </c>
      <c r="T110" s="491"/>
      <c r="U110" s="182"/>
      <c r="V110" s="166"/>
      <c r="W110" s="166"/>
      <c r="X110" s="182" t="e">
        <f t="shared" si="77"/>
        <v>#N/A</v>
      </c>
      <c r="Y110" s="491"/>
      <c r="Z110" s="182"/>
      <c r="AA110" s="166"/>
      <c r="AB110" s="166"/>
      <c r="AC110" s="182" t="e">
        <f t="shared" si="78"/>
        <v>#N/A</v>
      </c>
      <c r="AD110" s="491"/>
      <c r="AE110" s="182"/>
      <c r="AF110" s="166"/>
      <c r="AG110" s="166"/>
      <c r="AH110" s="182" t="e">
        <f t="shared" si="79"/>
        <v>#N/A</v>
      </c>
      <c r="AI110" s="491"/>
      <c r="AJ110" s="182"/>
      <c r="AK110" s="166"/>
      <c r="AL110" s="166"/>
      <c r="AM110" s="182" t="e">
        <f t="shared" si="80"/>
        <v>#N/A</v>
      </c>
      <c r="AN110" s="491"/>
      <c r="AO110" s="182"/>
      <c r="AP110" s="166"/>
      <c r="AQ110" s="166"/>
      <c r="AR110" s="182" t="e">
        <f t="shared" si="81"/>
        <v>#N/A</v>
      </c>
      <c r="AS110" s="491"/>
      <c r="AT110" s="182"/>
      <c r="AU110" s="180"/>
      <c r="AV110" s="180"/>
      <c r="AW110" s="182" t="e">
        <f t="shared" si="82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509"/>
      <c r="I111" s="166" t="e">
        <f t="shared" si="75"/>
        <v>#DIV/0!</v>
      </c>
      <c r="J111" s="166" t="e">
        <f t="shared" si="75"/>
        <v>#DIV/0!</v>
      </c>
      <c r="K111" s="180" t="e">
        <f t="shared" si="75"/>
        <v>#DIV/0!</v>
      </c>
      <c r="L111" s="460"/>
      <c r="M111" s="166" t="e">
        <f>RANK(K111, K$67:$K$81)</f>
        <v>#DIV/0!</v>
      </c>
      <c r="N111" s="462"/>
      <c r="O111" s="462"/>
      <c r="P111" s="182"/>
      <c r="Q111" s="166"/>
      <c r="R111" s="166"/>
      <c r="S111" s="182" t="e">
        <f t="shared" si="76"/>
        <v>#N/A</v>
      </c>
      <c r="T111" s="491"/>
      <c r="U111" s="182"/>
      <c r="V111" s="166"/>
      <c r="W111" s="166"/>
      <c r="X111" s="182" t="e">
        <f t="shared" si="77"/>
        <v>#N/A</v>
      </c>
      <c r="Y111" s="491"/>
      <c r="Z111" s="182"/>
      <c r="AA111" s="166"/>
      <c r="AB111" s="166"/>
      <c r="AC111" s="182" t="e">
        <f t="shared" si="78"/>
        <v>#N/A</v>
      </c>
      <c r="AD111" s="491"/>
      <c r="AE111" s="182"/>
      <c r="AF111" s="166"/>
      <c r="AG111" s="166"/>
      <c r="AH111" s="182" t="e">
        <f t="shared" si="79"/>
        <v>#N/A</v>
      </c>
      <c r="AI111" s="491"/>
      <c r="AJ111" s="182"/>
      <c r="AK111" s="166"/>
      <c r="AL111" s="166"/>
      <c r="AM111" s="182" t="e">
        <f t="shared" si="80"/>
        <v>#N/A</v>
      </c>
      <c r="AN111" s="491"/>
      <c r="AO111" s="182"/>
      <c r="AP111" s="166"/>
      <c r="AQ111" s="166"/>
      <c r="AR111" s="182" t="e">
        <f t="shared" si="81"/>
        <v>#N/A</v>
      </c>
      <c r="AS111" s="491"/>
      <c r="AT111" s="182"/>
      <c r="AU111" s="180"/>
      <c r="AV111" s="180"/>
      <c r="AW111" s="182" t="e">
        <f t="shared" si="82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509"/>
      <c r="I112" s="166"/>
      <c r="J112" s="166"/>
      <c r="K112" s="180"/>
      <c r="L112" s="460"/>
      <c r="M112" s="166" t="e">
        <f>RANK(K112, K$67:$K$81)</f>
        <v>#N/A</v>
      </c>
      <c r="N112" s="462"/>
      <c r="O112" s="462"/>
      <c r="P112" s="182"/>
      <c r="Q112" s="166"/>
      <c r="R112" s="166"/>
      <c r="S112" s="182" t="e">
        <f t="shared" si="76"/>
        <v>#N/A</v>
      </c>
      <c r="T112" s="491"/>
      <c r="U112" s="182"/>
      <c r="V112" s="166"/>
      <c r="W112" s="166"/>
      <c r="X112" s="182" t="e">
        <f t="shared" si="77"/>
        <v>#N/A</v>
      </c>
      <c r="Y112" s="491"/>
      <c r="Z112" s="182"/>
      <c r="AA112" s="166"/>
      <c r="AB112" s="166"/>
      <c r="AC112" s="182" t="e">
        <f t="shared" si="78"/>
        <v>#N/A</v>
      </c>
      <c r="AD112" s="491"/>
      <c r="AE112" s="182"/>
      <c r="AF112" s="166"/>
      <c r="AG112" s="166"/>
      <c r="AH112" s="182" t="e">
        <f t="shared" si="79"/>
        <v>#N/A</v>
      </c>
      <c r="AI112" s="491"/>
      <c r="AJ112" s="182"/>
      <c r="AK112" s="166"/>
      <c r="AL112" s="166"/>
      <c r="AM112" s="182" t="e">
        <f t="shared" si="80"/>
        <v>#N/A</v>
      </c>
      <c r="AN112" s="491"/>
      <c r="AO112" s="182"/>
      <c r="AP112" s="166"/>
      <c r="AQ112" s="166"/>
      <c r="AR112" s="182" t="e">
        <f t="shared" si="81"/>
        <v>#N/A</v>
      </c>
      <c r="AS112" s="491"/>
      <c r="AT112" s="182"/>
      <c r="AU112" s="180"/>
      <c r="AV112" s="180"/>
      <c r="AW112" s="182" t="e">
        <f t="shared" si="82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509"/>
      <c r="I113" s="166"/>
      <c r="J113" s="166"/>
      <c r="K113" s="180"/>
      <c r="L113" s="460"/>
      <c r="M113" s="166" t="e">
        <f>RANK(K113, K$67:$K$81)</f>
        <v>#N/A</v>
      </c>
      <c r="N113" s="462"/>
      <c r="O113" s="462"/>
      <c r="P113" s="182"/>
      <c r="Q113" s="166"/>
      <c r="R113" s="166"/>
      <c r="S113" s="182" t="e">
        <f t="shared" si="76"/>
        <v>#N/A</v>
      </c>
      <c r="T113" s="491"/>
      <c r="U113" s="182"/>
      <c r="V113" s="166"/>
      <c r="W113" s="166"/>
      <c r="X113" s="182" t="e">
        <f t="shared" si="77"/>
        <v>#N/A</v>
      </c>
      <c r="Y113" s="491"/>
      <c r="Z113" s="182"/>
      <c r="AA113" s="166"/>
      <c r="AB113" s="166"/>
      <c r="AC113" s="182" t="e">
        <f t="shared" si="78"/>
        <v>#N/A</v>
      </c>
      <c r="AD113" s="491"/>
      <c r="AE113" s="182"/>
      <c r="AF113" s="166"/>
      <c r="AG113" s="166"/>
      <c r="AH113" s="182" t="e">
        <f t="shared" si="79"/>
        <v>#N/A</v>
      </c>
      <c r="AI113" s="491"/>
      <c r="AJ113" s="182"/>
      <c r="AK113" s="166"/>
      <c r="AL113" s="166"/>
      <c r="AM113" s="182" t="e">
        <f t="shared" si="80"/>
        <v>#N/A</v>
      </c>
      <c r="AN113" s="491"/>
      <c r="AO113" s="182"/>
      <c r="AP113" s="166"/>
      <c r="AQ113" s="166"/>
      <c r="AR113" s="182" t="e">
        <f t="shared" si="81"/>
        <v>#N/A</v>
      </c>
      <c r="AS113" s="491"/>
      <c r="AT113" s="182"/>
      <c r="AU113" s="180"/>
      <c r="AV113" s="180"/>
      <c r="AW113" s="182" t="e">
        <f t="shared" si="82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509"/>
      <c r="I114" s="166"/>
      <c r="J114" s="166"/>
      <c r="K114" s="180"/>
      <c r="L114" s="460"/>
      <c r="M114" s="166" t="e">
        <f>RANK(K114, K$67:$K$81)</f>
        <v>#N/A</v>
      </c>
      <c r="N114" s="462"/>
      <c r="O114" s="462"/>
      <c r="P114" s="182"/>
      <c r="Q114" s="166"/>
      <c r="R114" s="166"/>
      <c r="S114" s="182" t="e">
        <f t="shared" si="76"/>
        <v>#N/A</v>
      </c>
      <c r="T114" s="491"/>
      <c r="U114" s="182"/>
      <c r="V114" s="166"/>
      <c r="W114" s="166"/>
      <c r="X114" s="182" t="e">
        <f t="shared" si="77"/>
        <v>#N/A</v>
      </c>
      <c r="Y114" s="491"/>
      <c r="Z114" s="182"/>
      <c r="AA114" s="166"/>
      <c r="AB114" s="166"/>
      <c r="AC114" s="182" t="e">
        <f t="shared" si="78"/>
        <v>#N/A</v>
      </c>
      <c r="AD114" s="491"/>
      <c r="AE114" s="182"/>
      <c r="AF114" s="166"/>
      <c r="AG114" s="166"/>
      <c r="AH114" s="182" t="e">
        <f t="shared" si="79"/>
        <v>#N/A</v>
      </c>
      <c r="AI114" s="491"/>
      <c r="AJ114" s="182"/>
      <c r="AK114" s="166"/>
      <c r="AL114" s="166"/>
      <c r="AM114" s="182" t="e">
        <f t="shared" si="80"/>
        <v>#N/A</v>
      </c>
      <c r="AN114" s="491"/>
      <c r="AO114" s="182"/>
      <c r="AP114" s="166"/>
      <c r="AQ114" s="166"/>
      <c r="AR114" s="182" t="e">
        <f t="shared" si="81"/>
        <v>#N/A</v>
      </c>
      <c r="AS114" s="491"/>
      <c r="AT114" s="182"/>
      <c r="AU114" s="180"/>
      <c r="AV114" s="180"/>
      <c r="AW114" s="182" t="e">
        <f t="shared" si="82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509"/>
      <c r="I115" s="166"/>
      <c r="J115" s="166"/>
      <c r="K115" s="180"/>
      <c r="L115" s="460"/>
      <c r="M115" s="166" t="e">
        <f>RANK(K115, K$67:$K$81)</f>
        <v>#N/A</v>
      </c>
      <c r="N115" s="462"/>
      <c r="O115" s="462"/>
      <c r="P115" s="182"/>
      <c r="Q115" s="166"/>
      <c r="R115" s="166"/>
      <c r="S115" s="182" t="e">
        <f t="shared" si="76"/>
        <v>#N/A</v>
      </c>
      <c r="T115" s="491"/>
      <c r="U115" s="182"/>
      <c r="V115" s="166"/>
      <c r="W115" s="166"/>
      <c r="X115" s="182" t="e">
        <f t="shared" si="77"/>
        <v>#N/A</v>
      </c>
      <c r="Y115" s="491"/>
      <c r="Z115" s="182"/>
      <c r="AA115" s="166"/>
      <c r="AB115" s="166"/>
      <c r="AC115" s="182" t="e">
        <f t="shared" si="78"/>
        <v>#N/A</v>
      </c>
      <c r="AD115" s="491"/>
      <c r="AE115" s="182"/>
      <c r="AF115" s="166"/>
      <c r="AG115" s="166"/>
      <c r="AH115" s="182" t="e">
        <f t="shared" si="79"/>
        <v>#N/A</v>
      </c>
      <c r="AI115" s="491"/>
      <c r="AJ115" s="182"/>
      <c r="AK115" s="166"/>
      <c r="AL115" s="166"/>
      <c r="AM115" s="182" t="e">
        <f t="shared" si="80"/>
        <v>#N/A</v>
      </c>
      <c r="AN115" s="491"/>
      <c r="AO115" s="182"/>
      <c r="AP115" s="166"/>
      <c r="AQ115" s="166"/>
      <c r="AR115" s="182" t="e">
        <f t="shared" si="81"/>
        <v>#N/A</v>
      </c>
      <c r="AS115" s="491"/>
      <c r="AT115" s="182"/>
      <c r="AU115" s="180"/>
      <c r="AV115" s="180"/>
      <c r="AW115" s="182" t="e">
        <f t="shared" si="82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509"/>
      <c r="I116" s="166"/>
      <c r="J116" s="166"/>
      <c r="K116" s="180"/>
      <c r="L116" s="460"/>
      <c r="M116" s="166" t="e">
        <f>RANK(K116, K$67:$K$81)</f>
        <v>#N/A</v>
      </c>
      <c r="N116" s="462"/>
      <c r="O116" s="462"/>
      <c r="P116" s="182"/>
      <c r="Q116" s="166"/>
      <c r="R116" s="166"/>
      <c r="S116" s="182" t="e">
        <f t="shared" si="76"/>
        <v>#N/A</v>
      </c>
      <c r="T116" s="491"/>
      <c r="U116" s="182"/>
      <c r="V116" s="166"/>
      <c r="W116" s="166"/>
      <c r="X116" s="182" t="e">
        <f t="shared" si="77"/>
        <v>#N/A</v>
      </c>
      <c r="Y116" s="491"/>
      <c r="Z116" s="182"/>
      <c r="AA116" s="166"/>
      <c r="AB116" s="166"/>
      <c r="AC116" s="182" t="e">
        <f t="shared" si="78"/>
        <v>#N/A</v>
      </c>
      <c r="AD116" s="491"/>
      <c r="AE116" s="182"/>
      <c r="AF116" s="166"/>
      <c r="AG116" s="166"/>
      <c r="AH116" s="182" t="e">
        <f t="shared" si="79"/>
        <v>#N/A</v>
      </c>
      <c r="AI116" s="491"/>
      <c r="AJ116" s="182"/>
      <c r="AK116" s="166"/>
      <c r="AL116" s="166"/>
      <c r="AM116" s="182" t="e">
        <f t="shared" si="80"/>
        <v>#N/A</v>
      </c>
      <c r="AN116" s="491"/>
      <c r="AO116" s="182"/>
      <c r="AP116" s="166"/>
      <c r="AQ116" s="166"/>
      <c r="AR116" s="182" t="e">
        <f t="shared" si="81"/>
        <v>#N/A</v>
      </c>
      <c r="AS116" s="491"/>
      <c r="AT116" s="182"/>
      <c r="AU116" s="182"/>
      <c r="AV116" s="180"/>
      <c r="AW116" s="182" t="e">
        <f t="shared" si="82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509"/>
      <c r="I117" s="182"/>
      <c r="J117" s="182"/>
      <c r="K117" s="182"/>
      <c r="L117" s="460"/>
      <c r="M117" s="166" t="e">
        <f>RANK(K117, K$67:$K$81)</f>
        <v>#N/A</v>
      </c>
      <c r="N117" s="462"/>
      <c r="O117" s="462"/>
      <c r="P117" s="182"/>
      <c r="Q117" s="166"/>
      <c r="R117" s="166"/>
      <c r="S117" s="182" t="e">
        <f t="shared" si="76"/>
        <v>#N/A</v>
      </c>
      <c r="T117" s="491"/>
      <c r="U117" s="182"/>
      <c r="V117" s="166"/>
      <c r="W117" s="166"/>
      <c r="X117" s="182" t="e">
        <f t="shared" si="77"/>
        <v>#N/A</v>
      </c>
      <c r="Y117" s="491"/>
      <c r="Z117" s="182"/>
      <c r="AA117" s="166"/>
      <c r="AB117" s="166"/>
      <c r="AC117" s="182" t="e">
        <f t="shared" si="78"/>
        <v>#N/A</v>
      </c>
      <c r="AD117" s="491"/>
      <c r="AE117" s="182"/>
      <c r="AF117" s="166"/>
      <c r="AG117" s="166"/>
      <c r="AH117" s="182" t="e">
        <f t="shared" si="79"/>
        <v>#N/A</v>
      </c>
      <c r="AI117" s="491"/>
      <c r="AJ117" s="182"/>
      <c r="AK117" s="166"/>
      <c r="AL117" s="166"/>
      <c r="AM117" s="182" t="e">
        <f t="shared" si="80"/>
        <v>#N/A</v>
      </c>
      <c r="AN117" s="491"/>
      <c r="AO117" s="182"/>
      <c r="AP117" s="166"/>
      <c r="AQ117" s="166"/>
      <c r="AR117" s="182" t="e">
        <f t="shared" si="81"/>
        <v>#N/A</v>
      </c>
      <c r="AS117" s="491"/>
      <c r="AT117" s="182"/>
      <c r="AU117" s="182"/>
      <c r="AV117" s="182"/>
      <c r="AW117" s="182" t="e">
        <f t="shared" si="82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509"/>
      <c r="I118" s="182"/>
      <c r="J118" s="182"/>
      <c r="K118" s="182"/>
      <c r="L118" s="460"/>
      <c r="M118" s="166" t="e">
        <f>RANK(K118, K$67:$K$81)</f>
        <v>#N/A</v>
      </c>
      <c r="N118" s="462"/>
      <c r="O118" s="462"/>
      <c r="P118" s="182"/>
      <c r="Q118" s="166"/>
      <c r="R118" s="166"/>
      <c r="S118" s="182" t="e">
        <f t="shared" si="76"/>
        <v>#N/A</v>
      </c>
      <c r="T118" s="491"/>
      <c r="U118" s="182"/>
      <c r="V118" s="166"/>
      <c r="W118" s="166"/>
      <c r="X118" s="182" t="e">
        <f t="shared" si="77"/>
        <v>#N/A</v>
      </c>
      <c r="Y118" s="491"/>
      <c r="Z118" s="182"/>
      <c r="AA118" s="166"/>
      <c r="AB118" s="166"/>
      <c r="AC118" s="182" t="e">
        <f t="shared" si="78"/>
        <v>#N/A</v>
      </c>
      <c r="AD118" s="491"/>
      <c r="AE118" s="182"/>
      <c r="AF118" s="166"/>
      <c r="AG118" s="166"/>
      <c r="AH118" s="182" t="e">
        <f t="shared" si="79"/>
        <v>#N/A</v>
      </c>
      <c r="AI118" s="491"/>
      <c r="AJ118" s="182"/>
      <c r="AK118" s="166"/>
      <c r="AL118" s="166"/>
      <c r="AM118" s="182" t="e">
        <f t="shared" si="80"/>
        <v>#N/A</v>
      </c>
      <c r="AN118" s="491"/>
      <c r="AO118" s="182"/>
      <c r="AP118" s="166"/>
      <c r="AQ118" s="166"/>
      <c r="AR118" s="182" t="e">
        <f t="shared" si="81"/>
        <v>#N/A</v>
      </c>
      <c r="AS118" s="491"/>
      <c r="AT118" s="182"/>
      <c r="AU118" s="182"/>
      <c r="AV118" s="182"/>
      <c r="AW118" s="182" t="e">
        <f t="shared" si="82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509"/>
      <c r="I119" s="182"/>
      <c r="J119" s="182"/>
      <c r="K119" s="182"/>
      <c r="L119" s="460"/>
      <c r="M119" s="166" t="e">
        <f>RANK(K119, K$67:$K$81)</f>
        <v>#N/A</v>
      </c>
      <c r="N119" s="462"/>
      <c r="O119" s="462"/>
      <c r="P119" s="182"/>
      <c r="Q119" s="166"/>
      <c r="R119" s="166"/>
      <c r="S119" s="182" t="e">
        <f t="shared" si="76"/>
        <v>#N/A</v>
      </c>
      <c r="T119" s="491"/>
      <c r="U119" s="182"/>
      <c r="V119" s="166"/>
      <c r="W119" s="166"/>
      <c r="X119" s="182" t="e">
        <f t="shared" si="77"/>
        <v>#N/A</v>
      </c>
      <c r="Y119" s="491"/>
      <c r="Z119" s="182"/>
      <c r="AA119" s="166"/>
      <c r="AB119" s="166"/>
      <c r="AC119" s="182" t="e">
        <f t="shared" si="78"/>
        <v>#N/A</v>
      </c>
      <c r="AD119" s="491"/>
      <c r="AE119" s="182"/>
      <c r="AF119" s="166"/>
      <c r="AG119" s="166"/>
      <c r="AH119" s="182" t="e">
        <f t="shared" si="79"/>
        <v>#N/A</v>
      </c>
      <c r="AI119" s="491"/>
      <c r="AJ119" s="182"/>
      <c r="AK119" s="166"/>
      <c r="AL119" s="166"/>
      <c r="AM119" s="182" t="e">
        <f t="shared" si="80"/>
        <v>#N/A</v>
      </c>
      <c r="AN119" s="491"/>
      <c r="AO119" s="182"/>
      <c r="AP119" s="166"/>
      <c r="AQ119" s="166"/>
      <c r="AR119" s="182" t="e">
        <f t="shared" si="81"/>
        <v>#N/A</v>
      </c>
      <c r="AS119" s="491"/>
      <c r="AT119" s="182"/>
      <c r="AU119" s="182"/>
      <c r="AV119" s="182"/>
      <c r="AW119" s="182" t="e">
        <f t="shared" si="82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509"/>
      <c r="I120" s="182"/>
      <c r="J120" s="182"/>
      <c r="K120" s="182"/>
      <c r="L120" s="460"/>
      <c r="M120" s="166" t="e">
        <f>RANK(K120, K$67:$K$81)</f>
        <v>#N/A</v>
      </c>
      <c r="N120" s="462"/>
      <c r="O120" s="462"/>
      <c r="P120" s="182"/>
      <c r="Q120" s="166"/>
      <c r="R120" s="166"/>
      <c r="S120" s="182" t="e">
        <f t="shared" si="76"/>
        <v>#N/A</v>
      </c>
      <c r="T120" s="491"/>
      <c r="U120" s="182"/>
      <c r="V120" s="166"/>
      <c r="W120" s="166"/>
      <c r="X120" s="182" t="e">
        <f t="shared" si="77"/>
        <v>#N/A</v>
      </c>
      <c r="Y120" s="491"/>
      <c r="Z120" s="182"/>
      <c r="AA120" s="166"/>
      <c r="AB120" s="166"/>
      <c r="AC120" s="182" t="e">
        <f t="shared" si="78"/>
        <v>#N/A</v>
      </c>
      <c r="AD120" s="491"/>
      <c r="AE120" s="182"/>
      <c r="AF120" s="166"/>
      <c r="AG120" s="166"/>
      <c r="AH120" s="182" t="e">
        <f t="shared" si="79"/>
        <v>#N/A</v>
      </c>
      <c r="AI120" s="491"/>
      <c r="AJ120" s="182"/>
      <c r="AK120" s="166"/>
      <c r="AL120" s="166"/>
      <c r="AM120" s="182" t="e">
        <f t="shared" si="80"/>
        <v>#N/A</v>
      </c>
      <c r="AN120" s="491"/>
      <c r="AO120" s="182"/>
      <c r="AP120" s="166"/>
      <c r="AQ120" s="166"/>
      <c r="AR120" s="182" t="e">
        <f t="shared" si="81"/>
        <v>#N/A</v>
      </c>
      <c r="AS120" s="491"/>
      <c r="AT120" s="182"/>
      <c r="AU120" s="182"/>
      <c r="AV120" s="182"/>
      <c r="AW120" s="182" t="e">
        <f t="shared" si="82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510"/>
      <c r="I121" s="182"/>
      <c r="J121" s="182"/>
      <c r="K121" s="182"/>
      <c r="L121" s="461"/>
      <c r="M121" s="166" t="e">
        <f>RANK(K121, K$47:$K$61)</f>
        <v>#N/A</v>
      </c>
      <c r="N121" s="462"/>
      <c r="O121" s="462"/>
      <c r="P121" s="182"/>
      <c r="Q121" s="166"/>
      <c r="R121" s="166"/>
      <c r="S121" s="182" t="e">
        <f t="shared" si="76"/>
        <v>#N/A</v>
      </c>
      <c r="T121" s="491"/>
      <c r="U121" s="182"/>
      <c r="V121" s="166"/>
      <c r="W121" s="166"/>
      <c r="X121" s="182" t="e">
        <f t="shared" si="77"/>
        <v>#N/A</v>
      </c>
      <c r="Y121" s="491"/>
      <c r="Z121" s="182"/>
      <c r="AA121" s="166"/>
      <c r="AB121" s="166"/>
      <c r="AC121" s="182" t="e">
        <f t="shared" si="78"/>
        <v>#N/A</v>
      </c>
      <c r="AD121" s="491"/>
      <c r="AE121" s="182"/>
      <c r="AF121" s="166"/>
      <c r="AG121" s="166"/>
      <c r="AH121" s="182" t="e">
        <f t="shared" si="79"/>
        <v>#N/A</v>
      </c>
      <c r="AI121" s="491"/>
      <c r="AJ121" s="182"/>
      <c r="AK121" s="166"/>
      <c r="AL121" s="166"/>
      <c r="AM121" s="182" t="e">
        <f t="shared" si="80"/>
        <v>#N/A</v>
      </c>
      <c r="AN121" s="491"/>
      <c r="AO121" s="182"/>
      <c r="AP121" s="166"/>
      <c r="AQ121" s="166"/>
      <c r="AR121" s="182" t="e">
        <f t="shared" si="81"/>
        <v>#N/A</v>
      </c>
      <c r="AS121" s="491"/>
      <c r="AT121" s="182"/>
      <c r="AU121" s="182"/>
      <c r="AV121" s="182"/>
      <c r="AW121" s="182" t="e">
        <f t="shared" si="82"/>
        <v>#N/A</v>
      </c>
      <c r="AX121" s="491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351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2" si="83">AVERAGEIF($D$7:$D$121,$D128,I$7:I$121)</f>
        <v>#DIV/0!</v>
      </c>
      <c r="J128" s="166" t="e">
        <f t="shared" si="83"/>
        <v>#DIV/0!</v>
      </c>
      <c r="K128" s="166" t="e">
        <f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83"/>
        <v>#DIV/0!</v>
      </c>
      <c r="J129" s="166" t="e">
        <f t="shared" si="83"/>
        <v>#DIV/0!</v>
      </c>
      <c r="K129" s="166" t="e">
        <f>AVERAGEIF($D$7:$D$121,$D129,K$7:K$121)</f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83"/>
        <v>#DIV/0!</v>
      </c>
      <c r="J130" s="166" t="e">
        <f t="shared" si="83"/>
        <v>#DIV/0!</v>
      </c>
      <c r="K130" s="166" t="e">
        <f>AVERAGEIF($D$7:$D$121,$D130,K$7:K$121)</f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83"/>
        <v>#DIV/0!</v>
      </c>
      <c r="J131" s="166" t="e">
        <f t="shared" si="83"/>
        <v>#DIV/0!</v>
      </c>
      <c r="K131" s="166" t="e">
        <f>AVERAGEIF($D$7:$D$121,$D131,K$7:K$121)</f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83"/>
        <v>#DIV/0!</v>
      </c>
      <c r="J132" s="166" t="e">
        <f t="shared" si="83"/>
        <v>#DIV/0!</v>
      </c>
      <c r="K132" s="166" t="e">
        <f>AVERAGEIF($D$7:$D$121,$D132,K$7:K$121)</f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/>
      <c r="J133" s="166"/>
      <c r="K133" s="166"/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/>
      <c r="J134" s="166"/>
      <c r="K134" s="166"/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1" zoomScale="70" zoomScaleNormal="70" workbookViewId="0">
      <pane xSplit="15" topLeftCell="P1" activePane="topRight" state="frozen"/>
      <selection activeCell="A7" sqref="A7:L28"/>
      <selection pane="topRight" activeCell="L107" sqref="L107:L12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252</v>
      </c>
      <c r="C1" s="197">
        <f>AVERAGE(L7,L27,L47,L67,L87,L107)</f>
        <v>119.5449675036507</v>
      </c>
    </row>
    <row r="2" spans="1:54" ht="15.75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75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321</v>
      </c>
      <c r="C4" s="462" t="s">
        <v>322</v>
      </c>
      <c r="D4" s="462"/>
      <c r="E4" s="462" t="s">
        <v>323</v>
      </c>
      <c r="F4" s="462"/>
      <c r="G4" s="462"/>
      <c r="H4" s="463" t="s">
        <v>324</v>
      </c>
      <c r="I4" s="462" t="s">
        <v>325</v>
      </c>
      <c r="J4" s="462"/>
      <c r="K4" s="462"/>
      <c r="L4" s="463" t="s">
        <v>324</v>
      </c>
      <c r="M4" s="469" t="s">
        <v>326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328</v>
      </c>
      <c r="F5" s="462"/>
      <c r="G5" s="462"/>
      <c r="H5" s="464"/>
      <c r="I5" s="462" t="s">
        <v>328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329</v>
      </c>
      <c r="F6" s="271" t="s">
        <v>330</v>
      </c>
      <c r="G6" s="271" t="s">
        <v>331</v>
      </c>
      <c r="H6" s="465"/>
      <c r="I6" s="271" t="s">
        <v>329</v>
      </c>
      <c r="J6" s="271" t="s">
        <v>330</v>
      </c>
      <c r="K6" s="271" t="s">
        <v>331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345</v>
      </c>
      <c r="C7" s="182">
        <v>1</v>
      </c>
      <c r="D7" s="203" t="s">
        <v>352</v>
      </c>
      <c r="E7" s="166">
        <v>6</v>
      </c>
      <c r="F7" s="166">
        <v>1500</v>
      </c>
      <c r="G7" s="166">
        <v>250</v>
      </c>
      <c r="H7" s="459">
        <f>AVERAGE(G7:G21)</f>
        <v>140.15</v>
      </c>
      <c r="I7" s="166">
        <f>AVERAGE(P7,U7,Z7,AE7,AJ7,AO7,AT7)</f>
        <v>6.2857142857142856</v>
      </c>
      <c r="J7" s="166">
        <f>AVERAGE(Q7,V7,AA7,AF7,AK7,AP7,AU7)</f>
        <v>1325.1454811507867</v>
      </c>
      <c r="K7" s="180">
        <f>AVERAGE(R7,W7,AB7,AG7,AL7,AQ7,AV7)</f>
        <v>211.87539342037562</v>
      </c>
      <c r="L7" s="459">
        <f>AVERAGE(K7:K21)</f>
        <v>123.95887330277785</v>
      </c>
      <c r="M7" s="181">
        <f>RANK(K7, K$7:$K$21)</f>
        <v>3</v>
      </c>
      <c r="N7" s="462"/>
      <c r="O7" s="462"/>
      <c r="P7" s="182">
        <v>6</v>
      </c>
      <c r="Q7" s="166">
        <v>1324.1095890410957</v>
      </c>
      <c r="R7" s="166">
        <v>220.68493150684927</v>
      </c>
      <c r="S7" s="182">
        <f>RANK(R7, R$7:R$21)</f>
        <v>3</v>
      </c>
      <c r="T7" s="491">
        <f>AVERAGE(R7:R21)</f>
        <v>128.43092342909142</v>
      </c>
      <c r="U7" s="182">
        <v>7</v>
      </c>
      <c r="V7" s="166">
        <v>1314.929577464789</v>
      </c>
      <c r="W7" s="166">
        <v>187.84708249496984</v>
      </c>
      <c r="X7" s="182">
        <f>RANK(W7, W$7:W$21)</f>
        <v>3</v>
      </c>
      <c r="Y7" s="491">
        <f>AVERAGE(W7:W21)</f>
        <v>115.01018129202609</v>
      </c>
      <c r="Z7" s="182">
        <v>6</v>
      </c>
      <c r="AA7" s="166">
        <v>1336.3636363636365</v>
      </c>
      <c r="AB7" s="166">
        <v>222.72727272727275</v>
      </c>
      <c r="AC7" s="182">
        <f>RANK(AB7, AB$7:AB$21)</f>
        <v>3</v>
      </c>
      <c r="AD7" s="491">
        <f>AVERAGE(AB7:AB21)</f>
        <v>127.23052732293193</v>
      </c>
      <c r="AE7" s="182">
        <v>6</v>
      </c>
      <c r="AF7" s="166">
        <v>1344.9230769230767</v>
      </c>
      <c r="AG7" s="166">
        <v>224.1538461538461</v>
      </c>
      <c r="AH7" s="182">
        <f>RANK(AG7, AG$7:AG$21)</f>
        <v>3</v>
      </c>
      <c r="AI7" s="491">
        <f>AVERAGE(AG7:AG21)</f>
        <v>126.41576280305212</v>
      </c>
      <c r="AJ7" s="182">
        <v>6</v>
      </c>
      <c r="AK7" s="166">
        <v>1303.0985915492961</v>
      </c>
      <c r="AL7" s="166">
        <v>217.18309859154934</v>
      </c>
      <c r="AM7" s="182">
        <f>RANK(AL7, AL$7:AL$21)</f>
        <v>3</v>
      </c>
      <c r="AN7" s="491">
        <f>AVERAGE(AL7:AL21)</f>
        <v>126.55912284171504</v>
      </c>
      <c r="AO7" s="182">
        <v>6</v>
      </c>
      <c r="AP7" s="166">
        <v>1326.7605633802818</v>
      </c>
      <c r="AQ7" s="166">
        <v>221.12676056338032</v>
      </c>
      <c r="AR7" s="182">
        <f>RANK(AQ7, AQ$7:AQ$21)</f>
        <v>3</v>
      </c>
      <c r="AS7" s="491">
        <f>AVERAGE(AQ7:AQ21)</f>
        <v>126.93754416387848</v>
      </c>
      <c r="AT7" s="182">
        <v>7</v>
      </c>
      <c r="AU7" s="166">
        <v>1325.8333333333328</v>
      </c>
      <c r="AV7" s="166">
        <v>189.40476190476184</v>
      </c>
      <c r="AW7" s="182">
        <f>RANK(AV7, AV$7:AV$21)</f>
        <v>3</v>
      </c>
      <c r="AX7" s="491">
        <f>AVERAGE(AV7:AV21)</f>
        <v>117.12805126674991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353</v>
      </c>
      <c r="E8" s="166">
        <v>6</v>
      </c>
      <c r="F8" s="166">
        <v>1500</v>
      </c>
      <c r="G8" s="166">
        <v>250</v>
      </c>
      <c r="H8" s="460"/>
      <c r="I8" s="166">
        <f t="shared" ref="I8:I14" si="5">AVERAGE(P8,U8,Z8,AE8,AJ8,AO8,AT8)</f>
        <v>6.2857142857142856</v>
      </c>
      <c r="J8" s="166">
        <f t="shared" ref="J8:J14" si="6">AVERAGE(Q8,V8,AA8,AF8,AK8,AP8,AU8)</f>
        <v>1472.2691380458818</v>
      </c>
      <c r="K8" s="180">
        <f t="shared" ref="K8:K14" si="7">AVERAGE(R8,W8,AB8,AG8,AL8,AQ8,AV8)</f>
        <v>235.22544646852808</v>
      </c>
      <c r="L8" s="460"/>
      <c r="M8" s="181">
        <f>RANK(K8, K$7:$K$21)</f>
        <v>2</v>
      </c>
      <c r="N8" s="462"/>
      <c r="O8" s="462"/>
      <c r="P8" s="182">
        <v>6</v>
      </c>
      <c r="Q8" s="166">
        <v>1495.3846153846157</v>
      </c>
      <c r="R8" s="166">
        <v>249.23076923076928</v>
      </c>
      <c r="S8" s="182">
        <f t="shared" ref="S8:S21" si="8">RANK(R8, R$7:R$21)</f>
        <v>1</v>
      </c>
      <c r="T8" s="491"/>
      <c r="U8" s="182">
        <v>7</v>
      </c>
      <c r="V8" s="166">
        <v>1482.7826086956522</v>
      </c>
      <c r="W8" s="166">
        <v>211.82608695652175</v>
      </c>
      <c r="X8" s="182">
        <f t="shared" ref="X8:X21" si="9">RANK(W8, W$7:W$21)</f>
        <v>2</v>
      </c>
      <c r="Y8" s="491"/>
      <c r="Z8" s="182">
        <v>6</v>
      </c>
      <c r="AA8" s="166">
        <v>1457.217391304348</v>
      </c>
      <c r="AB8" s="166">
        <v>242.86956521739134</v>
      </c>
      <c r="AC8" s="182">
        <f t="shared" ref="AC8:AC21" si="10">RANK(AB8, AB$7:AB$21)</f>
        <v>2</v>
      </c>
      <c r="AD8" s="491"/>
      <c r="AE8" s="182">
        <v>6</v>
      </c>
      <c r="AF8" s="166">
        <v>1451.9999999999995</v>
      </c>
      <c r="AG8" s="166">
        <v>241.99999999999991</v>
      </c>
      <c r="AH8" s="182">
        <f t="shared" ref="AH8:AH21" si="11">RANK(AG8, AG$7:AG$21)</f>
        <v>2</v>
      </c>
      <c r="AI8" s="491"/>
      <c r="AJ8" s="182">
        <v>6</v>
      </c>
      <c r="AK8" s="166">
        <v>1452.897196261682</v>
      </c>
      <c r="AL8" s="166">
        <v>242.14953271028034</v>
      </c>
      <c r="AM8" s="182">
        <f t="shared" ref="AM8:AM21" si="12">RANK(AL8, AL$7:AL$21)</f>
        <v>1</v>
      </c>
      <c r="AN8" s="491"/>
      <c r="AO8" s="182">
        <v>6</v>
      </c>
      <c r="AP8" s="166">
        <v>1463.4782608695655</v>
      </c>
      <c r="AQ8" s="166">
        <v>243.9130434782609</v>
      </c>
      <c r="AR8" s="182">
        <f t="shared" ref="AR8:AR21" si="13">RANK(AQ8, AQ$7:AQ$21)</f>
        <v>2</v>
      </c>
      <c r="AS8" s="491"/>
      <c r="AT8" s="182">
        <v>7</v>
      </c>
      <c r="AU8" s="166">
        <v>1502.1238938053098</v>
      </c>
      <c r="AV8" s="166">
        <v>214.58912768647284</v>
      </c>
      <c r="AW8" s="182">
        <f t="shared" ref="AW8:AW21" si="14">RANK(AV8, AV$7:AV$21)</f>
        <v>1</v>
      </c>
      <c r="AX8" s="491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354</v>
      </c>
      <c r="E9" s="166">
        <v>19</v>
      </c>
      <c r="F9" s="166">
        <v>1500</v>
      </c>
      <c r="G9" s="166">
        <v>78.900000000000006</v>
      </c>
      <c r="H9" s="460"/>
      <c r="I9" s="166">
        <f t="shared" si="5"/>
        <v>18.142857142857142</v>
      </c>
      <c r="J9" s="166">
        <f t="shared" si="6"/>
        <v>1237.0404949435344</v>
      </c>
      <c r="K9" s="180">
        <f t="shared" si="7"/>
        <v>68.168873855183065</v>
      </c>
      <c r="L9" s="460"/>
      <c r="M9" s="181">
        <f>RANK(K9, K$7:$K$21)</f>
        <v>6</v>
      </c>
      <c r="N9" s="462"/>
      <c r="O9" s="462"/>
      <c r="P9" s="182">
        <v>18</v>
      </c>
      <c r="Q9" s="166">
        <v>1206.6620689655174</v>
      </c>
      <c r="R9" s="166">
        <v>67.036781609195415</v>
      </c>
      <c r="S9" s="182">
        <f t="shared" si="8"/>
        <v>6</v>
      </c>
      <c r="T9" s="491"/>
      <c r="U9" s="182">
        <v>18</v>
      </c>
      <c r="V9" s="166">
        <v>1213.3942857142854</v>
      </c>
      <c r="W9" s="166">
        <v>67.410793650793636</v>
      </c>
      <c r="X9" s="182">
        <f t="shared" si="9"/>
        <v>5</v>
      </c>
      <c r="Y9" s="491"/>
      <c r="Z9" s="182">
        <v>18</v>
      </c>
      <c r="AA9" s="166">
        <v>1214.3999999999999</v>
      </c>
      <c r="AB9" s="166">
        <v>67.466666666666654</v>
      </c>
      <c r="AC9" s="182">
        <f t="shared" si="10"/>
        <v>5</v>
      </c>
      <c r="AD9" s="491"/>
      <c r="AE9" s="182">
        <v>18</v>
      </c>
      <c r="AF9" s="166">
        <v>1244.1000000000004</v>
      </c>
      <c r="AG9" s="166">
        <v>69.116666666666688</v>
      </c>
      <c r="AH9" s="182">
        <f t="shared" si="11"/>
        <v>5</v>
      </c>
      <c r="AI9" s="491"/>
      <c r="AJ9" s="182">
        <v>18</v>
      </c>
      <c r="AK9" s="166">
        <v>1226.5100917431191</v>
      </c>
      <c r="AL9" s="166">
        <v>68.139449541284392</v>
      </c>
      <c r="AM9" s="182">
        <f t="shared" si="12"/>
        <v>6</v>
      </c>
      <c r="AN9" s="491"/>
      <c r="AO9" s="182">
        <v>18</v>
      </c>
      <c r="AP9" s="166">
        <v>1224.1152000000004</v>
      </c>
      <c r="AQ9" s="166">
        <v>68.006400000000028</v>
      </c>
      <c r="AR9" s="182">
        <f t="shared" si="13"/>
        <v>5</v>
      </c>
      <c r="AS9" s="491"/>
      <c r="AT9" s="182">
        <v>19</v>
      </c>
      <c r="AU9" s="166">
        <v>1330.1018181818181</v>
      </c>
      <c r="AV9" s="166">
        <v>70.005358851674643</v>
      </c>
      <c r="AW9" s="182">
        <f t="shared" si="14"/>
        <v>5</v>
      </c>
      <c r="AX9" s="491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92" t="s">
        <v>355</v>
      </c>
      <c r="E10" s="166">
        <v>17</v>
      </c>
      <c r="F10" s="166">
        <v>1440</v>
      </c>
      <c r="G10" s="166">
        <v>84.7</v>
      </c>
      <c r="H10" s="460"/>
      <c r="I10" s="166">
        <f t="shared" si="5"/>
        <v>16.857142857142858</v>
      </c>
      <c r="J10" s="166">
        <f t="shared" si="6"/>
        <v>1163.3093953599243</v>
      </c>
      <c r="K10" s="180">
        <f t="shared" si="7"/>
        <v>69.087527458146809</v>
      </c>
      <c r="L10" s="460"/>
      <c r="M10" s="181">
        <f>RANK(K10, K$7:$K$21)</f>
        <v>5</v>
      </c>
      <c r="N10" s="462"/>
      <c r="O10" s="462"/>
      <c r="P10" s="182">
        <v>17</v>
      </c>
      <c r="Q10" s="166">
        <v>1238.0000000000014</v>
      </c>
      <c r="R10" s="166">
        <v>72.823529411764781</v>
      </c>
      <c r="S10" s="182">
        <f t="shared" si="8"/>
        <v>4</v>
      </c>
      <c r="T10" s="491"/>
      <c r="U10" s="182">
        <v>17</v>
      </c>
      <c r="V10" s="166">
        <v>1095.4838709677431</v>
      </c>
      <c r="W10" s="166">
        <v>64.440227703984888</v>
      </c>
      <c r="X10" s="182">
        <f t="shared" si="9"/>
        <v>6</v>
      </c>
      <c r="Y10" s="491"/>
      <c r="Z10" s="182">
        <v>17</v>
      </c>
      <c r="AA10" s="166">
        <v>1111.8750000000014</v>
      </c>
      <c r="AB10" s="166">
        <v>65.404411764705969</v>
      </c>
      <c r="AC10" s="182">
        <f t="shared" si="10"/>
        <v>6</v>
      </c>
      <c r="AD10" s="491"/>
      <c r="AE10" s="182">
        <v>17</v>
      </c>
      <c r="AF10" s="166">
        <v>1101.6000000000004</v>
      </c>
      <c r="AG10" s="166">
        <v>64.800000000000026</v>
      </c>
      <c r="AH10" s="182">
        <f t="shared" si="11"/>
        <v>6</v>
      </c>
      <c r="AI10" s="491"/>
      <c r="AJ10" s="182">
        <v>17</v>
      </c>
      <c r="AK10" s="166">
        <v>1266.2068965517251</v>
      </c>
      <c r="AL10" s="166">
        <v>74.482758620689708</v>
      </c>
      <c r="AM10" s="182">
        <f t="shared" si="12"/>
        <v>4</v>
      </c>
      <c r="AN10" s="491"/>
      <c r="AO10" s="182">
        <v>17</v>
      </c>
      <c r="AP10" s="166">
        <v>1077.999999999998</v>
      </c>
      <c r="AQ10" s="166">
        <v>63.411764705882234</v>
      </c>
      <c r="AR10" s="182">
        <f t="shared" si="13"/>
        <v>6</v>
      </c>
      <c r="AS10" s="491"/>
      <c r="AT10" s="182">
        <v>16</v>
      </c>
      <c r="AU10" s="166">
        <v>1252.0000000000011</v>
      </c>
      <c r="AV10" s="166">
        <v>78.250000000000071</v>
      </c>
      <c r="AW10" s="182">
        <f t="shared" si="14"/>
        <v>4</v>
      </c>
      <c r="AX10" s="491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356</v>
      </c>
      <c r="E11" s="166">
        <v>6</v>
      </c>
      <c r="F11" s="166">
        <v>1500</v>
      </c>
      <c r="G11" s="166">
        <v>250</v>
      </c>
      <c r="H11" s="460"/>
      <c r="I11" s="166">
        <f t="shared" si="5"/>
        <v>6.2857142857142856</v>
      </c>
      <c r="J11" s="166">
        <f t="shared" si="6"/>
        <v>1480.4095121504893</v>
      </c>
      <c r="K11" s="180">
        <f t="shared" si="7"/>
        <v>236.65200461787032</v>
      </c>
      <c r="L11" s="460"/>
      <c r="M11" s="181">
        <f>RANK(K11, K$7:$K$21)</f>
        <v>1</v>
      </c>
      <c r="N11" s="462"/>
      <c r="O11" s="462"/>
      <c r="P11" s="182">
        <v>6</v>
      </c>
      <c r="Q11" s="166">
        <v>1486.9306930693069</v>
      </c>
      <c r="R11" s="166">
        <v>247.82178217821783</v>
      </c>
      <c r="S11" s="182">
        <f t="shared" si="8"/>
        <v>2</v>
      </c>
      <c r="T11" s="491"/>
      <c r="U11" s="182">
        <v>7</v>
      </c>
      <c r="V11" s="166">
        <v>1500.7228915662645</v>
      </c>
      <c r="W11" s="166">
        <v>214.38898450946635</v>
      </c>
      <c r="X11" s="182">
        <f t="shared" si="9"/>
        <v>1</v>
      </c>
      <c r="Y11" s="491"/>
      <c r="Z11" s="182">
        <v>6</v>
      </c>
      <c r="AA11" s="166">
        <v>1486.4705882352941</v>
      </c>
      <c r="AB11" s="166">
        <v>247.74509803921569</v>
      </c>
      <c r="AC11" s="182">
        <f t="shared" si="10"/>
        <v>1</v>
      </c>
      <c r="AD11" s="491"/>
      <c r="AE11" s="182">
        <v>6</v>
      </c>
      <c r="AF11" s="166">
        <v>1474.38202247191</v>
      </c>
      <c r="AG11" s="166">
        <v>245.73033707865167</v>
      </c>
      <c r="AH11" s="182">
        <f t="shared" si="11"/>
        <v>1</v>
      </c>
      <c r="AI11" s="491"/>
      <c r="AJ11" s="182">
        <v>6</v>
      </c>
      <c r="AK11" s="166">
        <v>1449.5744680851067</v>
      </c>
      <c r="AL11" s="166">
        <v>241.59574468085111</v>
      </c>
      <c r="AM11" s="182">
        <f t="shared" si="12"/>
        <v>2</v>
      </c>
      <c r="AN11" s="491"/>
      <c r="AO11" s="182">
        <v>6</v>
      </c>
      <c r="AP11" s="166">
        <v>1501.1320754716976</v>
      </c>
      <c r="AQ11" s="166">
        <v>250.18867924528294</v>
      </c>
      <c r="AR11" s="182">
        <f t="shared" si="13"/>
        <v>1</v>
      </c>
      <c r="AS11" s="491"/>
      <c r="AT11" s="182">
        <v>7</v>
      </c>
      <c r="AU11" s="166">
        <v>1463.6538461538464</v>
      </c>
      <c r="AV11" s="166">
        <v>209.09340659340663</v>
      </c>
      <c r="AW11" s="182">
        <f t="shared" si="14"/>
        <v>2</v>
      </c>
      <c r="AX11" s="491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 t="s">
        <v>357</v>
      </c>
      <c r="E12" s="166">
        <v>19</v>
      </c>
      <c r="F12" s="166">
        <v>1440</v>
      </c>
      <c r="G12" s="166">
        <v>75.8</v>
      </c>
      <c r="H12" s="460"/>
      <c r="I12" s="166">
        <f t="shared" si="5"/>
        <v>18.142857142857142</v>
      </c>
      <c r="J12" s="166">
        <f t="shared" si="6"/>
        <v>1270.676252599658</v>
      </c>
      <c r="K12" s="180">
        <f t="shared" si="7"/>
        <v>70.073291076497</v>
      </c>
      <c r="L12" s="460"/>
      <c r="M12" s="181">
        <f>RANK(K12, K$7:$K$21)</f>
        <v>4</v>
      </c>
      <c r="N12" s="462"/>
      <c r="O12" s="462"/>
      <c r="P12" s="182">
        <v>18</v>
      </c>
      <c r="Q12" s="166">
        <v>1268.9999999999995</v>
      </c>
      <c r="R12" s="166">
        <v>70.499999999999972</v>
      </c>
      <c r="S12" s="182">
        <f t="shared" si="8"/>
        <v>5</v>
      </c>
      <c r="T12" s="491"/>
      <c r="U12" s="182">
        <v>18</v>
      </c>
      <c r="V12" s="166">
        <v>1296.7346938775513</v>
      </c>
      <c r="W12" s="166">
        <v>72.040816326530631</v>
      </c>
      <c r="X12" s="182">
        <f t="shared" si="9"/>
        <v>4</v>
      </c>
      <c r="Y12" s="491"/>
      <c r="Z12" s="182">
        <v>18</v>
      </c>
      <c r="AA12" s="166">
        <v>1282.3728813559317</v>
      </c>
      <c r="AB12" s="166">
        <v>71.242937853107321</v>
      </c>
      <c r="AC12" s="182">
        <f t="shared" si="10"/>
        <v>4</v>
      </c>
      <c r="AD12" s="491"/>
      <c r="AE12" s="182">
        <v>18</v>
      </c>
      <c r="AF12" s="166">
        <v>1280.4545454545455</v>
      </c>
      <c r="AG12" s="166">
        <v>71.13636363636364</v>
      </c>
      <c r="AH12" s="182">
        <f t="shared" si="11"/>
        <v>4</v>
      </c>
      <c r="AI12" s="491"/>
      <c r="AJ12" s="182">
        <v>18</v>
      </c>
      <c r="AK12" s="166">
        <v>1268.8888888888896</v>
      </c>
      <c r="AL12" s="166">
        <v>70.493827160493865</v>
      </c>
      <c r="AM12" s="182">
        <f t="shared" si="12"/>
        <v>5</v>
      </c>
      <c r="AN12" s="491"/>
      <c r="AO12" s="182">
        <v>18</v>
      </c>
      <c r="AP12" s="166">
        <v>1252.8000000000004</v>
      </c>
      <c r="AQ12" s="166">
        <v>69.600000000000023</v>
      </c>
      <c r="AR12" s="182">
        <f t="shared" si="13"/>
        <v>4</v>
      </c>
      <c r="AS12" s="491"/>
      <c r="AT12" s="182">
        <v>19</v>
      </c>
      <c r="AU12" s="166">
        <v>1244.4827586206889</v>
      </c>
      <c r="AV12" s="166">
        <v>65.499092558983619</v>
      </c>
      <c r="AW12" s="182">
        <f t="shared" si="14"/>
        <v>6</v>
      </c>
      <c r="AX12" s="491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92" t="s">
        <v>358</v>
      </c>
      <c r="E13" s="166">
        <v>21</v>
      </c>
      <c r="F13" s="166">
        <v>1385</v>
      </c>
      <c r="G13" s="166">
        <v>65.900000000000006</v>
      </c>
      <c r="H13" s="460"/>
      <c r="I13" s="166">
        <f t="shared" si="5"/>
        <v>19.857142857142858</v>
      </c>
      <c r="J13" s="166">
        <f t="shared" si="6"/>
        <v>1069.040291660501</v>
      </c>
      <c r="K13" s="180">
        <f t="shared" si="7"/>
        <v>53.887352928889705</v>
      </c>
      <c r="L13" s="460"/>
      <c r="M13" s="181">
        <f>RANK(K13, K$7:$K$21)</f>
        <v>7</v>
      </c>
      <c r="N13" s="462"/>
      <c r="O13" s="462"/>
      <c r="P13" s="182">
        <v>20</v>
      </c>
      <c r="Q13" s="166">
        <v>1053.6585365853675</v>
      </c>
      <c r="R13" s="166">
        <v>52.682926829268375</v>
      </c>
      <c r="S13" s="182">
        <f t="shared" si="8"/>
        <v>7</v>
      </c>
      <c r="T13" s="491"/>
      <c r="U13" s="182">
        <v>20</v>
      </c>
      <c r="V13" s="166">
        <v>1096.0975609756094</v>
      </c>
      <c r="W13" s="166">
        <v>54.804878048780473</v>
      </c>
      <c r="X13" s="182">
        <f t="shared" si="9"/>
        <v>7</v>
      </c>
      <c r="Y13" s="491"/>
      <c r="Z13" s="182">
        <v>20</v>
      </c>
      <c r="AA13" s="166">
        <v>1093.1707317073187</v>
      </c>
      <c r="AB13" s="166">
        <v>54.658536585365937</v>
      </c>
      <c r="AC13" s="182">
        <f t="shared" si="10"/>
        <v>7</v>
      </c>
      <c r="AD13" s="491"/>
      <c r="AE13" s="182">
        <v>20</v>
      </c>
      <c r="AF13" s="166">
        <v>949.99999999999932</v>
      </c>
      <c r="AG13" s="166">
        <v>47.499999999999964</v>
      </c>
      <c r="AH13" s="182">
        <f t="shared" si="11"/>
        <v>7</v>
      </c>
      <c r="AI13" s="491"/>
      <c r="AJ13" s="182">
        <v>20</v>
      </c>
      <c r="AK13" s="166">
        <v>1068.5714285714282</v>
      </c>
      <c r="AL13" s="166">
        <v>53.428571428571409</v>
      </c>
      <c r="AM13" s="182">
        <f t="shared" si="12"/>
        <v>7</v>
      </c>
      <c r="AN13" s="491"/>
      <c r="AO13" s="182">
        <v>20</v>
      </c>
      <c r="AP13" s="166">
        <v>1063.7837837837828</v>
      </c>
      <c r="AQ13" s="166">
        <v>53.189189189189143</v>
      </c>
      <c r="AR13" s="182">
        <f t="shared" si="13"/>
        <v>7</v>
      </c>
      <c r="AS13" s="491"/>
      <c r="AT13" s="182">
        <v>19</v>
      </c>
      <c r="AU13" s="166">
        <v>1157.9999999999995</v>
      </c>
      <c r="AV13" s="166">
        <v>60.947368421052609</v>
      </c>
      <c r="AW13" s="182">
        <f t="shared" si="14"/>
        <v>7</v>
      </c>
      <c r="AX13" s="491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92" t="s">
        <v>359</v>
      </c>
      <c r="E14" s="166">
        <v>21</v>
      </c>
      <c r="F14" s="166">
        <v>1385</v>
      </c>
      <c r="G14" s="166">
        <v>65.900000000000006</v>
      </c>
      <c r="H14" s="460"/>
      <c r="I14" s="166">
        <f t="shared" si="5"/>
        <v>20</v>
      </c>
      <c r="J14" s="166">
        <f t="shared" si="6"/>
        <v>934.02193193464439</v>
      </c>
      <c r="K14" s="180">
        <f t="shared" si="7"/>
        <v>46.701096596732228</v>
      </c>
      <c r="L14" s="460"/>
      <c r="M14" s="181">
        <f>RANK(K14, K$7:$K$21)</f>
        <v>8</v>
      </c>
      <c r="N14" s="462"/>
      <c r="O14" s="462"/>
      <c r="P14" s="182">
        <v>20</v>
      </c>
      <c r="Q14" s="166">
        <v>933.33333333333258</v>
      </c>
      <c r="R14" s="166">
        <v>46.666666666666629</v>
      </c>
      <c r="S14" s="182">
        <f t="shared" si="8"/>
        <v>8</v>
      </c>
      <c r="T14" s="491"/>
      <c r="U14" s="182">
        <v>20</v>
      </c>
      <c r="V14" s="166">
        <v>946.45161290322426</v>
      </c>
      <c r="W14" s="166">
        <v>47.32258064516121</v>
      </c>
      <c r="X14" s="182">
        <f t="shared" si="9"/>
        <v>8</v>
      </c>
      <c r="Y14" s="491"/>
      <c r="Z14" s="182">
        <v>20</v>
      </c>
      <c r="AA14" s="166">
        <v>914.5945945945939</v>
      </c>
      <c r="AB14" s="166">
        <v>45.729729729729698</v>
      </c>
      <c r="AC14" s="182">
        <f t="shared" si="10"/>
        <v>8</v>
      </c>
      <c r="AD14" s="491"/>
      <c r="AE14" s="182">
        <v>20</v>
      </c>
      <c r="AF14" s="166">
        <v>937.77777777777555</v>
      </c>
      <c r="AG14" s="166">
        <v>46.888888888888779</v>
      </c>
      <c r="AH14" s="182">
        <f t="shared" si="11"/>
        <v>8</v>
      </c>
      <c r="AI14" s="491"/>
      <c r="AJ14" s="182">
        <v>20</v>
      </c>
      <c r="AK14" s="166">
        <v>899.99999999999909</v>
      </c>
      <c r="AL14" s="166">
        <v>44.999999999999957</v>
      </c>
      <c r="AM14" s="182">
        <f t="shared" si="12"/>
        <v>8</v>
      </c>
      <c r="AN14" s="491"/>
      <c r="AO14" s="182">
        <v>20</v>
      </c>
      <c r="AP14" s="166">
        <v>921.29032258064603</v>
      </c>
      <c r="AQ14" s="166">
        <v>46.064516129032299</v>
      </c>
      <c r="AR14" s="182">
        <f t="shared" si="13"/>
        <v>8</v>
      </c>
      <c r="AS14" s="491"/>
      <c r="AT14" s="182">
        <v>20</v>
      </c>
      <c r="AU14" s="166">
        <v>984.70588235294008</v>
      </c>
      <c r="AV14" s="166">
        <v>49.235294117647001</v>
      </c>
      <c r="AW14" s="182">
        <f t="shared" si="14"/>
        <v>8</v>
      </c>
      <c r="AX14" s="491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/>
      <c r="E15" s="166" t="s">
        <v>244</v>
      </c>
      <c r="F15" s="166" t="s">
        <v>244</v>
      </c>
      <c r="G15" s="166" t="s">
        <v>244</v>
      </c>
      <c r="H15" s="460"/>
      <c r="I15" s="166"/>
      <c r="J15" s="166"/>
      <c r="K15" s="180"/>
      <c r="L15" s="460"/>
      <c r="M15" s="181" t="e">
        <f>RANK(K15, K$7:$K$21)</f>
        <v>#N/A</v>
      </c>
      <c r="N15" s="462"/>
      <c r="O15" s="462"/>
      <c r="P15" s="182" t="s">
        <v>244</v>
      </c>
      <c r="Q15" s="166" t="s">
        <v>244</v>
      </c>
      <c r="R15" s="166" t="s">
        <v>244</v>
      </c>
      <c r="S15" s="182" t="e">
        <f t="shared" si="8"/>
        <v>#VALUE!</v>
      </c>
      <c r="T15" s="491"/>
      <c r="U15" s="182"/>
      <c r="V15" s="166"/>
      <c r="W15" s="166"/>
      <c r="X15" s="182" t="e">
        <f t="shared" si="9"/>
        <v>#N/A</v>
      </c>
      <c r="Y15" s="491"/>
      <c r="Z15" s="182"/>
      <c r="AA15" s="166"/>
      <c r="AB15" s="166"/>
      <c r="AC15" s="182" t="e">
        <f t="shared" si="10"/>
        <v>#N/A</v>
      </c>
      <c r="AD15" s="491"/>
      <c r="AE15" s="182"/>
      <c r="AF15" s="166"/>
      <c r="AG15" s="166"/>
      <c r="AH15" s="182" t="e">
        <f t="shared" si="11"/>
        <v>#N/A</v>
      </c>
      <c r="AI15" s="491"/>
      <c r="AJ15" s="182"/>
      <c r="AK15" s="166"/>
      <c r="AL15" s="166"/>
      <c r="AM15" s="182" t="e">
        <f t="shared" si="12"/>
        <v>#N/A</v>
      </c>
      <c r="AN15" s="491"/>
      <c r="AO15" s="182"/>
      <c r="AP15" s="166"/>
      <c r="AQ15" s="166"/>
      <c r="AR15" s="182" t="e">
        <f t="shared" si="13"/>
        <v>#N/A</v>
      </c>
      <c r="AS15" s="491"/>
      <c r="AT15" s="182"/>
      <c r="AU15" s="166"/>
      <c r="AV15" s="166"/>
      <c r="AW15" s="182" t="e">
        <f t="shared" si="14"/>
        <v>#N/A</v>
      </c>
      <c r="AX15" s="491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460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 t="s">
        <v>244</v>
      </c>
      <c r="Q16" s="166" t="s">
        <v>244</v>
      </c>
      <c r="R16" s="166" t="s">
        <v>244</v>
      </c>
      <c r="S16" s="182" t="e">
        <f t="shared" si="8"/>
        <v>#VALUE!</v>
      </c>
      <c r="T16" s="491"/>
      <c r="U16" s="182"/>
      <c r="V16" s="166"/>
      <c r="W16" s="166"/>
      <c r="X16" s="182" t="e">
        <f t="shared" si="9"/>
        <v>#N/A</v>
      </c>
      <c r="Y16" s="491"/>
      <c r="Z16" s="182"/>
      <c r="AA16" s="166"/>
      <c r="AB16" s="166"/>
      <c r="AC16" s="182" t="e">
        <f t="shared" si="10"/>
        <v>#N/A</v>
      </c>
      <c r="AD16" s="491"/>
      <c r="AE16" s="182"/>
      <c r="AF16" s="166"/>
      <c r="AG16" s="166"/>
      <c r="AH16" s="182" t="e">
        <f t="shared" si="11"/>
        <v>#N/A</v>
      </c>
      <c r="AI16" s="491"/>
      <c r="AJ16" s="182"/>
      <c r="AK16" s="166"/>
      <c r="AL16" s="166"/>
      <c r="AM16" s="182" t="e">
        <f t="shared" si="12"/>
        <v>#N/A</v>
      </c>
      <c r="AN16" s="491"/>
      <c r="AO16" s="182"/>
      <c r="AP16" s="166"/>
      <c r="AQ16" s="166"/>
      <c r="AR16" s="182" t="e">
        <f t="shared" si="13"/>
        <v>#N/A</v>
      </c>
      <c r="AS16" s="491"/>
      <c r="AT16" s="182"/>
      <c r="AU16" s="166"/>
      <c r="AV16" s="166"/>
      <c r="AW16" s="182" t="e">
        <f t="shared" si="14"/>
        <v>#N/A</v>
      </c>
      <c r="AX16" s="491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460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 t="s">
        <v>244</v>
      </c>
      <c r="Q17" s="166" t="s">
        <v>244</v>
      </c>
      <c r="R17" s="166" t="s">
        <v>244</v>
      </c>
      <c r="S17" s="182" t="e">
        <f t="shared" si="8"/>
        <v>#VALUE!</v>
      </c>
      <c r="T17" s="491"/>
      <c r="U17" s="182"/>
      <c r="V17" s="166"/>
      <c r="W17" s="166"/>
      <c r="X17" s="182" t="e">
        <f t="shared" si="9"/>
        <v>#N/A</v>
      </c>
      <c r="Y17" s="491"/>
      <c r="Z17" s="182"/>
      <c r="AA17" s="166"/>
      <c r="AB17" s="166"/>
      <c r="AC17" s="182" t="e">
        <f t="shared" si="10"/>
        <v>#N/A</v>
      </c>
      <c r="AD17" s="491"/>
      <c r="AE17" s="182"/>
      <c r="AF17" s="166"/>
      <c r="AG17" s="166"/>
      <c r="AH17" s="182" t="e">
        <f t="shared" si="11"/>
        <v>#N/A</v>
      </c>
      <c r="AI17" s="491"/>
      <c r="AJ17" s="182"/>
      <c r="AK17" s="166"/>
      <c r="AL17" s="166"/>
      <c r="AM17" s="182" t="e">
        <f t="shared" si="12"/>
        <v>#N/A</v>
      </c>
      <c r="AN17" s="491"/>
      <c r="AO17" s="182"/>
      <c r="AP17" s="166"/>
      <c r="AQ17" s="166"/>
      <c r="AR17" s="182" t="e">
        <f t="shared" si="13"/>
        <v>#N/A</v>
      </c>
      <c r="AS17" s="491"/>
      <c r="AT17" s="182"/>
      <c r="AU17" s="166"/>
      <c r="AV17" s="166"/>
      <c r="AW17" s="182" t="e">
        <f t="shared" si="14"/>
        <v>#N/A</v>
      </c>
      <c r="AX17" s="491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 t="s">
        <v>244</v>
      </c>
      <c r="Q18" s="166" t="s">
        <v>244</v>
      </c>
      <c r="R18" s="166" t="s">
        <v>244</v>
      </c>
      <c r="S18" s="182" t="e">
        <f t="shared" si="8"/>
        <v>#VALUE!</v>
      </c>
      <c r="T18" s="491"/>
      <c r="U18" s="182"/>
      <c r="V18" s="166"/>
      <c r="W18" s="166"/>
      <c r="X18" s="182" t="e">
        <f t="shared" si="9"/>
        <v>#N/A</v>
      </c>
      <c r="Y18" s="491"/>
      <c r="Z18" s="182"/>
      <c r="AA18" s="166"/>
      <c r="AB18" s="166"/>
      <c r="AC18" s="182" t="e">
        <f t="shared" si="10"/>
        <v>#N/A</v>
      </c>
      <c r="AD18" s="491"/>
      <c r="AE18" s="182"/>
      <c r="AF18" s="166"/>
      <c r="AG18" s="166"/>
      <c r="AH18" s="182" t="e">
        <f t="shared" si="11"/>
        <v>#N/A</v>
      </c>
      <c r="AI18" s="491"/>
      <c r="AJ18" s="182"/>
      <c r="AK18" s="166"/>
      <c r="AL18" s="166"/>
      <c r="AM18" s="182" t="e">
        <f t="shared" si="12"/>
        <v>#N/A</v>
      </c>
      <c r="AN18" s="491"/>
      <c r="AO18" s="182"/>
      <c r="AP18" s="166"/>
      <c r="AQ18" s="166"/>
      <c r="AR18" s="182" t="e">
        <f t="shared" si="13"/>
        <v>#N/A</v>
      </c>
      <c r="AS18" s="491"/>
      <c r="AT18" s="182"/>
      <c r="AU18" s="166"/>
      <c r="AV18" s="166"/>
      <c r="AW18" s="182" t="e">
        <f t="shared" si="14"/>
        <v>#N/A</v>
      </c>
      <c r="AX18" s="491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 t="s">
        <v>244</v>
      </c>
      <c r="Q19" s="166" t="s">
        <v>244</v>
      </c>
      <c r="R19" s="166" t="s">
        <v>244</v>
      </c>
      <c r="S19" s="182" t="e">
        <f t="shared" si="8"/>
        <v>#VALUE!</v>
      </c>
      <c r="T19" s="491"/>
      <c r="U19" s="182"/>
      <c r="V19" s="166"/>
      <c r="W19" s="166"/>
      <c r="X19" s="182" t="e">
        <f t="shared" si="9"/>
        <v>#N/A</v>
      </c>
      <c r="Y19" s="491"/>
      <c r="Z19" s="182"/>
      <c r="AA19" s="166"/>
      <c r="AB19" s="166"/>
      <c r="AC19" s="182" t="e">
        <f t="shared" si="10"/>
        <v>#N/A</v>
      </c>
      <c r="AD19" s="491"/>
      <c r="AE19" s="182"/>
      <c r="AF19" s="166"/>
      <c r="AG19" s="166"/>
      <c r="AH19" s="182" t="e">
        <f t="shared" si="11"/>
        <v>#N/A</v>
      </c>
      <c r="AI19" s="491"/>
      <c r="AJ19" s="182"/>
      <c r="AK19" s="166"/>
      <c r="AL19" s="166"/>
      <c r="AM19" s="182" t="e">
        <f t="shared" si="12"/>
        <v>#N/A</v>
      </c>
      <c r="AN19" s="491"/>
      <c r="AO19" s="182"/>
      <c r="AP19" s="166"/>
      <c r="AQ19" s="166"/>
      <c r="AR19" s="182" t="e">
        <f t="shared" si="13"/>
        <v>#N/A</v>
      </c>
      <c r="AS19" s="491"/>
      <c r="AT19" s="182"/>
      <c r="AU19" s="166"/>
      <c r="AV19" s="166"/>
      <c r="AW19" s="182" t="e">
        <f t="shared" si="14"/>
        <v>#N/A</v>
      </c>
      <c r="AX19" s="491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 t="s">
        <v>244</v>
      </c>
      <c r="Q20" s="166" t="s">
        <v>244</v>
      </c>
      <c r="R20" s="166" t="s">
        <v>244</v>
      </c>
      <c r="S20" s="182" t="e">
        <f t="shared" si="8"/>
        <v>#VALUE!</v>
      </c>
      <c r="T20" s="491"/>
      <c r="U20" s="182"/>
      <c r="V20" s="166"/>
      <c r="W20" s="166"/>
      <c r="X20" s="182" t="e">
        <f t="shared" si="9"/>
        <v>#N/A</v>
      </c>
      <c r="Y20" s="491"/>
      <c r="Z20" s="182"/>
      <c r="AA20" s="166"/>
      <c r="AB20" s="166"/>
      <c r="AC20" s="182" t="e">
        <f t="shared" si="10"/>
        <v>#N/A</v>
      </c>
      <c r="AD20" s="491"/>
      <c r="AE20" s="182"/>
      <c r="AF20" s="166"/>
      <c r="AG20" s="166"/>
      <c r="AH20" s="182" t="e">
        <f t="shared" si="11"/>
        <v>#N/A</v>
      </c>
      <c r="AI20" s="491"/>
      <c r="AJ20" s="182"/>
      <c r="AK20" s="166"/>
      <c r="AL20" s="166"/>
      <c r="AM20" s="182" t="e">
        <f t="shared" si="12"/>
        <v>#N/A</v>
      </c>
      <c r="AN20" s="491"/>
      <c r="AO20" s="182"/>
      <c r="AP20" s="166"/>
      <c r="AQ20" s="166"/>
      <c r="AR20" s="182" t="e">
        <f t="shared" si="13"/>
        <v>#N/A</v>
      </c>
      <c r="AS20" s="491"/>
      <c r="AT20" s="182"/>
      <c r="AU20" s="166"/>
      <c r="AV20" s="166"/>
      <c r="AW20" s="182" t="e">
        <f t="shared" si="14"/>
        <v>#N/A</v>
      </c>
      <c r="AX20" s="491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 t="s">
        <v>244</v>
      </c>
      <c r="Q21" s="166" t="s">
        <v>244</v>
      </c>
      <c r="R21" s="166" t="s">
        <v>244</v>
      </c>
      <c r="S21" s="182" t="e">
        <f t="shared" si="8"/>
        <v>#VALUE!</v>
      </c>
      <c r="T21" s="491"/>
      <c r="U21" s="182"/>
      <c r="V21" s="166"/>
      <c r="W21" s="166"/>
      <c r="X21" s="182" t="e">
        <f t="shared" si="9"/>
        <v>#N/A</v>
      </c>
      <c r="Y21" s="491"/>
      <c r="Z21" s="182"/>
      <c r="AA21" s="166"/>
      <c r="AB21" s="166"/>
      <c r="AC21" s="182" t="e">
        <f t="shared" si="10"/>
        <v>#N/A</v>
      </c>
      <c r="AD21" s="491"/>
      <c r="AE21" s="182"/>
      <c r="AF21" s="166"/>
      <c r="AG21" s="166"/>
      <c r="AH21" s="182" t="e">
        <f t="shared" si="11"/>
        <v>#N/A</v>
      </c>
      <c r="AI21" s="491"/>
      <c r="AJ21" s="182"/>
      <c r="AK21" s="166"/>
      <c r="AL21" s="166"/>
      <c r="AM21" s="182" t="e">
        <f t="shared" si="12"/>
        <v>#N/A</v>
      </c>
      <c r="AN21" s="491"/>
      <c r="AO21" s="182"/>
      <c r="AP21" s="166"/>
      <c r="AQ21" s="166"/>
      <c r="AR21" s="182" t="e">
        <f t="shared" si="13"/>
        <v>#N/A</v>
      </c>
      <c r="AS21" s="491"/>
      <c r="AT21" s="182"/>
      <c r="AU21" s="166"/>
      <c r="AV21" s="166"/>
      <c r="AW21" s="182" t="e">
        <f t="shared" si="14"/>
        <v>#N/A</v>
      </c>
      <c r="AX21" s="491"/>
      <c r="AZ21" s="166" t="e">
        <f>RANK(AX21, $K$7:AX$21)</f>
        <v>#N/A</v>
      </c>
      <c r="BB21" s="182" t="e">
        <f t="shared" si="15"/>
        <v>#N/A</v>
      </c>
    </row>
    <row r="22" spans="2:54" ht="15.75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75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190</v>
      </c>
      <c r="C27" s="182">
        <v>1</v>
      </c>
      <c r="D27" s="203" t="s">
        <v>352</v>
      </c>
      <c r="E27" s="166">
        <v>6</v>
      </c>
      <c r="F27" s="182">
        <v>1500</v>
      </c>
      <c r="G27" s="180">
        <v>250</v>
      </c>
      <c r="H27" s="459">
        <f>AVERAGE(G27:G41)</f>
        <v>140.15</v>
      </c>
      <c r="I27" s="166">
        <f t="shared" ref="I27:K32" si="16">AVERAGE(P27,U27,Z27,AE27,AJ27,AO27,AT27)</f>
        <v>7</v>
      </c>
      <c r="J27" s="166">
        <f t="shared" si="16"/>
        <v>1336.5721823185338</v>
      </c>
      <c r="K27" s="180">
        <f t="shared" si="16"/>
        <v>190.93888318836193</v>
      </c>
      <c r="L27" s="459">
        <f>IFERROR(AVERAGE(K27:K41),"-")</f>
        <v>116.59143202121402</v>
      </c>
      <c r="M27" s="181">
        <f>RANK(K27, K$27:$K$41)</f>
        <v>3</v>
      </c>
      <c r="N27" s="462"/>
      <c r="O27" s="462"/>
      <c r="P27" s="182">
        <v>7</v>
      </c>
      <c r="Q27" s="166">
        <v>1322.9629629629633</v>
      </c>
      <c r="R27" s="166">
        <v>188.99470899470904</v>
      </c>
      <c r="S27" s="182">
        <f t="shared" ref="S27:S41" si="17">RANK(R27, R$27:R$41)</f>
        <v>3</v>
      </c>
      <c r="T27" s="472">
        <f>AVERAGE(R27:R41)</f>
        <v>116.92181328614303</v>
      </c>
      <c r="U27" s="182">
        <v>7</v>
      </c>
      <c r="V27" s="166">
        <v>1347</v>
      </c>
      <c r="W27" s="166">
        <v>192.42857142857142</v>
      </c>
      <c r="X27" s="182">
        <f t="shared" ref="X27:X41" si="18">RANK(W27, W$27:W$41)</f>
        <v>3</v>
      </c>
      <c r="Y27" s="472">
        <f t="shared" ref="Y27" si="19">AVERAGE(W27:W41)</f>
        <v>117.84420400159475</v>
      </c>
      <c r="Z27" s="182">
        <v>7</v>
      </c>
      <c r="AA27" s="166">
        <v>1348.7999999999997</v>
      </c>
      <c r="AB27" s="166">
        <v>192.68571428571425</v>
      </c>
      <c r="AC27" s="182">
        <f t="shared" ref="AC27:AC41" si="20">RANK(AB27, AB$27:AB$41)</f>
        <v>3</v>
      </c>
      <c r="AD27" s="472">
        <f t="shared" ref="AD27" si="21">AVERAGE(AB27:AB41)</f>
        <v>115.75281471117019</v>
      </c>
      <c r="AE27" s="182">
        <v>7</v>
      </c>
      <c r="AF27" s="166">
        <v>1348.4745762711866</v>
      </c>
      <c r="AG27" s="166">
        <v>192.63922518159808</v>
      </c>
      <c r="AH27" s="182">
        <f t="shared" ref="AH27:AH41" si="22">RANK(AG27, AG$27:AG$41)</f>
        <v>3</v>
      </c>
      <c r="AI27" s="472">
        <f t="shared" ref="AI27" si="23">AVERAGE(AG27:AG41)</f>
        <v>116.30165403325491</v>
      </c>
      <c r="AJ27" s="182">
        <v>7</v>
      </c>
      <c r="AK27" s="166">
        <v>1329.5238095238099</v>
      </c>
      <c r="AL27" s="166">
        <v>189.93197278911569</v>
      </c>
      <c r="AM27" s="182">
        <f t="shared" ref="AM27:AM41" si="24">RANK(AL27, AL$27:AL$41)</f>
        <v>3</v>
      </c>
      <c r="AN27" s="472">
        <f t="shared" ref="AN27" si="25">AVERAGE(AL27:AL41)</f>
        <v>117.71048468241145</v>
      </c>
      <c r="AO27" s="182">
        <v>7</v>
      </c>
      <c r="AP27" s="166">
        <v>1324.0540540540539</v>
      </c>
      <c r="AQ27" s="166">
        <v>189.15057915057915</v>
      </c>
      <c r="AR27" s="182">
        <f t="shared" ref="AR27:AR41" si="26">RANK(AQ27, AQ$27:AQ$41)</f>
        <v>3</v>
      </c>
      <c r="AS27" s="472">
        <f t="shared" ref="AS27" si="27">AVERAGE(AQ27:AQ41)</f>
        <v>113.96521301345152</v>
      </c>
      <c r="AT27" s="166">
        <v>7</v>
      </c>
      <c r="AU27" s="166">
        <v>1335.1898734177216</v>
      </c>
      <c r="AV27" s="180">
        <v>190.74141048824595</v>
      </c>
      <c r="AW27" s="182">
        <f t="shared" ref="AW27:AW41" si="28">RANK(AV27, AV$27:AV$41)</f>
        <v>3</v>
      </c>
      <c r="AX27" s="491">
        <f t="shared" ref="AX27" si="29">AVERAGE(AV27:AV41)</f>
        <v>117.64384042047226</v>
      </c>
    </row>
    <row r="28" spans="2:54">
      <c r="B28" s="479"/>
      <c r="C28" s="182">
        <v>2</v>
      </c>
      <c r="D28" s="203" t="s">
        <v>353</v>
      </c>
      <c r="E28" s="166">
        <v>6</v>
      </c>
      <c r="F28" s="182">
        <v>1500</v>
      </c>
      <c r="G28" s="180">
        <v>250</v>
      </c>
      <c r="H28" s="460"/>
      <c r="I28" s="166">
        <f t="shared" si="16"/>
        <v>7</v>
      </c>
      <c r="J28" s="166">
        <f t="shared" si="16"/>
        <v>1481.4685707457124</v>
      </c>
      <c r="K28" s="180">
        <f t="shared" si="16"/>
        <v>211.63836724938747</v>
      </c>
      <c r="L28" s="460"/>
      <c r="M28" s="181">
        <f>RANK(K28, K$27:$K$41)</f>
        <v>2</v>
      </c>
      <c r="N28" s="462"/>
      <c r="O28" s="462"/>
      <c r="P28" s="182">
        <v>7</v>
      </c>
      <c r="Q28" s="166">
        <v>1458.4615384615386</v>
      </c>
      <c r="R28" s="166">
        <v>208.35164835164838</v>
      </c>
      <c r="S28" s="182">
        <f t="shared" si="17"/>
        <v>2</v>
      </c>
      <c r="T28" s="473"/>
      <c r="U28" s="182">
        <v>7</v>
      </c>
      <c r="V28" s="166">
        <v>1486.7213114754093</v>
      </c>
      <c r="W28" s="166">
        <v>212.38875878220134</v>
      </c>
      <c r="X28" s="182">
        <f t="shared" si="18"/>
        <v>2</v>
      </c>
      <c r="Y28" s="473"/>
      <c r="Z28" s="182">
        <v>7</v>
      </c>
      <c r="AA28" s="166">
        <v>1475.294117647059</v>
      </c>
      <c r="AB28" s="166">
        <v>210.75630252100842</v>
      </c>
      <c r="AC28" s="182">
        <f t="shared" si="20"/>
        <v>2</v>
      </c>
      <c r="AD28" s="473"/>
      <c r="AE28" s="182">
        <v>7</v>
      </c>
      <c r="AF28" s="166">
        <v>1507.5789473684213</v>
      </c>
      <c r="AG28" s="166">
        <v>215.36842105263162</v>
      </c>
      <c r="AH28" s="182">
        <f t="shared" si="22"/>
        <v>1</v>
      </c>
      <c r="AI28" s="473"/>
      <c r="AJ28" s="182">
        <v>7</v>
      </c>
      <c r="AK28" s="166">
        <v>1482.1153846153841</v>
      </c>
      <c r="AL28" s="166">
        <v>211.73076923076914</v>
      </c>
      <c r="AM28" s="182">
        <f t="shared" si="24"/>
        <v>1</v>
      </c>
      <c r="AN28" s="473"/>
      <c r="AO28" s="182">
        <v>7</v>
      </c>
      <c r="AP28" s="166">
        <v>1457.5000000000002</v>
      </c>
      <c r="AQ28" s="166">
        <v>208.21428571428575</v>
      </c>
      <c r="AR28" s="182">
        <f t="shared" si="26"/>
        <v>2</v>
      </c>
      <c r="AS28" s="473"/>
      <c r="AT28" s="182">
        <v>7</v>
      </c>
      <c r="AU28" s="166">
        <v>1502.6086956521742</v>
      </c>
      <c r="AV28" s="180">
        <v>214.65838509316774</v>
      </c>
      <c r="AW28" s="182">
        <f t="shared" si="28"/>
        <v>1</v>
      </c>
      <c r="AX28" s="491"/>
    </row>
    <row r="29" spans="2:54">
      <c r="B29" s="479"/>
      <c r="C29" s="182">
        <v>3</v>
      </c>
      <c r="D29" s="203" t="s">
        <v>354</v>
      </c>
      <c r="E29" s="166">
        <v>19</v>
      </c>
      <c r="F29" s="182">
        <v>1500</v>
      </c>
      <c r="G29" s="180">
        <v>78.900000000000006</v>
      </c>
      <c r="H29" s="460"/>
      <c r="I29" s="166">
        <f t="shared" si="16"/>
        <v>18.428571428571427</v>
      </c>
      <c r="J29" s="166">
        <f t="shared" si="16"/>
        <v>1280.8036808492118</v>
      </c>
      <c r="K29" s="180">
        <f t="shared" si="16"/>
        <v>69.438332601782804</v>
      </c>
      <c r="L29" s="460"/>
      <c r="M29" s="181">
        <f>RANK(K29, K$27:$K$41)</f>
        <v>5</v>
      </c>
      <c r="N29" s="462"/>
      <c r="O29" s="462"/>
      <c r="P29" s="182">
        <v>18</v>
      </c>
      <c r="Q29" s="166">
        <v>1286.6129032258059</v>
      </c>
      <c r="R29" s="166">
        <v>71.478494623655877</v>
      </c>
      <c r="S29" s="182">
        <f t="shared" si="17"/>
        <v>5</v>
      </c>
      <c r="T29" s="473"/>
      <c r="U29" s="182">
        <v>19</v>
      </c>
      <c r="V29" s="166">
        <v>1261.860465116278</v>
      </c>
      <c r="W29" s="166">
        <v>66.413708690330424</v>
      </c>
      <c r="X29" s="182">
        <f t="shared" si="18"/>
        <v>6</v>
      </c>
      <c r="Y29" s="473"/>
      <c r="Z29" s="182">
        <v>18</v>
      </c>
      <c r="AA29" s="166">
        <v>1182.7272727272727</v>
      </c>
      <c r="AB29" s="166">
        <v>65.707070707070713</v>
      </c>
      <c r="AC29" s="182">
        <f t="shared" si="20"/>
        <v>4</v>
      </c>
      <c r="AD29" s="473"/>
      <c r="AE29" s="182">
        <v>18</v>
      </c>
      <c r="AF29" s="166">
        <v>1221.9642857142849</v>
      </c>
      <c r="AG29" s="166">
        <v>67.886904761904717</v>
      </c>
      <c r="AH29" s="182">
        <f t="shared" si="22"/>
        <v>4</v>
      </c>
      <c r="AI29" s="473"/>
      <c r="AJ29" s="182">
        <v>19</v>
      </c>
      <c r="AK29" s="166">
        <v>1514.5454545454563</v>
      </c>
      <c r="AL29" s="166">
        <v>79.712918660287173</v>
      </c>
      <c r="AM29" s="182">
        <f t="shared" si="24"/>
        <v>4</v>
      </c>
      <c r="AN29" s="473"/>
      <c r="AO29" s="182">
        <v>19</v>
      </c>
      <c r="AP29" s="166">
        <v>1335.1153846153843</v>
      </c>
      <c r="AQ29" s="166">
        <v>70.269230769230759</v>
      </c>
      <c r="AR29" s="182">
        <f t="shared" si="26"/>
        <v>4</v>
      </c>
      <c r="AS29" s="473"/>
      <c r="AT29" s="182">
        <v>18</v>
      </c>
      <c r="AU29" s="166">
        <v>1162.799999999999</v>
      </c>
      <c r="AV29" s="180">
        <v>64.599999999999952</v>
      </c>
      <c r="AW29" s="182">
        <f t="shared" si="28"/>
        <v>6</v>
      </c>
      <c r="AX29" s="491"/>
    </row>
    <row r="30" spans="2:54">
      <c r="B30" s="479"/>
      <c r="C30" s="182">
        <v>4</v>
      </c>
      <c r="D30" s="203" t="s">
        <v>360</v>
      </c>
      <c r="E30" s="166">
        <v>17</v>
      </c>
      <c r="F30" s="182">
        <v>1440</v>
      </c>
      <c r="G30" s="180">
        <v>84.7</v>
      </c>
      <c r="H30" s="460"/>
      <c r="I30" s="166">
        <f t="shared" si="16"/>
        <v>16.714285714285715</v>
      </c>
      <c r="J30" s="166">
        <f t="shared" si="16"/>
        <v>1190.6396591450825</v>
      </c>
      <c r="K30" s="180">
        <f t="shared" si="16"/>
        <v>71.350710640207197</v>
      </c>
      <c r="L30" s="460"/>
      <c r="M30" s="181">
        <f>RANK(K30, K$27:$K$41)</f>
        <v>4</v>
      </c>
      <c r="N30" s="462"/>
      <c r="O30" s="462"/>
      <c r="P30" s="182">
        <v>16</v>
      </c>
      <c r="Q30" s="166">
        <v>1248.3870967741948</v>
      </c>
      <c r="R30" s="166">
        <v>78.024193548387174</v>
      </c>
      <c r="S30" s="182">
        <f t="shared" si="17"/>
        <v>4</v>
      </c>
      <c r="T30" s="473"/>
      <c r="U30" s="182">
        <v>17</v>
      </c>
      <c r="V30" s="166">
        <v>1293.103448275863</v>
      </c>
      <c r="W30" s="166">
        <v>76.064908722109593</v>
      </c>
      <c r="X30" s="182">
        <f t="shared" si="18"/>
        <v>4</v>
      </c>
      <c r="Y30" s="473"/>
      <c r="Z30" s="182">
        <v>17</v>
      </c>
      <c r="AA30" s="166">
        <v>1093.1250000000014</v>
      </c>
      <c r="AB30" s="166">
        <v>64.301470588235375</v>
      </c>
      <c r="AC30" s="182">
        <f t="shared" si="20"/>
        <v>6</v>
      </c>
      <c r="AD30" s="473"/>
      <c r="AE30" s="182">
        <v>17</v>
      </c>
      <c r="AF30" s="166">
        <v>1104.0000000000005</v>
      </c>
      <c r="AG30" s="166">
        <v>64.94117647058826</v>
      </c>
      <c r="AH30" s="182">
        <f t="shared" si="22"/>
        <v>6</v>
      </c>
      <c r="AI30" s="473"/>
      <c r="AJ30" s="182">
        <v>17</v>
      </c>
      <c r="AK30" s="166">
        <v>1270.3448275862077</v>
      </c>
      <c r="AL30" s="166">
        <v>74.726166328600456</v>
      </c>
      <c r="AM30" s="182">
        <f t="shared" si="24"/>
        <v>5</v>
      </c>
      <c r="AN30" s="473"/>
      <c r="AO30" s="182">
        <v>17</v>
      </c>
      <c r="AP30" s="166">
        <v>1073.7931034482765</v>
      </c>
      <c r="AQ30" s="166">
        <v>63.164300202839797</v>
      </c>
      <c r="AR30" s="182">
        <f t="shared" si="26"/>
        <v>6</v>
      </c>
      <c r="AS30" s="473"/>
      <c r="AT30" s="182">
        <v>16</v>
      </c>
      <c r="AU30" s="166">
        <v>1251.7241379310353</v>
      </c>
      <c r="AV30" s="180">
        <v>78.232758620689708</v>
      </c>
      <c r="AW30" s="182">
        <f t="shared" si="28"/>
        <v>4</v>
      </c>
      <c r="AX30" s="491"/>
    </row>
    <row r="31" spans="2:54">
      <c r="B31" s="479"/>
      <c r="C31" s="182">
        <v>5</v>
      </c>
      <c r="D31" s="203" t="s">
        <v>356</v>
      </c>
      <c r="E31" s="166">
        <v>6</v>
      </c>
      <c r="F31" s="182">
        <v>1500</v>
      </c>
      <c r="G31" s="180">
        <v>250</v>
      </c>
      <c r="H31" s="460"/>
      <c r="I31" s="166">
        <f t="shared" si="16"/>
        <v>7</v>
      </c>
      <c r="J31" s="166">
        <f t="shared" si="16"/>
        <v>1492.2850016376037</v>
      </c>
      <c r="K31" s="180">
        <f t="shared" si="16"/>
        <v>213.18357166251479</v>
      </c>
      <c r="L31" s="460"/>
      <c r="M31" s="181">
        <f>RANK(K31, K$27:$K$41)</f>
        <v>1</v>
      </c>
      <c r="N31" s="462"/>
      <c r="O31" s="462"/>
      <c r="P31" s="182">
        <v>7</v>
      </c>
      <c r="Q31" s="166">
        <v>1479.056603773585</v>
      </c>
      <c r="R31" s="166">
        <v>211.29380053908358</v>
      </c>
      <c r="S31" s="182">
        <f t="shared" si="17"/>
        <v>1</v>
      </c>
      <c r="T31" s="473"/>
      <c r="U31" s="182">
        <v>7</v>
      </c>
      <c r="V31" s="166">
        <v>1507.4285714285716</v>
      </c>
      <c r="W31" s="166">
        <v>215.34693877551021</v>
      </c>
      <c r="X31" s="182">
        <f t="shared" si="18"/>
        <v>1</v>
      </c>
      <c r="Y31" s="473"/>
      <c r="Z31" s="182">
        <v>7</v>
      </c>
      <c r="AA31" s="166">
        <v>1507.0588235294117</v>
      </c>
      <c r="AB31" s="166">
        <v>215.29411764705881</v>
      </c>
      <c r="AC31" s="182">
        <f t="shared" si="20"/>
        <v>1</v>
      </c>
      <c r="AD31" s="473"/>
      <c r="AE31" s="182">
        <v>7</v>
      </c>
      <c r="AF31" s="166">
        <v>1497.1764705882358</v>
      </c>
      <c r="AG31" s="166">
        <v>213.88235294117655</v>
      </c>
      <c r="AH31" s="182">
        <f t="shared" si="22"/>
        <v>2</v>
      </c>
      <c r="AI31" s="473"/>
      <c r="AJ31" s="182">
        <v>7</v>
      </c>
      <c r="AK31" s="166">
        <v>1469.6629213483141</v>
      </c>
      <c r="AL31" s="166">
        <v>209.95184590690201</v>
      </c>
      <c r="AM31" s="182">
        <f t="shared" si="24"/>
        <v>2</v>
      </c>
      <c r="AN31" s="473"/>
      <c r="AO31" s="182">
        <v>7</v>
      </c>
      <c r="AP31" s="166">
        <v>1491.666666666667</v>
      </c>
      <c r="AQ31" s="166">
        <v>213.09523809523813</v>
      </c>
      <c r="AR31" s="182">
        <f t="shared" si="26"/>
        <v>1</v>
      </c>
      <c r="AS31" s="473"/>
      <c r="AT31" s="182">
        <v>7</v>
      </c>
      <c r="AU31" s="166">
        <v>1493.9449541284407</v>
      </c>
      <c r="AV31" s="180">
        <v>213.42070773263438</v>
      </c>
      <c r="AW31" s="182">
        <f t="shared" si="28"/>
        <v>2</v>
      </c>
      <c r="AX31" s="491"/>
    </row>
    <row r="32" spans="2:54">
      <c r="B32" s="479"/>
      <c r="C32" s="182">
        <v>6</v>
      </c>
      <c r="D32" s="203" t="s">
        <v>357</v>
      </c>
      <c r="E32" s="166">
        <v>19</v>
      </c>
      <c r="F32" s="182">
        <v>1440</v>
      </c>
      <c r="G32" s="180">
        <v>75.8</v>
      </c>
      <c r="H32" s="460"/>
      <c r="I32" s="166">
        <f t="shared" si="16"/>
        <v>19</v>
      </c>
      <c r="J32" s="166">
        <f t="shared" si="16"/>
        <v>1276.3988072682655</v>
      </c>
      <c r="K32" s="180">
        <f t="shared" si="16"/>
        <v>67.178884593066599</v>
      </c>
      <c r="L32" s="460"/>
      <c r="M32" s="181">
        <f>RANK(K32, K$27:$K$41)</f>
        <v>6</v>
      </c>
      <c r="N32" s="462"/>
      <c r="O32" s="462"/>
      <c r="P32" s="182">
        <v>19</v>
      </c>
      <c r="Q32" s="166">
        <v>1273.9285714285722</v>
      </c>
      <c r="R32" s="166">
        <v>67.04887218045117</v>
      </c>
      <c r="S32" s="182">
        <f t="shared" si="17"/>
        <v>6</v>
      </c>
      <c r="T32" s="473"/>
      <c r="U32" s="182">
        <v>19</v>
      </c>
      <c r="V32" s="166">
        <v>1289.9999999999993</v>
      </c>
      <c r="W32" s="166">
        <v>67.894736842105232</v>
      </c>
      <c r="X32" s="182">
        <f t="shared" si="18"/>
        <v>5</v>
      </c>
      <c r="Y32" s="473"/>
      <c r="Z32" s="182">
        <v>19</v>
      </c>
      <c r="AA32" s="166">
        <v>1246.5517241379303</v>
      </c>
      <c r="AB32" s="166">
        <v>65.607985480943697</v>
      </c>
      <c r="AC32" s="182">
        <f t="shared" si="20"/>
        <v>5</v>
      </c>
      <c r="AD32" s="473"/>
      <c r="AE32" s="182">
        <v>19</v>
      </c>
      <c r="AF32" s="166">
        <v>1256.9999999999995</v>
      </c>
      <c r="AG32" s="166">
        <v>66.157894736842081</v>
      </c>
      <c r="AH32" s="182">
        <f t="shared" si="22"/>
        <v>5</v>
      </c>
      <c r="AI32" s="473"/>
      <c r="AJ32" s="182">
        <v>19</v>
      </c>
      <c r="AK32" s="166">
        <v>1294.2857142857147</v>
      </c>
      <c r="AL32" s="166">
        <v>68.120300751879725</v>
      </c>
      <c r="AM32" s="182">
        <f t="shared" si="24"/>
        <v>6</v>
      </c>
      <c r="AN32" s="473"/>
      <c r="AO32" s="182">
        <v>19</v>
      </c>
      <c r="AP32" s="166">
        <v>1285.3333333333333</v>
      </c>
      <c r="AQ32" s="166">
        <v>67.649122807017534</v>
      </c>
      <c r="AR32" s="182">
        <f t="shared" si="26"/>
        <v>5</v>
      </c>
      <c r="AS32" s="473"/>
      <c r="AT32" s="182">
        <v>19</v>
      </c>
      <c r="AU32" s="166">
        <v>1287.6923076923085</v>
      </c>
      <c r="AV32" s="180">
        <v>67.773279352226766</v>
      </c>
      <c r="AW32" s="182">
        <f t="shared" si="28"/>
        <v>5</v>
      </c>
      <c r="AX32" s="491"/>
    </row>
    <row r="33" spans="2:50">
      <c r="B33" s="479"/>
      <c r="C33" s="182">
        <v>7</v>
      </c>
      <c r="D33" s="203" t="s">
        <v>361</v>
      </c>
      <c r="E33" s="166">
        <v>21</v>
      </c>
      <c r="F33" s="182">
        <v>1385</v>
      </c>
      <c r="G33" s="180">
        <v>65.900000000000006</v>
      </c>
      <c r="H33" s="460"/>
      <c r="I33" s="166">
        <f t="shared" ref="I33:I34" si="30">AVERAGE(P33,U33,Z33,AE33,AJ33,AO33,AT33)</f>
        <v>19</v>
      </c>
      <c r="J33" s="166">
        <f t="shared" ref="J33:J34" si="31">AVERAGE(Q33,V33,AA33,AF33,AK33,AP33,AU33)</f>
        <v>1131.3613152322823</v>
      </c>
      <c r="K33" s="180">
        <f t="shared" ref="K33:K34" si="32">AVERAGE(R33,W33,AB33,AG33,AL33,AQ33,AV33)</f>
        <v>59.545332380646435</v>
      </c>
      <c r="L33" s="460"/>
      <c r="M33" s="181">
        <f>RANK(K33, K$27:$K$41)</f>
        <v>7</v>
      </c>
      <c r="N33" s="462"/>
      <c r="O33" s="462"/>
      <c r="P33" s="182">
        <v>19</v>
      </c>
      <c r="Q33" s="166">
        <v>1152.972972972972</v>
      </c>
      <c r="R33" s="166">
        <v>60.682788051209052</v>
      </c>
      <c r="S33" s="182">
        <f t="shared" si="17"/>
        <v>7</v>
      </c>
      <c r="T33" s="473"/>
      <c r="U33" s="182">
        <v>19</v>
      </c>
      <c r="V33" s="166">
        <v>1166.6666666666656</v>
      </c>
      <c r="W33" s="166">
        <v>61.403508771929772</v>
      </c>
      <c r="X33" s="182">
        <f t="shared" si="18"/>
        <v>7</v>
      </c>
      <c r="Y33" s="473"/>
      <c r="Z33" s="182">
        <v>19</v>
      </c>
      <c r="AA33" s="166">
        <v>1169.9999999999995</v>
      </c>
      <c r="AB33" s="166">
        <v>61.578947368421026</v>
      </c>
      <c r="AC33" s="182">
        <f t="shared" si="20"/>
        <v>7</v>
      </c>
      <c r="AD33" s="473"/>
      <c r="AE33" s="182">
        <v>19</v>
      </c>
      <c r="AF33" s="166">
        <v>1167.0967741935494</v>
      </c>
      <c r="AG33" s="166">
        <v>61.426146010186812</v>
      </c>
      <c r="AH33" s="182">
        <f t="shared" si="22"/>
        <v>7</v>
      </c>
      <c r="AI33" s="473"/>
      <c r="AJ33" s="182">
        <v>19</v>
      </c>
      <c r="AK33" s="166">
        <v>1123.3333333333323</v>
      </c>
      <c r="AL33" s="166">
        <v>59.122807017543806</v>
      </c>
      <c r="AM33" s="182">
        <f t="shared" si="24"/>
        <v>7</v>
      </c>
      <c r="AN33" s="473"/>
      <c r="AO33" s="182">
        <v>19</v>
      </c>
      <c r="AP33" s="166">
        <v>979.99999999999932</v>
      </c>
      <c r="AQ33" s="166">
        <v>51.578947368421019</v>
      </c>
      <c r="AR33" s="182">
        <f t="shared" si="26"/>
        <v>7</v>
      </c>
      <c r="AS33" s="473"/>
      <c r="AT33" s="182">
        <v>19</v>
      </c>
      <c r="AU33" s="166">
        <v>1159.4594594594585</v>
      </c>
      <c r="AV33" s="180">
        <v>61.024182076813602</v>
      </c>
      <c r="AW33" s="182">
        <f t="shared" si="28"/>
        <v>7</v>
      </c>
      <c r="AX33" s="491"/>
    </row>
    <row r="34" spans="2:50">
      <c r="B34" s="479"/>
      <c r="C34" s="182">
        <v>8</v>
      </c>
      <c r="D34" s="203" t="s">
        <v>362</v>
      </c>
      <c r="E34" s="166">
        <v>21</v>
      </c>
      <c r="F34" s="182">
        <v>1385</v>
      </c>
      <c r="G34" s="180">
        <v>65.900000000000006</v>
      </c>
      <c r="H34" s="460"/>
      <c r="I34" s="166">
        <f t="shared" si="30"/>
        <v>20</v>
      </c>
      <c r="J34" s="166">
        <f t="shared" si="31"/>
        <v>989.14747707489721</v>
      </c>
      <c r="K34" s="180">
        <f t="shared" si="32"/>
        <v>49.457373853744862</v>
      </c>
      <c r="L34" s="460"/>
      <c r="M34" s="181">
        <f>RANK(K34, K$27:$K$41)</f>
        <v>8</v>
      </c>
      <c r="N34" s="462"/>
      <c r="O34" s="462"/>
      <c r="P34" s="182">
        <v>20</v>
      </c>
      <c r="Q34" s="166">
        <v>990.00000000000102</v>
      </c>
      <c r="R34" s="166">
        <v>49.50000000000005</v>
      </c>
      <c r="S34" s="182">
        <f t="shared" si="17"/>
        <v>8</v>
      </c>
      <c r="T34" s="473"/>
      <c r="U34" s="182">
        <v>20</v>
      </c>
      <c r="V34" s="166">
        <v>1016.250000000001</v>
      </c>
      <c r="W34" s="166">
        <v>50.81250000000005</v>
      </c>
      <c r="X34" s="182">
        <f t="shared" si="18"/>
        <v>8</v>
      </c>
      <c r="Y34" s="473"/>
      <c r="Z34" s="182">
        <v>20</v>
      </c>
      <c r="AA34" s="166">
        <v>1001.8181818181828</v>
      </c>
      <c r="AB34" s="166">
        <v>50.090909090909136</v>
      </c>
      <c r="AC34" s="182">
        <f t="shared" si="20"/>
        <v>8</v>
      </c>
      <c r="AD34" s="473"/>
      <c r="AE34" s="182">
        <v>20</v>
      </c>
      <c r="AF34" s="166">
        <v>962.22222222222274</v>
      </c>
      <c r="AG34" s="166">
        <v>48.111111111111136</v>
      </c>
      <c r="AH34" s="182">
        <f t="shared" si="22"/>
        <v>8</v>
      </c>
      <c r="AI34" s="473"/>
      <c r="AJ34" s="182">
        <v>20</v>
      </c>
      <c r="AK34" s="166">
        <v>967.74193548387177</v>
      </c>
      <c r="AL34" s="166">
        <v>48.387096774193587</v>
      </c>
      <c r="AM34" s="182">
        <f t="shared" si="24"/>
        <v>8</v>
      </c>
      <c r="AN34" s="473"/>
      <c r="AO34" s="182">
        <v>20</v>
      </c>
      <c r="AP34" s="166">
        <v>972.00000000000023</v>
      </c>
      <c r="AQ34" s="166">
        <v>48.600000000000009</v>
      </c>
      <c r="AR34" s="182">
        <f t="shared" si="26"/>
        <v>8</v>
      </c>
      <c r="AS34" s="473"/>
      <c r="AT34" s="182">
        <v>20</v>
      </c>
      <c r="AU34" s="166">
        <v>1014.000000000001</v>
      </c>
      <c r="AV34" s="180">
        <v>50.700000000000053</v>
      </c>
      <c r="AW34" s="182">
        <f t="shared" si="28"/>
        <v>8</v>
      </c>
      <c r="AX34" s="491"/>
    </row>
    <row r="35" spans="2:50">
      <c r="B35" s="479"/>
      <c r="C35" s="182">
        <v>9</v>
      </c>
      <c r="D35" s="203"/>
      <c r="E35" s="166"/>
      <c r="F35" s="182"/>
      <c r="G35" s="180"/>
      <c r="H35" s="460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66"/>
      <c r="R35" s="166"/>
      <c r="S35" s="182" t="e">
        <f t="shared" si="17"/>
        <v>#N/A</v>
      </c>
      <c r="T35" s="473"/>
      <c r="U35" s="182"/>
      <c r="V35" s="166"/>
      <c r="W35" s="166"/>
      <c r="X35" s="182" t="e">
        <f t="shared" si="18"/>
        <v>#N/A</v>
      </c>
      <c r="Y35" s="473"/>
      <c r="Z35" s="182"/>
      <c r="AA35" s="166"/>
      <c r="AB35" s="166"/>
      <c r="AC35" s="182" t="e">
        <f t="shared" si="20"/>
        <v>#N/A</v>
      </c>
      <c r="AD35" s="473"/>
      <c r="AE35" s="182"/>
      <c r="AF35" s="166"/>
      <c r="AG35" s="166"/>
      <c r="AH35" s="182" t="e">
        <f t="shared" si="22"/>
        <v>#N/A</v>
      </c>
      <c r="AI35" s="473"/>
      <c r="AJ35" s="182"/>
      <c r="AK35" s="166"/>
      <c r="AL35" s="166"/>
      <c r="AM35" s="182" t="e">
        <f t="shared" si="24"/>
        <v>#N/A</v>
      </c>
      <c r="AN35" s="473"/>
      <c r="AO35" s="182"/>
      <c r="AP35" s="166"/>
      <c r="AQ35" s="166"/>
      <c r="AR35" s="182" t="e">
        <f t="shared" si="26"/>
        <v>#N/A</v>
      </c>
      <c r="AS35" s="473"/>
      <c r="AT35" s="182"/>
      <c r="AU35" s="166"/>
      <c r="AV35" s="180"/>
      <c r="AW35" s="182" t="e">
        <f t="shared" si="28"/>
        <v>#N/A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66"/>
      <c r="R36" s="166"/>
      <c r="S36" s="182" t="e">
        <f t="shared" si="17"/>
        <v>#N/A</v>
      </c>
      <c r="T36" s="473"/>
      <c r="U36" s="182"/>
      <c r="V36" s="166"/>
      <c r="W36" s="166"/>
      <c r="X36" s="182" t="e">
        <f t="shared" si="18"/>
        <v>#N/A</v>
      </c>
      <c r="Y36" s="473"/>
      <c r="Z36" s="182"/>
      <c r="AA36" s="166"/>
      <c r="AB36" s="166"/>
      <c r="AC36" s="182" t="e">
        <f t="shared" si="20"/>
        <v>#N/A</v>
      </c>
      <c r="AD36" s="473"/>
      <c r="AE36" s="182"/>
      <c r="AF36" s="166"/>
      <c r="AG36" s="166"/>
      <c r="AH36" s="182" t="e">
        <f t="shared" si="22"/>
        <v>#N/A</v>
      </c>
      <c r="AI36" s="473"/>
      <c r="AJ36" s="182"/>
      <c r="AK36" s="166"/>
      <c r="AL36" s="166"/>
      <c r="AM36" s="182" t="e">
        <f t="shared" si="24"/>
        <v>#N/A</v>
      </c>
      <c r="AN36" s="473"/>
      <c r="AO36" s="182"/>
      <c r="AP36" s="166"/>
      <c r="AQ36" s="166"/>
      <c r="AR36" s="182" t="e">
        <f t="shared" si="26"/>
        <v>#N/A</v>
      </c>
      <c r="AS36" s="473"/>
      <c r="AT36" s="182"/>
      <c r="AU36" s="166"/>
      <c r="AV36" s="180"/>
      <c r="AW36" s="182" t="e">
        <f t="shared" si="28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66"/>
      <c r="J37" s="166"/>
      <c r="K37" s="180"/>
      <c r="L37" s="460"/>
      <c r="M37" s="181" t="e">
        <f>RANK(K37, K$27:$K$41)</f>
        <v>#N/A</v>
      </c>
      <c r="N37" s="462"/>
      <c r="O37" s="462"/>
      <c r="P37" s="182"/>
      <c r="Q37" s="166"/>
      <c r="R37" s="166"/>
      <c r="S37" s="182" t="e">
        <f t="shared" si="17"/>
        <v>#N/A</v>
      </c>
      <c r="T37" s="473"/>
      <c r="U37" s="182"/>
      <c r="V37" s="166"/>
      <c r="W37" s="166"/>
      <c r="X37" s="182" t="e">
        <f t="shared" si="18"/>
        <v>#N/A</v>
      </c>
      <c r="Y37" s="473"/>
      <c r="Z37" s="182"/>
      <c r="AA37" s="166"/>
      <c r="AB37" s="166"/>
      <c r="AC37" s="182" t="e">
        <f t="shared" si="20"/>
        <v>#N/A</v>
      </c>
      <c r="AD37" s="473"/>
      <c r="AE37" s="182"/>
      <c r="AF37" s="166"/>
      <c r="AG37" s="166"/>
      <c r="AH37" s="182" t="e">
        <f t="shared" si="22"/>
        <v>#N/A</v>
      </c>
      <c r="AI37" s="473"/>
      <c r="AJ37" s="182"/>
      <c r="AK37" s="166"/>
      <c r="AL37" s="166"/>
      <c r="AM37" s="182" t="e">
        <f t="shared" si="24"/>
        <v>#N/A</v>
      </c>
      <c r="AN37" s="473"/>
      <c r="AO37" s="182"/>
      <c r="AP37" s="166"/>
      <c r="AQ37" s="166"/>
      <c r="AR37" s="182" t="e">
        <f t="shared" si="26"/>
        <v>#N/A</v>
      </c>
      <c r="AS37" s="473"/>
      <c r="AT37" s="182"/>
      <c r="AU37" s="166"/>
      <c r="AV37" s="180"/>
      <c r="AW37" s="182" t="e">
        <f t="shared" si="28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66"/>
      <c r="J38" s="166"/>
      <c r="K38" s="180"/>
      <c r="L38" s="460"/>
      <c r="M38" s="181" t="e">
        <f>RANK(K38, K$27:$K$41)</f>
        <v>#N/A</v>
      </c>
      <c r="N38" s="462"/>
      <c r="O38" s="462"/>
      <c r="P38" s="182"/>
      <c r="Q38" s="166"/>
      <c r="R38" s="166"/>
      <c r="S38" s="182" t="e">
        <f t="shared" si="17"/>
        <v>#N/A</v>
      </c>
      <c r="T38" s="473"/>
      <c r="U38" s="182"/>
      <c r="V38" s="166"/>
      <c r="W38" s="166"/>
      <c r="X38" s="182" t="e">
        <f t="shared" si="18"/>
        <v>#N/A</v>
      </c>
      <c r="Y38" s="473"/>
      <c r="Z38" s="182"/>
      <c r="AA38" s="166"/>
      <c r="AB38" s="166"/>
      <c r="AC38" s="182" t="e">
        <f t="shared" si="20"/>
        <v>#N/A</v>
      </c>
      <c r="AD38" s="473"/>
      <c r="AE38" s="182"/>
      <c r="AF38" s="166"/>
      <c r="AG38" s="166"/>
      <c r="AH38" s="182" t="e">
        <f t="shared" si="22"/>
        <v>#N/A</v>
      </c>
      <c r="AI38" s="473"/>
      <c r="AJ38" s="182"/>
      <c r="AK38" s="166"/>
      <c r="AL38" s="166"/>
      <c r="AM38" s="182" t="e">
        <f t="shared" si="24"/>
        <v>#N/A</v>
      </c>
      <c r="AN38" s="473"/>
      <c r="AO38" s="182"/>
      <c r="AP38" s="166"/>
      <c r="AQ38" s="166"/>
      <c r="AR38" s="182" t="e">
        <f t="shared" si="26"/>
        <v>#N/A</v>
      </c>
      <c r="AS38" s="473"/>
      <c r="AT38" s="182"/>
      <c r="AU38" s="166"/>
      <c r="AV38" s="180"/>
      <c r="AW38" s="182" t="e">
        <f t="shared" si="28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66"/>
      <c r="J39" s="166"/>
      <c r="K39" s="180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17"/>
        <v>#N/A</v>
      </c>
      <c r="T39" s="473"/>
      <c r="U39" s="182"/>
      <c r="V39" s="166"/>
      <c r="W39" s="166"/>
      <c r="X39" s="182" t="e">
        <f t="shared" si="18"/>
        <v>#N/A</v>
      </c>
      <c r="Y39" s="473"/>
      <c r="Z39" s="182"/>
      <c r="AA39" s="166"/>
      <c r="AB39" s="166"/>
      <c r="AC39" s="182" t="e">
        <f t="shared" si="20"/>
        <v>#N/A</v>
      </c>
      <c r="AD39" s="473"/>
      <c r="AE39" s="182"/>
      <c r="AF39" s="166"/>
      <c r="AG39" s="166"/>
      <c r="AH39" s="182" t="e">
        <f t="shared" si="22"/>
        <v>#N/A</v>
      </c>
      <c r="AI39" s="473"/>
      <c r="AJ39" s="182"/>
      <c r="AK39" s="166"/>
      <c r="AL39" s="166"/>
      <c r="AM39" s="182" t="e">
        <f t="shared" si="24"/>
        <v>#N/A</v>
      </c>
      <c r="AN39" s="473"/>
      <c r="AO39" s="182"/>
      <c r="AP39" s="166"/>
      <c r="AQ39" s="166"/>
      <c r="AR39" s="182" t="e">
        <f t="shared" si="26"/>
        <v>#N/A</v>
      </c>
      <c r="AS39" s="473"/>
      <c r="AT39" s="182"/>
      <c r="AU39" s="166"/>
      <c r="AV39" s="180"/>
      <c r="AW39" s="182" t="e">
        <f t="shared" si="28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66"/>
      <c r="J40" s="166"/>
      <c r="K40" s="180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17"/>
        <v>#N/A</v>
      </c>
      <c r="T40" s="473"/>
      <c r="U40" s="182"/>
      <c r="V40" s="166"/>
      <c r="W40" s="166"/>
      <c r="X40" s="182" t="e">
        <f t="shared" si="18"/>
        <v>#N/A</v>
      </c>
      <c r="Y40" s="473"/>
      <c r="Z40" s="182"/>
      <c r="AA40" s="166"/>
      <c r="AB40" s="166"/>
      <c r="AC40" s="182" t="e">
        <f t="shared" si="20"/>
        <v>#N/A</v>
      </c>
      <c r="AD40" s="473"/>
      <c r="AE40" s="182"/>
      <c r="AF40" s="166"/>
      <c r="AG40" s="166"/>
      <c r="AH40" s="182" t="e">
        <f t="shared" si="22"/>
        <v>#N/A</v>
      </c>
      <c r="AI40" s="473"/>
      <c r="AJ40" s="182"/>
      <c r="AK40" s="166"/>
      <c r="AL40" s="166"/>
      <c r="AM40" s="182" t="e">
        <f t="shared" si="24"/>
        <v>#N/A</v>
      </c>
      <c r="AN40" s="473"/>
      <c r="AO40" s="182"/>
      <c r="AP40" s="166"/>
      <c r="AQ40" s="166"/>
      <c r="AR40" s="182" t="e">
        <f t="shared" si="26"/>
        <v>#N/A</v>
      </c>
      <c r="AS40" s="473"/>
      <c r="AT40" s="182"/>
      <c r="AU40" s="166"/>
      <c r="AV40" s="180"/>
      <c r="AW40" s="182" t="e">
        <f t="shared" si="28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66"/>
      <c r="J41" s="166"/>
      <c r="K41" s="180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17"/>
        <v>#N/A</v>
      </c>
      <c r="T41" s="474"/>
      <c r="U41" s="182"/>
      <c r="V41" s="166"/>
      <c r="W41" s="166"/>
      <c r="X41" s="182" t="e">
        <f t="shared" si="18"/>
        <v>#N/A</v>
      </c>
      <c r="Y41" s="474"/>
      <c r="Z41" s="182"/>
      <c r="AA41" s="166"/>
      <c r="AB41" s="166"/>
      <c r="AC41" s="182" t="e">
        <f t="shared" si="20"/>
        <v>#N/A</v>
      </c>
      <c r="AD41" s="474"/>
      <c r="AE41" s="182"/>
      <c r="AF41" s="166"/>
      <c r="AG41" s="166"/>
      <c r="AH41" s="182" t="e">
        <f t="shared" si="22"/>
        <v>#N/A</v>
      </c>
      <c r="AI41" s="474"/>
      <c r="AJ41" s="182"/>
      <c r="AK41" s="166"/>
      <c r="AL41" s="166"/>
      <c r="AM41" s="182" t="e">
        <f t="shared" si="24"/>
        <v>#N/A</v>
      </c>
      <c r="AN41" s="474"/>
      <c r="AO41" s="182"/>
      <c r="AP41" s="166"/>
      <c r="AQ41" s="166"/>
      <c r="AR41" s="182" t="e">
        <f t="shared" si="26"/>
        <v>#N/A</v>
      </c>
      <c r="AS41" s="474"/>
      <c r="AT41" s="182"/>
      <c r="AU41" s="166"/>
      <c r="AV41" s="180"/>
      <c r="AW41" s="182" t="e">
        <f t="shared" si="28"/>
        <v>#N/A</v>
      </c>
      <c r="AX41" s="491"/>
    </row>
    <row r="42" spans="2:50" ht="15.75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75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190</v>
      </c>
      <c r="C47" s="182">
        <v>1</v>
      </c>
      <c r="D47" s="203" t="s">
        <v>352</v>
      </c>
      <c r="E47" s="166">
        <v>6</v>
      </c>
      <c r="F47" s="182">
        <v>1500</v>
      </c>
      <c r="G47" s="180">
        <v>250</v>
      </c>
      <c r="H47" s="459">
        <f>AVERAGE(G47:G61)</f>
        <v>140.15</v>
      </c>
      <c r="I47" s="166">
        <f t="shared" ref="I47:K51" si="33">AVERAGE(P47,U47,Z47,AE47,AJ47,AO47,AT47)</f>
        <v>7</v>
      </c>
      <c r="J47" s="166">
        <f t="shared" si="33"/>
        <v>1276.1944312330068</v>
      </c>
      <c r="K47" s="180">
        <f t="shared" si="33"/>
        <v>182.3134901761438</v>
      </c>
      <c r="L47" s="459">
        <f>IFERROR(AVERAGE(K47:K61),"-")</f>
        <v>110.53388961677851</v>
      </c>
      <c r="M47" s="181">
        <f>RANK(K47, K$47:$K$61)</f>
        <v>3</v>
      </c>
      <c r="N47" s="462"/>
      <c r="O47" s="462"/>
      <c r="P47" s="182">
        <v>7</v>
      </c>
      <c r="Q47" s="166">
        <v>1285.2631578947367</v>
      </c>
      <c r="R47" s="166">
        <v>183.60902255639095</v>
      </c>
      <c r="S47" s="182">
        <f>RANK(R47, R$47:R$61)</f>
        <v>3</v>
      </c>
      <c r="T47" s="491">
        <f>AVERAGE(R47:R61)</f>
        <v>109.51817433300589</v>
      </c>
      <c r="U47" s="182">
        <v>7</v>
      </c>
      <c r="V47" s="166">
        <v>1282.0253164556962</v>
      </c>
      <c r="W47" s="166">
        <v>183.14647377938516</v>
      </c>
      <c r="X47" s="182">
        <f>RANK(W47, W$47:W$61)</f>
        <v>3</v>
      </c>
      <c r="Y47" s="491">
        <f>AVERAGE(W47:W61)</f>
        <v>112.48843245194223</v>
      </c>
      <c r="Z47" s="182">
        <v>7</v>
      </c>
      <c r="AA47" s="166">
        <v>1263.0379746835442</v>
      </c>
      <c r="AB47" s="166">
        <v>180.43399638336345</v>
      </c>
      <c r="AC47" s="182">
        <f>RANK(AB47, AB$47:AB$61)</f>
        <v>3</v>
      </c>
      <c r="AD47" s="491">
        <f>AVERAGE(AB47:AB61)</f>
        <v>110.63869280633425</v>
      </c>
      <c r="AE47" s="182">
        <v>7</v>
      </c>
      <c r="AF47" s="166">
        <v>1260.9374999999998</v>
      </c>
      <c r="AG47" s="166">
        <v>180.13392857142853</v>
      </c>
      <c r="AH47" s="182">
        <f>RANK(AG47, AG$47:AG$61)</f>
        <v>3</v>
      </c>
      <c r="AI47" s="491">
        <f>AVERAGE(AG47:AG61)</f>
        <v>109.3253372470369</v>
      </c>
      <c r="AJ47" s="182">
        <v>7</v>
      </c>
      <c r="AK47" s="166">
        <v>1265.8333333333328</v>
      </c>
      <c r="AL47" s="166">
        <v>180.83333333333326</v>
      </c>
      <c r="AM47" s="182">
        <f>RANK(AL47, AL$47:AL$61)</f>
        <v>3</v>
      </c>
      <c r="AN47" s="491">
        <f>AVERAGE(AL47:AL61)</f>
        <v>112.02182596052309</v>
      </c>
      <c r="AO47" s="182">
        <v>7</v>
      </c>
      <c r="AP47" s="166">
        <v>1268.5714285714284</v>
      </c>
      <c r="AQ47" s="166">
        <v>181.22448979591834</v>
      </c>
      <c r="AR47" s="182">
        <f>RANK(AQ47, AQ$47:AQ$61)</f>
        <v>3</v>
      </c>
      <c r="AS47" s="491">
        <f>AVERAGE(AQ47:AQ61)</f>
        <v>108.72077991910872</v>
      </c>
      <c r="AT47" s="182">
        <v>7</v>
      </c>
      <c r="AU47" s="166">
        <v>1307.6923076923076</v>
      </c>
      <c r="AV47" s="166">
        <v>186.8131868131868</v>
      </c>
      <c r="AW47" s="182">
        <f>RANK(AV47, AV$47:AV$61)</f>
        <v>3</v>
      </c>
      <c r="AX47" s="491">
        <f>AVERAGE(AV47:AV61)</f>
        <v>111.02398459949863</v>
      </c>
    </row>
    <row r="48" spans="2:50">
      <c r="B48" s="479"/>
      <c r="C48" s="182">
        <v>2</v>
      </c>
      <c r="D48" s="203" t="s">
        <v>353</v>
      </c>
      <c r="E48" s="166">
        <v>6</v>
      </c>
      <c r="F48" s="182">
        <v>1500</v>
      </c>
      <c r="G48" s="180">
        <v>250</v>
      </c>
      <c r="H48" s="460"/>
      <c r="I48" s="166">
        <f t="shared" si="33"/>
        <v>7</v>
      </c>
      <c r="J48" s="166">
        <f t="shared" si="33"/>
        <v>1413.6705039927313</v>
      </c>
      <c r="K48" s="180">
        <f t="shared" si="33"/>
        <v>201.95292914181874</v>
      </c>
      <c r="L48" s="460"/>
      <c r="M48" s="181">
        <f>RANK(K48, K$47:$K$61)</f>
        <v>1</v>
      </c>
      <c r="N48" s="462"/>
      <c r="O48" s="462"/>
      <c r="P48" s="182">
        <v>7</v>
      </c>
      <c r="Q48" s="166">
        <v>1401.8644067796613</v>
      </c>
      <c r="R48" s="166">
        <v>200.2663438256659</v>
      </c>
      <c r="S48" s="182">
        <f t="shared" ref="S48:S54" si="34">RANK(R48, R$47:R$61)</f>
        <v>1</v>
      </c>
      <c r="T48" s="491"/>
      <c r="U48" s="182">
        <v>7</v>
      </c>
      <c r="V48" s="166">
        <v>1412.7731092436977</v>
      </c>
      <c r="W48" s="166">
        <v>201.82472989195682</v>
      </c>
      <c r="X48" s="182">
        <f t="shared" ref="X48:X54" si="35">RANK(W48, W$47:W$61)</f>
        <v>2</v>
      </c>
      <c r="Y48" s="491"/>
      <c r="Z48" s="182">
        <v>7</v>
      </c>
      <c r="AA48" s="166">
        <v>1396.1739130434785</v>
      </c>
      <c r="AB48" s="166">
        <v>199.45341614906835</v>
      </c>
      <c r="AC48" s="182">
        <f t="shared" ref="AC48:AC54" si="36">RANK(AB48, AB$47:AB$61)</f>
        <v>2</v>
      </c>
      <c r="AD48" s="491"/>
      <c r="AE48" s="182">
        <v>7</v>
      </c>
      <c r="AF48" s="166">
        <v>1416.1224489795923</v>
      </c>
      <c r="AG48" s="166">
        <v>202.3032069970846</v>
      </c>
      <c r="AH48" s="182">
        <f t="shared" ref="AH48:AH54" si="37">RANK(AG48, AG$47:AG$61)</f>
        <v>1</v>
      </c>
      <c r="AI48" s="491"/>
      <c r="AJ48" s="182">
        <v>7</v>
      </c>
      <c r="AK48" s="166">
        <v>1430.0970873786414</v>
      </c>
      <c r="AL48" s="166">
        <v>204.29958391123449</v>
      </c>
      <c r="AM48" s="182">
        <f t="shared" ref="AM48:AM54" si="38">RANK(AL48, AL$47:AL$61)</f>
        <v>1</v>
      </c>
      <c r="AN48" s="491"/>
      <c r="AO48" s="182">
        <v>7</v>
      </c>
      <c r="AP48" s="166">
        <v>1405.5652173913045</v>
      </c>
      <c r="AQ48" s="166">
        <v>200.79503105590064</v>
      </c>
      <c r="AR48" s="182">
        <f t="shared" ref="AR48:AR54" si="39">RANK(AQ48, AQ$47:AQ$61)</f>
        <v>1</v>
      </c>
      <c r="AS48" s="491"/>
      <c r="AT48" s="182">
        <v>7</v>
      </c>
      <c r="AU48" s="166">
        <v>1433.0973451327434</v>
      </c>
      <c r="AV48" s="166">
        <v>204.72819216182049</v>
      </c>
      <c r="AW48" s="182">
        <f t="shared" ref="AW48:AW54" si="40">RANK(AV48, AV$47:AV$61)</f>
        <v>1</v>
      </c>
      <c r="AX48" s="491"/>
    </row>
    <row r="49" spans="2:50">
      <c r="B49" s="479"/>
      <c r="C49" s="182">
        <v>3</v>
      </c>
      <c r="D49" s="203" t="s">
        <v>354</v>
      </c>
      <c r="E49" s="166">
        <v>19</v>
      </c>
      <c r="F49" s="182">
        <v>1500</v>
      </c>
      <c r="G49" s="180">
        <v>78.900000000000006</v>
      </c>
      <c r="H49" s="460"/>
      <c r="I49" s="166">
        <f t="shared" si="33"/>
        <v>18.857142857142858</v>
      </c>
      <c r="J49" s="166">
        <f t="shared" si="33"/>
        <v>1213.4944805539094</v>
      </c>
      <c r="K49" s="180">
        <f t="shared" si="33"/>
        <v>64.366250856220802</v>
      </c>
      <c r="L49" s="460"/>
      <c r="M49" s="181">
        <f>RANK(K49, K$47:$K$61)</f>
        <v>6</v>
      </c>
      <c r="N49" s="462"/>
      <c r="O49" s="462"/>
      <c r="P49" s="182">
        <v>19</v>
      </c>
      <c r="Q49" s="166">
        <v>1180.3764705882395</v>
      </c>
      <c r="R49" s="166">
        <v>62.125077399381027</v>
      </c>
      <c r="S49" s="182">
        <f t="shared" si="34"/>
        <v>6</v>
      </c>
      <c r="T49" s="491"/>
      <c r="U49" s="182">
        <v>18</v>
      </c>
      <c r="V49" s="166">
        <v>1192.5000000000043</v>
      </c>
      <c r="W49" s="166">
        <v>66.250000000000242</v>
      </c>
      <c r="X49" s="182">
        <f t="shared" si="35"/>
        <v>6</v>
      </c>
      <c r="Y49" s="491"/>
      <c r="Z49" s="182">
        <v>19</v>
      </c>
      <c r="AA49" s="166">
        <v>1220.6399999999967</v>
      </c>
      <c r="AB49" s="166">
        <v>64.244210526315612</v>
      </c>
      <c r="AC49" s="182">
        <f t="shared" si="36"/>
        <v>5</v>
      </c>
      <c r="AD49" s="491"/>
      <c r="AE49" s="182">
        <v>19</v>
      </c>
      <c r="AF49" s="166">
        <v>1226.608695652174</v>
      </c>
      <c r="AG49" s="166">
        <v>64.558352402745996</v>
      </c>
      <c r="AH49" s="182">
        <f t="shared" si="37"/>
        <v>5</v>
      </c>
      <c r="AI49" s="491"/>
      <c r="AJ49" s="182">
        <v>19</v>
      </c>
      <c r="AK49" s="166">
        <v>1243.5918367346942</v>
      </c>
      <c r="AL49" s="166">
        <v>65.452201933404965</v>
      </c>
      <c r="AM49" s="182">
        <f t="shared" si="38"/>
        <v>5</v>
      </c>
      <c r="AN49" s="491"/>
      <c r="AO49" s="182">
        <v>19</v>
      </c>
      <c r="AP49" s="166">
        <v>1224.4285714285725</v>
      </c>
      <c r="AQ49" s="166">
        <v>64.443609022556444</v>
      </c>
      <c r="AR49" s="182">
        <f t="shared" si="39"/>
        <v>5</v>
      </c>
      <c r="AS49" s="491"/>
      <c r="AT49" s="182">
        <v>19</v>
      </c>
      <c r="AU49" s="166">
        <v>1206.3157894736851</v>
      </c>
      <c r="AV49" s="166">
        <v>63.49030470914132</v>
      </c>
      <c r="AW49" s="182">
        <f t="shared" si="40"/>
        <v>5</v>
      </c>
      <c r="AX49" s="491"/>
    </row>
    <row r="50" spans="2:50">
      <c r="B50" s="479"/>
      <c r="C50" s="182">
        <v>4</v>
      </c>
      <c r="D50" s="203" t="s">
        <v>360</v>
      </c>
      <c r="E50" s="166">
        <v>17</v>
      </c>
      <c r="F50" s="182">
        <v>1440</v>
      </c>
      <c r="G50" s="180">
        <v>84.7</v>
      </c>
      <c r="H50" s="460"/>
      <c r="I50" s="166">
        <f t="shared" si="33"/>
        <v>16.142857142857142</v>
      </c>
      <c r="J50" s="166">
        <f t="shared" si="33"/>
        <v>1095.5642179452425</v>
      </c>
      <c r="K50" s="180">
        <f t="shared" si="33"/>
        <v>67.917585668043301</v>
      </c>
      <c r="L50" s="460"/>
      <c r="M50" s="181">
        <f>RANK(K50, K$47:$K$61)</f>
        <v>4</v>
      </c>
      <c r="N50" s="462"/>
      <c r="O50" s="462"/>
      <c r="P50" s="182">
        <v>17</v>
      </c>
      <c r="Q50" s="166">
        <v>1057.0588235294131</v>
      </c>
      <c r="R50" s="166">
        <v>62.179930795847831</v>
      </c>
      <c r="S50" s="182">
        <f t="shared" si="34"/>
        <v>5</v>
      </c>
      <c r="T50" s="491"/>
      <c r="U50" s="182">
        <v>16</v>
      </c>
      <c r="V50" s="166">
        <v>1188.3870967741948</v>
      </c>
      <c r="W50" s="166">
        <v>74.274193548387174</v>
      </c>
      <c r="X50" s="182">
        <f t="shared" si="35"/>
        <v>4</v>
      </c>
      <c r="Y50" s="491"/>
      <c r="Z50" s="182">
        <v>16</v>
      </c>
      <c r="AA50" s="166">
        <v>1019.999999999999</v>
      </c>
      <c r="AB50" s="166">
        <v>63.749999999999936</v>
      </c>
      <c r="AC50" s="182">
        <f t="shared" si="36"/>
        <v>6</v>
      </c>
      <c r="AD50" s="491"/>
      <c r="AE50" s="182">
        <v>16</v>
      </c>
      <c r="AF50" s="166">
        <v>1063.2000000000003</v>
      </c>
      <c r="AG50" s="166">
        <v>66.450000000000017</v>
      </c>
      <c r="AH50" s="182">
        <f t="shared" si="37"/>
        <v>4</v>
      </c>
      <c r="AI50" s="491"/>
      <c r="AJ50" s="182">
        <v>16</v>
      </c>
      <c r="AK50" s="166">
        <v>1178.7096774193558</v>
      </c>
      <c r="AL50" s="166">
        <v>73.669354838709737</v>
      </c>
      <c r="AM50" s="182">
        <f t="shared" si="38"/>
        <v>4</v>
      </c>
      <c r="AN50" s="491"/>
      <c r="AO50" s="182">
        <v>16</v>
      </c>
      <c r="AP50" s="166">
        <v>1018.0645161290306</v>
      </c>
      <c r="AQ50" s="166">
        <v>63.629032258064413</v>
      </c>
      <c r="AR50" s="182">
        <f t="shared" si="39"/>
        <v>6</v>
      </c>
      <c r="AS50" s="491"/>
      <c r="AT50" s="182">
        <v>16</v>
      </c>
      <c r="AU50" s="166">
        <v>1143.5294117647045</v>
      </c>
      <c r="AV50" s="166">
        <v>71.470588235294031</v>
      </c>
      <c r="AW50" s="182">
        <f t="shared" si="40"/>
        <v>4</v>
      </c>
      <c r="AX50" s="491"/>
    </row>
    <row r="51" spans="2:50">
      <c r="B51" s="479"/>
      <c r="C51" s="182">
        <v>5</v>
      </c>
      <c r="D51" s="203" t="s">
        <v>356</v>
      </c>
      <c r="E51" s="166">
        <v>6</v>
      </c>
      <c r="F51" s="182">
        <v>1500</v>
      </c>
      <c r="G51" s="180">
        <v>250</v>
      </c>
      <c r="H51" s="460"/>
      <c r="I51" s="166">
        <f t="shared" si="33"/>
        <v>7</v>
      </c>
      <c r="J51" s="166">
        <f t="shared" si="33"/>
        <v>1405.6893292910693</v>
      </c>
      <c r="K51" s="180">
        <f t="shared" si="33"/>
        <v>200.81276132729562</v>
      </c>
      <c r="L51" s="460"/>
      <c r="M51" s="181">
        <f>RANK(K51, K$47:$K$61)</f>
        <v>2</v>
      </c>
      <c r="N51" s="462"/>
      <c r="O51" s="462"/>
      <c r="P51" s="182">
        <v>7</v>
      </c>
      <c r="Q51" s="166">
        <v>1395.700934579439</v>
      </c>
      <c r="R51" s="166">
        <v>199.38584779706272</v>
      </c>
      <c r="S51" s="182">
        <f>RANK(R51, R$47:R$61)</f>
        <v>2</v>
      </c>
      <c r="T51" s="491"/>
      <c r="U51" s="182">
        <v>7</v>
      </c>
      <c r="V51" s="166">
        <v>1421.5384615384612</v>
      </c>
      <c r="W51" s="166">
        <v>203.07692307692304</v>
      </c>
      <c r="X51" s="182">
        <f>RANK(W51, W$47:W$61)</f>
        <v>1</v>
      </c>
      <c r="Y51" s="491"/>
      <c r="Z51" s="182">
        <v>7</v>
      </c>
      <c r="AA51" s="166">
        <v>1422.4528301886787</v>
      </c>
      <c r="AB51" s="166">
        <v>203.20754716981125</v>
      </c>
      <c r="AC51" s="182">
        <f>RANK(AB51, AB$47:AB$61)</f>
        <v>1</v>
      </c>
      <c r="AD51" s="491"/>
      <c r="AE51" s="182">
        <v>7</v>
      </c>
      <c r="AF51" s="166">
        <v>1406.0869565217397</v>
      </c>
      <c r="AG51" s="166">
        <v>200.8695652173914</v>
      </c>
      <c r="AH51" s="182">
        <f>RANK(AG51, AG$47:AG$61)</f>
        <v>2</v>
      </c>
      <c r="AI51" s="491"/>
      <c r="AJ51" s="182">
        <v>7</v>
      </c>
      <c r="AK51" s="166">
        <v>1413.7500000000005</v>
      </c>
      <c r="AL51" s="166">
        <v>201.96428571428578</v>
      </c>
      <c r="AM51" s="182">
        <f>RANK(AL51, AL$47:AL$61)</f>
        <v>2</v>
      </c>
      <c r="AN51" s="491"/>
      <c r="AO51" s="182">
        <v>7</v>
      </c>
      <c r="AP51" s="166">
        <v>1386.7826086956525</v>
      </c>
      <c r="AQ51" s="166">
        <v>198.11180124223606</v>
      </c>
      <c r="AR51" s="182">
        <f>RANK(AQ51, AQ$47:AQ$61)</f>
        <v>2</v>
      </c>
      <c r="AS51" s="491"/>
      <c r="AT51" s="182">
        <v>7</v>
      </c>
      <c r="AU51" s="166">
        <v>1393.5135135135135</v>
      </c>
      <c r="AV51" s="166">
        <v>199.07335907335909</v>
      </c>
      <c r="AW51" s="182">
        <f>RANK(AV51, AV$47:AV$61)</f>
        <v>2</v>
      </c>
      <c r="AX51" s="491"/>
    </row>
    <row r="52" spans="2:50">
      <c r="B52" s="479"/>
      <c r="C52" s="182">
        <v>6</v>
      </c>
      <c r="D52" s="203" t="s">
        <v>357</v>
      </c>
      <c r="E52" s="166">
        <v>19</v>
      </c>
      <c r="F52" s="182">
        <v>1440</v>
      </c>
      <c r="G52" s="180">
        <v>75.8</v>
      </c>
      <c r="H52" s="460"/>
      <c r="I52" s="166">
        <f t="shared" ref="I52:I53" si="41">AVERAGE(P52,U52,Z52,AE52,AJ52,AO52,AT52)</f>
        <v>18.571428571428573</v>
      </c>
      <c r="J52" s="166">
        <f t="shared" ref="J52:J53" si="42">AVERAGE(Q52,V52,AA52,AF52,AK52,AP52,AU52)</f>
        <v>1208.9267801895098</v>
      </c>
      <c r="K52" s="180">
        <f t="shared" ref="K52:K53" si="43">AVERAGE(R52,W52,AB52,AG52,AL52,AQ52,AV52)</f>
        <v>65.139154547065473</v>
      </c>
      <c r="L52" s="460"/>
      <c r="M52" s="181">
        <f>RANK(K52, K$47:$K$61)</f>
        <v>5</v>
      </c>
      <c r="N52" s="462"/>
      <c r="O52" s="462"/>
      <c r="P52" s="182">
        <v>18</v>
      </c>
      <c r="Q52" s="166">
        <v>1209.8461538461534</v>
      </c>
      <c r="R52" s="166">
        <v>67.213675213675188</v>
      </c>
      <c r="S52" s="182">
        <f t="shared" si="34"/>
        <v>4</v>
      </c>
      <c r="T52" s="491"/>
      <c r="U52" s="182">
        <v>18</v>
      </c>
      <c r="V52" s="166">
        <v>1198.9285714285722</v>
      </c>
      <c r="W52" s="166">
        <v>66.607142857142904</v>
      </c>
      <c r="X52" s="182">
        <f t="shared" si="35"/>
        <v>5</v>
      </c>
      <c r="Y52" s="491"/>
      <c r="Z52" s="182">
        <v>18</v>
      </c>
      <c r="AA52" s="166">
        <v>1209.5869565217392</v>
      </c>
      <c r="AB52" s="166">
        <v>67.199275362318843</v>
      </c>
      <c r="AC52" s="182">
        <f t="shared" si="36"/>
        <v>4</v>
      </c>
      <c r="AD52" s="491"/>
      <c r="AE52" s="182">
        <v>19</v>
      </c>
      <c r="AF52" s="166">
        <v>1208.1081081081072</v>
      </c>
      <c r="AG52" s="166">
        <v>63.58463726884775</v>
      </c>
      <c r="AH52" s="182">
        <f t="shared" si="37"/>
        <v>6</v>
      </c>
      <c r="AI52" s="491"/>
      <c r="AJ52" s="182">
        <v>19</v>
      </c>
      <c r="AK52" s="166">
        <v>1216.8000000000002</v>
      </c>
      <c r="AL52" s="166">
        <v>64.042105263157907</v>
      </c>
      <c r="AM52" s="182">
        <f t="shared" si="38"/>
        <v>6</v>
      </c>
      <c r="AN52" s="491"/>
      <c r="AO52" s="182">
        <v>19</v>
      </c>
      <c r="AP52" s="166">
        <v>1224.8780487804875</v>
      </c>
      <c r="AQ52" s="166">
        <v>64.467265725288811</v>
      </c>
      <c r="AR52" s="182">
        <f t="shared" si="39"/>
        <v>4</v>
      </c>
      <c r="AS52" s="491"/>
      <c r="AT52" s="182">
        <v>19</v>
      </c>
      <c r="AU52" s="166">
        <v>1194.33962264151</v>
      </c>
      <c r="AV52" s="166">
        <v>62.859980139026845</v>
      </c>
      <c r="AW52" s="182">
        <f t="shared" si="40"/>
        <v>6</v>
      </c>
      <c r="AX52" s="491"/>
    </row>
    <row r="53" spans="2:50">
      <c r="B53" s="479"/>
      <c r="C53" s="182">
        <v>7</v>
      </c>
      <c r="D53" s="203" t="s">
        <v>361</v>
      </c>
      <c r="E53" s="166">
        <v>21</v>
      </c>
      <c r="F53" s="182">
        <v>1385</v>
      </c>
      <c r="G53" s="180">
        <v>65.900000000000006</v>
      </c>
      <c r="H53" s="460"/>
      <c r="I53" s="166">
        <f t="shared" si="41"/>
        <v>19.142857142857142</v>
      </c>
      <c r="J53" s="166">
        <f t="shared" si="42"/>
        <v>1051.7489076970501</v>
      </c>
      <c r="K53" s="180">
        <f t="shared" si="43"/>
        <v>54.949784219908047</v>
      </c>
      <c r="L53" s="460"/>
      <c r="M53" s="181">
        <f>RANK(K53, K$47:$K$61)</f>
        <v>7</v>
      </c>
      <c r="N53" s="462"/>
      <c r="O53" s="462"/>
      <c r="P53" s="182">
        <v>20</v>
      </c>
      <c r="Q53" s="166">
        <v>1078.421052631578</v>
      </c>
      <c r="R53" s="166">
        <v>53.921052631578902</v>
      </c>
      <c r="S53" s="182">
        <f t="shared" si="34"/>
        <v>7</v>
      </c>
      <c r="T53" s="491"/>
      <c r="U53" s="182">
        <v>19</v>
      </c>
      <c r="V53" s="166">
        <v>1094.1176470588223</v>
      </c>
      <c r="W53" s="166">
        <v>57.585139318885382</v>
      </c>
      <c r="X53" s="182">
        <f t="shared" si="35"/>
        <v>7</v>
      </c>
      <c r="Y53" s="491"/>
      <c r="Z53" s="182">
        <v>19</v>
      </c>
      <c r="AA53" s="166">
        <v>1113.5294117647045</v>
      </c>
      <c r="AB53" s="166">
        <v>58.606811145510761</v>
      </c>
      <c r="AC53" s="182">
        <f t="shared" si="36"/>
        <v>7</v>
      </c>
      <c r="AD53" s="491"/>
      <c r="AE53" s="182">
        <v>19</v>
      </c>
      <c r="AF53" s="166">
        <v>952.50000000000102</v>
      </c>
      <c r="AG53" s="166">
        <v>50.131578947368475</v>
      </c>
      <c r="AH53" s="182">
        <f t="shared" si="37"/>
        <v>7</v>
      </c>
      <c r="AI53" s="491"/>
      <c r="AJ53" s="182">
        <v>19</v>
      </c>
      <c r="AK53" s="166">
        <v>1136.2500000000014</v>
      </c>
      <c r="AL53" s="166">
        <v>59.802631578947441</v>
      </c>
      <c r="AM53" s="182">
        <f t="shared" si="38"/>
        <v>7</v>
      </c>
      <c r="AN53" s="491"/>
      <c r="AO53" s="182">
        <v>19</v>
      </c>
      <c r="AP53" s="166">
        <v>949.09090909091003</v>
      </c>
      <c r="AQ53" s="166">
        <v>49.952153110047895</v>
      </c>
      <c r="AR53" s="182">
        <f t="shared" si="39"/>
        <v>7</v>
      </c>
      <c r="AS53" s="491"/>
      <c r="AT53" s="182">
        <v>19</v>
      </c>
      <c r="AU53" s="166">
        <v>1038.3333333333326</v>
      </c>
      <c r="AV53" s="166">
        <v>54.649122807017505</v>
      </c>
      <c r="AW53" s="182">
        <f t="shared" si="40"/>
        <v>7</v>
      </c>
      <c r="AX53" s="491"/>
    </row>
    <row r="54" spans="2:50">
      <c r="B54" s="479"/>
      <c r="C54" s="182">
        <v>8</v>
      </c>
      <c r="D54" s="203" t="s">
        <v>362</v>
      </c>
      <c r="E54" s="166">
        <v>21</v>
      </c>
      <c r="F54" s="182">
        <v>1385</v>
      </c>
      <c r="G54" s="180">
        <v>65.900000000000006</v>
      </c>
      <c r="H54" s="460"/>
      <c r="I54" s="166">
        <f t="shared" ref="I54" si="44">AVERAGE(P54,U54,Z54,AE54,AJ54,AO54,AT54)</f>
        <v>20</v>
      </c>
      <c r="J54" s="166">
        <f t="shared" ref="J54" si="45">AVERAGE(Q54,V54,AA54,AF54,AK54,AP54,AU54)</f>
        <v>936.38321995464878</v>
      </c>
      <c r="K54" s="180">
        <f t="shared" ref="K54" si="46">AVERAGE(R54,W54,AB54,AG54,AL54,AQ54,AV54)</f>
        <v>46.819160997732446</v>
      </c>
      <c r="L54" s="460"/>
      <c r="M54" s="181">
        <f>RANK(K54, K$47:$K$61)</f>
        <v>8</v>
      </c>
      <c r="N54" s="462"/>
      <c r="O54" s="462"/>
      <c r="P54" s="182">
        <v>20</v>
      </c>
      <c r="Q54" s="166">
        <v>948.88888888888937</v>
      </c>
      <c r="R54" s="166">
        <v>47.444444444444471</v>
      </c>
      <c r="S54" s="182">
        <f t="shared" si="34"/>
        <v>8</v>
      </c>
      <c r="T54" s="491"/>
      <c r="U54" s="182">
        <v>20</v>
      </c>
      <c r="V54" s="166">
        <v>942.85714285714357</v>
      </c>
      <c r="W54" s="166">
        <v>47.142857142857181</v>
      </c>
      <c r="X54" s="182">
        <f t="shared" si="35"/>
        <v>8</v>
      </c>
      <c r="Y54" s="491"/>
      <c r="Z54" s="182">
        <v>20</v>
      </c>
      <c r="AA54" s="166">
        <v>964.28571428571502</v>
      </c>
      <c r="AB54" s="166">
        <v>48.214285714285751</v>
      </c>
      <c r="AC54" s="182">
        <f t="shared" si="36"/>
        <v>8</v>
      </c>
      <c r="AD54" s="491"/>
      <c r="AE54" s="182">
        <v>20</v>
      </c>
      <c r="AF54" s="166">
        <v>931.4285714285711</v>
      </c>
      <c r="AG54" s="166">
        <v>46.571428571428555</v>
      </c>
      <c r="AH54" s="182">
        <f t="shared" si="37"/>
        <v>8</v>
      </c>
      <c r="AI54" s="491"/>
      <c r="AJ54" s="182">
        <v>20</v>
      </c>
      <c r="AK54" s="166">
        <v>922.22222222222274</v>
      </c>
      <c r="AL54" s="166">
        <v>46.111111111111136</v>
      </c>
      <c r="AM54" s="182">
        <f t="shared" si="38"/>
        <v>8</v>
      </c>
      <c r="AN54" s="491"/>
      <c r="AO54" s="182">
        <v>20</v>
      </c>
      <c r="AP54" s="166">
        <v>942.85714285714243</v>
      </c>
      <c r="AQ54" s="166">
        <v>47.142857142857125</v>
      </c>
      <c r="AR54" s="182">
        <f t="shared" si="39"/>
        <v>8</v>
      </c>
      <c r="AS54" s="491"/>
      <c r="AT54" s="182">
        <v>20</v>
      </c>
      <c r="AU54" s="166">
        <v>902.14285714285779</v>
      </c>
      <c r="AV54" s="166">
        <v>45.10714285714289</v>
      </c>
      <c r="AW54" s="182">
        <f t="shared" si="40"/>
        <v>8</v>
      </c>
      <c r="AX54" s="491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/>
      <c r="T55" s="491"/>
      <c r="U55" s="182"/>
      <c r="V55" s="182"/>
      <c r="W55" s="182"/>
      <c r="X55" s="182"/>
      <c r="Y55" s="491"/>
      <c r="Z55" s="182"/>
      <c r="AA55" s="182"/>
      <c r="AB55" s="182"/>
      <c r="AC55" s="182"/>
      <c r="AD55" s="491"/>
      <c r="AE55" s="182"/>
      <c r="AF55" s="182"/>
      <c r="AG55" s="182"/>
      <c r="AH55" s="182"/>
      <c r="AI55" s="491"/>
      <c r="AJ55" s="182"/>
      <c r="AK55" s="182"/>
      <c r="AL55" s="182"/>
      <c r="AM55" s="182"/>
      <c r="AN55" s="491"/>
      <c r="AO55" s="182"/>
      <c r="AP55" s="182"/>
      <c r="AQ55" s="182"/>
      <c r="AR55" s="182"/>
      <c r="AS55" s="491"/>
      <c r="AT55" s="182"/>
      <c r="AU55" s="182"/>
      <c r="AV55" s="182"/>
      <c r="AW55" s="182"/>
      <c r="AX55" s="491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/>
      <c r="T56" s="491"/>
      <c r="U56" s="182"/>
      <c r="V56" s="182"/>
      <c r="W56" s="182"/>
      <c r="X56" s="182"/>
      <c r="Y56" s="491"/>
      <c r="Z56" s="182"/>
      <c r="AA56" s="182"/>
      <c r="AB56" s="182"/>
      <c r="AC56" s="182"/>
      <c r="AD56" s="491"/>
      <c r="AE56" s="182"/>
      <c r="AF56" s="182"/>
      <c r="AG56" s="182"/>
      <c r="AH56" s="182"/>
      <c r="AI56" s="491"/>
      <c r="AJ56" s="182"/>
      <c r="AK56" s="182"/>
      <c r="AL56" s="182"/>
      <c r="AM56" s="182"/>
      <c r="AN56" s="491"/>
      <c r="AO56" s="182"/>
      <c r="AP56" s="182"/>
      <c r="AQ56" s="182"/>
      <c r="AR56" s="182"/>
      <c r="AS56" s="491"/>
      <c r="AT56" s="182"/>
      <c r="AU56" s="182"/>
      <c r="AV56" s="182"/>
      <c r="AW56" s="182"/>
      <c r="AX56" s="491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66"/>
      <c r="J57" s="166"/>
      <c r="K57" s="180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/>
      <c r="T57" s="491"/>
      <c r="U57" s="182"/>
      <c r="V57" s="182"/>
      <c r="W57" s="182"/>
      <c r="X57" s="182"/>
      <c r="Y57" s="491"/>
      <c r="Z57" s="182"/>
      <c r="AA57" s="182"/>
      <c r="AB57" s="182"/>
      <c r="AC57" s="182"/>
      <c r="AD57" s="491"/>
      <c r="AE57" s="182"/>
      <c r="AF57" s="182"/>
      <c r="AG57" s="182"/>
      <c r="AH57" s="182"/>
      <c r="AI57" s="491"/>
      <c r="AJ57" s="182"/>
      <c r="AK57" s="182"/>
      <c r="AL57" s="182"/>
      <c r="AM57" s="182"/>
      <c r="AN57" s="491"/>
      <c r="AO57" s="182"/>
      <c r="AP57" s="182"/>
      <c r="AQ57" s="182"/>
      <c r="AR57" s="182"/>
      <c r="AS57" s="491"/>
      <c r="AT57" s="182"/>
      <c r="AU57" s="182"/>
      <c r="AV57" s="182"/>
      <c r="AW57" s="182"/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66"/>
      <c r="J58" s="166"/>
      <c r="K58" s="180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/>
      <c r="T58" s="491"/>
      <c r="U58" s="182"/>
      <c r="V58" s="182"/>
      <c r="W58" s="182"/>
      <c r="X58" s="182"/>
      <c r="Y58" s="491"/>
      <c r="Z58" s="182"/>
      <c r="AA58" s="182"/>
      <c r="AB58" s="182"/>
      <c r="AC58" s="182"/>
      <c r="AD58" s="491"/>
      <c r="AE58" s="182"/>
      <c r="AF58" s="182"/>
      <c r="AG58" s="182"/>
      <c r="AH58" s="182"/>
      <c r="AI58" s="491"/>
      <c r="AJ58" s="182"/>
      <c r="AK58" s="182"/>
      <c r="AL58" s="182"/>
      <c r="AM58" s="182"/>
      <c r="AN58" s="491"/>
      <c r="AO58" s="182"/>
      <c r="AP58" s="182"/>
      <c r="AQ58" s="182"/>
      <c r="AR58" s="182"/>
      <c r="AS58" s="491"/>
      <c r="AT58" s="182"/>
      <c r="AU58" s="182"/>
      <c r="AV58" s="182"/>
      <c r="AW58" s="182"/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66"/>
      <c r="J59" s="166"/>
      <c r="K59" s="180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/>
      <c r="T59" s="491"/>
      <c r="U59" s="182"/>
      <c r="V59" s="182"/>
      <c r="W59" s="182"/>
      <c r="X59" s="182"/>
      <c r="Y59" s="491"/>
      <c r="Z59" s="182"/>
      <c r="AA59" s="182"/>
      <c r="AB59" s="182"/>
      <c r="AC59" s="182"/>
      <c r="AD59" s="491"/>
      <c r="AE59" s="182"/>
      <c r="AF59" s="182"/>
      <c r="AG59" s="182"/>
      <c r="AH59" s="182"/>
      <c r="AI59" s="491"/>
      <c r="AJ59" s="182"/>
      <c r="AK59" s="182"/>
      <c r="AL59" s="182"/>
      <c r="AM59" s="182"/>
      <c r="AN59" s="491"/>
      <c r="AO59" s="182"/>
      <c r="AP59" s="182"/>
      <c r="AQ59" s="182"/>
      <c r="AR59" s="182"/>
      <c r="AS59" s="491"/>
      <c r="AT59" s="182"/>
      <c r="AU59" s="182"/>
      <c r="AV59" s="182"/>
      <c r="AW59" s="182"/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66"/>
      <c r="J60" s="166"/>
      <c r="K60" s="180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/>
      <c r="T60" s="491"/>
      <c r="U60" s="182"/>
      <c r="V60" s="182"/>
      <c r="W60" s="182"/>
      <c r="X60" s="182"/>
      <c r="Y60" s="491"/>
      <c r="Z60" s="182"/>
      <c r="AA60" s="182"/>
      <c r="AB60" s="182"/>
      <c r="AC60" s="182"/>
      <c r="AD60" s="491"/>
      <c r="AE60" s="182"/>
      <c r="AF60" s="182"/>
      <c r="AG60" s="182"/>
      <c r="AH60" s="182"/>
      <c r="AI60" s="491"/>
      <c r="AJ60" s="182"/>
      <c r="AK60" s="182"/>
      <c r="AL60" s="182"/>
      <c r="AM60" s="182"/>
      <c r="AN60" s="491"/>
      <c r="AO60" s="182"/>
      <c r="AP60" s="182"/>
      <c r="AQ60" s="182"/>
      <c r="AR60" s="182"/>
      <c r="AS60" s="491"/>
      <c r="AT60" s="182"/>
      <c r="AU60" s="182"/>
      <c r="AV60" s="182"/>
      <c r="AW60" s="182"/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66"/>
      <c r="J61" s="166"/>
      <c r="K61" s="180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/>
      <c r="T61" s="491"/>
      <c r="U61" s="182"/>
      <c r="V61" s="182"/>
      <c r="W61" s="182"/>
      <c r="X61" s="182"/>
      <c r="Y61" s="491"/>
      <c r="Z61" s="182"/>
      <c r="AA61" s="182"/>
      <c r="AB61" s="182"/>
      <c r="AC61" s="182"/>
      <c r="AD61" s="491"/>
      <c r="AE61" s="182"/>
      <c r="AF61" s="182"/>
      <c r="AG61" s="182"/>
      <c r="AH61" s="182"/>
      <c r="AI61" s="491"/>
      <c r="AJ61" s="182"/>
      <c r="AK61" s="182"/>
      <c r="AL61" s="182"/>
      <c r="AM61" s="182"/>
      <c r="AN61" s="491"/>
      <c r="AO61" s="182"/>
      <c r="AP61" s="182"/>
      <c r="AQ61" s="182"/>
      <c r="AR61" s="182"/>
      <c r="AS61" s="491"/>
      <c r="AT61" s="182"/>
      <c r="AU61" s="182"/>
      <c r="AV61" s="182"/>
      <c r="AW61" s="182"/>
      <c r="AX61" s="491"/>
    </row>
    <row r="62" spans="2:50" ht="15.75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75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190</v>
      </c>
      <c r="C67" s="182">
        <v>1</v>
      </c>
      <c r="D67" s="203" t="s">
        <v>352</v>
      </c>
      <c r="E67" s="166">
        <v>6</v>
      </c>
      <c r="F67" s="182">
        <v>1500</v>
      </c>
      <c r="G67" s="180">
        <v>250</v>
      </c>
      <c r="H67" s="459">
        <f>AVERAGE(G67:G81)</f>
        <v>150.75714285714284</v>
      </c>
      <c r="I67" s="166">
        <f t="shared" ref="I67:K72" si="47">AVERAGE(P67,U67,Z67,AE67,AJ67,AO67,AT67)</f>
        <v>6.8571428571428568</v>
      </c>
      <c r="J67" s="166">
        <f t="shared" si="47"/>
        <v>1323.844698353827</v>
      </c>
      <c r="K67" s="180">
        <f t="shared" si="47"/>
        <v>193.62407255394805</v>
      </c>
      <c r="L67" s="459">
        <f>IFERROR(AVERAGE(K67:K81),"-")</f>
        <v>127.09567507383242</v>
      </c>
      <c r="M67" s="181">
        <f>RANK(K67, K$67:$K$81)</f>
        <v>3</v>
      </c>
      <c r="N67" s="462"/>
      <c r="O67" s="462"/>
      <c r="P67" s="182">
        <v>6</v>
      </c>
      <c r="Q67" s="166">
        <v>1323.9999999999998</v>
      </c>
      <c r="R67" s="166">
        <v>220.66666666666663</v>
      </c>
      <c r="S67" s="182">
        <f>RANK(R67, R$67:R$81)</f>
        <v>3</v>
      </c>
      <c r="T67" s="472">
        <f>AVERAGE(R67:R81)</f>
        <v>138.92292602846564</v>
      </c>
      <c r="U67" s="182">
        <v>7</v>
      </c>
      <c r="V67" s="166">
        <v>1346.153846153846</v>
      </c>
      <c r="W67" s="166">
        <v>192.30769230769229</v>
      </c>
      <c r="X67" s="182">
        <f t="shared" ref="X67:X81" si="48">RANK(W67, W$67:W$81)</f>
        <v>3</v>
      </c>
      <c r="Y67" s="472">
        <f t="shared" ref="Y67" si="49">AVERAGE(W67:W81)</f>
        <v>125.40772636748567</v>
      </c>
      <c r="Z67" s="182">
        <v>7</v>
      </c>
      <c r="AA67" s="166">
        <v>1312.4050632911392</v>
      </c>
      <c r="AB67" s="166">
        <v>187.48643761301989</v>
      </c>
      <c r="AC67" s="182">
        <f t="shared" ref="AC67:AC81" si="50">RANK(AB67, AB$67:AB$81)</f>
        <v>3</v>
      </c>
      <c r="AD67" s="472">
        <f t="shared" ref="AD67" si="51">AVERAGE(AB67:AB81)</f>
        <v>135.79073126596526</v>
      </c>
      <c r="AE67" s="182">
        <v>7</v>
      </c>
      <c r="AF67" s="166">
        <v>1341.8181818181815</v>
      </c>
      <c r="AG67" s="166">
        <v>191.68831168831164</v>
      </c>
      <c r="AH67" s="182">
        <f t="shared" ref="AH67:AH81" si="52">RANK(AG67, AG$67:AG$81)</f>
        <v>3</v>
      </c>
      <c r="AI67" s="472">
        <f t="shared" ref="AI67" si="53">AVERAGE(AG67:AG81)</f>
        <v>133.05399706628401</v>
      </c>
      <c r="AJ67" s="182">
        <v>7</v>
      </c>
      <c r="AK67" s="166">
        <v>1309.6874999999998</v>
      </c>
      <c r="AL67" s="166">
        <v>187.09821428571425</v>
      </c>
      <c r="AM67" s="182">
        <f t="shared" ref="AM67:AM81" si="54">RANK(AL67, AL$67:AL$81)</f>
        <v>3</v>
      </c>
      <c r="AN67" s="472">
        <f t="shared" ref="AN67" si="55">AVERAGE(AL67:AL81)</f>
        <v>131.91815981345658</v>
      </c>
      <c r="AO67" s="182">
        <v>7</v>
      </c>
      <c r="AP67" s="166">
        <v>1327.0588235294117</v>
      </c>
      <c r="AQ67" s="166">
        <v>189.57983193277309</v>
      </c>
      <c r="AR67" s="182">
        <f t="shared" ref="AR67:AR81" si="56">RANK(AQ67, AQ$67:AQ$81)</f>
        <v>3</v>
      </c>
      <c r="AS67" s="472">
        <f t="shared" ref="AS67" si="57">AVERAGE(AQ67:AQ81)</f>
        <v>134.02655489322876</v>
      </c>
      <c r="AT67" s="166">
        <v>7</v>
      </c>
      <c r="AU67" s="166">
        <v>1305.7894736842104</v>
      </c>
      <c r="AV67" s="180">
        <v>186.54135338345864</v>
      </c>
      <c r="AW67" s="182">
        <f t="shared" ref="AW67:AW81" si="58">RANK(AV67, AV$67:AV$81)</f>
        <v>3</v>
      </c>
      <c r="AX67" s="491">
        <f t="shared" ref="AX67" si="59">AVERAGE(AV67:AV81)</f>
        <v>135.8292062418175</v>
      </c>
    </row>
    <row r="68" spans="2:50">
      <c r="B68" s="479"/>
      <c r="C68" s="182">
        <v>2</v>
      </c>
      <c r="D68" s="203" t="s">
        <v>353</v>
      </c>
      <c r="E68" s="166">
        <v>6</v>
      </c>
      <c r="F68" s="182">
        <v>1500</v>
      </c>
      <c r="G68" s="180">
        <v>250</v>
      </c>
      <c r="H68" s="460"/>
      <c r="I68" s="166">
        <f t="shared" si="47"/>
        <v>6.8571428571428568</v>
      </c>
      <c r="J68" s="166">
        <f t="shared" si="47"/>
        <v>1471.5054422703886</v>
      </c>
      <c r="K68" s="180">
        <f t="shared" si="47"/>
        <v>215.14035472667362</v>
      </c>
      <c r="L68" s="460"/>
      <c r="M68" s="181">
        <f>RANK(K68, K$67:$K$81)</f>
        <v>2</v>
      </c>
      <c r="N68" s="462"/>
      <c r="O68" s="462"/>
      <c r="P68" s="182">
        <v>6</v>
      </c>
      <c r="Q68" s="166">
        <v>1448.0357142857144</v>
      </c>
      <c r="R68" s="166">
        <v>241.33928571428575</v>
      </c>
      <c r="S68" s="182">
        <f t="shared" ref="S68:S81" si="60">RANK(R68, R$67:R$81)</f>
        <v>2</v>
      </c>
      <c r="T68" s="473"/>
      <c r="U68" s="182">
        <v>7</v>
      </c>
      <c r="V68" s="166">
        <v>1471.3274336283187</v>
      </c>
      <c r="W68" s="166">
        <v>210.1896333754741</v>
      </c>
      <c r="X68" s="182">
        <f t="shared" si="48"/>
        <v>2</v>
      </c>
      <c r="Y68" s="473"/>
      <c r="Z68" s="182">
        <v>7</v>
      </c>
      <c r="AA68" s="166">
        <v>1509.1891891891892</v>
      </c>
      <c r="AB68" s="166">
        <v>215.59845559845559</v>
      </c>
      <c r="AC68" s="182">
        <f t="shared" si="50"/>
        <v>1</v>
      </c>
      <c r="AD68" s="473"/>
      <c r="AE68" s="182">
        <v>7</v>
      </c>
      <c r="AF68" s="166">
        <v>1454.6666666666665</v>
      </c>
      <c r="AG68" s="166">
        <v>207.8095238095238</v>
      </c>
      <c r="AH68" s="182">
        <f t="shared" si="52"/>
        <v>2</v>
      </c>
      <c r="AI68" s="473"/>
      <c r="AJ68" s="182">
        <v>7</v>
      </c>
      <c r="AK68" s="166">
        <v>1465.714285714286</v>
      </c>
      <c r="AL68" s="166">
        <v>209.38775510204087</v>
      </c>
      <c r="AM68" s="182">
        <f t="shared" si="54"/>
        <v>1</v>
      </c>
      <c r="AN68" s="473"/>
      <c r="AO68" s="182">
        <v>7</v>
      </c>
      <c r="AP68" s="166">
        <v>1490.8571428571424</v>
      </c>
      <c r="AQ68" s="166">
        <v>212.97959183673464</v>
      </c>
      <c r="AR68" s="182">
        <f t="shared" si="56"/>
        <v>2</v>
      </c>
      <c r="AS68" s="473"/>
      <c r="AT68" s="182">
        <v>7</v>
      </c>
      <c r="AU68" s="166">
        <v>1460.7476635514017</v>
      </c>
      <c r="AV68" s="180">
        <v>208.67823765020026</v>
      </c>
      <c r="AW68" s="182">
        <f t="shared" si="58"/>
        <v>1</v>
      </c>
      <c r="AX68" s="491"/>
    </row>
    <row r="69" spans="2:50">
      <c r="B69" s="479"/>
      <c r="C69" s="182">
        <v>3</v>
      </c>
      <c r="D69" s="203" t="s">
        <v>354</v>
      </c>
      <c r="E69" s="166">
        <v>19</v>
      </c>
      <c r="F69" s="182">
        <v>1500</v>
      </c>
      <c r="G69" s="180">
        <v>78.900000000000006</v>
      </c>
      <c r="H69" s="460"/>
      <c r="I69" s="166">
        <f t="shared" si="47"/>
        <v>18.428571428571427</v>
      </c>
      <c r="J69" s="166">
        <f t="shared" si="47"/>
        <v>1330.0888863143275</v>
      </c>
      <c r="K69" s="180">
        <f t="shared" si="47"/>
        <v>72.285126933920452</v>
      </c>
      <c r="L69" s="460"/>
      <c r="M69" s="181">
        <f>RANK(K69, K$67:$K$81)</f>
        <v>4</v>
      </c>
      <c r="N69" s="462"/>
      <c r="O69" s="462"/>
      <c r="P69" s="182">
        <v>19</v>
      </c>
      <c r="Q69" s="166">
        <v>1319.0000000000048</v>
      </c>
      <c r="R69" s="166">
        <v>69.421052631579201</v>
      </c>
      <c r="S69" s="182">
        <f t="shared" si="60"/>
        <v>5</v>
      </c>
      <c r="T69" s="473"/>
      <c r="U69" s="182">
        <v>20</v>
      </c>
      <c r="V69" s="166">
        <v>1332.7515789473687</v>
      </c>
      <c r="W69" s="166">
        <v>66.637578947368439</v>
      </c>
      <c r="X69" s="182">
        <f t="shared" si="48"/>
        <v>5</v>
      </c>
      <c r="Y69" s="473"/>
      <c r="Z69" s="182">
        <v>18</v>
      </c>
      <c r="AA69" s="166">
        <v>1315.1814432989695</v>
      </c>
      <c r="AB69" s="166">
        <v>73.065635738831645</v>
      </c>
      <c r="AC69" s="182">
        <f t="shared" si="50"/>
        <v>5</v>
      </c>
      <c r="AD69" s="473"/>
      <c r="AE69" s="182">
        <v>18</v>
      </c>
      <c r="AF69" s="166">
        <v>1311.1404255319151</v>
      </c>
      <c r="AG69" s="166">
        <v>72.841134751773055</v>
      </c>
      <c r="AH69" s="182">
        <f t="shared" si="52"/>
        <v>4</v>
      </c>
      <c r="AI69" s="473"/>
      <c r="AJ69" s="182">
        <v>18</v>
      </c>
      <c r="AK69" s="166">
        <v>1338.7009900990104</v>
      </c>
      <c r="AL69" s="166">
        <v>74.372277227722805</v>
      </c>
      <c r="AM69" s="182">
        <f t="shared" si="54"/>
        <v>4</v>
      </c>
      <c r="AN69" s="473"/>
      <c r="AO69" s="182">
        <v>18</v>
      </c>
      <c r="AP69" s="166">
        <v>1332.0333333333331</v>
      </c>
      <c r="AQ69" s="166">
        <v>74.001851851851839</v>
      </c>
      <c r="AR69" s="182">
        <f t="shared" si="56"/>
        <v>4</v>
      </c>
      <c r="AS69" s="473"/>
      <c r="AT69" s="182">
        <v>18</v>
      </c>
      <c r="AU69" s="166">
        <v>1361.8144329896909</v>
      </c>
      <c r="AV69" s="180">
        <v>75.656357388316167</v>
      </c>
      <c r="AW69" s="182">
        <f t="shared" si="58"/>
        <v>4</v>
      </c>
      <c r="AX69" s="491"/>
    </row>
    <row r="70" spans="2:50">
      <c r="B70" s="479"/>
      <c r="C70" s="182">
        <v>4</v>
      </c>
      <c r="D70" s="203" t="s">
        <v>360</v>
      </c>
      <c r="E70" s="166">
        <v>17</v>
      </c>
      <c r="F70" s="182">
        <v>1440</v>
      </c>
      <c r="G70" s="180">
        <v>84.7</v>
      </c>
      <c r="H70" s="460"/>
      <c r="I70" s="166">
        <f t="shared" si="47"/>
        <v>17</v>
      </c>
      <c r="J70" s="166">
        <f t="shared" si="47"/>
        <v>1134.6102062564785</v>
      </c>
      <c r="K70" s="180">
        <f t="shared" si="47"/>
        <v>66.741776838616389</v>
      </c>
      <c r="L70" s="460"/>
      <c r="M70" s="181">
        <f>RANK(K70, K$67:$K$81)</f>
        <v>6</v>
      </c>
      <c r="N70" s="462"/>
      <c r="O70" s="462"/>
      <c r="P70" s="182">
        <v>17</v>
      </c>
      <c r="Q70" s="166">
        <v>1087.2727272727257</v>
      </c>
      <c r="R70" s="166">
        <v>63.957219251336802</v>
      </c>
      <c r="S70" s="182">
        <f t="shared" si="60"/>
        <v>6</v>
      </c>
      <c r="T70" s="473"/>
      <c r="U70" s="182">
        <v>17</v>
      </c>
      <c r="V70" s="166">
        <v>1106.8965517241356</v>
      </c>
      <c r="W70" s="166">
        <v>65.111561866125626</v>
      </c>
      <c r="X70" s="182">
        <f t="shared" si="48"/>
        <v>6</v>
      </c>
      <c r="Y70" s="473"/>
      <c r="Z70" s="182">
        <v>17</v>
      </c>
      <c r="AA70" s="166">
        <v>1268.2758620689631</v>
      </c>
      <c r="AB70" s="166">
        <v>74.60446247464489</v>
      </c>
      <c r="AC70" s="182">
        <f t="shared" si="50"/>
        <v>4</v>
      </c>
      <c r="AD70" s="473"/>
      <c r="AE70" s="182">
        <v>17</v>
      </c>
      <c r="AF70" s="166">
        <v>1075.3846153846162</v>
      </c>
      <c r="AG70" s="166">
        <v>63.257918552036244</v>
      </c>
      <c r="AH70" s="182">
        <f t="shared" si="52"/>
        <v>5</v>
      </c>
      <c r="AI70" s="473"/>
      <c r="AJ70" s="182">
        <v>17</v>
      </c>
      <c r="AK70" s="166">
        <v>1068.3870967741946</v>
      </c>
      <c r="AL70" s="166">
        <v>62.846299810246741</v>
      </c>
      <c r="AM70" s="182">
        <f t="shared" si="54"/>
        <v>5</v>
      </c>
      <c r="AN70" s="473"/>
      <c r="AO70" s="182">
        <v>17</v>
      </c>
      <c r="AP70" s="166">
        <v>1091.5384615384587</v>
      </c>
      <c r="AQ70" s="166">
        <v>64.208144796379926</v>
      </c>
      <c r="AR70" s="182">
        <f t="shared" si="56"/>
        <v>5</v>
      </c>
      <c r="AS70" s="473"/>
      <c r="AT70" s="182">
        <v>17</v>
      </c>
      <c r="AU70" s="166">
        <v>1244.5161290322562</v>
      </c>
      <c r="AV70" s="180">
        <v>73.206831119544489</v>
      </c>
      <c r="AW70" s="182">
        <f t="shared" si="58"/>
        <v>5</v>
      </c>
      <c r="AX70" s="491"/>
    </row>
    <row r="71" spans="2:50">
      <c r="B71" s="479"/>
      <c r="C71" s="182">
        <v>5</v>
      </c>
      <c r="D71" s="203" t="s">
        <v>356</v>
      </c>
      <c r="E71" s="166">
        <v>6</v>
      </c>
      <c r="F71" s="182">
        <v>1500</v>
      </c>
      <c r="G71" s="180">
        <v>250</v>
      </c>
      <c r="H71" s="460"/>
      <c r="I71" s="166">
        <f t="shared" si="47"/>
        <v>6.8571428571428568</v>
      </c>
      <c r="J71" s="166">
        <f t="shared" si="47"/>
        <v>1479.2715891362216</v>
      </c>
      <c r="K71" s="180">
        <f t="shared" si="47"/>
        <v>216.3915092293139</v>
      </c>
      <c r="L71" s="460"/>
      <c r="M71" s="181">
        <f>RANK(K71, K$67:$K$81)</f>
        <v>1</v>
      </c>
      <c r="N71" s="462"/>
      <c r="O71" s="462"/>
      <c r="P71" s="182">
        <v>6</v>
      </c>
      <c r="Q71" s="166">
        <v>1489.6969696969707</v>
      </c>
      <c r="R71" s="166">
        <v>248.28282828282843</v>
      </c>
      <c r="S71" s="182">
        <f t="shared" si="60"/>
        <v>1</v>
      </c>
      <c r="T71" s="473"/>
      <c r="U71" s="182">
        <v>7</v>
      </c>
      <c r="V71" s="166">
        <v>1473.7864077669899</v>
      </c>
      <c r="W71" s="166">
        <v>210.54091539528426</v>
      </c>
      <c r="X71" s="182">
        <f t="shared" si="48"/>
        <v>1</v>
      </c>
      <c r="Y71" s="473"/>
      <c r="Z71" s="182">
        <v>7</v>
      </c>
      <c r="AA71" s="166">
        <v>1497.5257731958768</v>
      </c>
      <c r="AB71" s="166">
        <v>213.93225331369669</v>
      </c>
      <c r="AC71" s="182">
        <f t="shared" si="50"/>
        <v>2</v>
      </c>
      <c r="AD71" s="473"/>
      <c r="AE71" s="182">
        <v>7</v>
      </c>
      <c r="AF71" s="166">
        <v>1494.4000000000005</v>
      </c>
      <c r="AG71" s="166">
        <v>213.48571428571435</v>
      </c>
      <c r="AH71" s="182">
        <f t="shared" si="52"/>
        <v>1</v>
      </c>
      <c r="AI71" s="473"/>
      <c r="AJ71" s="182">
        <v>7</v>
      </c>
      <c r="AK71" s="166">
        <v>1455.9036144578315</v>
      </c>
      <c r="AL71" s="166">
        <v>207.98623063683308</v>
      </c>
      <c r="AM71" s="182">
        <f t="shared" si="54"/>
        <v>2</v>
      </c>
      <c r="AN71" s="473"/>
      <c r="AO71" s="182">
        <v>7</v>
      </c>
      <c r="AP71" s="166">
        <v>1501.212121212121</v>
      </c>
      <c r="AQ71" s="166">
        <v>214.45887445887442</v>
      </c>
      <c r="AR71" s="182">
        <f t="shared" si="56"/>
        <v>1</v>
      </c>
      <c r="AS71" s="473"/>
      <c r="AT71" s="182">
        <v>7</v>
      </c>
      <c r="AU71" s="166">
        <v>1442.3762376237617</v>
      </c>
      <c r="AV71" s="180">
        <v>206.05374823196595</v>
      </c>
      <c r="AW71" s="182">
        <f t="shared" si="58"/>
        <v>2</v>
      </c>
      <c r="AX71" s="491"/>
    </row>
    <row r="72" spans="2:50">
      <c r="B72" s="479"/>
      <c r="C72" s="182">
        <v>6</v>
      </c>
      <c r="D72" s="203" t="s">
        <v>357</v>
      </c>
      <c r="E72" s="166">
        <v>19</v>
      </c>
      <c r="F72" s="182">
        <v>1440</v>
      </c>
      <c r="G72" s="180">
        <v>75.8</v>
      </c>
      <c r="H72" s="460"/>
      <c r="I72" s="166">
        <f t="shared" si="47"/>
        <v>18</v>
      </c>
      <c r="J72" s="166">
        <f t="shared" si="47"/>
        <v>1273.1818181818185</v>
      </c>
      <c r="K72" s="180">
        <f t="shared" si="47"/>
        <v>70.732323232323239</v>
      </c>
      <c r="L72" s="460"/>
      <c r="M72" s="181">
        <f>RANK(K72, K$67:$K$81)</f>
        <v>5</v>
      </c>
      <c r="N72" s="462"/>
      <c r="O72" s="462"/>
      <c r="P72" s="182">
        <v>18</v>
      </c>
      <c r="Q72" s="166">
        <v>1255.0000000000002</v>
      </c>
      <c r="R72" s="166">
        <v>69.722222222222229</v>
      </c>
      <c r="S72" s="182">
        <f t="shared" si="60"/>
        <v>4</v>
      </c>
      <c r="T72" s="473"/>
      <c r="U72" s="182">
        <v>18</v>
      </c>
      <c r="V72" s="166">
        <v>1291.3636363636365</v>
      </c>
      <c r="W72" s="166">
        <v>71.742424242424249</v>
      </c>
      <c r="X72" s="182">
        <f t="shared" si="48"/>
        <v>4</v>
      </c>
      <c r="Y72" s="473"/>
      <c r="Z72" s="182"/>
      <c r="AA72" s="166"/>
      <c r="AB72" s="166"/>
      <c r="AC72" s="182" t="e">
        <f t="shared" si="50"/>
        <v>#N/A</v>
      </c>
      <c r="AD72" s="473"/>
      <c r="AE72" s="182"/>
      <c r="AF72" s="166"/>
      <c r="AG72" s="166"/>
      <c r="AH72" s="182" t="e">
        <f t="shared" si="52"/>
        <v>#N/A</v>
      </c>
      <c r="AI72" s="473"/>
      <c r="AJ72" s="182"/>
      <c r="AK72" s="166"/>
      <c r="AL72" s="166"/>
      <c r="AM72" s="182" t="e">
        <f t="shared" si="54"/>
        <v>#N/A</v>
      </c>
      <c r="AN72" s="473"/>
      <c r="AO72" s="182"/>
      <c r="AP72" s="166"/>
      <c r="AQ72" s="166"/>
      <c r="AR72" s="182" t="e">
        <f t="shared" si="56"/>
        <v>#N/A</v>
      </c>
      <c r="AS72" s="473"/>
      <c r="AT72" s="182"/>
      <c r="AU72" s="166"/>
      <c r="AV72" s="180"/>
      <c r="AW72" s="182" t="e">
        <f t="shared" si="58"/>
        <v>#N/A</v>
      </c>
      <c r="AX72" s="491"/>
    </row>
    <row r="73" spans="2:50">
      <c r="B73" s="479"/>
      <c r="C73" s="182">
        <v>7</v>
      </c>
      <c r="D73" s="203" t="s">
        <v>361</v>
      </c>
      <c r="E73" s="166">
        <v>21</v>
      </c>
      <c r="F73" s="182">
        <v>1385</v>
      </c>
      <c r="G73" s="180">
        <v>65.900000000000006</v>
      </c>
      <c r="H73" s="460"/>
      <c r="I73" s="166">
        <f t="shared" ref="I73" si="61">AVERAGE(P73,U73,Z73,AE73,AJ73,AO73,AT73)</f>
        <v>19.428571428571427</v>
      </c>
      <c r="J73" s="166">
        <f t="shared" ref="J73" si="62">AVERAGE(Q73,V73,AA73,AF73,AK73,AP73,AU73)</f>
        <v>1059.3665392944524</v>
      </c>
      <c r="K73" s="180">
        <f t="shared" ref="K73" si="63">AVERAGE(R73,W73,AB73,AG73,AL73,AQ73,AV73)</f>
        <v>54.754562002031271</v>
      </c>
      <c r="L73" s="460"/>
      <c r="M73" s="181">
        <f>RANK(K73, K$67:$K$81)</f>
        <v>7</v>
      </c>
      <c r="N73" s="462"/>
      <c r="O73" s="462"/>
      <c r="P73" s="182">
        <v>19</v>
      </c>
      <c r="Q73" s="166">
        <v>1122.3529411764719</v>
      </c>
      <c r="R73" s="166">
        <v>59.071207430340621</v>
      </c>
      <c r="S73" s="182">
        <f t="shared" si="60"/>
        <v>7</v>
      </c>
      <c r="T73" s="473"/>
      <c r="U73" s="182">
        <v>19</v>
      </c>
      <c r="V73" s="166">
        <v>1165.1612903225816</v>
      </c>
      <c r="W73" s="166">
        <v>61.324278438030611</v>
      </c>
      <c r="X73" s="182">
        <f t="shared" si="48"/>
        <v>7</v>
      </c>
      <c r="Y73" s="473"/>
      <c r="Z73" s="182">
        <v>20</v>
      </c>
      <c r="AA73" s="166">
        <v>1001.1428571428562</v>
      </c>
      <c r="AB73" s="166">
        <v>50.057142857142807</v>
      </c>
      <c r="AC73" s="182">
        <f t="shared" si="50"/>
        <v>6</v>
      </c>
      <c r="AD73" s="473"/>
      <c r="AE73" s="182">
        <v>20</v>
      </c>
      <c r="AF73" s="166">
        <v>984.82758620689731</v>
      </c>
      <c r="AG73" s="166">
        <v>49.241379310344868</v>
      </c>
      <c r="AH73" s="182">
        <f t="shared" si="52"/>
        <v>6</v>
      </c>
      <c r="AI73" s="473"/>
      <c r="AJ73" s="182">
        <v>20</v>
      </c>
      <c r="AK73" s="166">
        <v>996.3636363636374</v>
      </c>
      <c r="AL73" s="166">
        <v>49.81818181818187</v>
      </c>
      <c r="AM73" s="182">
        <f t="shared" si="54"/>
        <v>6</v>
      </c>
      <c r="AN73" s="473"/>
      <c r="AO73" s="182">
        <v>20</v>
      </c>
      <c r="AP73" s="166">
        <v>978.62068965517324</v>
      </c>
      <c r="AQ73" s="166">
        <v>48.931034482758662</v>
      </c>
      <c r="AR73" s="182">
        <f t="shared" si="56"/>
        <v>6</v>
      </c>
      <c r="AS73" s="473"/>
      <c r="AT73" s="182">
        <v>18</v>
      </c>
      <c r="AU73" s="166">
        <v>1167.0967741935494</v>
      </c>
      <c r="AV73" s="180">
        <v>64.838709677419416</v>
      </c>
      <c r="AW73" s="182">
        <f t="shared" si="58"/>
        <v>6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66"/>
      <c r="S74" s="182" t="e">
        <f t="shared" si="60"/>
        <v>#N/A</v>
      </c>
      <c r="T74" s="473"/>
      <c r="U74" s="182"/>
      <c r="V74" s="166"/>
      <c r="W74" s="166"/>
      <c r="X74" s="182" t="e">
        <f t="shared" si="48"/>
        <v>#N/A</v>
      </c>
      <c r="Y74" s="473"/>
      <c r="Z74" s="182"/>
      <c r="AA74" s="166"/>
      <c r="AB74" s="166"/>
      <c r="AC74" s="182" t="e">
        <f t="shared" si="50"/>
        <v>#N/A</v>
      </c>
      <c r="AD74" s="473"/>
      <c r="AE74" s="182"/>
      <c r="AF74" s="166"/>
      <c r="AG74" s="166"/>
      <c r="AH74" s="182" t="e">
        <f t="shared" si="52"/>
        <v>#N/A</v>
      </c>
      <c r="AI74" s="473"/>
      <c r="AJ74" s="182"/>
      <c r="AK74" s="166"/>
      <c r="AL74" s="166"/>
      <c r="AM74" s="182" t="e">
        <f t="shared" si="54"/>
        <v>#N/A</v>
      </c>
      <c r="AN74" s="473"/>
      <c r="AO74" s="182"/>
      <c r="AP74" s="166"/>
      <c r="AQ74" s="166"/>
      <c r="AR74" s="182" t="e">
        <f t="shared" si="56"/>
        <v>#N/A</v>
      </c>
      <c r="AS74" s="473"/>
      <c r="AT74" s="182"/>
      <c r="AU74" s="166"/>
      <c r="AV74" s="180"/>
      <c r="AW74" s="182" t="e">
        <f t="shared" si="58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66"/>
      <c r="S75" s="182" t="e">
        <f t="shared" si="60"/>
        <v>#N/A</v>
      </c>
      <c r="T75" s="473"/>
      <c r="U75" s="182"/>
      <c r="V75" s="166"/>
      <c r="W75" s="166"/>
      <c r="X75" s="182" t="e">
        <f t="shared" si="48"/>
        <v>#N/A</v>
      </c>
      <c r="Y75" s="473"/>
      <c r="Z75" s="182"/>
      <c r="AA75" s="166"/>
      <c r="AB75" s="166"/>
      <c r="AC75" s="182" t="e">
        <f t="shared" si="50"/>
        <v>#N/A</v>
      </c>
      <c r="AD75" s="473"/>
      <c r="AE75" s="182"/>
      <c r="AF75" s="166"/>
      <c r="AG75" s="166"/>
      <c r="AH75" s="182" t="e">
        <f t="shared" si="52"/>
        <v>#N/A</v>
      </c>
      <c r="AI75" s="473"/>
      <c r="AJ75" s="182"/>
      <c r="AK75" s="166"/>
      <c r="AL75" s="166"/>
      <c r="AM75" s="182" t="e">
        <f t="shared" si="54"/>
        <v>#N/A</v>
      </c>
      <c r="AN75" s="473"/>
      <c r="AO75" s="182"/>
      <c r="AP75" s="166"/>
      <c r="AQ75" s="166"/>
      <c r="AR75" s="182" t="e">
        <f t="shared" si="56"/>
        <v>#N/A</v>
      </c>
      <c r="AS75" s="473"/>
      <c r="AT75" s="182"/>
      <c r="AU75" s="166"/>
      <c r="AV75" s="180"/>
      <c r="AW75" s="182" t="e">
        <f t="shared" si="58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66"/>
      <c r="S76" s="182" t="e">
        <f t="shared" si="60"/>
        <v>#N/A</v>
      </c>
      <c r="T76" s="473"/>
      <c r="U76" s="182"/>
      <c r="V76" s="166"/>
      <c r="W76" s="166"/>
      <c r="X76" s="182" t="e">
        <f t="shared" si="48"/>
        <v>#N/A</v>
      </c>
      <c r="Y76" s="473"/>
      <c r="Z76" s="182"/>
      <c r="AA76" s="166"/>
      <c r="AB76" s="166"/>
      <c r="AC76" s="182" t="e">
        <f t="shared" si="50"/>
        <v>#N/A</v>
      </c>
      <c r="AD76" s="473"/>
      <c r="AE76" s="182"/>
      <c r="AF76" s="166"/>
      <c r="AG76" s="166"/>
      <c r="AH76" s="182" t="e">
        <f t="shared" si="52"/>
        <v>#N/A</v>
      </c>
      <c r="AI76" s="473"/>
      <c r="AJ76" s="182"/>
      <c r="AK76" s="166"/>
      <c r="AL76" s="166"/>
      <c r="AM76" s="182" t="e">
        <f t="shared" si="54"/>
        <v>#N/A</v>
      </c>
      <c r="AN76" s="473"/>
      <c r="AO76" s="182"/>
      <c r="AP76" s="166"/>
      <c r="AQ76" s="166"/>
      <c r="AR76" s="182" t="e">
        <f t="shared" si="56"/>
        <v>#N/A</v>
      </c>
      <c r="AS76" s="473"/>
      <c r="AT76" s="182"/>
      <c r="AU76" s="166"/>
      <c r="AV76" s="180"/>
      <c r="AW76" s="182" t="e">
        <f t="shared" si="58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66"/>
      <c r="J77" s="166"/>
      <c r="K77" s="180"/>
      <c r="L77" s="460"/>
      <c r="M77" s="181" t="e">
        <f>RANK(K77, K$67:$K$81)</f>
        <v>#N/A</v>
      </c>
      <c r="N77" s="462"/>
      <c r="O77" s="462"/>
      <c r="P77" s="182"/>
      <c r="Q77" s="166"/>
      <c r="R77" s="166"/>
      <c r="S77" s="182" t="e">
        <f t="shared" si="60"/>
        <v>#N/A</v>
      </c>
      <c r="T77" s="473"/>
      <c r="U77" s="182"/>
      <c r="V77" s="166"/>
      <c r="W77" s="166"/>
      <c r="X77" s="182" t="e">
        <f t="shared" si="48"/>
        <v>#N/A</v>
      </c>
      <c r="Y77" s="473"/>
      <c r="Z77" s="182"/>
      <c r="AA77" s="166"/>
      <c r="AB77" s="166"/>
      <c r="AC77" s="182" t="e">
        <f t="shared" si="50"/>
        <v>#N/A</v>
      </c>
      <c r="AD77" s="473"/>
      <c r="AE77" s="182"/>
      <c r="AF77" s="166"/>
      <c r="AG77" s="166"/>
      <c r="AH77" s="182" t="e">
        <f t="shared" si="52"/>
        <v>#N/A</v>
      </c>
      <c r="AI77" s="473"/>
      <c r="AJ77" s="182"/>
      <c r="AK77" s="166"/>
      <c r="AL77" s="166"/>
      <c r="AM77" s="182" t="e">
        <f t="shared" si="54"/>
        <v>#N/A</v>
      </c>
      <c r="AN77" s="473"/>
      <c r="AO77" s="182"/>
      <c r="AP77" s="166"/>
      <c r="AQ77" s="166"/>
      <c r="AR77" s="182" t="e">
        <f t="shared" si="56"/>
        <v>#N/A</v>
      </c>
      <c r="AS77" s="473"/>
      <c r="AT77" s="182"/>
      <c r="AU77" s="166"/>
      <c r="AV77" s="180"/>
      <c r="AW77" s="182" t="e">
        <f t="shared" si="58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66"/>
      <c r="J78" s="166"/>
      <c r="K78" s="180"/>
      <c r="L78" s="460"/>
      <c r="M78" s="181" t="e">
        <f>RANK(K78, K$67:$K$81)</f>
        <v>#N/A</v>
      </c>
      <c r="N78" s="462"/>
      <c r="O78" s="462"/>
      <c r="P78" s="182"/>
      <c r="Q78" s="166"/>
      <c r="R78" s="166"/>
      <c r="S78" s="182" t="e">
        <f t="shared" si="60"/>
        <v>#N/A</v>
      </c>
      <c r="T78" s="473"/>
      <c r="U78" s="182"/>
      <c r="V78" s="166"/>
      <c r="W78" s="166"/>
      <c r="X78" s="182" t="e">
        <f t="shared" si="48"/>
        <v>#N/A</v>
      </c>
      <c r="Y78" s="473"/>
      <c r="Z78" s="182"/>
      <c r="AA78" s="166"/>
      <c r="AB78" s="166"/>
      <c r="AC78" s="182" t="e">
        <f t="shared" si="50"/>
        <v>#N/A</v>
      </c>
      <c r="AD78" s="473"/>
      <c r="AE78" s="182"/>
      <c r="AF78" s="166"/>
      <c r="AG78" s="166"/>
      <c r="AH78" s="182" t="e">
        <f t="shared" si="52"/>
        <v>#N/A</v>
      </c>
      <c r="AI78" s="473"/>
      <c r="AJ78" s="182"/>
      <c r="AK78" s="166"/>
      <c r="AL78" s="166"/>
      <c r="AM78" s="182" t="e">
        <f t="shared" si="54"/>
        <v>#N/A</v>
      </c>
      <c r="AN78" s="473"/>
      <c r="AO78" s="182"/>
      <c r="AP78" s="166"/>
      <c r="AQ78" s="166"/>
      <c r="AR78" s="182" t="e">
        <f t="shared" si="56"/>
        <v>#N/A</v>
      </c>
      <c r="AS78" s="473"/>
      <c r="AT78" s="182"/>
      <c r="AU78" s="166"/>
      <c r="AV78" s="180"/>
      <c r="AW78" s="182" t="e">
        <f t="shared" si="58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66"/>
      <c r="J79" s="166"/>
      <c r="K79" s="180"/>
      <c r="L79" s="460"/>
      <c r="M79" s="181" t="e">
        <f>RANK(K79, K$67:$K$81)</f>
        <v>#N/A</v>
      </c>
      <c r="N79" s="462"/>
      <c r="O79" s="462"/>
      <c r="P79" s="182"/>
      <c r="Q79" s="166"/>
      <c r="R79" s="166"/>
      <c r="S79" s="182" t="e">
        <f t="shared" si="60"/>
        <v>#N/A</v>
      </c>
      <c r="T79" s="473"/>
      <c r="U79" s="182"/>
      <c r="V79" s="166"/>
      <c r="W79" s="166"/>
      <c r="X79" s="182" t="e">
        <f t="shared" si="48"/>
        <v>#N/A</v>
      </c>
      <c r="Y79" s="473"/>
      <c r="Z79" s="182"/>
      <c r="AA79" s="166"/>
      <c r="AB79" s="166"/>
      <c r="AC79" s="182" t="e">
        <f t="shared" si="50"/>
        <v>#N/A</v>
      </c>
      <c r="AD79" s="473"/>
      <c r="AE79" s="182"/>
      <c r="AF79" s="166"/>
      <c r="AG79" s="166"/>
      <c r="AH79" s="182" t="e">
        <f t="shared" si="52"/>
        <v>#N/A</v>
      </c>
      <c r="AI79" s="473"/>
      <c r="AJ79" s="182"/>
      <c r="AK79" s="166"/>
      <c r="AL79" s="166"/>
      <c r="AM79" s="182" t="e">
        <f t="shared" si="54"/>
        <v>#N/A</v>
      </c>
      <c r="AN79" s="473"/>
      <c r="AO79" s="182"/>
      <c r="AP79" s="166"/>
      <c r="AQ79" s="166"/>
      <c r="AR79" s="182" t="e">
        <f t="shared" si="56"/>
        <v>#N/A</v>
      </c>
      <c r="AS79" s="473"/>
      <c r="AT79" s="182"/>
      <c r="AU79" s="166"/>
      <c r="AV79" s="180"/>
      <c r="AW79" s="182" t="e">
        <f t="shared" si="58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66"/>
      <c r="J80" s="166"/>
      <c r="K80" s="180"/>
      <c r="L80" s="460"/>
      <c r="M80" s="181" t="e">
        <f>RANK(K80, K$67:$K$81)</f>
        <v>#N/A</v>
      </c>
      <c r="N80" s="462"/>
      <c r="O80" s="462"/>
      <c r="P80" s="182"/>
      <c r="Q80" s="166"/>
      <c r="R80" s="166"/>
      <c r="S80" s="182" t="e">
        <f t="shared" si="60"/>
        <v>#N/A</v>
      </c>
      <c r="T80" s="473"/>
      <c r="U80" s="182"/>
      <c r="V80" s="166"/>
      <c r="W80" s="166"/>
      <c r="X80" s="182" t="e">
        <f t="shared" si="48"/>
        <v>#N/A</v>
      </c>
      <c r="Y80" s="473"/>
      <c r="Z80" s="182"/>
      <c r="AA80" s="166"/>
      <c r="AB80" s="166"/>
      <c r="AC80" s="182" t="e">
        <f t="shared" si="50"/>
        <v>#N/A</v>
      </c>
      <c r="AD80" s="473"/>
      <c r="AE80" s="182"/>
      <c r="AF80" s="166"/>
      <c r="AG80" s="166"/>
      <c r="AH80" s="182" t="e">
        <f t="shared" si="52"/>
        <v>#N/A</v>
      </c>
      <c r="AI80" s="473"/>
      <c r="AJ80" s="182"/>
      <c r="AK80" s="166"/>
      <c r="AL80" s="166"/>
      <c r="AM80" s="182" t="e">
        <f t="shared" si="54"/>
        <v>#N/A</v>
      </c>
      <c r="AN80" s="473"/>
      <c r="AO80" s="182"/>
      <c r="AP80" s="166"/>
      <c r="AQ80" s="166"/>
      <c r="AR80" s="182" t="e">
        <f t="shared" si="56"/>
        <v>#N/A</v>
      </c>
      <c r="AS80" s="473"/>
      <c r="AT80" s="182"/>
      <c r="AU80" s="166"/>
      <c r="AV80" s="180"/>
      <c r="AW80" s="182" t="e">
        <f t="shared" si="58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66"/>
      <c r="J81" s="166"/>
      <c r="K81" s="180"/>
      <c r="L81" s="461"/>
      <c r="M81" s="181" t="e">
        <f>RANK(K81, K$67:$K$81)</f>
        <v>#N/A</v>
      </c>
      <c r="N81" s="462"/>
      <c r="O81" s="462"/>
      <c r="P81" s="182"/>
      <c r="Q81" s="166"/>
      <c r="R81" s="166"/>
      <c r="S81" s="182" t="e">
        <f t="shared" si="60"/>
        <v>#N/A</v>
      </c>
      <c r="T81" s="474"/>
      <c r="U81" s="182"/>
      <c r="V81" s="166"/>
      <c r="W81" s="166"/>
      <c r="X81" s="182" t="e">
        <f t="shared" si="48"/>
        <v>#N/A</v>
      </c>
      <c r="Y81" s="474"/>
      <c r="Z81" s="182"/>
      <c r="AA81" s="166"/>
      <c r="AB81" s="166"/>
      <c r="AC81" s="182" t="e">
        <f t="shared" si="50"/>
        <v>#N/A</v>
      </c>
      <c r="AD81" s="474"/>
      <c r="AE81" s="182"/>
      <c r="AF81" s="166"/>
      <c r="AG81" s="166"/>
      <c r="AH81" s="182" t="e">
        <f t="shared" si="52"/>
        <v>#N/A</v>
      </c>
      <c r="AI81" s="474"/>
      <c r="AJ81" s="182"/>
      <c r="AK81" s="166"/>
      <c r="AL81" s="166"/>
      <c r="AM81" s="182" t="e">
        <f t="shared" si="54"/>
        <v>#N/A</v>
      </c>
      <c r="AN81" s="474"/>
      <c r="AO81" s="182"/>
      <c r="AP81" s="166"/>
      <c r="AQ81" s="166"/>
      <c r="AR81" s="182" t="e">
        <f t="shared" si="56"/>
        <v>#N/A</v>
      </c>
      <c r="AS81" s="474"/>
      <c r="AT81" s="182"/>
      <c r="AU81" s="166"/>
      <c r="AV81" s="180"/>
      <c r="AW81" s="182" t="e">
        <f t="shared" si="58"/>
        <v>#N/A</v>
      </c>
      <c r="AX81" s="491"/>
    </row>
    <row r="82" spans="2:50" ht="15.75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75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190</v>
      </c>
      <c r="C87" s="182">
        <v>1</v>
      </c>
      <c r="D87" s="203"/>
      <c r="E87" s="166"/>
      <c r="F87" s="182"/>
      <c r="G87" s="180"/>
      <c r="H87" s="459" t="e">
        <f>AVERAGE(G87:G101)</f>
        <v>#DIV/0!</v>
      </c>
      <c r="I87" s="166" t="e">
        <f>AVERAGE(P87,U87,Z87,AE87,AJ87,AO87,AT87)</f>
        <v>#DIV/0!</v>
      </c>
      <c r="J87" s="166" t="e">
        <f>AVERAGE(Q87,V87,AA87,AF87,AK87,AP87,AU87)</f>
        <v>#DIV/0!</v>
      </c>
      <c r="K87" s="180" t="e">
        <f>AVERAGE(R87,W87,AB87,AG87,AL87,AQ87,AV87)</f>
        <v>#DIV/0!</v>
      </c>
      <c r="L87" s="459" t="str">
        <f>IFERROR(AVERAGE(K87:K101),"-")</f>
        <v>-</v>
      </c>
      <c r="M87" s="181" t="e">
        <f>RANK(K87, K$87:$K$101)</f>
        <v>#DIV/0!</v>
      </c>
      <c r="N87" s="462"/>
      <c r="O87" s="462"/>
      <c r="P87" s="182"/>
      <c r="Q87" s="166"/>
      <c r="R87" s="166"/>
      <c r="S87" s="182" t="e">
        <f>RANK(R87, R$87:R$101)</f>
        <v>#N/A</v>
      </c>
      <c r="T87" s="472" t="e">
        <f>AVERAGE(R87:R101)</f>
        <v>#DIV/0!</v>
      </c>
      <c r="U87" s="182"/>
      <c r="V87" s="166"/>
      <c r="W87" s="166"/>
      <c r="X87" s="182" t="e">
        <f t="shared" ref="X87:X101" si="64">RANK(W87, W$87:W$101)</f>
        <v>#N/A</v>
      </c>
      <c r="Y87" s="472" t="e">
        <f t="shared" ref="Y87" si="65">AVERAGE(W87:W101)</f>
        <v>#DIV/0!</v>
      </c>
      <c r="Z87" s="182"/>
      <c r="AA87" s="166"/>
      <c r="AB87" s="166"/>
      <c r="AC87" s="182" t="e">
        <f t="shared" ref="AC87:AC101" si="66">RANK(AB87, AB$87:AB$101)</f>
        <v>#N/A</v>
      </c>
      <c r="AD87" s="472" t="e">
        <f t="shared" ref="AD87" si="67">AVERAGE(AB87:AB101)</f>
        <v>#DIV/0!</v>
      </c>
      <c r="AE87" s="182"/>
      <c r="AF87" s="166"/>
      <c r="AG87" s="166"/>
      <c r="AH87" s="182" t="e">
        <f t="shared" ref="AH87:AH101" si="68">RANK(AG87, AG$87:AG$101)</f>
        <v>#N/A</v>
      </c>
      <c r="AI87" s="472" t="e">
        <f t="shared" ref="AI87" si="69">AVERAGE(AG87:AG101)</f>
        <v>#DIV/0!</v>
      </c>
      <c r="AJ87" s="182"/>
      <c r="AK87" s="166"/>
      <c r="AL87" s="166"/>
      <c r="AM87" s="182" t="e">
        <f t="shared" ref="AM87:AM101" si="70">RANK(AL87, AL$87:AL$101)</f>
        <v>#N/A</v>
      </c>
      <c r="AN87" s="472" t="e">
        <f t="shared" ref="AN87" si="71">AVERAGE(AL87:AL101)</f>
        <v>#DIV/0!</v>
      </c>
      <c r="AO87" s="182"/>
      <c r="AP87" s="166"/>
      <c r="AQ87" s="166"/>
      <c r="AR87" s="182" t="e">
        <f t="shared" ref="AR87:AR101" si="72">RANK(AQ87, AQ$87:AQ$101)</f>
        <v>#N/A</v>
      </c>
      <c r="AS87" s="472" t="e">
        <f t="shared" ref="AS87" si="73">AVERAGE(AQ87:AQ101)</f>
        <v>#DIV/0!</v>
      </c>
      <c r="AT87" s="166"/>
      <c r="AU87" s="166"/>
      <c r="AV87" s="180"/>
      <c r="AW87" s="182" t="e">
        <f t="shared" ref="AW87:AW101" si="74">RANK(AV87, AV$87:AV$101)</f>
        <v>#N/A</v>
      </c>
      <c r="AX87" s="491" t="e">
        <f t="shared" ref="AX87" si="75">AVERAGE(AV87:AV101)</f>
        <v>#DIV/0!</v>
      </c>
    </row>
    <row r="88" spans="2:50">
      <c r="B88" s="479"/>
      <c r="C88" s="182">
        <v>2</v>
      </c>
      <c r="D88" s="203"/>
      <c r="E88" s="166"/>
      <c r="F88" s="182"/>
      <c r="G88" s="180"/>
      <c r="H88" s="460"/>
      <c r="I88" s="166" t="e">
        <f t="shared" ref="I88:K92" si="76">AVERAGE(P88,U88,Z88,AE88,AJ88,AO88,AT88)</f>
        <v>#DIV/0!</v>
      </c>
      <c r="J88" s="166" t="e">
        <f t="shared" si="76"/>
        <v>#DIV/0!</v>
      </c>
      <c r="K88" s="180" t="e">
        <f t="shared" si="76"/>
        <v>#DIV/0!</v>
      </c>
      <c r="L88" s="460"/>
      <c r="M88" s="181" t="e">
        <f>RANK(K88, K$87:$K$101)</f>
        <v>#DIV/0!</v>
      </c>
      <c r="N88" s="462"/>
      <c r="O88" s="462"/>
      <c r="P88" s="182"/>
      <c r="Q88" s="166"/>
      <c r="R88" s="166"/>
      <c r="S88" s="182" t="e">
        <f t="shared" ref="S88:S101" si="77">RANK(R88, R$87:R$101)</f>
        <v>#N/A</v>
      </c>
      <c r="T88" s="473"/>
      <c r="U88" s="182"/>
      <c r="V88" s="166"/>
      <c r="W88" s="166"/>
      <c r="X88" s="182" t="e">
        <f t="shared" si="64"/>
        <v>#N/A</v>
      </c>
      <c r="Y88" s="473"/>
      <c r="Z88" s="182"/>
      <c r="AA88" s="166"/>
      <c r="AB88" s="166"/>
      <c r="AC88" s="182" t="e">
        <f t="shared" si="66"/>
        <v>#N/A</v>
      </c>
      <c r="AD88" s="473"/>
      <c r="AE88" s="182"/>
      <c r="AF88" s="166"/>
      <c r="AG88" s="166"/>
      <c r="AH88" s="182" t="e">
        <f t="shared" si="68"/>
        <v>#N/A</v>
      </c>
      <c r="AI88" s="473"/>
      <c r="AJ88" s="182"/>
      <c r="AK88" s="166"/>
      <c r="AL88" s="166"/>
      <c r="AM88" s="182" t="e">
        <f t="shared" si="70"/>
        <v>#N/A</v>
      </c>
      <c r="AN88" s="473"/>
      <c r="AO88" s="182"/>
      <c r="AP88" s="166"/>
      <c r="AQ88" s="166"/>
      <c r="AR88" s="182" t="e">
        <f t="shared" si="72"/>
        <v>#N/A</v>
      </c>
      <c r="AS88" s="473"/>
      <c r="AT88" s="182"/>
      <c r="AU88" s="166"/>
      <c r="AV88" s="180"/>
      <c r="AW88" s="182" t="e">
        <f t="shared" si="74"/>
        <v>#N/A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 t="e">
        <f t="shared" si="76"/>
        <v>#DIV/0!</v>
      </c>
      <c r="J89" s="166" t="e">
        <f t="shared" si="76"/>
        <v>#DIV/0!</v>
      </c>
      <c r="K89" s="180" t="e">
        <f t="shared" si="76"/>
        <v>#DIV/0!</v>
      </c>
      <c r="L89" s="460"/>
      <c r="M89" s="181" t="e">
        <f>RANK(K89, K$87:$K$101)</f>
        <v>#DIV/0!</v>
      </c>
      <c r="N89" s="462"/>
      <c r="O89" s="462"/>
      <c r="P89" s="182"/>
      <c r="Q89" s="166"/>
      <c r="R89" s="166"/>
      <c r="S89" s="182" t="e">
        <f t="shared" si="77"/>
        <v>#N/A</v>
      </c>
      <c r="T89" s="473"/>
      <c r="U89" s="182"/>
      <c r="V89" s="166"/>
      <c r="W89" s="166"/>
      <c r="X89" s="182" t="e">
        <f t="shared" si="64"/>
        <v>#N/A</v>
      </c>
      <c r="Y89" s="473"/>
      <c r="Z89" s="182"/>
      <c r="AA89" s="166"/>
      <c r="AB89" s="166"/>
      <c r="AC89" s="182" t="e">
        <f t="shared" si="66"/>
        <v>#N/A</v>
      </c>
      <c r="AD89" s="473"/>
      <c r="AE89" s="182"/>
      <c r="AF89" s="166"/>
      <c r="AG89" s="166"/>
      <c r="AH89" s="182" t="e">
        <f t="shared" si="68"/>
        <v>#N/A</v>
      </c>
      <c r="AI89" s="473"/>
      <c r="AJ89" s="182"/>
      <c r="AK89" s="166"/>
      <c r="AL89" s="166"/>
      <c r="AM89" s="182" t="e">
        <f t="shared" si="70"/>
        <v>#N/A</v>
      </c>
      <c r="AN89" s="473"/>
      <c r="AO89" s="182"/>
      <c r="AP89" s="166"/>
      <c r="AQ89" s="166"/>
      <c r="AR89" s="182" t="e">
        <f t="shared" si="72"/>
        <v>#N/A</v>
      </c>
      <c r="AS89" s="473"/>
      <c r="AT89" s="182"/>
      <c r="AU89" s="166"/>
      <c r="AV89" s="180"/>
      <c r="AW89" s="182" t="e">
        <f t="shared" si="74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 t="e">
        <f t="shared" si="76"/>
        <v>#DIV/0!</v>
      </c>
      <c r="J90" s="166" t="e">
        <f t="shared" si="76"/>
        <v>#DIV/0!</v>
      </c>
      <c r="K90" s="180" t="e">
        <f t="shared" si="76"/>
        <v>#DIV/0!</v>
      </c>
      <c r="L90" s="460"/>
      <c r="M90" s="181" t="e">
        <f>RANK(K90, K$87:$K$101)</f>
        <v>#DIV/0!</v>
      </c>
      <c r="N90" s="462"/>
      <c r="O90" s="462"/>
      <c r="P90" s="182"/>
      <c r="Q90" s="166"/>
      <c r="R90" s="166"/>
      <c r="S90" s="182" t="e">
        <f t="shared" si="77"/>
        <v>#N/A</v>
      </c>
      <c r="T90" s="473"/>
      <c r="U90" s="182"/>
      <c r="V90" s="166"/>
      <c r="W90" s="166"/>
      <c r="X90" s="182" t="e">
        <f t="shared" si="64"/>
        <v>#N/A</v>
      </c>
      <c r="Y90" s="473"/>
      <c r="Z90" s="182"/>
      <c r="AA90" s="166"/>
      <c r="AB90" s="166"/>
      <c r="AC90" s="182" t="e">
        <f t="shared" si="66"/>
        <v>#N/A</v>
      </c>
      <c r="AD90" s="473"/>
      <c r="AE90" s="182"/>
      <c r="AF90" s="166"/>
      <c r="AG90" s="166"/>
      <c r="AH90" s="182" t="e">
        <f t="shared" si="68"/>
        <v>#N/A</v>
      </c>
      <c r="AI90" s="473"/>
      <c r="AJ90" s="182"/>
      <c r="AK90" s="166"/>
      <c r="AL90" s="166"/>
      <c r="AM90" s="182" t="e">
        <f t="shared" si="70"/>
        <v>#N/A</v>
      </c>
      <c r="AN90" s="473"/>
      <c r="AO90" s="182"/>
      <c r="AP90" s="166"/>
      <c r="AQ90" s="166"/>
      <c r="AR90" s="182" t="e">
        <f t="shared" si="72"/>
        <v>#N/A</v>
      </c>
      <c r="AS90" s="473"/>
      <c r="AT90" s="182"/>
      <c r="AU90" s="166"/>
      <c r="AV90" s="180"/>
      <c r="AW90" s="182" t="e">
        <f t="shared" si="74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 t="e">
        <f t="shared" si="76"/>
        <v>#DIV/0!</v>
      </c>
      <c r="J91" s="166" t="e">
        <f t="shared" si="76"/>
        <v>#DIV/0!</v>
      </c>
      <c r="K91" s="180" t="e">
        <f t="shared" si="76"/>
        <v>#DIV/0!</v>
      </c>
      <c r="L91" s="460"/>
      <c r="M91" s="181" t="e">
        <f>RANK(K91, K$87:$K$101)</f>
        <v>#DIV/0!</v>
      </c>
      <c r="N91" s="462"/>
      <c r="O91" s="462"/>
      <c r="P91" s="182"/>
      <c r="Q91" s="166"/>
      <c r="R91" s="166"/>
      <c r="S91" s="182" t="e">
        <f t="shared" si="77"/>
        <v>#N/A</v>
      </c>
      <c r="T91" s="473"/>
      <c r="U91" s="182"/>
      <c r="V91" s="166"/>
      <c r="W91" s="166"/>
      <c r="X91" s="182" t="e">
        <f t="shared" si="64"/>
        <v>#N/A</v>
      </c>
      <c r="Y91" s="473"/>
      <c r="Z91" s="182"/>
      <c r="AA91" s="166"/>
      <c r="AB91" s="166"/>
      <c r="AC91" s="182" t="e">
        <f t="shared" si="66"/>
        <v>#N/A</v>
      </c>
      <c r="AD91" s="473"/>
      <c r="AE91" s="182"/>
      <c r="AF91" s="166"/>
      <c r="AG91" s="166"/>
      <c r="AH91" s="182" t="e">
        <f t="shared" si="68"/>
        <v>#N/A</v>
      </c>
      <c r="AI91" s="473"/>
      <c r="AJ91" s="182"/>
      <c r="AK91" s="166"/>
      <c r="AL91" s="166"/>
      <c r="AM91" s="182" t="e">
        <f t="shared" si="70"/>
        <v>#N/A</v>
      </c>
      <c r="AN91" s="473"/>
      <c r="AO91" s="182"/>
      <c r="AP91" s="166"/>
      <c r="AQ91" s="166"/>
      <c r="AR91" s="182" t="e">
        <f t="shared" si="72"/>
        <v>#N/A</v>
      </c>
      <c r="AS91" s="473"/>
      <c r="AT91" s="182"/>
      <c r="AU91" s="166"/>
      <c r="AV91" s="180"/>
      <c r="AW91" s="182" t="e">
        <f t="shared" si="74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 t="e">
        <f t="shared" si="76"/>
        <v>#DIV/0!</v>
      </c>
      <c r="J92" s="166" t="e">
        <f t="shared" si="76"/>
        <v>#DIV/0!</v>
      </c>
      <c r="K92" s="180" t="e">
        <f t="shared" si="76"/>
        <v>#DIV/0!</v>
      </c>
      <c r="L92" s="460"/>
      <c r="M92" s="181" t="e">
        <f>RANK(K92, K$87:$K$101)</f>
        <v>#DIV/0!</v>
      </c>
      <c r="N92" s="462"/>
      <c r="O92" s="462"/>
      <c r="P92" s="182"/>
      <c r="Q92" s="166"/>
      <c r="R92" s="166"/>
      <c r="S92" s="182" t="e">
        <f t="shared" si="77"/>
        <v>#N/A</v>
      </c>
      <c r="T92" s="473"/>
      <c r="U92" s="182"/>
      <c r="V92" s="166"/>
      <c r="W92" s="166"/>
      <c r="X92" s="182" t="e">
        <f t="shared" si="64"/>
        <v>#N/A</v>
      </c>
      <c r="Y92" s="473"/>
      <c r="Z92" s="182"/>
      <c r="AA92" s="166"/>
      <c r="AB92" s="166"/>
      <c r="AC92" s="182" t="e">
        <f t="shared" si="66"/>
        <v>#N/A</v>
      </c>
      <c r="AD92" s="473"/>
      <c r="AE92" s="182"/>
      <c r="AF92" s="166"/>
      <c r="AG92" s="166"/>
      <c r="AH92" s="182" t="e">
        <f t="shared" si="68"/>
        <v>#N/A</v>
      </c>
      <c r="AI92" s="473"/>
      <c r="AJ92" s="182"/>
      <c r="AK92" s="166"/>
      <c r="AL92" s="166"/>
      <c r="AM92" s="182" t="e">
        <f t="shared" si="70"/>
        <v>#N/A</v>
      </c>
      <c r="AN92" s="473"/>
      <c r="AO92" s="182"/>
      <c r="AP92" s="166"/>
      <c r="AQ92" s="166"/>
      <c r="AR92" s="182" t="e">
        <f t="shared" si="72"/>
        <v>#N/A</v>
      </c>
      <c r="AS92" s="473"/>
      <c r="AT92" s="182"/>
      <c r="AU92" s="166"/>
      <c r="AV92" s="180"/>
      <c r="AW92" s="182" t="e">
        <f t="shared" si="74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 t="e">
        <f t="shared" ref="I93:I94" si="78">AVERAGE(P93,U93,Z93,AE93,AJ93,AO93,AT93)</f>
        <v>#DIV/0!</v>
      </c>
      <c r="J93" s="166" t="e">
        <f t="shared" ref="J93:J94" si="79">AVERAGE(Q93,V93,AA93,AF93,AK93,AP93,AU93)</f>
        <v>#DIV/0!</v>
      </c>
      <c r="K93" s="180" t="e">
        <f t="shared" ref="K93:K94" si="80">AVERAGE(R93,W93,AB93,AG93,AL93,AQ93,AV93)</f>
        <v>#DIV/0!</v>
      </c>
      <c r="L93" s="460"/>
      <c r="M93" s="181" t="e">
        <f>RANK(K93, K$87:$K$101)</f>
        <v>#DIV/0!</v>
      </c>
      <c r="N93" s="462"/>
      <c r="O93" s="462"/>
      <c r="P93" s="182"/>
      <c r="Q93" s="166"/>
      <c r="R93" s="166"/>
      <c r="S93" s="182" t="e">
        <f t="shared" si="77"/>
        <v>#N/A</v>
      </c>
      <c r="T93" s="473"/>
      <c r="U93" s="182"/>
      <c r="V93" s="166"/>
      <c r="W93" s="166"/>
      <c r="X93" s="182" t="e">
        <f t="shared" si="64"/>
        <v>#N/A</v>
      </c>
      <c r="Y93" s="473"/>
      <c r="Z93" s="182"/>
      <c r="AA93" s="166"/>
      <c r="AB93" s="166"/>
      <c r="AC93" s="182" t="e">
        <f t="shared" si="66"/>
        <v>#N/A</v>
      </c>
      <c r="AD93" s="473"/>
      <c r="AE93" s="182"/>
      <c r="AF93" s="166"/>
      <c r="AG93" s="166"/>
      <c r="AH93" s="182" t="e">
        <f t="shared" si="68"/>
        <v>#N/A</v>
      </c>
      <c r="AI93" s="473"/>
      <c r="AJ93" s="182"/>
      <c r="AK93" s="166"/>
      <c r="AL93" s="166"/>
      <c r="AM93" s="182" t="e">
        <f t="shared" si="70"/>
        <v>#N/A</v>
      </c>
      <c r="AN93" s="473"/>
      <c r="AO93" s="182"/>
      <c r="AP93" s="166"/>
      <c r="AQ93" s="166"/>
      <c r="AR93" s="182" t="e">
        <f t="shared" si="72"/>
        <v>#N/A</v>
      </c>
      <c r="AS93" s="473"/>
      <c r="AT93" s="182"/>
      <c r="AU93" s="166"/>
      <c r="AV93" s="180"/>
      <c r="AW93" s="182" t="e">
        <f t="shared" si="74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 t="e">
        <f t="shared" si="78"/>
        <v>#DIV/0!</v>
      </c>
      <c r="J94" s="166" t="e">
        <f t="shared" si="79"/>
        <v>#DIV/0!</v>
      </c>
      <c r="K94" s="180" t="e">
        <f t="shared" si="80"/>
        <v>#DIV/0!</v>
      </c>
      <c r="L94" s="460"/>
      <c r="M94" s="181" t="e">
        <f>RANK(K94, K$87:$K$101)</f>
        <v>#DIV/0!</v>
      </c>
      <c r="N94" s="462"/>
      <c r="O94" s="462"/>
      <c r="P94" s="182"/>
      <c r="Q94" s="166"/>
      <c r="R94" s="166"/>
      <c r="S94" s="182" t="e">
        <f t="shared" si="77"/>
        <v>#N/A</v>
      </c>
      <c r="T94" s="473"/>
      <c r="U94" s="182"/>
      <c r="V94" s="166"/>
      <c r="W94" s="166"/>
      <c r="X94" s="182" t="e">
        <f t="shared" si="64"/>
        <v>#N/A</v>
      </c>
      <c r="Y94" s="473"/>
      <c r="Z94" s="182"/>
      <c r="AA94" s="166"/>
      <c r="AB94" s="166"/>
      <c r="AC94" s="182" t="e">
        <f t="shared" si="66"/>
        <v>#N/A</v>
      </c>
      <c r="AD94" s="473"/>
      <c r="AE94" s="182"/>
      <c r="AF94" s="166"/>
      <c r="AG94" s="166"/>
      <c r="AH94" s="182" t="e">
        <f t="shared" si="68"/>
        <v>#N/A</v>
      </c>
      <c r="AI94" s="473"/>
      <c r="AJ94" s="182"/>
      <c r="AK94" s="166"/>
      <c r="AL94" s="166"/>
      <c r="AM94" s="182" t="e">
        <f t="shared" si="70"/>
        <v>#N/A</v>
      </c>
      <c r="AN94" s="473"/>
      <c r="AO94" s="182"/>
      <c r="AP94" s="166"/>
      <c r="AQ94" s="166"/>
      <c r="AR94" s="182" t="e">
        <f t="shared" si="72"/>
        <v>#N/A</v>
      </c>
      <c r="AS94" s="473"/>
      <c r="AT94" s="182"/>
      <c r="AU94" s="166"/>
      <c r="AV94" s="180"/>
      <c r="AW94" s="182" t="e">
        <f t="shared" si="74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#DIV/0!</v>
      </c>
      <c r="N95" s="462"/>
      <c r="O95" s="462"/>
      <c r="P95" s="182"/>
      <c r="Q95" s="166"/>
      <c r="R95" s="166"/>
      <c r="S95" s="182" t="e">
        <f t="shared" si="77"/>
        <v>#N/A</v>
      </c>
      <c r="T95" s="473"/>
      <c r="U95" s="182"/>
      <c r="V95" s="166"/>
      <c r="W95" s="166"/>
      <c r="X95" s="182" t="e">
        <f t="shared" si="64"/>
        <v>#N/A</v>
      </c>
      <c r="Y95" s="473"/>
      <c r="Z95" s="182"/>
      <c r="AA95" s="166"/>
      <c r="AB95" s="166"/>
      <c r="AC95" s="182" t="e">
        <f t="shared" si="66"/>
        <v>#N/A</v>
      </c>
      <c r="AD95" s="473"/>
      <c r="AE95" s="182"/>
      <c r="AF95" s="166"/>
      <c r="AG95" s="166"/>
      <c r="AH95" s="182" t="e">
        <f t="shared" si="68"/>
        <v>#N/A</v>
      </c>
      <c r="AI95" s="473"/>
      <c r="AJ95" s="182"/>
      <c r="AK95" s="166"/>
      <c r="AL95" s="166"/>
      <c r="AM95" s="182" t="e">
        <f t="shared" si="70"/>
        <v>#N/A</v>
      </c>
      <c r="AN95" s="473"/>
      <c r="AO95" s="182"/>
      <c r="AP95" s="166"/>
      <c r="AQ95" s="166"/>
      <c r="AR95" s="182" t="e">
        <f t="shared" si="72"/>
        <v>#N/A</v>
      </c>
      <c r="AS95" s="473"/>
      <c r="AT95" s="182"/>
      <c r="AU95" s="166"/>
      <c r="AV95" s="180"/>
      <c r="AW95" s="182" t="e">
        <f t="shared" si="74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#DIV/0!</v>
      </c>
      <c r="N96" s="462"/>
      <c r="O96" s="462"/>
      <c r="P96" s="182"/>
      <c r="Q96" s="166"/>
      <c r="R96" s="166"/>
      <c r="S96" s="182" t="e">
        <f t="shared" si="77"/>
        <v>#N/A</v>
      </c>
      <c r="T96" s="473"/>
      <c r="U96" s="182"/>
      <c r="V96" s="166"/>
      <c r="W96" s="166"/>
      <c r="X96" s="182" t="e">
        <f t="shared" si="64"/>
        <v>#N/A</v>
      </c>
      <c r="Y96" s="473"/>
      <c r="Z96" s="182"/>
      <c r="AA96" s="166"/>
      <c r="AB96" s="166"/>
      <c r="AC96" s="182" t="e">
        <f t="shared" si="66"/>
        <v>#N/A</v>
      </c>
      <c r="AD96" s="473"/>
      <c r="AE96" s="182"/>
      <c r="AF96" s="166"/>
      <c r="AG96" s="166"/>
      <c r="AH96" s="182" t="e">
        <f t="shared" si="68"/>
        <v>#N/A</v>
      </c>
      <c r="AI96" s="473"/>
      <c r="AJ96" s="182"/>
      <c r="AK96" s="166"/>
      <c r="AL96" s="166"/>
      <c r="AM96" s="182" t="e">
        <f t="shared" si="70"/>
        <v>#N/A</v>
      </c>
      <c r="AN96" s="473"/>
      <c r="AO96" s="182"/>
      <c r="AP96" s="166"/>
      <c r="AQ96" s="166"/>
      <c r="AR96" s="182" t="e">
        <f t="shared" si="72"/>
        <v>#N/A</v>
      </c>
      <c r="AS96" s="473"/>
      <c r="AT96" s="182"/>
      <c r="AU96" s="166"/>
      <c r="AV96" s="180"/>
      <c r="AW96" s="182" t="e">
        <f t="shared" si="74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66"/>
      <c r="J97" s="166"/>
      <c r="K97" s="180"/>
      <c r="L97" s="460"/>
      <c r="M97" s="181" t="e">
        <f>RANK(K97, K$87:$K$101)</f>
        <v>#DIV/0!</v>
      </c>
      <c r="N97" s="462"/>
      <c r="O97" s="462"/>
      <c r="P97" s="182"/>
      <c r="Q97" s="166"/>
      <c r="R97" s="166"/>
      <c r="S97" s="182" t="e">
        <f t="shared" si="77"/>
        <v>#N/A</v>
      </c>
      <c r="T97" s="473"/>
      <c r="U97" s="182"/>
      <c r="V97" s="166"/>
      <c r="W97" s="166"/>
      <c r="X97" s="182" t="e">
        <f t="shared" si="64"/>
        <v>#N/A</v>
      </c>
      <c r="Y97" s="473"/>
      <c r="Z97" s="182"/>
      <c r="AA97" s="166"/>
      <c r="AB97" s="166"/>
      <c r="AC97" s="182" t="e">
        <f t="shared" si="66"/>
        <v>#N/A</v>
      </c>
      <c r="AD97" s="473"/>
      <c r="AE97" s="182"/>
      <c r="AF97" s="166"/>
      <c r="AG97" s="166"/>
      <c r="AH97" s="182" t="e">
        <f t="shared" si="68"/>
        <v>#N/A</v>
      </c>
      <c r="AI97" s="473"/>
      <c r="AJ97" s="182"/>
      <c r="AK97" s="166"/>
      <c r="AL97" s="166"/>
      <c r="AM97" s="182" t="e">
        <f t="shared" si="70"/>
        <v>#N/A</v>
      </c>
      <c r="AN97" s="473"/>
      <c r="AO97" s="182"/>
      <c r="AP97" s="166"/>
      <c r="AQ97" s="166"/>
      <c r="AR97" s="182" t="e">
        <f t="shared" si="72"/>
        <v>#N/A</v>
      </c>
      <c r="AS97" s="473"/>
      <c r="AT97" s="182"/>
      <c r="AU97" s="166"/>
      <c r="AV97" s="180"/>
      <c r="AW97" s="182" t="e">
        <f t="shared" si="74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66"/>
      <c r="J98" s="166"/>
      <c r="K98" s="180"/>
      <c r="L98" s="460"/>
      <c r="M98" s="181" t="e">
        <f>RANK(K98, K$87:$K$101)</f>
        <v>#DIV/0!</v>
      </c>
      <c r="N98" s="462"/>
      <c r="O98" s="462"/>
      <c r="P98" s="182"/>
      <c r="Q98" s="166"/>
      <c r="R98" s="166"/>
      <c r="S98" s="182" t="e">
        <f t="shared" si="77"/>
        <v>#N/A</v>
      </c>
      <c r="T98" s="473"/>
      <c r="U98" s="182"/>
      <c r="V98" s="166"/>
      <c r="W98" s="166"/>
      <c r="X98" s="182" t="e">
        <f t="shared" si="64"/>
        <v>#N/A</v>
      </c>
      <c r="Y98" s="473"/>
      <c r="Z98" s="182"/>
      <c r="AA98" s="166"/>
      <c r="AB98" s="166"/>
      <c r="AC98" s="182" t="e">
        <f t="shared" si="66"/>
        <v>#N/A</v>
      </c>
      <c r="AD98" s="473"/>
      <c r="AE98" s="182"/>
      <c r="AF98" s="166"/>
      <c r="AG98" s="166"/>
      <c r="AH98" s="182" t="e">
        <f t="shared" si="68"/>
        <v>#N/A</v>
      </c>
      <c r="AI98" s="473"/>
      <c r="AJ98" s="182"/>
      <c r="AK98" s="166"/>
      <c r="AL98" s="166"/>
      <c r="AM98" s="182" t="e">
        <f t="shared" si="70"/>
        <v>#N/A</v>
      </c>
      <c r="AN98" s="473"/>
      <c r="AO98" s="182"/>
      <c r="AP98" s="166"/>
      <c r="AQ98" s="166"/>
      <c r="AR98" s="182" t="e">
        <f t="shared" si="72"/>
        <v>#N/A</v>
      </c>
      <c r="AS98" s="473"/>
      <c r="AT98" s="182"/>
      <c r="AU98" s="166"/>
      <c r="AV98" s="180"/>
      <c r="AW98" s="182" t="e">
        <f t="shared" si="74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66"/>
      <c r="J99" s="166"/>
      <c r="K99" s="180"/>
      <c r="L99" s="460"/>
      <c r="M99" s="181" t="e">
        <f>RANK(K99, K$87:$K$101)</f>
        <v>#DIV/0!</v>
      </c>
      <c r="N99" s="462"/>
      <c r="O99" s="462"/>
      <c r="P99" s="182"/>
      <c r="Q99" s="166"/>
      <c r="R99" s="166"/>
      <c r="S99" s="182" t="e">
        <f t="shared" si="77"/>
        <v>#N/A</v>
      </c>
      <c r="T99" s="473"/>
      <c r="U99" s="182"/>
      <c r="V99" s="166"/>
      <c r="W99" s="166"/>
      <c r="X99" s="182" t="e">
        <f t="shared" si="64"/>
        <v>#N/A</v>
      </c>
      <c r="Y99" s="473"/>
      <c r="Z99" s="182"/>
      <c r="AA99" s="166"/>
      <c r="AB99" s="166"/>
      <c r="AC99" s="182" t="e">
        <f t="shared" si="66"/>
        <v>#N/A</v>
      </c>
      <c r="AD99" s="473"/>
      <c r="AE99" s="182"/>
      <c r="AF99" s="166"/>
      <c r="AG99" s="166"/>
      <c r="AH99" s="182" t="e">
        <f t="shared" si="68"/>
        <v>#N/A</v>
      </c>
      <c r="AI99" s="473"/>
      <c r="AJ99" s="182"/>
      <c r="AK99" s="166"/>
      <c r="AL99" s="166"/>
      <c r="AM99" s="182" t="e">
        <f t="shared" si="70"/>
        <v>#N/A</v>
      </c>
      <c r="AN99" s="473"/>
      <c r="AO99" s="182"/>
      <c r="AP99" s="166"/>
      <c r="AQ99" s="166"/>
      <c r="AR99" s="182" t="e">
        <f t="shared" si="72"/>
        <v>#N/A</v>
      </c>
      <c r="AS99" s="473"/>
      <c r="AT99" s="182"/>
      <c r="AU99" s="166"/>
      <c r="AV99" s="180"/>
      <c r="AW99" s="182" t="e">
        <f t="shared" si="74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66"/>
      <c r="J100" s="166"/>
      <c r="K100" s="180"/>
      <c r="L100" s="460"/>
      <c r="M100" s="181" t="e">
        <f>RANK(K100, K$87:$K$101)</f>
        <v>#DIV/0!</v>
      </c>
      <c r="N100" s="462"/>
      <c r="O100" s="462"/>
      <c r="P100" s="182"/>
      <c r="Q100" s="166"/>
      <c r="R100" s="166"/>
      <c r="S100" s="182" t="e">
        <f t="shared" si="77"/>
        <v>#N/A</v>
      </c>
      <c r="T100" s="473"/>
      <c r="U100" s="182"/>
      <c r="V100" s="166"/>
      <c r="W100" s="166"/>
      <c r="X100" s="182" t="e">
        <f t="shared" si="64"/>
        <v>#N/A</v>
      </c>
      <c r="Y100" s="473"/>
      <c r="Z100" s="182"/>
      <c r="AA100" s="166"/>
      <c r="AB100" s="166"/>
      <c r="AC100" s="182" t="e">
        <f t="shared" si="66"/>
        <v>#N/A</v>
      </c>
      <c r="AD100" s="473"/>
      <c r="AE100" s="182"/>
      <c r="AF100" s="166"/>
      <c r="AG100" s="166"/>
      <c r="AH100" s="182" t="e">
        <f t="shared" si="68"/>
        <v>#N/A</v>
      </c>
      <c r="AI100" s="473"/>
      <c r="AJ100" s="182"/>
      <c r="AK100" s="166"/>
      <c r="AL100" s="166"/>
      <c r="AM100" s="182" t="e">
        <f t="shared" si="70"/>
        <v>#N/A</v>
      </c>
      <c r="AN100" s="473"/>
      <c r="AO100" s="182"/>
      <c r="AP100" s="166"/>
      <c r="AQ100" s="166"/>
      <c r="AR100" s="182" t="e">
        <f t="shared" si="72"/>
        <v>#N/A</v>
      </c>
      <c r="AS100" s="473"/>
      <c r="AT100" s="182"/>
      <c r="AU100" s="166"/>
      <c r="AV100" s="180"/>
      <c r="AW100" s="182" t="e">
        <f t="shared" si="74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66"/>
      <c r="J101" s="166"/>
      <c r="K101" s="180"/>
      <c r="L101" s="461"/>
      <c r="M101" s="166" t="e">
        <f>RANK(K101, K$87:$K$101)</f>
        <v>#DIV/0!</v>
      </c>
      <c r="N101" s="462"/>
      <c r="O101" s="462"/>
      <c r="P101" s="182"/>
      <c r="Q101" s="166"/>
      <c r="R101" s="166"/>
      <c r="S101" s="182" t="e">
        <f t="shared" si="77"/>
        <v>#N/A</v>
      </c>
      <c r="T101" s="474"/>
      <c r="U101" s="182"/>
      <c r="V101" s="166"/>
      <c r="W101" s="166"/>
      <c r="X101" s="182" t="e">
        <f t="shared" si="64"/>
        <v>#N/A</v>
      </c>
      <c r="Y101" s="474"/>
      <c r="Z101" s="182"/>
      <c r="AA101" s="166"/>
      <c r="AB101" s="166"/>
      <c r="AC101" s="182" t="e">
        <f t="shared" si="66"/>
        <v>#N/A</v>
      </c>
      <c r="AD101" s="474"/>
      <c r="AE101" s="182"/>
      <c r="AF101" s="166"/>
      <c r="AG101" s="166"/>
      <c r="AH101" s="182" t="e">
        <f t="shared" si="68"/>
        <v>#N/A</v>
      </c>
      <c r="AI101" s="474"/>
      <c r="AJ101" s="182"/>
      <c r="AK101" s="166"/>
      <c r="AL101" s="166"/>
      <c r="AM101" s="182" t="e">
        <f t="shared" si="70"/>
        <v>#N/A</v>
      </c>
      <c r="AN101" s="474"/>
      <c r="AO101" s="182"/>
      <c r="AP101" s="166"/>
      <c r="AQ101" s="166"/>
      <c r="AR101" s="182" t="e">
        <f t="shared" si="72"/>
        <v>#N/A</v>
      </c>
      <c r="AS101" s="474"/>
      <c r="AT101" s="182"/>
      <c r="AU101" s="166"/>
      <c r="AV101" s="180"/>
      <c r="AW101" s="182" t="e">
        <f t="shared" si="74"/>
        <v>#N/A</v>
      </c>
      <c r="AX101" s="491"/>
    </row>
    <row r="102" spans="2:50" ht="15.75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75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321</v>
      </c>
      <c r="C104" s="462" t="s">
        <v>322</v>
      </c>
      <c r="D104" s="462"/>
      <c r="E104" s="462" t="s">
        <v>323</v>
      </c>
      <c r="F104" s="462"/>
      <c r="G104" s="462"/>
      <c r="H104" s="463" t="s">
        <v>324</v>
      </c>
      <c r="I104" s="462" t="s">
        <v>325</v>
      </c>
      <c r="J104" s="462"/>
      <c r="K104" s="462"/>
      <c r="L104" s="463" t="s">
        <v>324</v>
      </c>
      <c r="M104" s="469" t="s">
        <v>326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328</v>
      </c>
      <c r="F105" s="462"/>
      <c r="G105" s="462"/>
      <c r="H105" s="464"/>
      <c r="I105" s="462" t="s">
        <v>328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329</v>
      </c>
      <c r="F106" s="271" t="s">
        <v>330</v>
      </c>
      <c r="G106" s="271" t="s">
        <v>331</v>
      </c>
      <c r="H106" s="465"/>
      <c r="I106" s="271" t="s">
        <v>329</v>
      </c>
      <c r="J106" s="271" t="s">
        <v>330</v>
      </c>
      <c r="K106" s="271" t="s">
        <v>331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345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82"/>
      <c r="Q107" s="166"/>
      <c r="R107" s="166"/>
      <c r="S107" s="182" t="e">
        <f>RANK(R107, R$67:R$81)</f>
        <v>#N/A</v>
      </c>
      <c r="T107" s="491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91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91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91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91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91" t="e">
        <f>AVERAGE(AQ107:AQ121)</f>
        <v>#DIV/0!</v>
      </c>
      <c r="AT107" s="166"/>
      <c r="AU107" s="166"/>
      <c r="AV107" s="180"/>
      <c r="AW107" s="182" t="e">
        <f>RANK(AV107, AV$67:AV$81)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ref="I108:K114" si="81">AVERAGE(P108,U108,Z108,AE108,AJ108,AO108,AT108)</f>
        <v>#DIV/0!</v>
      </c>
      <c r="J108" s="166" t="e">
        <f t="shared" si="81"/>
        <v>#DIV/0!</v>
      </c>
      <c r="K108" s="180" t="e">
        <f t="shared" si="81"/>
        <v>#DIV/0!</v>
      </c>
      <c r="L108" s="460"/>
      <c r="M108" s="166" t="e">
        <f>RANK(K108, K$67:$K$81)</f>
        <v>#DIV/0!</v>
      </c>
      <c r="N108" s="462"/>
      <c r="O108" s="462"/>
      <c r="P108" s="182"/>
      <c r="Q108" s="166"/>
      <c r="R108" s="166"/>
      <c r="S108" s="182" t="e">
        <f t="shared" ref="S108:S121" si="82">RANK(R108, R$67:R$81)</f>
        <v>#N/A</v>
      </c>
      <c r="T108" s="491"/>
      <c r="U108" s="182"/>
      <c r="V108" s="166"/>
      <c r="W108" s="166"/>
      <c r="X108" s="182" t="e">
        <f t="shared" ref="X108:X121" si="83">RANK(W108, W$67:W$81)</f>
        <v>#N/A</v>
      </c>
      <c r="Y108" s="491"/>
      <c r="Z108" s="182"/>
      <c r="AA108" s="166"/>
      <c r="AB108" s="166"/>
      <c r="AC108" s="182" t="e">
        <f t="shared" ref="AC108:AC121" si="84">RANK(AB108, AB$67:AB$81)</f>
        <v>#N/A</v>
      </c>
      <c r="AD108" s="491"/>
      <c r="AE108" s="182"/>
      <c r="AF108" s="166"/>
      <c r="AG108" s="166"/>
      <c r="AH108" s="182" t="e">
        <f t="shared" ref="AH108:AH121" si="85">RANK(AG108, AG$67:AG$81)</f>
        <v>#N/A</v>
      </c>
      <c r="AI108" s="491"/>
      <c r="AJ108" s="182"/>
      <c r="AK108" s="166"/>
      <c r="AL108" s="166"/>
      <c r="AM108" s="182" t="e">
        <f t="shared" ref="AM108:AM121" si="86">RANK(AL108, AL$67:AL$81)</f>
        <v>#N/A</v>
      </c>
      <c r="AN108" s="491"/>
      <c r="AO108" s="182"/>
      <c r="AP108" s="166"/>
      <c r="AQ108" s="166"/>
      <c r="AR108" s="182" t="e">
        <f t="shared" ref="AR108:AR121" si="87">RANK(AQ108, AQ$67:AQ$81)</f>
        <v>#N/A</v>
      </c>
      <c r="AS108" s="491"/>
      <c r="AT108" s="182"/>
      <c r="AU108" s="166"/>
      <c r="AV108" s="180"/>
      <c r="AW108" s="182" t="e">
        <f t="shared" ref="AW108:AW121" si="88">RANK(AV108, AV$67:AV$81)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 t="e">
        <f t="shared" si="81"/>
        <v>#DIV/0!</v>
      </c>
      <c r="J109" s="166" t="e">
        <f t="shared" si="81"/>
        <v>#DIV/0!</v>
      </c>
      <c r="K109" s="180" t="e">
        <f t="shared" si="81"/>
        <v>#DIV/0!</v>
      </c>
      <c r="L109" s="460"/>
      <c r="M109" s="166" t="e">
        <f>RANK(K109, K$67:$K$81)</f>
        <v>#DIV/0!</v>
      </c>
      <c r="N109" s="462"/>
      <c r="O109" s="462"/>
      <c r="P109" s="182"/>
      <c r="Q109" s="166"/>
      <c r="R109" s="166"/>
      <c r="S109" s="182" t="e">
        <f t="shared" si="82"/>
        <v>#N/A</v>
      </c>
      <c r="T109" s="491"/>
      <c r="U109" s="182"/>
      <c r="V109" s="166"/>
      <c r="W109" s="166"/>
      <c r="X109" s="182" t="e">
        <f t="shared" si="83"/>
        <v>#N/A</v>
      </c>
      <c r="Y109" s="491"/>
      <c r="Z109" s="182"/>
      <c r="AA109" s="166"/>
      <c r="AB109" s="166"/>
      <c r="AC109" s="182" t="e">
        <f t="shared" si="84"/>
        <v>#N/A</v>
      </c>
      <c r="AD109" s="491"/>
      <c r="AE109" s="182"/>
      <c r="AF109" s="166"/>
      <c r="AG109" s="166"/>
      <c r="AH109" s="182" t="e">
        <f t="shared" si="85"/>
        <v>#N/A</v>
      </c>
      <c r="AI109" s="491"/>
      <c r="AJ109" s="182"/>
      <c r="AK109" s="166"/>
      <c r="AL109" s="166"/>
      <c r="AM109" s="182" t="e">
        <f t="shared" si="86"/>
        <v>#N/A</v>
      </c>
      <c r="AN109" s="491"/>
      <c r="AO109" s="182"/>
      <c r="AP109" s="166"/>
      <c r="AQ109" s="166"/>
      <c r="AR109" s="182" t="e">
        <f t="shared" si="87"/>
        <v>#N/A</v>
      </c>
      <c r="AS109" s="491"/>
      <c r="AT109" s="182"/>
      <c r="AU109" s="166"/>
      <c r="AV109" s="180"/>
      <c r="AW109" s="182" t="e">
        <f t="shared" si="88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 t="e">
        <f t="shared" si="81"/>
        <v>#DIV/0!</v>
      </c>
      <c r="J110" s="166" t="e">
        <f t="shared" si="81"/>
        <v>#DIV/0!</v>
      </c>
      <c r="K110" s="180" t="e">
        <f t="shared" si="81"/>
        <v>#DIV/0!</v>
      </c>
      <c r="L110" s="460"/>
      <c r="M110" s="166" t="e">
        <f>RANK(K110, K$67:$K$81)</f>
        <v>#DIV/0!</v>
      </c>
      <c r="N110" s="462"/>
      <c r="O110" s="462"/>
      <c r="P110" s="182"/>
      <c r="Q110" s="166"/>
      <c r="R110" s="166"/>
      <c r="S110" s="182" t="e">
        <f t="shared" si="82"/>
        <v>#N/A</v>
      </c>
      <c r="T110" s="491"/>
      <c r="U110" s="182"/>
      <c r="V110" s="166"/>
      <c r="W110" s="166"/>
      <c r="X110" s="182" t="e">
        <f t="shared" si="83"/>
        <v>#N/A</v>
      </c>
      <c r="Y110" s="491"/>
      <c r="Z110" s="182"/>
      <c r="AA110" s="166"/>
      <c r="AB110" s="166"/>
      <c r="AC110" s="182" t="e">
        <f t="shared" si="84"/>
        <v>#N/A</v>
      </c>
      <c r="AD110" s="491"/>
      <c r="AE110" s="182"/>
      <c r="AF110" s="166"/>
      <c r="AG110" s="166"/>
      <c r="AH110" s="182" t="e">
        <f t="shared" si="85"/>
        <v>#N/A</v>
      </c>
      <c r="AI110" s="491"/>
      <c r="AJ110" s="182"/>
      <c r="AK110" s="166"/>
      <c r="AL110" s="166"/>
      <c r="AM110" s="182" t="e">
        <f t="shared" si="86"/>
        <v>#N/A</v>
      </c>
      <c r="AN110" s="491"/>
      <c r="AO110" s="182"/>
      <c r="AP110" s="166"/>
      <c r="AQ110" s="166"/>
      <c r="AR110" s="182" t="e">
        <f t="shared" si="87"/>
        <v>#N/A</v>
      </c>
      <c r="AS110" s="491"/>
      <c r="AT110" s="182"/>
      <c r="AU110" s="166"/>
      <c r="AV110" s="180"/>
      <c r="AW110" s="182" t="e">
        <f t="shared" si="88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 t="e">
        <f t="shared" si="81"/>
        <v>#DIV/0!</v>
      </c>
      <c r="J111" s="166" t="e">
        <f t="shared" si="81"/>
        <v>#DIV/0!</v>
      </c>
      <c r="K111" s="180" t="e">
        <f t="shared" si="81"/>
        <v>#DIV/0!</v>
      </c>
      <c r="L111" s="460"/>
      <c r="M111" s="166" t="e">
        <f>RANK(K111, K$67:$K$81)</f>
        <v>#DIV/0!</v>
      </c>
      <c r="N111" s="462"/>
      <c r="O111" s="462"/>
      <c r="P111" s="182"/>
      <c r="Q111" s="166"/>
      <c r="R111" s="166"/>
      <c r="S111" s="182" t="e">
        <f t="shared" si="82"/>
        <v>#N/A</v>
      </c>
      <c r="T111" s="491"/>
      <c r="U111" s="182"/>
      <c r="V111" s="166"/>
      <c r="W111" s="166"/>
      <c r="X111" s="182" t="e">
        <f t="shared" si="83"/>
        <v>#N/A</v>
      </c>
      <c r="Y111" s="491"/>
      <c r="Z111" s="182"/>
      <c r="AA111" s="166"/>
      <c r="AB111" s="166"/>
      <c r="AC111" s="182" t="e">
        <f t="shared" si="84"/>
        <v>#N/A</v>
      </c>
      <c r="AD111" s="491"/>
      <c r="AE111" s="182"/>
      <c r="AF111" s="166"/>
      <c r="AG111" s="166"/>
      <c r="AH111" s="182" t="e">
        <f t="shared" si="85"/>
        <v>#N/A</v>
      </c>
      <c r="AI111" s="491"/>
      <c r="AJ111" s="182"/>
      <c r="AK111" s="166"/>
      <c r="AL111" s="166"/>
      <c r="AM111" s="182" t="e">
        <f t="shared" si="86"/>
        <v>#N/A</v>
      </c>
      <c r="AN111" s="491"/>
      <c r="AO111" s="182"/>
      <c r="AP111" s="166"/>
      <c r="AQ111" s="166"/>
      <c r="AR111" s="182" t="e">
        <f t="shared" si="87"/>
        <v>#N/A</v>
      </c>
      <c r="AS111" s="491"/>
      <c r="AT111" s="182"/>
      <c r="AU111" s="166"/>
      <c r="AV111" s="180"/>
      <c r="AW111" s="182" t="e">
        <f t="shared" si="88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 t="e">
        <f t="shared" si="81"/>
        <v>#DIV/0!</v>
      </c>
      <c r="J112" s="166" t="e">
        <f t="shared" si="81"/>
        <v>#DIV/0!</v>
      </c>
      <c r="K112" s="180" t="e">
        <f t="shared" si="81"/>
        <v>#DIV/0!</v>
      </c>
      <c r="L112" s="460"/>
      <c r="M112" s="166" t="e">
        <f>RANK(K112, K$67:$K$81)</f>
        <v>#DIV/0!</v>
      </c>
      <c r="N112" s="462"/>
      <c r="O112" s="462"/>
      <c r="P112" s="182"/>
      <c r="Q112" s="166"/>
      <c r="R112" s="166"/>
      <c r="S112" s="182" t="e">
        <f t="shared" si="82"/>
        <v>#N/A</v>
      </c>
      <c r="T112" s="491"/>
      <c r="U112" s="182"/>
      <c r="V112" s="166"/>
      <c r="W112" s="166"/>
      <c r="X112" s="182" t="e">
        <f t="shared" si="83"/>
        <v>#N/A</v>
      </c>
      <c r="Y112" s="491"/>
      <c r="Z112" s="182"/>
      <c r="AA112" s="166"/>
      <c r="AB112" s="166"/>
      <c r="AC112" s="182" t="e">
        <f t="shared" si="84"/>
        <v>#N/A</v>
      </c>
      <c r="AD112" s="491"/>
      <c r="AE112" s="182"/>
      <c r="AF112" s="166"/>
      <c r="AG112" s="166"/>
      <c r="AH112" s="182" t="e">
        <f t="shared" si="85"/>
        <v>#N/A</v>
      </c>
      <c r="AI112" s="491"/>
      <c r="AJ112" s="182"/>
      <c r="AK112" s="166"/>
      <c r="AL112" s="166"/>
      <c r="AM112" s="182" t="e">
        <f t="shared" si="86"/>
        <v>#N/A</v>
      </c>
      <c r="AN112" s="491"/>
      <c r="AO112" s="182"/>
      <c r="AP112" s="166"/>
      <c r="AQ112" s="166"/>
      <c r="AR112" s="182" t="e">
        <f t="shared" si="87"/>
        <v>#N/A</v>
      </c>
      <c r="AS112" s="491"/>
      <c r="AT112" s="182"/>
      <c r="AU112" s="166"/>
      <c r="AV112" s="180"/>
      <c r="AW112" s="182" t="e">
        <f t="shared" si="88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 t="e">
        <f t="shared" si="81"/>
        <v>#DIV/0!</v>
      </c>
      <c r="J113" s="166" t="e">
        <f t="shared" si="81"/>
        <v>#DIV/0!</v>
      </c>
      <c r="K113" s="180" t="e">
        <f t="shared" si="81"/>
        <v>#DIV/0!</v>
      </c>
      <c r="L113" s="460"/>
      <c r="M113" s="166" t="e">
        <f>RANK(K113, K$67:$K$81)</f>
        <v>#DIV/0!</v>
      </c>
      <c r="N113" s="462"/>
      <c r="O113" s="462"/>
      <c r="P113" s="182"/>
      <c r="Q113" s="166"/>
      <c r="R113" s="166"/>
      <c r="S113" s="182" t="e">
        <f t="shared" si="82"/>
        <v>#N/A</v>
      </c>
      <c r="T113" s="491"/>
      <c r="U113" s="182"/>
      <c r="V113" s="166"/>
      <c r="W113" s="166"/>
      <c r="X113" s="182" t="e">
        <f t="shared" si="83"/>
        <v>#N/A</v>
      </c>
      <c r="Y113" s="491"/>
      <c r="Z113" s="182"/>
      <c r="AA113" s="166"/>
      <c r="AB113" s="166"/>
      <c r="AC113" s="182" t="e">
        <f t="shared" si="84"/>
        <v>#N/A</v>
      </c>
      <c r="AD113" s="491"/>
      <c r="AE113" s="182"/>
      <c r="AF113" s="166"/>
      <c r="AG113" s="166"/>
      <c r="AH113" s="182" t="e">
        <f t="shared" si="85"/>
        <v>#N/A</v>
      </c>
      <c r="AI113" s="491"/>
      <c r="AJ113" s="182"/>
      <c r="AK113" s="166"/>
      <c r="AL113" s="166"/>
      <c r="AM113" s="182" t="e">
        <f t="shared" si="86"/>
        <v>#N/A</v>
      </c>
      <c r="AN113" s="491"/>
      <c r="AO113" s="182"/>
      <c r="AP113" s="166"/>
      <c r="AQ113" s="166"/>
      <c r="AR113" s="182" t="e">
        <f t="shared" si="87"/>
        <v>#N/A</v>
      </c>
      <c r="AS113" s="491"/>
      <c r="AT113" s="182"/>
      <c r="AU113" s="166"/>
      <c r="AV113" s="180"/>
      <c r="AW113" s="182" t="e">
        <f t="shared" si="88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 t="e">
        <f t="shared" si="81"/>
        <v>#DIV/0!</v>
      </c>
      <c r="J114" s="166" t="e">
        <f t="shared" si="81"/>
        <v>#DIV/0!</v>
      </c>
      <c r="K114" s="180" t="e">
        <f t="shared" si="81"/>
        <v>#DIV/0!</v>
      </c>
      <c r="L114" s="460"/>
      <c r="M114" s="166" t="e">
        <f>RANK(K114, K$67:$K$81)</f>
        <v>#DIV/0!</v>
      </c>
      <c r="N114" s="462"/>
      <c r="O114" s="462"/>
      <c r="P114" s="182"/>
      <c r="Q114" s="166"/>
      <c r="R114" s="166"/>
      <c r="S114" s="182" t="e">
        <f t="shared" si="82"/>
        <v>#N/A</v>
      </c>
      <c r="T114" s="491"/>
      <c r="U114" s="182"/>
      <c r="V114" s="166"/>
      <c r="W114" s="166"/>
      <c r="X114" s="182" t="e">
        <f t="shared" si="83"/>
        <v>#N/A</v>
      </c>
      <c r="Y114" s="491"/>
      <c r="Z114" s="182"/>
      <c r="AA114" s="166"/>
      <c r="AB114" s="166"/>
      <c r="AC114" s="182" t="e">
        <f t="shared" si="84"/>
        <v>#N/A</v>
      </c>
      <c r="AD114" s="491"/>
      <c r="AE114" s="182"/>
      <c r="AF114" s="166"/>
      <c r="AG114" s="166"/>
      <c r="AH114" s="182" t="e">
        <f t="shared" si="85"/>
        <v>#N/A</v>
      </c>
      <c r="AI114" s="491"/>
      <c r="AJ114" s="182"/>
      <c r="AK114" s="166"/>
      <c r="AL114" s="166"/>
      <c r="AM114" s="182" t="e">
        <f t="shared" si="86"/>
        <v>#N/A</v>
      </c>
      <c r="AN114" s="491"/>
      <c r="AO114" s="182"/>
      <c r="AP114" s="166"/>
      <c r="AQ114" s="166"/>
      <c r="AR114" s="182" t="e">
        <f t="shared" si="87"/>
        <v>#N/A</v>
      </c>
      <c r="AS114" s="491"/>
      <c r="AT114" s="182"/>
      <c r="AU114" s="166"/>
      <c r="AV114" s="180"/>
      <c r="AW114" s="182" t="e">
        <f t="shared" si="88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/>
      <c r="J115" s="166"/>
      <c r="K115" s="180"/>
      <c r="L115" s="460"/>
      <c r="M115" s="166" t="e">
        <f>RANK(K115, K$67:$K$81)</f>
        <v>#N/A</v>
      </c>
      <c r="N115" s="462"/>
      <c r="O115" s="462"/>
      <c r="P115" s="182"/>
      <c r="Q115" s="166"/>
      <c r="R115" s="166"/>
      <c r="S115" s="182" t="e">
        <f t="shared" si="82"/>
        <v>#N/A</v>
      </c>
      <c r="T115" s="491"/>
      <c r="U115" s="182"/>
      <c r="V115" s="166"/>
      <c r="W115" s="166"/>
      <c r="X115" s="182" t="e">
        <f t="shared" si="83"/>
        <v>#N/A</v>
      </c>
      <c r="Y115" s="491"/>
      <c r="Z115" s="182"/>
      <c r="AA115" s="166"/>
      <c r="AB115" s="166"/>
      <c r="AC115" s="182" t="e">
        <f t="shared" si="84"/>
        <v>#N/A</v>
      </c>
      <c r="AD115" s="491"/>
      <c r="AE115" s="182"/>
      <c r="AF115" s="166"/>
      <c r="AG115" s="166"/>
      <c r="AH115" s="182" t="e">
        <f t="shared" si="85"/>
        <v>#N/A</v>
      </c>
      <c r="AI115" s="491"/>
      <c r="AJ115" s="182"/>
      <c r="AK115" s="166"/>
      <c r="AL115" s="166"/>
      <c r="AM115" s="182" t="e">
        <f t="shared" si="86"/>
        <v>#N/A</v>
      </c>
      <c r="AN115" s="491"/>
      <c r="AO115" s="182"/>
      <c r="AP115" s="166"/>
      <c r="AQ115" s="166"/>
      <c r="AR115" s="182" t="e">
        <f t="shared" si="87"/>
        <v>#N/A</v>
      </c>
      <c r="AS115" s="491"/>
      <c r="AT115" s="182"/>
      <c r="AU115" s="166"/>
      <c r="AV115" s="180"/>
      <c r="AW115" s="182" t="e">
        <f t="shared" si="88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/>
      <c r="J116" s="166"/>
      <c r="K116" s="180"/>
      <c r="L116" s="460"/>
      <c r="M116" s="166" t="e">
        <f>RANK(K116, K$67:$K$81)</f>
        <v>#N/A</v>
      </c>
      <c r="N116" s="462"/>
      <c r="O116" s="462"/>
      <c r="P116" s="182"/>
      <c r="Q116" s="166"/>
      <c r="R116" s="166"/>
      <c r="S116" s="182" t="e">
        <f t="shared" si="82"/>
        <v>#N/A</v>
      </c>
      <c r="T116" s="491"/>
      <c r="U116" s="182"/>
      <c r="V116" s="166"/>
      <c r="W116" s="166"/>
      <c r="X116" s="182" t="e">
        <f t="shared" si="83"/>
        <v>#N/A</v>
      </c>
      <c r="Y116" s="491"/>
      <c r="Z116" s="182"/>
      <c r="AA116" s="166"/>
      <c r="AB116" s="166"/>
      <c r="AC116" s="182" t="e">
        <f t="shared" si="84"/>
        <v>#N/A</v>
      </c>
      <c r="AD116" s="491"/>
      <c r="AE116" s="182"/>
      <c r="AF116" s="166"/>
      <c r="AG116" s="166"/>
      <c r="AH116" s="182" t="e">
        <f t="shared" si="85"/>
        <v>#N/A</v>
      </c>
      <c r="AI116" s="491"/>
      <c r="AJ116" s="182"/>
      <c r="AK116" s="166"/>
      <c r="AL116" s="166"/>
      <c r="AM116" s="182" t="e">
        <f t="shared" si="86"/>
        <v>#N/A</v>
      </c>
      <c r="AN116" s="491"/>
      <c r="AO116" s="182"/>
      <c r="AP116" s="166"/>
      <c r="AQ116" s="166"/>
      <c r="AR116" s="182" t="e">
        <f t="shared" si="87"/>
        <v>#N/A</v>
      </c>
      <c r="AS116" s="491"/>
      <c r="AT116" s="182"/>
      <c r="AU116" s="166"/>
      <c r="AV116" s="180"/>
      <c r="AW116" s="182" t="e">
        <f t="shared" si="88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82"/>
      <c r="J117" s="182"/>
      <c r="K117" s="182"/>
      <c r="L117" s="460"/>
      <c r="M117" s="166" t="e">
        <f>RANK(K117, K$67:$K$81)</f>
        <v>#N/A</v>
      </c>
      <c r="N117" s="462"/>
      <c r="O117" s="462"/>
      <c r="P117" s="182"/>
      <c r="Q117" s="166"/>
      <c r="R117" s="166"/>
      <c r="S117" s="182" t="e">
        <f t="shared" si="82"/>
        <v>#N/A</v>
      </c>
      <c r="T117" s="491"/>
      <c r="U117" s="182"/>
      <c r="V117" s="166"/>
      <c r="W117" s="166"/>
      <c r="X117" s="182" t="e">
        <f t="shared" si="83"/>
        <v>#N/A</v>
      </c>
      <c r="Y117" s="491"/>
      <c r="Z117" s="182"/>
      <c r="AA117" s="166"/>
      <c r="AB117" s="166"/>
      <c r="AC117" s="182" t="e">
        <f t="shared" si="84"/>
        <v>#N/A</v>
      </c>
      <c r="AD117" s="491"/>
      <c r="AE117" s="182"/>
      <c r="AF117" s="166"/>
      <c r="AG117" s="166"/>
      <c r="AH117" s="182" t="e">
        <f t="shared" si="85"/>
        <v>#N/A</v>
      </c>
      <c r="AI117" s="491"/>
      <c r="AJ117" s="182"/>
      <c r="AK117" s="166"/>
      <c r="AL117" s="166"/>
      <c r="AM117" s="182" t="e">
        <f t="shared" si="86"/>
        <v>#N/A</v>
      </c>
      <c r="AN117" s="491"/>
      <c r="AO117" s="182"/>
      <c r="AP117" s="166"/>
      <c r="AQ117" s="166"/>
      <c r="AR117" s="182" t="e">
        <f t="shared" si="87"/>
        <v>#N/A</v>
      </c>
      <c r="AS117" s="491"/>
      <c r="AT117" s="182"/>
      <c r="AU117" s="166"/>
      <c r="AV117" s="180"/>
      <c r="AW117" s="182" t="e">
        <f t="shared" si="88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82"/>
      <c r="J118" s="182"/>
      <c r="K118" s="182"/>
      <c r="L118" s="460"/>
      <c r="M118" s="166" t="e">
        <f>RANK(K118, K$67:$K$81)</f>
        <v>#N/A</v>
      </c>
      <c r="N118" s="462"/>
      <c r="O118" s="462"/>
      <c r="P118" s="182"/>
      <c r="Q118" s="166"/>
      <c r="R118" s="166"/>
      <c r="S118" s="182" t="e">
        <f t="shared" si="82"/>
        <v>#N/A</v>
      </c>
      <c r="T118" s="491"/>
      <c r="U118" s="182"/>
      <c r="V118" s="166"/>
      <c r="W118" s="166"/>
      <c r="X118" s="182" t="e">
        <f t="shared" si="83"/>
        <v>#N/A</v>
      </c>
      <c r="Y118" s="491"/>
      <c r="Z118" s="182"/>
      <c r="AA118" s="166"/>
      <c r="AB118" s="166"/>
      <c r="AC118" s="182" t="e">
        <f t="shared" si="84"/>
        <v>#N/A</v>
      </c>
      <c r="AD118" s="491"/>
      <c r="AE118" s="182"/>
      <c r="AF118" s="166"/>
      <c r="AG118" s="166"/>
      <c r="AH118" s="182" t="e">
        <f t="shared" si="85"/>
        <v>#N/A</v>
      </c>
      <c r="AI118" s="491"/>
      <c r="AJ118" s="182"/>
      <c r="AK118" s="166"/>
      <c r="AL118" s="166"/>
      <c r="AM118" s="182" t="e">
        <f t="shared" si="86"/>
        <v>#N/A</v>
      </c>
      <c r="AN118" s="491"/>
      <c r="AO118" s="182"/>
      <c r="AP118" s="166"/>
      <c r="AQ118" s="166"/>
      <c r="AR118" s="182" t="e">
        <f t="shared" si="87"/>
        <v>#N/A</v>
      </c>
      <c r="AS118" s="491"/>
      <c r="AT118" s="182"/>
      <c r="AU118" s="166"/>
      <c r="AV118" s="180"/>
      <c r="AW118" s="182" t="e">
        <f t="shared" si="88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66" t="e">
        <f>RANK(K119, K$67:$K$81)</f>
        <v>#N/A</v>
      </c>
      <c r="N119" s="462"/>
      <c r="O119" s="462"/>
      <c r="P119" s="182"/>
      <c r="Q119" s="166"/>
      <c r="R119" s="166"/>
      <c r="S119" s="182" t="e">
        <f t="shared" si="82"/>
        <v>#N/A</v>
      </c>
      <c r="T119" s="491"/>
      <c r="U119" s="182"/>
      <c r="V119" s="166"/>
      <c r="W119" s="166"/>
      <c r="X119" s="182" t="e">
        <f t="shared" si="83"/>
        <v>#N/A</v>
      </c>
      <c r="Y119" s="491"/>
      <c r="Z119" s="182"/>
      <c r="AA119" s="166"/>
      <c r="AB119" s="166"/>
      <c r="AC119" s="182" t="e">
        <f t="shared" si="84"/>
        <v>#N/A</v>
      </c>
      <c r="AD119" s="491"/>
      <c r="AE119" s="182"/>
      <c r="AF119" s="166"/>
      <c r="AG119" s="166"/>
      <c r="AH119" s="182" t="e">
        <f t="shared" si="85"/>
        <v>#N/A</v>
      </c>
      <c r="AI119" s="491"/>
      <c r="AJ119" s="182"/>
      <c r="AK119" s="166"/>
      <c r="AL119" s="166"/>
      <c r="AM119" s="182" t="e">
        <f t="shared" si="86"/>
        <v>#N/A</v>
      </c>
      <c r="AN119" s="491"/>
      <c r="AO119" s="182"/>
      <c r="AP119" s="166"/>
      <c r="AQ119" s="166"/>
      <c r="AR119" s="182" t="e">
        <f t="shared" si="87"/>
        <v>#N/A</v>
      </c>
      <c r="AS119" s="491"/>
      <c r="AT119" s="182"/>
      <c r="AU119" s="166"/>
      <c r="AV119" s="180"/>
      <c r="AW119" s="182" t="e">
        <f t="shared" si="88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66" t="e">
        <f>RANK(K120, K$67:$K$81)</f>
        <v>#N/A</v>
      </c>
      <c r="N120" s="462"/>
      <c r="O120" s="462"/>
      <c r="P120" s="182"/>
      <c r="Q120" s="166"/>
      <c r="R120" s="166"/>
      <c r="S120" s="182" t="e">
        <f t="shared" si="82"/>
        <v>#N/A</v>
      </c>
      <c r="T120" s="491"/>
      <c r="U120" s="182"/>
      <c r="V120" s="166"/>
      <c r="W120" s="166"/>
      <c r="X120" s="182" t="e">
        <f t="shared" si="83"/>
        <v>#N/A</v>
      </c>
      <c r="Y120" s="491"/>
      <c r="Z120" s="182"/>
      <c r="AA120" s="166"/>
      <c r="AB120" s="166"/>
      <c r="AC120" s="182" t="e">
        <f t="shared" si="84"/>
        <v>#N/A</v>
      </c>
      <c r="AD120" s="491"/>
      <c r="AE120" s="182"/>
      <c r="AF120" s="166"/>
      <c r="AG120" s="166"/>
      <c r="AH120" s="182" t="e">
        <f t="shared" si="85"/>
        <v>#N/A</v>
      </c>
      <c r="AI120" s="491"/>
      <c r="AJ120" s="182"/>
      <c r="AK120" s="166"/>
      <c r="AL120" s="166"/>
      <c r="AM120" s="182" t="e">
        <f t="shared" si="86"/>
        <v>#N/A</v>
      </c>
      <c r="AN120" s="491"/>
      <c r="AO120" s="182"/>
      <c r="AP120" s="166"/>
      <c r="AQ120" s="166"/>
      <c r="AR120" s="182" t="e">
        <f t="shared" si="87"/>
        <v>#N/A</v>
      </c>
      <c r="AS120" s="491"/>
      <c r="AT120" s="182"/>
      <c r="AU120" s="166"/>
      <c r="AV120" s="180"/>
      <c r="AW120" s="182" t="e">
        <f t="shared" si="88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66" t="e">
        <f>RANK(K121, K$47:$K$61)</f>
        <v>#N/A</v>
      </c>
      <c r="N121" s="462"/>
      <c r="O121" s="462"/>
      <c r="P121" s="182"/>
      <c r="Q121" s="166"/>
      <c r="R121" s="166"/>
      <c r="S121" s="182" t="e">
        <f t="shared" si="82"/>
        <v>#N/A</v>
      </c>
      <c r="T121" s="491"/>
      <c r="U121" s="182"/>
      <c r="V121" s="166"/>
      <c r="W121" s="166"/>
      <c r="X121" s="182" t="e">
        <f t="shared" si="83"/>
        <v>#N/A</v>
      </c>
      <c r="Y121" s="491"/>
      <c r="Z121" s="182"/>
      <c r="AA121" s="166"/>
      <c r="AB121" s="166"/>
      <c r="AC121" s="182" t="e">
        <f t="shared" si="84"/>
        <v>#N/A</v>
      </c>
      <c r="AD121" s="491"/>
      <c r="AE121" s="182"/>
      <c r="AF121" s="166"/>
      <c r="AG121" s="166"/>
      <c r="AH121" s="182" t="e">
        <f t="shared" si="85"/>
        <v>#N/A</v>
      </c>
      <c r="AI121" s="491"/>
      <c r="AJ121" s="182"/>
      <c r="AK121" s="166"/>
      <c r="AL121" s="166"/>
      <c r="AM121" s="182" t="e">
        <f t="shared" si="86"/>
        <v>#N/A</v>
      </c>
      <c r="AN121" s="491"/>
      <c r="AO121" s="182"/>
      <c r="AP121" s="166"/>
      <c r="AQ121" s="166"/>
      <c r="AR121" s="182" t="e">
        <f t="shared" si="87"/>
        <v>#N/A</v>
      </c>
      <c r="AS121" s="491"/>
      <c r="AT121" s="182"/>
      <c r="AU121" s="166"/>
      <c r="AV121" s="180"/>
      <c r="AW121" s="182" t="e">
        <f t="shared" si="88"/>
        <v>#N/A</v>
      </c>
      <c r="AX121" s="491"/>
    </row>
    <row r="123" spans="2:50" ht="15.75">
      <c r="B123" s="502" t="s">
        <v>249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75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190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3" si="89">AVERAGEIF($D$7:$D$121,$D128,I$7:I$121)</f>
        <v>#DIV/0!</v>
      </c>
      <c r="J128" s="166" t="e">
        <f t="shared" si="89"/>
        <v>#DIV/0!</v>
      </c>
      <c r="K128" s="166" t="e">
        <f t="shared" ref="K128:K133" si="90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89"/>
        <v>#DIV/0!</v>
      </c>
      <c r="J129" s="166" t="e">
        <f t="shared" si="89"/>
        <v>#DIV/0!</v>
      </c>
      <c r="K129" s="166" t="e">
        <f t="shared" si="90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89"/>
        <v>#DIV/0!</v>
      </c>
      <c r="J130" s="166" t="e">
        <f t="shared" si="89"/>
        <v>#DIV/0!</v>
      </c>
      <c r="K130" s="166" t="e">
        <f t="shared" si="90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89"/>
        <v>#DIV/0!</v>
      </c>
      <c r="J131" s="166" t="e">
        <f t="shared" si="89"/>
        <v>#DIV/0!</v>
      </c>
      <c r="K131" s="166" t="e">
        <f t="shared" si="90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89"/>
        <v>#DIV/0!</v>
      </c>
      <c r="J132" s="166" t="e">
        <f t="shared" si="89"/>
        <v>#DIV/0!</v>
      </c>
      <c r="K132" s="166" t="e">
        <f t="shared" si="90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89"/>
        <v>#DIV/0!</v>
      </c>
      <c r="J133" s="166" t="e">
        <f t="shared" si="89"/>
        <v>#DIV/0!</v>
      </c>
      <c r="K133" s="166" t="e">
        <f t="shared" si="90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/>
      <c r="J134" s="166"/>
      <c r="K134" s="166"/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25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0" t="s">
        <v>364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115"/>
    </row>
    <row r="4" spans="1:13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</row>
    <row r="5" spans="1:13" s="122" customFormat="1" ht="16.350000000000001" customHeight="1">
      <c r="A5" s="528" t="s">
        <v>209</v>
      </c>
      <c r="B5" s="151">
        <v>1</v>
      </c>
      <c r="C5" s="151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28"/>
      <c r="B6" s="152" t="s">
        <v>365</v>
      </c>
      <c r="C6" s="152" t="s">
        <v>366</v>
      </c>
      <c r="D6" s="144" t="s">
        <v>367</v>
      </c>
      <c r="E6" s="144" t="s">
        <v>368</v>
      </c>
      <c r="F6" s="132" t="s">
        <v>369</v>
      </c>
      <c r="G6" s="145" t="s">
        <v>370</v>
      </c>
      <c r="H6" s="146" t="s">
        <v>371</v>
      </c>
      <c r="I6" s="145" t="s">
        <v>372</v>
      </c>
      <c r="J6" s="145" t="s">
        <v>373</v>
      </c>
      <c r="K6" s="142"/>
      <c r="L6" s="142"/>
    </row>
    <row r="7" spans="1:13" s="122" customFormat="1" ht="15.75" customHeight="1">
      <c r="A7" s="531" t="s">
        <v>131</v>
      </c>
      <c r="B7" s="531"/>
      <c r="C7" s="389" t="s">
        <v>52</v>
      </c>
      <c r="D7" s="531" t="s">
        <v>53</v>
      </c>
      <c r="E7" s="533"/>
      <c r="F7" s="533"/>
      <c r="G7" s="389" t="s">
        <v>54</v>
      </c>
      <c r="H7" s="389" t="s">
        <v>374</v>
      </c>
      <c r="I7" s="389" t="s">
        <v>375</v>
      </c>
      <c r="J7" s="199" t="s">
        <v>376</v>
      </c>
      <c r="K7" s="531" t="s">
        <v>58</v>
      </c>
      <c r="L7" s="533"/>
      <c r="M7" s="141"/>
    </row>
    <row r="8" spans="1:13" ht="15.75" customHeight="1">
      <c r="A8" s="528">
        <v>1</v>
      </c>
      <c r="B8" s="531" t="s">
        <v>245</v>
      </c>
      <c r="C8" s="123">
        <v>1</v>
      </c>
      <c r="D8" s="396" t="s">
        <v>224</v>
      </c>
      <c r="E8" s="387"/>
      <c r="F8" s="388"/>
      <c r="G8" s="397">
        <v>3</v>
      </c>
      <c r="H8" s="397">
        <v>3281.7142857142831</v>
      </c>
      <c r="I8" s="397">
        <v>1093.904761904761</v>
      </c>
      <c r="J8" s="218" t="s">
        <v>377</v>
      </c>
      <c r="K8" s="450" t="s">
        <v>378</v>
      </c>
      <c r="L8" s="533"/>
    </row>
    <row r="9" spans="1:13" ht="15.75" customHeight="1">
      <c r="A9" s="528"/>
      <c r="B9" s="531"/>
      <c r="C9" s="123">
        <v>2</v>
      </c>
      <c r="D9" s="396" t="s">
        <v>226</v>
      </c>
      <c r="E9" s="387"/>
      <c r="F9" s="388"/>
      <c r="G9" s="397">
        <v>3</v>
      </c>
      <c r="H9" s="397">
        <v>3245.5099955076344</v>
      </c>
      <c r="I9" s="397">
        <v>1081.8366651692118</v>
      </c>
      <c r="J9" s="217" t="s">
        <v>379</v>
      </c>
      <c r="K9" s="450"/>
      <c r="L9" s="533"/>
    </row>
    <row r="10" spans="1:13" ht="15.75" customHeight="1">
      <c r="A10" s="528"/>
      <c r="B10" s="531"/>
      <c r="C10" s="123">
        <v>3</v>
      </c>
      <c r="D10" s="396" t="s">
        <v>223</v>
      </c>
      <c r="E10" s="387"/>
      <c r="F10" s="388"/>
      <c r="G10" s="397">
        <v>3</v>
      </c>
      <c r="H10" s="397">
        <v>3220.4835161025103</v>
      </c>
      <c r="I10" s="397">
        <v>1073.4945053675033</v>
      </c>
      <c r="J10" s="219" t="s">
        <v>380</v>
      </c>
      <c r="K10" s="534" t="s">
        <v>378</v>
      </c>
      <c r="L10" s="533"/>
    </row>
    <row r="11" spans="1:13" ht="15.75" customHeight="1">
      <c r="A11" s="528"/>
      <c r="B11" s="531"/>
      <c r="C11" s="123">
        <v>4</v>
      </c>
      <c r="D11" s="396" t="s">
        <v>231</v>
      </c>
      <c r="E11" s="387"/>
      <c r="F11" s="388"/>
      <c r="G11" s="397">
        <v>3</v>
      </c>
      <c r="H11" s="397">
        <v>3156.4879120879123</v>
      </c>
      <c r="I11" s="397">
        <v>1052.1626373626375</v>
      </c>
      <c r="J11" s="217" t="s">
        <v>379</v>
      </c>
      <c r="K11" s="535"/>
      <c r="L11" s="533"/>
    </row>
    <row r="12" spans="1:13" ht="15.75" customHeight="1">
      <c r="A12" s="528"/>
      <c r="B12" s="531"/>
      <c r="C12" s="123">
        <v>5</v>
      </c>
      <c r="D12" s="396" t="s">
        <v>238</v>
      </c>
      <c r="E12" s="387"/>
      <c r="F12" s="388"/>
      <c r="G12" s="397">
        <v>3</v>
      </c>
      <c r="H12" s="397">
        <v>2840.1836734693902</v>
      </c>
      <c r="I12" s="397">
        <v>946.72789115646344</v>
      </c>
      <c r="J12" s="217" t="s">
        <v>379</v>
      </c>
      <c r="K12" s="534"/>
      <c r="L12" s="533"/>
    </row>
    <row r="13" spans="1:13" ht="15.75" customHeight="1">
      <c r="A13" s="528"/>
      <c r="B13" s="531"/>
      <c r="C13" s="150" t="s">
        <v>381</v>
      </c>
      <c r="D13" s="396" t="s">
        <v>241</v>
      </c>
      <c r="E13" s="387"/>
      <c r="F13" s="388"/>
      <c r="G13" s="397">
        <v>9.7142857142857135</v>
      </c>
      <c r="H13" s="397">
        <v>1496.2857142857133</v>
      </c>
      <c r="I13" s="397">
        <v>154.77142857142849</v>
      </c>
      <c r="J13" s="217" t="s">
        <v>379</v>
      </c>
      <c r="K13" s="450"/>
      <c r="L13" s="533"/>
    </row>
    <row r="14" spans="1:13" ht="15.75" customHeight="1">
      <c r="A14" s="528"/>
      <c r="B14" s="531"/>
      <c r="C14" s="150" t="s">
        <v>382</v>
      </c>
      <c r="D14" s="396" t="s">
        <v>242</v>
      </c>
      <c r="E14" s="387"/>
      <c r="F14" s="388"/>
      <c r="G14" s="397">
        <v>4</v>
      </c>
      <c r="H14" s="397">
        <v>2150.3571428571458</v>
      </c>
      <c r="I14" s="397">
        <v>537.58928571428646</v>
      </c>
      <c r="J14" s="219" t="s">
        <v>380</v>
      </c>
      <c r="K14" s="536" t="s">
        <v>378</v>
      </c>
      <c r="L14" s="537"/>
    </row>
    <row r="15" spans="1:13" ht="15.75" customHeight="1">
      <c r="A15" s="528"/>
      <c r="B15" s="531"/>
      <c r="C15" s="150" t="s">
        <v>383</v>
      </c>
      <c r="D15" s="396" t="s">
        <v>237</v>
      </c>
      <c r="E15" s="387"/>
      <c r="F15" s="388"/>
      <c r="G15" s="397">
        <v>4</v>
      </c>
      <c r="H15" s="397">
        <v>2276.5714285714143</v>
      </c>
      <c r="I15" s="397">
        <v>569.14285714285359</v>
      </c>
      <c r="J15" s="218" t="s">
        <v>377</v>
      </c>
      <c r="K15" s="538"/>
      <c r="L15" s="539"/>
    </row>
    <row r="16" spans="1:13" ht="15.75" customHeight="1">
      <c r="A16" s="528"/>
      <c r="B16" s="531"/>
      <c r="C16" s="150" t="s">
        <v>384</v>
      </c>
      <c r="D16" s="396" t="s">
        <v>236</v>
      </c>
      <c r="E16" s="387"/>
      <c r="F16" s="388"/>
      <c r="G16" s="397">
        <v>4</v>
      </c>
      <c r="H16" s="397">
        <v>2623.4285714285629</v>
      </c>
      <c r="I16" s="397">
        <v>655.85714285714073</v>
      </c>
      <c r="J16" s="219" t="s">
        <v>380</v>
      </c>
      <c r="K16" s="534" t="s">
        <v>385</v>
      </c>
      <c r="L16" s="533"/>
      <c r="M16" s="115"/>
    </row>
    <row r="17" spans="1:13" ht="15.75" customHeight="1">
      <c r="A17" s="528"/>
      <c r="B17" s="531"/>
      <c r="C17" s="150" t="s">
        <v>386</v>
      </c>
      <c r="D17" s="396" t="s">
        <v>235</v>
      </c>
      <c r="E17" s="387"/>
      <c r="F17" s="388"/>
      <c r="G17" s="397">
        <v>4</v>
      </c>
      <c r="H17" s="397">
        <v>2803.0754590237348</v>
      </c>
      <c r="I17" s="397">
        <v>700.76886475593369</v>
      </c>
      <c r="J17" s="219" t="s">
        <v>380</v>
      </c>
      <c r="K17" s="534" t="s">
        <v>378</v>
      </c>
      <c r="L17" s="533"/>
      <c r="M17" s="115"/>
    </row>
    <row r="18" spans="1:13" s="120" customFormat="1" ht="15.75" customHeight="1">
      <c r="A18" s="526" t="s">
        <v>131</v>
      </c>
      <c r="B18" s="526"/>
      <c r="C18" s="258" t="s">
        <v>52</v>
      </c>
      <c r="D18" s="526" t="s">
        <v>53</v>
      </c>
      <c r="E18" s="527"/>
      <c r="F18" s="527"/>
      <c r="G18" s="258" t="s">
        <v>54</v>
      </c>
      <c r="H18" s="258" t="s">
        <v>374</v>
      </c>
      <c r="I18" s="258" t="s">
        <v>375</v>
      </c>
      <c r="J18" s="199" t="s">
        <v>376</v>
      </c>
      <c r="K18" s="526" t="s">
        <v>58</v>
      </c>
      <c r="L18" s="527"/>
      <c r="M18" s="142"/>
    </row>
    <row r="19" spans="1:13" ht="15.75" customHeight="1">
      <c r="A19" s="528">
        <v>2</v>
      </c>
      <c r="B19" s="531" t="s">
        <v>366</v>
      </c>
      <c r="C19" s="123">
        <v>1</v>
      </c>
      <c r="D19" s="386" t="s">
        <v>258</v>
      </c>
      <c r="E19" s="387"/>
      <c r="F19" s="388"/>
      <c r="G19" s="397">
        <v>5</v>
      </c>
      <c r="H19" s="397">
        <v>1534.0206948331179</v>
      </c>
      <c r="I19" s="397">
        <v>306.80413896662361</v>
      </c>
      <c r="J19" s="217" t="s">
        <v>379</v>
      </c>
      <c r="K19" s="532"/>
      <c r="L19" s="530"/>
      <c r="M19" s="115"/>
    </row>
    <row r="20" spans="1:13" ht="15.75" customHeight="1">
      <c r="A20" s="528"/>
      <c r="B20" s="531"/>
      <c r="C20" s="123">
        <v>2</v>
      </c>
      <c r="D20" s="386" t="s">
        <v>257</v>
      </c>
      <c r="E20" s="387"/>
      <c r="F20" s="388"/>
      <c r="G20" s="397">
        <v>6</v>
      </c>
      <c r="H20" s="397">
        <v>1516.8319327731099</v>
      </c>
      <c r="I20" s="397">
        <v>252.80532212885166</v>
      </c>
      <c r="J20" s="217" t="s">
        <v>379</v>
      </c>
      <c r="K20" s="529"/>
      <c r="L20" s="530"/>
      <c r="M20" s="115"/>
    </row>
    <row r="21" spans="1:13" ht="15.75" customHeight="1">
      <c r="A21" s="528"/>
      <c r="B21" s="531"/>
      <c r="C21" s="123">
        <v>3</v>
      </c>
      <c r="D21" s="386" t="s">
        <v>256</v>
      </c>
      <c r="E21" s="387"/>
      <c r="F21" s="388"/>
      <c r="G21" s="397">
        <v>12.285714285714286</v>
      </c>
      <c r="H21" s="397">
        <v>1793.0952380952392</v>
      </c>
      <c r="I21" s="397">
        <v>146.21286848072572</v>
      </c>
      <c r="J21" s="217" t="s">
        <v>379</v>
      </c>
      <c r="K21" s="529"/>
      <c r="L21" s="530"/>
      <c r="M21" s="115"/>
    </row>
    <row r="22" spans="1:13" ht="15.75" customHeight="1">
      <c r="A22" s="528"/>
      <c r="B22" s="531"/>
      <c r="C22" s="123">
        <v>4</v>
      </c>
      <c r="D22" s="386" t="s">
        <v>254</v>
      </c>
      <c r="E22" s="387"/>
      <c r="F22" s="388"/>
      <c r="G22" s="397">
        <v>10</v>
      </c>
      <c r="H22" s="397">
        <v>1440.3428571428578</v>
      </c>
      <c r="I22" s="397">
        <v>144.0342857142858</v>
      </c>
      <c r="J22" s="217" t="s">
        <v>379</v>
      </c>
      <c r="K22" s="529"/>
      <c r="L22" s="530"/>
      <c r="M22" s="115"/>
    </row>
    <row r="23" spans="1:13" ht="15.75" customHeight="1">
      <c r="A23" s="528"/>
      <c r="B23" s="531"/>
      <c r="C23" s="123">
        <v>5</v>
      </c>
      <c r="D23" s="386" t="s">
        <v>255</v>
      </c>
      <c r="E23" s="387"/>
      <c r="F23" s="388"/>
      <c r="G23" s="397">
        <v>12.285714285714286</v>
      </c>
      <c r="H23" s="397">
        <v>1756.3571428571449</v>
      </c>
      <c r="I23" s="397">
        <v>143.21003401360556</v>
      </c>
      <c r="J23" s="217" t="s">
        <v>379</v>
      </c>
      <c r="K23" s="529"/>
      <c r="L23" s="530"/>
      <c r="M23" s="115"/>
    </row>
    <row r="24" spans="1:13" ht="15.75" customHeight="1">
      <c r="A24" s="528"/>
      <c r="B24" s="531"/>
      <c r="C24" s="150" t="s">
        <v>381</v>
      </c>
      <c r="D24" s="386" t="s">
        <v>260</v>
      </c>
      <c r="E24" s="387"/>
      <c r="F24" s="388"/>
      <c r="G24" s="397">
        <v>15</v>
      </c>
      <c r="H24" s="397">
        <v>1011.9999999999981</v>
      </c>
      <c r="I24" s="397">
        <v>67.466666666666541</v>
      </c>
      <c r="J24" s="217" t="s">
        <v>379</v>
      </c>
      <c r="K24" s="532"/>
      <c r="L24" s="530"/>
      <c r="M24" s="115"/>
    </row>
    <row r="25" spans="1:13" ht="15.75" customHeight="1">
      <c r="A25" s="528"/>
      <c r="B25" s="531"/>
      <c r="C25" s="150" t="s">
        <v>382</v>
      </c>
      <c r="D25" s="386" t="s">
        <v>259</v>
      </c>
      <c r="E25" s="387"/>
      <c r="F25" s="388"/>
      <c r="G25" s="397">
        <v>12</v>
      </c>
      <c r="H25" s="397">
        <v>1017.4285714285718</v>
      </c>
      <c r="I25" s="397">
        <v>84.78571428571432</v>
      </c>
      <c r="J25" s="217" t="s">
        <v>379</v>
      </c>
      <c r="K25" s="529"/>
      <c r="L25" s="530"/>
      <c r="M25" s="115"/>
    </row>
    <row r="26" spans="1:13" ht="15.75" customHeight="1">
      <c r="A26" s="528"/>
      <c r="B26" s="531"/>
      <c r="C26" s="150" t="s">
        <v>383</v>
      </c>
      <c r="D26" s="386"/>
      <c r="E26" s="387"/>
      <c r="F26" s="388"/>
      <c r="G26" s="149"/>
      <c r="H26" s="149"/>
      <c r="I26" s="149"/>
      <c r="J26" s="149"/>
      <c r="K26" s="529"/>
      <c r="L26" s="530"/>
      <c r="M26" s="115"/>
    </row>
    <row r="27" spans="1:13" ht="15.75" customHeight="1">
      <c r="A27" s="528"/>
      <c r="B27" s="531"/>
      <c r="C27" s="150" t="s">
        <v>384</v>
      </c>
      <c r="D27" s="386"/>
      <c r="E27" s="387"/>
      <c r="F27" s="388"/>
      <c r="G27" s="149"/>
      <c r="H27" s="149"/>
      <c r="I27" s="149"/>
      <c r="J27" s="149"/>
      <c r="K27" s="529"/>
      <c r="L27" s="530"/>
      <c r="M27" s="115"/>
    </row>
    <row r="28" spans="1:13" ht="15.75" customHeight="1">
      <c r="A28" s="528"/>
      <c r="B28" s="531"/>
      <c r="C28" s="150" t="s">
        <v>386</v>
      </c>
      <c r="D28" s="386"/>
      <c r="E28" s="387"/>
      <c r="F28" s="388"/>
      <c r="G28" s="149"/>
      <c r="H28" s="149"/>
      <c r="I28" s="149"/>
      <c r="J28" s="149"/>
      <c r="K28" s="529"/>
      <c r="L28" s="530"/>
      <c r="M28" s="115"/>
    </row>
  </sheetData>
  <mergeCells count="32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2:L12"/>
    <mergeCell ref="K10:L10"/>
    <mergeCell ref="K11:L11"/>
    <mergeCell ref="K8:L8"/>
    <mergeCell ref="K9:L9"/>
    <mergeCell ref="K14:L15"/>
    <mergeCell ref="K16:L16"/>
    <mergeCell ref="K17:L17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1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19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0" t="s">
        <v>364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115"/>
    </row>
    <row r="4" spans="1:13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</row>
    <row r="5" spans="1:13" s="122" customFormat="1" ht="16.350000000000001" customHeight="1">
      <c r="A5" s="528" t="s">
        <v>209</v>
      </c>
      <c r="B5" s="143">
        <v>1</v>
      </c>
      <c r="C5" s="143">
        <v>2</v>
      </c>
      <c r="D5" s="151">
        <v>3</v>
      </c>
      <c r="E5" s="151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28"/>
      <c r="B6" s="144" t="s">
        <v>365</v>
      </c>
      <c r="C6" s="144" t="s">
        <v>366</v>
      </c>
      <c r="D6" s="152" t="s">
        <v>367</v>
      </c>
      <c r="E6" s="152" t="s">
        <v>368</v>
      </c>
      <c r="F6" s="132" t="s">
        <v>369</v>
      </c>
      <c r="G6" s="145" t="s">
        <v>370</v>
      </c>
      <c r="H6" s="146" t="s">
        <v>371</v>
      </c>
      <c r="I6" s="145" t="s">
        <v>372</v>
      </c>
      <c r="J6" s="145" t="s">
        <v>373</v>
      </c>
      <c r="K6" s="142"/>
      <c r="L6" s="142"/>
    </row>
    <row r="7" spans="1:13" s="122" customFormat="1" ht="15.75" customHeight="1">
      <c r="A7" s="531" t="s">
        <v>131</v>
      </c>
      <c r="B7" s="531"/>
      <c r="C7" s="389" t="s">
        <v>52</v>
      </c>
      <c r="D7" s="531" t="s">
        <v>53</v>
      </c>
      <c r="E7" s="533"/>
      <c r="F7" s="533"/>
      <c r="G7" s="389" t="s">
        <v>54</v>
      </c>
      <c r="H7" s="389" t="s">
        <v>374</v>
      </c>
      <c r="I7" s="389" t="s">
        <v>375</v>
      </c>
      <c r="J7" s="199" t="s">
        <v>376</v>
      </c>
      <c r="K7" s="531" t="s">
        <v>58</v>
      </c>
      <c r="L7" s="533"/>
      <c r="M7" s="141"/>
    </row>
    <row r="8" spans="1:13" ht="15.75" customHeight="1">
      <c r="A8" s="528">
        <v>3</v>
      </c>
      <c r="B8" s="531" t="s">
        <v>387</v>
      </c>
      <c r="C8" s="123">
        <v>1</v>
      </c>
      <c r="D8" s="386" t="s">
        <v>274</v>
      </c>
      <c r="E8" s="387"/>
      <c r="F8" s="388"/>
      <c r="G8" s="397">
        <v>4.8571428571428568</v>
      </c>
      <c r="H8" s="397">
        <v>2146.2370713056707</v>
      </c>
      <c r="I8" s="397">
        <v>444.48965028597883</v>
      </c>
      <c r="J8" s="218" t="s">
        <v>377</v>
      </c>
      <c r="K8" s="543" t="s">
        <v>388</v>
      </c>
      <c r="L8" s="544"/>
    </row>
    <row r="9" spans="1:13" ht="15.75" customHeight="1">
      <c r="A9" s="528"/>
      <c r="B9" s="531"/>
      <c r="C9" s="123">
        <v>2</v>
      </c>
      <c r="D9" s="386" t="s">
        <v>272</v>
      </c>
      <c r="E9" s="387"/>
      <c r="F9" s="388"/>
      <c r="G9" s="397">
        <v>4</v>
      </c>
      <c r="H9" s="397">
        <v>1772.8260073260135</v>
      </c>
      <c r="I9" s="397">
        <v>443.20650183150337</v>
      </c>
      <c r="J9" s="218" t="s">
        <v>377</v>
      </c>
      <c r="K9" s="545"/>
      <c r="L9" s="546"/>
    </row>
    <row r="10" spans="1:13" ht="15.75" customHeight="1">
      <c r="A10" s="528"/>
      <c r="B10" s="531"/>
      <c r="C10" s="123">
        <v>3</v>
      </c>
      <c r="D10" s="386" t="s">
        <v>263</v>
      </c>
      <c r="E10" s="387"/>
      <c r="F10" s="388"/>
      <c r="G10" s="397">
        <v>5</v>
      </c>
      <c r="H10" s="397">
        <v>2172.5965408852944</v>
      </c>
      <c r="I10" s="397">
        <v>434.51930817705886</v>
      </c>
      <c r="J10" s="219" t="s">
        <v>380</v>
      </c>
      <c r="K10" s="545"/>
      <c r="L10" s="546"/>
    </row>
    <row r="11" spans="1:13" ht="15.75" customHeight="1">
      <c r="A11" s="528"/>
      <c r="B11" s="531"/>
      <c r="C11" s="123">
        <v>4</v>
      </c>
      <c r="D11" s="386" t="s">
        <v>264</v>
      </c>
      <c r="E11" s="387"/>
      <c r="F11" s="388"/>
      <c r="G11" s="397">
        <v>5</v>
      </c>
      <c r="H11" s="397">
        <v>2158.6126173603152</v>
      </c>
      <c r="I11" s="397">
        <v>431.72252347206307</v>
      </c>
      <c r="J11" s="219" t="s">
        <v>380</v>
      </c>
      <c r="K11" s="547"/>
      <c r="L11" s="548"/>
    </row>
    <row r="12" spans="1:13" ht="15.75" customHeight="1">
      <c r="A12" s="528"/>
      <c r="B12" s="531"/>
      <c r="C12" s="123">
        <v>5</v>
      </c>
      <c r="D12" s="386" t="s">
        <v>271</v>
      </c>
      <c r="E12" s="387"/>
      <c r="F12" s="388"/>
      <c r="G12" s="397">
        <v>6.7142857142857144</v>
      </c>
      <c r="H12" s="397">
        <v>1787.1622495151885</v>
      </c>
      <c r="I12" s="397">
        <v>267.20144468043594</v>
      </c>
      <c r="J12" s="217" t="s">
        <v>379</v>
      </c>
      <c r="K12" s="551"/>
      <c r="L12" s="527"/>
    </row>
    <row r="13" spans="1:13" ht="15.75" customHeight="1">
      <c r="A13" s="528"/>
      <c r="B13" s="531"/>
      <c r="C13" s="150" t="s">
        <v>381</v>
      </c>
      <c r="D13" s="386" t="s">
        <v>270</v>
      </c>
      <c r="E13" s="387"/>
      <c r="F13" s="388"/>
      <c r="G13" s="397">
        <v>13</v>
      </c>
      <c r="H13" s="397">
        <v>1212.1428571428576</v>
      </c>
      <c r="I13" s="397">
        <v>93.241758241758276</v>
      </c>
      <c r="J13" s="217" t="s">
        <v>379</v>
      </c>
      <c r="K13" s="551"/>
      <c r="L13" s="527"/>
    </row>
    <row r="14" spans="1:13" ht="15.75" customHeight="1">
      <c r="A14" s="528"/>
      <c r="B14" s="531"/>
      <c r="C14" s="150" t="s">
        <v>382</v>
      </c>
      <c r="D14" s="386" t="s">
        <v>265</v>
      </c>
      <c r="E14" s="387"/>
      <c r="F14" s="388"/>
      <c r="G14" s="397">
        <v>14</v>
      </c>
      <c r="H14" s="397">
        <v>2063.9979032440497</v>
      </c>
      <c r="I14" s="397">
        <v>147.42842166028927</v>
      </c>
      <c r="J14" s="217" t="s">
        <v>379</v>
      </c>
      <c r="K14" s="542"/>
      <c r="L14" s="527"/>
    </row>
    <row r="15" spans="1:13" ht="15.75" customHeight="1">
      <c r="A15" s="528"/>
      <c r="B15" s="531"/>
      <c r="C15" s="150" t="s">
        <v>383</v>
      </c>
      <c r="D15" s="386" t="s">
        <v>266</v>
      </c>
      <c r="E15" s="387"/>
      <c r="F15" s="388"/>
      <c r="G15" s="397">
        <v>13</v>
      </c>
      <c r="H15" s="397">
        <v>2037.2175581397264</v>
      </c>
      <c r="I15" s="397">
        <v>156.70904293382509</v>
      </c>
      <c r="J15" s="217" t="s">
        <v>379</v>
      </c>
      <c r="K15" s="542"/>
      <c r="L15" s="527"/>
    </row>
    <row r="16" spans="1:13" ht="15.75" customHeight="1">
      <c r="A16" s="528"/>
      <c r="B16" s="531"/>
      <c r="C16" s="150" t="s">
        <v>384</v>
      </c>
      <c r="D16" s="386" t="s">
        <v>268</v>
      </c>
      <c r="E16" s="387"/>
      <c r="F16" s="388"/>
      <c r="G16" s="397">
        <v>13</v>
      </c>
      <c r="H16" s="397">
        <v>2152.2147318830139</v>
      </c>
      <c r="I16" s="397">
        <v>165.55497937561645</v>
      </c>
      <c r="J16" s="217" t="s">
        <v>379</v>
      </c>
      <c r="K16" s="542"/>
      <c r="L16" s="527"/>
      <c r="M16" s="115"/>
    </row>
    <row r="17" spans="1:13" ht="15.75" customHeight="1">
      <c r="A17" s="528"/>
      <c r="B17" s="531"/>
      <c r="C17" s="150" t="s">
        <v>386</v>
      </c>
      <c r="D17" s="386" t="s">
        <v>267</v>
      </c>
      <c r="E17" s="387"/>
      <c r="F17" s="388"/>
      <c r="G17" s="397">
        <v>12</v>
      </c>
      <c r="H17" s="397">
        <v>2205.2544038061069</v>
      </c>
      <c r="I17" s="397">
        <v>183.77120031717556</v>
      </c>
      <c r="J17" s="219" t="s">
        <v>380</v>
      </c>
      <c r="K17" s="550" t="s">
        <v>378</v>
      </c>
      <c r="L17" s="527"/>
      <c r="M17" s="115"/>
    </row>
    <row r="18" spans="1:13" s="120" customFormat="1" ht="15.75" customHeight="1">
      <c r="A18" s="526" t="s">
        <v>131</v>
      </c>
      <c r="B18" s="526"/>
      <c r="C18" s="258" t="s">
        <v>52</v>
      </c>
      <c r="D18" s="526" t="s">
        <v>53</v>
      </c>
      <c r="E18" s="527"/>
      <c r="F18" s="527"/>
      <c r="G18" s="258" t="s">
        <v>54</v>
      </c>
      <c r="H18" s="258" t="s">
        <v>374</v>
      </c>
      <c r="I18" s="258" t="s">
        <v>375</v>
      </c>
      <c r="J18" s="199" t="s">
        <v>376</v>
      </c>
      <c r="K18" s="526" t="s">
        <v>58</v>
      </c>
      <c r="L18" s="527"/>
      <c r="M18" s="142"/>
    </row>
    <row r="19" spans="1:13" ht="15.75" customHeight="1">
      <c r="A19" s="528">
        <v>4</v>
      </c>
      <c r="B19" s="531" t="s">
        <v>368</v>
      </c>
      <c r="C19" s="123">
        <v>1</v>
      </c>
      <c r="D19" s="398" t="s">
        <v>276</v>
      </c>
      <c r="E19" s="387"/>
      <c r="F19" s="388"/>
      <c r="G19" s="397">
        <v>13</v>
      </c>
      <c r="H19" s="397">
        <v>1497.07032967033</v>
      </c>
      <c r="I19" s="397">
        <v>115.15925612848693</v>
      </c>
      <c r="J19" s="217" t="s">
        <v>379</v>
      </c>
      <c r="K19" s="532"/>
      <c r="L19" s="530"/>
      <c r="M19" s="115"/>
    </row>
    <row r="20" spans="1:13" ht="15.75" customHeight="1">
      <c r="A20" s="528"/>
      <c r="B20" s="531"/>
      <c r="C20" s="123">
        <v>2</v>
      </c>
      <c r="D20" s="386"/>
      <c r="E20" s="387"/>
      <c r="F20" s="388"/>
      <c r="G20" s="221"/>
      <c r="H20" s="221"/>
      <c r="I20" s="221"/>
      <c r="J20" s="220"/>
      <c r="K20" s="529"/>
      <c r="L20" s="530"/>
      <c r="M20" s="115"/>
    </row>
    <row r="21" spans="1:13" ht="15.75" customHeight="1">
      <c r="A21" s="528"/>
      <c r="B21" s="531"/>
      <c r="C21" s="123">
        <v>3</v>
      </c>
      <c r="D21" s="386"/>
      <c r="E21" s="387"/>
      <c r="F21" s="388"/>
      <c r="G21" s="221"/>
      <c r="H21" s="221"/>
      <c r="I21" s="221"/>
      <c r="J21" s="149"/>
      <c r="K21" s="529"/>
      <c r="L21" s="530"/>
      <c r="M21" s="115"/>
    </row>
    <row r="22" spans="1:13" ht="15.75" customHeight="1">
      <c r="A22" s="528"/>
      <c r="B22" s="531"/>
      <c r="C22" s="123">
        <v>4</v>
      </c>
      <c r="D22" s="386"/>
      <c r="E22" s="387"/>
      <c r="F22" s="388"/>
      <c r="G22" s="149"/>
      <c r="H22" s="149"/>
      <c r="I22" s="149"/>
      <c r="J22" s="149"/>
      <c r="K22" s="529"/>
      <c r="L22" s="530"/>
      <c r="M22" s="115"/>
    </row>
    <row r="23" spans="1:13" ht="15.75" customHeight="1">
      <c r="A23" s="528"/>
      <c r="B23" s="531"/>
      <c r="C23" s="123">
        <v>5</v>
      </c>
      <c r="D23" s="386"/>
      <c r="E23" s="387"/>
      <c r="F23" s="388"/>
      <c r="G23" s="149"/>
      <c r="H23" s="149"/>
      <c r="I23" s="149"/>
      <c r="J23" s="149"/>
      <c r="K23" s="529"/>
      <c r="L23" s="530"/>
      <c r="M23" s="115"/>
    </row>
    <row r="24" spans="1:13" ht="15.75" customHeight="1">
      <c r="A24" s="528"/>
      <c r="B24" s="531"/>
      <c r="C24" s="150" t="s">
        <v>381</v>
      </c>
      <c r="D24" s="386"/>
      <c r="E24" s="387"/>
      <c r="F24" s="388"/>
      <c r="G24" s="221"/>
      <c r="H24" s="221"/>
      <c r="I24" s="221"/>
      <c r="J24" s="220"/>
      <c r="K24" s="549"/>
      <c r="L24" s="530"/>
      <c r="M24" s="115"/>
    </row>
    <row r="25" spans="1:13" ht="15.75" customHeight="1">
      <c r="A25" s="528"/>
      <c r="B25" s="531"/>
      <c r="C25" s="150" t="s">
        <v>382</v>
      </c>
      <c r="D25" s="386"/>
      <c r="E25" s="387"/>
      <c r="F25" s="388"/>
      <c r="G25" s="149"/>
      <c r="H25" s="149"/>
      <c r="I25" s="149"/>
      <c r="J25" s="149"/>
      <c r="K25" s="529"/>
      <c r="L25" s="530"/>
      <c r="M25" s="115"/>
    </row>
    <row r="26" spans="1:13" ht="15.75" customHeight="1">
      <c r="A26" s="528"/>
      <c r="B26" s="531"/>
      <c r="C26" s="150" t="s">
        <v>383</v>
      </c>
      <c r="D26" s="386"/>
      <c r="E26" s="387"/>
      <c r="F26" s="388"/>
      <c r="G26" s="149"/>
      <c r="H26" s="149"/>
      <c r="I26" s="149"/>
      <c r="J26" s="149"/>
      <c r="K26" s="529"/>
      <c r="L26" s="530"/>
      <c r="M26" s="115"/>
    </row>
    <row r="27" spans="1:13" ht="15.75" customHeight="1">
      <c r="A27" s="528"/>
      <c r="B27" s="531"/>
      <c r="C27" s="150" t="s">
        <v>384</v>
      </c>
      <c r="D27" s="386"/>
      <c r="E27" s="387"/>
      <c r="F27" s="388"/>
      <c r="G27" s="149"/>
      <c r="H27" s="149"/>
      <c r="I27" s="149"/>
      <c r="J27" s="149"/>
      <c r="K27" s="529"/>
      <c r="L27" s="530"/>
      <c r="M27" s="115"/>
    </row>
    <row r="28" spans="1:13" ht="15.75" customHeight="1">
      <c r="A28" s="528"/>
      <c r="B28" s="531"/>
      <c r="C28" s="150" t="s">
        <v>386</v>
      </c>
      <c r="D28" s="386"/>
      <c r="E28" s="387"/>
      <c r="F28" s="388"/>
      <c r="G28" s="149"/>
      <c r="H28" s="149"/>
      <c r="I28" s="149"/>
      <c r="J28" s="149"/>
      <c r="K28" s="529"/>
      <c r="L28" s="530"/>
      <c r="M28" s="115"/>
    </row>
  </sheetData>
  <mergeCells count="30"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  <mergeCell ref="K8:L11"/>
    <mergeCell ref="A1:L2"/>
    <mergeCell ref="K24:L24"/>
    <mergeCell ref="K17:L17"/>
    <mergeCell ref="K12:L12"/>
    <mergeCell ref="K16:L16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A18:B18"/>
    <mergeCell ref="D18:F18"/>
    <mergeCell ref="K18:L18"/>
    <mergeCell ref="K14:L14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28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8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8" ht="15.75" customHeight="1">
      <c r="A3" s="540" t="s">
        <v>364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115"/>
    </row>
    <row r="4" spans="1:18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</row>
    <row r="5" spans="1:18" s="122" customFormat="1" ht="16.350000000000001" customHeight="1">
      <c r="A5" s="528" t="s">
        <v>209</v>
      </c>
      <c r="B5" s="143">
        <v>1</v>
      </c>
      <c r="C5" s="143">
        <v>2</v>
      </c>
      <c r="D5" s="143">
        <v>3</v>
      </c>
      <c r="E5" s="143">
        <v>4</v>
      </c>
      <c r="F5" s="151">
        <v>5</v>
      </c>
      <c r="G5" s="151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28"/>
      <c r="B6" s="144" t="s">
        <v>365</v>
      </c>
      <c r="C6" s="144" t="s">
        <v>366</v>
      </c>
      <c r="D6" s="144" t="s">
        <v>367</v>
      </c>
      <c r="E6" s="144" t="s">
        <v>368</v>
      </c>
      <c r="F6" s="153" t="s">
        <v>369</v>
      </c>
      <c r="G6" s="154" t="s">
        <v>370</v>
      </c>
      <c r="H6" s="146" t="s">
        <v>371</v>
      </c>
      <c r="I6" s="145" t="s">
        <v>372</v>
      </c>
      <c r="J6" s="145" t="s">
        <v>373</v>
      </c>
      <c r="K6" s="142"/>
      <c r="L6" s="142"/>
    </row>
    <row r="7" spans="1:18" s="122" customFormat="1" ht="15.75" customHeight="1">
      <c r="A7" s="531" t="s">
        <v>131</v>
      </c>
      <c r="B7" s="531"/>
      <c r="C7" s="389" t="s">
        <v>52</v>
      </c>
      <c r="D7" s="531" t="s">
        <v>53</v>
      </c>
      <c r="E7" s="533"/>
      <c r="F7" s="533"/>
      <c r="G7" s="389" t="s">
        <v>54</v>
      </c>
      <c r="H7" s="389" t="s">
        <v>374</v>
      </c>
      <c r="I7" s="389" t="s">
        <v>375</v>
      </c>
      <c r="J7" s="199" t="s">
        <v>376</v>
      </c>
      <c r="K7" s="531" t="s">
        <v>58</v>
      </c>
      <c r="L7" s="533"/>
      <c r="M7" s="141"/>
    </row>
    <row r="8" spans="1:18" ht="15.75" customHeight="1">
      <c r="A8" s="528">
        <v>5</v>
      </c>
      <c r="B8" s="531" t="s">
        <v>369</v>
      </c>
      <c r="C8" s="123">
        <v>1</v>
      </c>
      <c r="D8" s="386" t="s">
        <v>277</v>
      </c>
      <c r="E8" s="387"/>
      <c r="F8" s="388"/>
      <c r="G8" s="397">
        <v>6</v>
      </c>
      <c r="H8" s="397">
        <v>1347.5947605500353</v>
      </c>
      <c r="I8" s="397">
        <v>224.59912675833922</v>
      </c>
      <c r="J8" s="217" t="s">
        <v>379</v>
      </c>
      <c r="K8" s="450"/>
      <c r="L8" s="533"/>
      <c r="P8" s="231"/>
      <c r="Q8" s="231"/>
      <c r="R8" s="231"/>
    </row>
    <row r="9" spans="1:18" ht="15.75" customHeight="1">
      <c r="A9" s="528"/>
      <c r="B9" s="531"/>
      <c r="C9" s="123">
        <v>2</v>
      </c>
      <c r="D9" s="386" t="s">
        <v>278</v>
      </c>
      <c r="E9" s="387"/>
      <c r="F9" s="388"/>
      <c r="G9" s="397">
        <v>7</v>
      </c>
      <c r="H9" s="397">
        <v>1484.4790829173212</v>
      </c>
      <c r="I9" s="397">
        <v>212.06844041676021</v>
      </c>
      <c r="J9" s="217" t="s">
        <v>379</v>
      </c>
      <c r="K9" s="535"/>
      <c r="L9" s="533"/>
      <c r="P9" s="231"/>
      <c r="Q9" s="231"/>
      <c r="R9" s="231"/>
    </row>
    <row r="10" spans="1:18" ht="15.75" customHeight="1">
      <c r="A10" s="528"/>
      <c r="B10" s="531"/>
      <c r="C10" s="123">
        <v>3</v>
      </c>
      <c r="D10" s="386" t="s">
        <v>282</v>
      </c>
      <c r="E10" s="387"/>
      <c r="F10" s="388"/>
      <c r="G10" s="397">
        <v>15.857142857142858</v>
      </c>
      <c r="H10" s="397">
        <v>1383.5668757098586</v>
      </c>
      <c r="I10" s="397">
        <v>87.285854901934187</v>
      </c>
      <c r="J10" s="217" t="s">
        <v>379</v>
      </c>
      <c r="K10" s="535"/>
      <c r="L10" s="533"/>
      <c r="P10" s="231"/>
      <c r="Q10" s="231"/>
      <c r="R10" s="231"/>
    </row>
    <row r="11" spans="1:18" ht="15.75" customHeight="1">
      <c r="A11" s="528"/>
      <c r="B11" s="531"/>
      <c r="C11" s="123">
        <v>4</v>
      </c>
      <c r="D11" s="386" t="s">
        <v>281</v>
      </c>
      <c r="E11" s="387"/>
      <c r="F11" s="388"/>
      <c r="G11" s="397">
        <v>16</v>
      </c>
      <c r="H11" s="397">
        <v>1330.7737971410734</v>
      </c>
      <c r="I11" s="397">
        <v>83.173362321317086</v>
      </c>
      <c r="J11" s="218" t="s">
        <v>377</v>
      </c>
      <c r="K11" s="534" t="s">
        <v>389</v>
      </c>
      <c r="L11" s="533"/>
      <c r="P11" s="231"/>
      <c r="Q11" s="231"/>
      <c r="R11" s="231"/>
    </row>
    <row r="12" spans="1:18" ht="15.75" customHeight="1">
      <c r="A12" s="528"/>
      <c r="B12" s="531"/>
      <c r="C12" s="123">
        <v>5</v>
      </c>
      <c r="D12" s="386" t="s">
        <v>290</v>
      </c>
      <c r="E12" s="387"/>
      <c r="F12" s="388"/>
      <c r="G12" s="397">
        <v>16.142857142857142</v>
      </c>
      <c r="H12" s="397">
        <v>1282.578458393788</v>
      </c>
      <c r="I12" s="397">
        <v>79.561599542254527</v>
      </c>
      <c r="J12" s="219" t="s">
        <v>380</v>
      </c>
      <c r="K12" s="535" t="s">
        <v>378</v>
      </c>
      <c r="L12" s="533"/>
      <c r="P12" s="231"/>
      <c r="Q12" s="231"/>
      <c r="R12" s="231"/>
    </row>
    <row r="13" spans="1:18" ht="15.75" customHeight="1">
      <c r="A13" s="528"/>
      <c r="B13" s="531"/>
      <c r="C13" s="150" t="s">
        <v>381</v>
      </c>
      <c r="D13" s="386" t="s">
        <v>300</v>
      </c>
      <c r="E13" s="387"/>
      <c r="F13" s="388"/>
      <c r="G13" s="397">
        <v>20</v>
      </c>
      <c r="H13" s="397">
        <v>1080.0261347096837</v>
      </c>
      <c r="I13" s="397">
        <v>54.001306735484185</v>
      </c>
      <c r="J13" s="217" t="s">
        <v>379</v>
      </c>
      <c r="K13" s="450"/>
      <c r="L13" s="533"/>
      <c r="P13" s="231"/>
      <c r="Q13" s="231"/>
      <c r="R13" s="231"/>
    </row>
    <row r="14" spans="1:18" ht="15.75" customHeight="1">
      <c r="A14" s="528"/>
      <c r="B14" s="531"/>
      <c r="C14" s="150" t="s">
        <v>382</v>
      </c>
      <c r="D14" s="386" t="s">
        <v>302</v>
      </c>
      <c r="E14" s="387"/>
      <c r="F14" s="388"/>
      <c r="G14" s="397">
        <v>19</v>
      </c>
      <c r="H14" s="397">
        <v>1112.4242015864759</v>
      </c>
      <c r="I14" s="397">
        <v>58.548642188761889</v>
      </c>
      <c r="J14" s="219" t="s">
        <v>380</v>
      </c>
      <c r="K14" s="552" t="s">
        <v>378</v>
      </c>
      <c r="L14" s="553"/>
      <c r="P14" s="231"/>
      <c r="Q14" s="231"/>
      <c r="R14" s="231"/>
    </row>
    <row r="15" spans="1:18" ht="15.75" customHeight="1">
      <c r="A15" s="528"/>
      <c r="B15" s="531"/>
      <c r="C15" s="150" t="s">
        <v>383</v>
      </c>
      <c r="D15" s="386" t="s">
        <v>306</v>
      </c>
      <c r="E15" s="387"/>
      <c r="F15" s="388"/>
      <c r="G15" s="397">
        <v>20</v>
      </c>
      <c r="H15" s="397">
        <v>1187.0459297729774</v>
      </c>
      <c r="I15" s="397">
        <v>59.352296488648854</v>
      </c>
      <c r="J15" s="218" t="s">
        <v>377</v>
      </c>
      <c r="K15" s="554"/>
      <c r="L15" s="555"/>
      <c r="P15" s="231"/>
      <c r="Q15" s="231"/>
      <c r="R15" s="231"/>
    </row>
    <row r="16" spans="1:18" ht="15.75" customHeight="1">
      <c r="A16" s="528"/>
      <c r="B16" s="531"/>
      <c r="C16" s="150" t="s">
        <v>384</v>
      </c>
      <c r="D16" s="386" t="s">
        <v>295</v>
      </c>
      <c r="E16" s="387"/>
      <c r="F16" s="388"/>
      <c r="G16" s="397">
        <v>17</v>
      </c>
      <c r="H16" s="397">
        <v>1086.7848484848482</v>
      </c>
      <c r="I16" s="397">
        <v>63.928520499108721</v>
      </c>
      <c r="J16" s="217" t="s">
        <v>379</v>
      </c>
      <c r="K16" s="535"/>
      <c r="L16" s="533"/>
      <c r="M16" s="115"/>
      <c r="P16" s="231"/>
      <c r="Q16" s="231"/>
      <c r="R16" s="231"/>
    </row>
    <row r="17" spans="1:18" ht="15.75" customHeight="1">
      <c r="A17" s="528"/>
      <c r="B17" s="531"/>
      <c r="C17" s="150" t="s">
        <v>386</v>
      </c>
      <c r="D17" s="398" t="s">
        <v>308</v>
      </c>
      <c r="E17" s="387"/>
      <c r="F17" s="388"/>
      <c r="G17" s="397">
        <v>19.857142857142858</v>
      </c>
      <c r="H17" s="397">
        <v>1277.1233345572166</v>
      </c>
      <c r="I17" s="397">
        <v>64.33126541207136</v>
      </c>
      <c r="J17" s="219" t="s">
        <v>380</v>
      </c>
      <c r="K17" s="534" t="s">
        <v>390</v>
      </c>
      <c r="L17" s="533"/>
      <c r="M17" s="115"/>
      <c r="P17" s="231"/>
      <c r="Q17" s="231"/>
      <c r="R17" s="231"/>
    </row>
    <row r="18" spans="1:18" s="120" customFormat="1" ht="15.75" customHeight="1">
      <c r="A18" s="526" t="s">
        <v>131</v>
      </c>
      <c r="B18" s="526"/>
      <c r="C18" s="258" t="s">
        <v>52</v>
      </c>
      <c r="D18" s="526" t="s">
        <v>53</v>
      </c>
      <c r="E18" s="527"/>
      <c r="F18" s="527"/>
      <c r="G18" s="258" t="s">
        <v>54</v>
      </c>
      <c r="H18" s="258" t="s">
        <v>374</v>
      </c>
      <c r="I18" s="258" t="s">
        <v>375</v>
      </c>
      <c r="J18" s="199" t="s">
        <v>376</v>
      </c>
      <c r="K18" s="526" t="s">
        <v>58</v>
      </c>
      <c r="L18" s="527"/>
      <c r="M18" s="142"/>
    </row>
    <row r="19" spans="1:18" ht="15.75" customHeight="1">
      <c r="A19" s="528">
        <v>6</v>
      </c>
      <c r="B19" s="531" t="s">
        <v>370</v>
      </c>
      <c r="C19" s="123">
        <v>1</v>
      </c>
      <c r="D19" s="386" t="s">
        <v>319</v>
      </c>
      <c r="E19" s="387"/>
      <c r="F19" s="388"/>
      <c r="G19" s="397">
        <v>16</v>
      </c>
      <c r="H19" s="397">
        <v>1240.8434298620632</v>
      </c>
      <c r="I19" s="397">
        <v>77.55271436637895</v>
      </c>
      <c r="J19" s="218" t="s">
        <v>377</v>
      </c>
      <c r="K19" s="543" t="s">
        <v>378</v>
      </c>
      <c r="L19" s="544"/>
      <c r="M19" s="115"/>
      <c r="P19" s="231"/>
      <c r="Q19" s="231"/>
      <c r="R19" s="231"/>
    </row>
    <row r="20" spans="1:18" ht="15.75" customHeight="1">
      <c r="A20" s="528"/>
      <c r="B20" s="531"/>
      <c r="C20" s="123">
        <v>2</v>
      </c>
      <c r="D20" s="386" t="s">
        <v>318</v>
      </c>
      <c r="E20" s="387"/>
      <c r="F20" s="388"/>
      <c r="G20" s="397">
        <v>15.857142857142858</v>
      </c>
      <c r="H20" s="397">
        <v>1272.870568711196</v>
      </c>
      <c r="I20" s="397">
        <v>76.30955326152295</v>
      </c>
      <c r="J20" s="219" t="s">
        <v>380</v>
      </c>
      <c r="K20" s="547"/>
      <c r="L20" s="548"/>
      <c r="M20" s="115"/>
      <c r="P20" s="231"/>
      <c r="Q20" s="231"/>
      <c r="R20" s="231"/>
    </row>
    <row r="21" spans="1:18" ht="15.75" customHeight="1">
      <c r="A21" s="528"/>
      <c r="B21" s="531"/>
      <c r="C21" s="123">
        <v>3</v>
      </c>
      <c r="D21" s="386" t="s">
        <v>312</v>
      </c>
      <c r="E21" s="387"/>
      <c r="F21" s="388"/>
      <c r="G21" s="397">
        <v>17</v>
      </c>
      <c r="H21" s="397">
        <v>1283.5762140861166</v>
      </c>
      <c r="I21" s="397">
        <v>75.504483181536258</v>
      </c>
      <c r="J21" s="217" t="s">
        <v>379</v>
      </c>
      <c r="K21" s="535"/>
      <c r="L21" s="533"/>
      <c r="M21" s="115"/>
      <c r="P21" s="231"/>
      <c r="Q21" s="231"/>
      <c r="R21" s="231"/>
    </row>
    <row r="22" spans="1:18" ht="15.75" customHeight="1">
      <c r="A22" s="528"/>
      <c r="B22" s="531"/>
      <c r="C22" s="123">
        <v>4</v>
      </c>
      <c r="D22" s="386" t="s">
        <v>309</v>
      </c>
      <c r="E22" s="387"/>
      <c r="F22" s="388"/>
      <c r="G22" s="397">
        <v>18</v>
      </c>
      <c r="H22" s="397">
        <v>1282.2548874231263</v>
      </c>
      <c r="I22" s="397">
        <v>71.236382634618124</v>
      </c>
      <c r="J22" s="218" t="s">
        <v>377</v>
      </c>
      <c r="K22" s="535" t="s">
        <v>378</v>
      </c>
      <c r="L22" s="533"/>
      <c r="M22" s="115"/>
      <c r="P22" s="231"/>
      <c r="Q22" s="231"/>
      <c r="R22" s="231"/>
    </row>
    <row r="23" spans="1:18" ht="15.75" customHeight="1">
      <c r="A23" s="528"/>
      <c r="B23" s="531"/>
      <c r="C23" s="123">
        <v>5</v>
      </c>
      <c r="D23" s="386" t="s">
        <v>316</v>
      </c>
      <c r="E23" s="387"/>
      <c r="F23" s="388"/>
      <c r="G23" s="397">
        <v>18</v>
      </c>
      <c r="H23" s="397">
        <v>1229.4948947034229</v>
      </c>
      <c r="I23" s="397">
        <v>68.305271927967951</v>
      </c>
      <c r="J23" s="217" t="s">
        <v>379</v>
      </c>
      <c r="K23" s="534"/>
      <c r="L23" s="533"/>
      <c r="M23" s="115"/>
      <c r="P23" s="231"/>
      <c r="Q23" s="231"/>
      <c r="R23" s="231"/>
    </row>
    <row r="24" spans="1:18" ht="15.75" customHeight="1">
      <c r="A24" s="528"/>
      <c r="B24" s="531"/>
      <c r="C24" s="150" t="s">
        <v>381</v>
      </c>
      <c r="D24" s="386" t="s">
        <v>313</v>
      </c>
      <c r="E24" s="387"/>
      <c r="F24" s="388"/>
      <c r="G24" s="397">
        <v>18</v>
      </c>
      <c r="H24" s="397">
        <v>1105.5801419566724</v>
      </c>
      <c r="I24" s="397">
        <v>58.631202124703726</v>
      </c>
      <c r="J24" s="219" t="s">
        <v>380</v>
      </c>
      <c r="K24" s="536" t="s">
        <v>391</v>
      </c>
      <c r="L24" s="553"/>
      <c r="M24" s="115"/>
      <c r="P24" s="231"/>
      <c r="Q24" s="231"/>
      <c r="R24" s="231"/>
    </row>
    <row r="25" spans="1:18" ht="15.75" customHeight="1">
      <c r="A25" s="528"/>
      <c r="B25" s="531"/>
      <c r="C25" s="150" t="s">
        <v>382</v>
      </c>
      <c r="D25" s="386" t="s">
        <v>317</v>
      </c>
      <c r="E25" s="387"/>
      <c r="F25" s="388"/>
      <c r="G25" s="397">
        <v>19.571428571428573</v>
      </c>
      <c r="H25" s="397">
        <v>1190.2834168816603</v>
      </c>
      <c r="I25" s="397">
        <v>60.814442713092497</v>
      </c>
      <c r="J25" s="218" t="s">
        <v>377</v>
      </c>
      <c r="K25" s="556"/>
      <c r="L25" s="557"/>
      <c r="M25" s="115"/>
      <c r="P25" s="231"/>
      <c r="Q25" s="231"/>
      <c r="R25" s="231"/>
    </row>
    <row r="26" spans="1:18" ht="15.75" customHeight="1">
      <c r="A26" s="528"/>
      <c r="B26" s="531"/>
      <c r="C26" s="150" t="s">
        <v>383</v>
      </c>
      <c r="D26" s="386" t="s">
        <v>314</v>
      </c>
      <c r="E26" s="387"/>
      <c r="F26" s="388"/>
      <c r="G26" s="397">
        <v>19.857142857142858</v>
      </c>
      <c r="H26" s="397">
        <v>1223.0002975748971</v>
      </c>
      <c r="I26" s="397">
        <v>61.604150217090719</v>
      </c>
      <c r="J26" s="217" t="s">
        <v>379</v>
      </c>
      <c r="K26" s="556"/>
      <c r="L26" s="557"/>
      <c r="M26" s="115"/>
      <c r="P26" s="231"/>
      <c r="Q26" s="231"/>
      <c r="R26" s="231"/>
    </row>
    <row r="27" spans="1:18" ht="15.75" customHeight="1">
      <c r="A27" s="528"/>
      <c r="B27" s="531"/>
      <c r="C27" s="150" t="s">
        <v>384</v>
      </c>
      <c r="D27" s="386" t="s">
        <v>310</v>
      </c>
      <c r="E27" s="387"/>
      <c r="F27" s="388"/>
      <c r="G27" s="397">
        <v>18</v>
      </c>
      <c r="H27" s="397">
        <v>1118.0038980609038</v>
      </c>
      <c r="I27" s="397">
        <v>62.111327670050223</v>
      </c>
      <c r="J27" s="219" t="s">
        <v>380</v>
      </c>
      <c r="K27" s="554"/>
      <c r="L27" s="555"/>
      <c r="M27" s="115"/>
      <c r="P27" s="231"/>
      <c r="Q27" s="231"/>
      <c r="R27" s="231"/>
    </row>
    <row r="28" spans="1:18" ht="15.75" customHeight="1">
      <c r="A28" s="528"/>
      <c r="B28" s="531"/>
      <c r="C28" s="150" t="s">
        <v>386</v>
      </c>
      <c r="D28" s="386" t="s">
        <v>320</v>
      </c>
      <c r="E28" s="387"/>
      <c r="F28" s="388"/>
      <c r="G28" s="397">
        <v>19</v>
      </c>
      <c r="H28" s="397">
        <v>1213.0245789821522</v>
      </c>
      <c r="I28" s="397">
        <v>63.843398893797477</v>
      </c>
      <c r="J28" s="219" t="s">
        <v>380</v>
      </c>
      <c r="K28" s="535" t="s">
        <v>392</v>
      </c>
      <c r="L28" s="533"/>
      <c r="M28" s="115"/>
      <c r="P28" s="231"/>
      <c r="Q28" s="231"/>
      <c r="R28" s="231"/>
    </row>
  </sheetData>
  <mergeCells count="28">
    <mergeCell ref="K14:L15"/>
    <mergeCell ref="K19:L20"/>
    <mergeCell ref="K24:L27"/>
    <mergeCell ref="A19:A28"/>
    <mergeCell ref="B19:B28"/>
    <mergeCell ref="A8:A17"/>
    <mergeCell ref="B8:B17"/>
    <mergeCell ref="A18:B18"/>
    <mergeCell ref="D18:F18"/>
    <mergeCell ref="K13:L13"/>
    <mergeCell ref="K10:L10"/>
    <mergeCell ref="K8:L8"/>
    <mergeCell ref="K9:L9"/>
    <mergeCell ref="K11:L11"/>
    <mergeCell ref="K12:L12"/>
    <mergeCell ref="K16:L16"/>
    <mergeCell ref="A1:L2"/>
    <mergeCell ref="A3:L4"/>
    <mergeCell ref="A5:A6"/>
    <mergeCell ref="A7:B7"/>
    <mergeCell ref="D7:F7"/>
    <mergeCell ref="K7:L7"/>
    <mergeCell ref="K28:L28"/>
    <mergeCell ref="K17:L17"/>
    <mergeCell ref="K22:L22"/>
    <mergeCell ref="K23:L23"/>
    <mergeCell ref="K18:L18"/>
    <mergeCell ref="K21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0" t="s">
        <v>364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115"/>
    </row>
    <row r="4" spans="1:13" s="116" customFormat="1" ht="15.75" customHeight="1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</row>
    <row r="5" spans="1:13" s="122" customFormat="1" ht="16.350000000000001" customHeight="1">
      <c r="A5" s="563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1">
        <v>7</v>
      </c>
      <c r="I5" s="151">
        <v>8</v>
      </c>
      <c r="J5" s="143">
        <v>9</v>
      </c>
      <c r="K5" s="141"/>
      <c r="L5" s="141"/>
      <c r="M5" s="141"/>
    </row>
    <row r="6" spans="1:13" ht="16.350000000000001" customHeight="1">
      <c r="A6" s="564"/>
      <c r="B6" s="144" t="s">
        <v>365</v>
      </c>
      <c r="C6" s="144" t="s">
        <v>366</v>
      </c>
      <c r="D6" s="144" t="s">
        <v>367</v>
      </c>
      <c r="E6" s="144" t="s">
        <v>368</v>
      </c>
      <c r="F6" s="132" t="s">
        <v>369</v>
      </c>
      <c r="G6" s="145" t="s">
        <v>370</v>
      </c>
      <c r="H6" s="152" t="s">
        <v>371</v>
      </c>
      <c r="I6" s="154" t="s">
        <v>372</v>
      </c>
      <c r="J6" s="145" t="s">
        <v>373</v>
      </c>
      <c r="K6" s="142"/>
      <c r="L6" s="142"/>
    </row>
    <row r="7" spans="1:13" s="122" customFormat="1" ht="15.75" customHeight="1">
      <c r="A7" s="565" t="s">
        <v>131</v>
      </c>
      <c r="B7" s="566"/>
      <c r="C7" s="389" t="s">
        <v>52</v>
      </c>
      <c r="D7" s="565" t="s">
        <v>53</v>
      </c>
      <c r="E7" s="567"/>
      <c r="F7" s="566"/>
      <c r="G7" s="389" t="s">
        <v>54</v>
      </c>
      <c r="H7" s="389" t="s">
        <v>374</v>
      </c>
      <c r="I7" s="389" t="s">
        <v>375</v>
      </c>
      <c r="J7" s="199" t="s">
        <v>376</v>
      </c>
      <c r="K7" s="565" t="s">
        <v>58</v>
      </c>
      <c r="L7" s="566"/>
      <c r="M7" s="141"/>
    </row>
    <row r="8" spans="1:13" ht="15.75" customHeight="1">
      <c r="A8" s="563">
        <v>7</v>
      </c>
      <c r="B8" s="569" t="s">
        <v>332</v>
      </c>
      <c r="C8" s="123">
        <v>1</v>
      </c>
      <c r="D8" s="386" t="s">
        <v>334</v>
      </c>
      <c r="E8" s="387"/>
      <c r="F8" s="388"/>
      <c r="G8" s="397">
        <v>13</v>
      </c>
      <c r="H8" s="397">
        <v>1132.3564059870109</v>
      </c>
      <c r="I8" s="397">
        <v>87.104338922077758</v>
      </c>
      <c r="J8" s="217" t="s">
        <v>379</v>
      </c>
      <c r="K8" s="560"/>
      <c r="L8" s="561"/>
    </row>
    <row r="9" spans="1:13" ht="15.75" customHeight="1">
      <c r="A9" s="568"/>
      <c r="B9" s="570"/>
      <c r="C9" s="123">
        <v>2</v>
      </c>
      <c r="D9" s="398" t="s">
        <v>393</v>
      </c>
      <c r="E9" s="387"/>
      <c r="F9" s="388"/>
      <c r="G9" s="397">
        <v>17</v>
      </c>
      <c r="H9" s="397">
        <v>1340.131092438816</v>
      </c>
      <c r="I9" s="397">
        <v>78.831240731695047</v>
      </c>
      <c r="J9" s="218" t="s">
        <v>377</v>
      </c>
      <c r="K9" s="562" t="s">
        <v>394</v>
      </c>
      <c r="L9" s="559"/>
    </row>
    <row r="10" spans="1:13" ht="15.75" customHeight="1">
      <c r="A10" s="568"/>
      <c r="B10" s="570"/>
      <c r="C10" s="123">
        <v>3</v>
      </c>
      <c r="D10" s="386" t="s">
        <v>336</v>
      </c>
      <c r="E10" s="387"/>
      <c r="F10" s="388"/>
      <c r="G10" s="397">
        <v>16.857142857142858</v>
      </c>
      <c r="H10" s="397">
        <v>1316.6312648667067</v>
      </c>
      <c r="I10" s="397">
        <v>78.140001961153729</v>
      </c>
      <c r="J10" s="219" t="s">
        <v>380</v>
      </c>
      <c r="K10" s="562" t="s">
        <v>378</v>
      </c>
      <c r="L10" s="559"/>
    </row>
    <row r="11" spans="1:13" ht="15.75" customHeight="1">
      <c r="A11" s="568"/>
      <c r="B11" s="570"/>
      <c r="C11" s="123">
        <v>4</v>
      </c>
      <c r="D11" s="386" t="s">
        <v>339</v>
      </c>
      <c r="E11" s="387"/>
      <c r="F11" s="388"/>
      <c r="G11" s="397">
        <v>17</v>
      </c>
      <c r="H11" s="397">
        <v>1335.7977075592494</v>
      </c>
      <c r="I11" s="397">
        <v>78.576335738779377</v>
      </c>
      <c r="J11" s="217" t="s">
        <v>379</v>
      </c>
      <c r="K11" s="558"/>
      <c r="L11" s="559"/>
    </row>
    <row r="12" spans="1:13" ht="15.75" customHeight="1">
      <c r="A12" s="568"/>
      <c r="B12" s="570"/>
      <c r="C12" s="123">
        <v>5</v>
      </c>
      <c r="D12" s="386" t="s">
        <v>343</v>
      </c>
      <c r="E12" s="387"/>
      <c r="F12" s="388"/>
      <c r="G12" s="397">
        <v>18</v>
      </c>
      <c r="H12" s="397">
        <v>1384.6258111458299</v>
      </c>
      <c r="I12" s="397">
        <v>76.923656174768325</v>
      </c>
      <c r="J12" s="217" t="s">
        <v>379</v>
      </c>
      <c r="K12" s="558"/>
      <c r="L12" s="559"/>
    </row>
    <row r="13" spans="1:13" ht="15.75" customHeight="1">
      <c r="A13" s="568"/>
      <c r="B13" s="570"/>
      <c r="C13" s="150" t="s">
        <v>381</v>
      </c>
      <c r="D13" s="398" t="s">
        <v>395</v>
      </c>
      <c r="E13" s="387"/>
      <c r="F13" s="388"/>
      <c r="G13" s="397">
        <v>18</v>
      </c>
      <c r="H13" s="397">
        <v>1073.2036509091627</v>
      </c>
      <c r="I13" s="397">
        <v>59.62242505050903</v>
      </c>
      <c r="J13" s="217" t="s">
        <v>379</v>
      </c>
      <c r="K13" s="558" t="s">
        <v>396</v>
      </c>
      <c r="L13" s="559"/>
    </row>
    <row r="14" spans="1:13" ht="15.75" customHeight="1">
      <c r="A14" s="568"/>
      <c r="B14" s="570"/>
      <c r="C14" s="150" t="s">
        <v>382</v>
      </c>
      <c r="D14" s="386"/>
      <c r="E14" s="387"/>
      <c r="F14" s="388"/>
      <c r="G14" s="397"/>
      <c r="H14" s="397"/>
      <c r="I14" s="397"/>
      <c r="J14" s="217" t="s">
        <v>379</v>
      </c>
      <c r="K14" s="558"/>
      <c r="L14" s="559"/>
    </row>
    <row r="15" spans="1:13" ht="15.75" customHeight="1">
      <c r="A15" s="568"/>
      <c r="B15" s="570"/>
      <c r="C15" s="150" t="s">
        <v>383</v>
      </c>
      <c r="D15" s="386"/>
      <c r="E15" s="387"/>
      <c r="F15" s="388"/>
      <c r="G15" s="397"/>
      <c r="H15" s="397"/>
      <c r="I15" s="397"/>
      <c r="J15" s="217" t="s">
        <v>379</v>
      </c>
      <c r="K15" s="558"/>
      <c r="L15" s="559"/>
    </row>
    <row r="16" spans="1:13" ht="15.75" customHeight="1">
      <c r="A16" s="568"/>
      <c r="B16" s="570"/>
      <c r="C16" s="150" t="s">
        <v>384</v>
      </c>
      <c r="D16" s="386"/>
      <c r="E16" s="387"/>
      <c r="F16" s="388"/>
      <c r="G16" s="397"/>
      <c r="H16" s="397"/>
      <c r="I16" s="397"/>
      <c r="J16" s="217" t="s">
        <v>379</v>
      </c>
      <c r="K16" s="558"/>
      <c r="L16" s="559"/>
      <c r="M16" s="115"/>
    </row>
    <row r="17" spans="1:13" ht="15.75" customHeight="1">
      <c r="A17" s="564"/>
      <c r="B17" s="571"/>
      <c r="C17" s="150" t="s">
        <v>386</v>
      </c>
      <c r="D17" s="386"/>
      <c r="E17" s="387"/>
      <c r="F17" s="388"/>
      <c r="G17" s="149"/>
      <c r="H17" s="149"/>
      <c r="I17" s="149"/>
      <c r="J17" s="149"/>
      <c r="K17" s="558"/>
      <c r="L17" s="559"/>
      <c r="M17" s="115"/>
    </row>
    <row r="18" spans="1:13" s="120" customFormat="1" ht="15.75" customHeight="1">
      <c r="A18" s="572" t="s">
        <v>131</v>
      </c>
      <c r="B18" s="573"/>
      <c r="C18" s="258" t="s">
        <v>52</v>
      </c>
      <c r="D18" s="572" t="s">
        <v>53</v>
      </c>
      <c r="E18" s="574"/>
      <c r="F18" s="573"/>
      <c r="G18" s="258" t="s">
        <v>54</v>
      </c>
      <c r="H18" s="258" t="s">
        <v>374</v>
      </c>
      <c r="I18" s="258" t="s">
        <v>375</v>
      </c>
      <c r="J18" s="199" t="s">
        <v>376</v>
      </c>
      <c r="K18" s="572" t="s">
        <v>58</v>
      </c>
      <c r="L18" s="573"/>
      <c r="M18" s="142"/>
    </row>
    <row r="19" spans="1:13" ht="15.75" customHeight="1">
      <c r="A19" s="563">
        <v>8</v>
      </c>
      <c r="B19" s="569" t="s">
        <v>345</v>
      </c>
      <c r="C19" s="123">
        <v>1</v>
      </c>
      <c r="D19" s="386" t="s">
        <v>348</v>
      </c>
      <c r="E19" s="387"/>
      <c r="F19" s="388"/>
      <c r="G19" s="397">
        <v>19</v>
      </c>
      <c r="H19" s="397">
        <v>2606.0613239427685</v>
      </c>
      <c r="I19" s="397">
        <v>137.16112231277731</v>
      </c>
      <c r="J19" s="218" t="s">
        <v>377</v>
      </c>
      <c r="K19" s="581" t="s">
        <v>397</v>
      </c>
      <c r="L19" s="544"/>
      <c r="M19" s="115"/>
    </row>
    <row r="20" spans="1:13" ht="15.75" customHeight="1">
      <c r="A20" s="568"/>
      <c r="B20" s="570"/>
      <c r="C20" s="123">
        <v>2</v>
      </c>
      <c r="D20" s="386" t="s">
        <v>349</v>
      </c>
      <c r="E20" s="387"/>
      <c r="F20" s="388"/>
      <c r="G20" s="397">
        <v>19</v>
      </c>
      <c r="H20" s="397">
        <v>2604.2866226146239</v>
      </c>
      <c r="I20" s="397">
        <v>137.06771697971706</v>
      </c>
      <c r="J20" s="219" t="s">
        <v>380</v>
      </c>
      <c r="K20" s="545"/>
      <c r="L20" s="546"/>
      <c r="M20" s="115"/>
    </row>
    <row r="21" spans="1:13" ht="15.75" customHeight="1">
      <c r="A21" s="568"/>
      <c r="B21" s="570"/>
      <c r="C21" s="123">
        <v>3</v>
      </c>
      <c r="D21" s="386" t="s">
        <v>347</v>
      </c>
      <c r="E21" s="387"/>
      <c r="F21" s="388"/>
      <c r="G21" s="397">
        <v>19</v>
      </c>
      <c r="H21" s="397">
        <v>2546.7412512258888</v>
      </c>
      <c r="I21" s="397">
        <v>134.03901322241521</v>
      </c>
      <c r="J21" s="219" t="s">
        <v>380</v>
      </c>
      <c r="K21" s="547"/>
      <c r="L21" s="548"/>
      <c r="M21" s="115"/>
    </row>
    <row r="22" spans="1:13" ht="15.75" customHeight="1">
      <c r="A22" s="568"/>
      <c r="B22" s="570"/>
      <c r="C22" s="123">
        <v>4</v>
      </c>
      <c r="D22" s="386" t="s">
        <v>346</v>
      </c>
      <c r="E22" s="387"/>
      <c r="F22" s="388"/>
      <c r="G22" s="397">
        <v>19.142857142857142</v>
      </c>
      <c r="H22" s="397">
        <v>2104.9564527210778</v>
      </c>
      <c r="I22" s="397">
        <v>109.98829205613649</v>
      </c>
      <c r="J22" s="217" t="s">
        <v>379</v>
      </c>
      <c r="K22" s="579"/>
      <c r="L22" s="580"/>
      <c r="M22" s="115"/>
    </row>
    <row r="23" spans="1:13" ht="15.75" customHeight="1">
      <c r="A23" s="568"/>
      <c r="B23" s="570"/>
      <c r="C23" s="123">
        <v>5</v>
      </c>
      <c r="D23" s="386" t="s">
        <v>350</v>
      </c>
      <c r="E23" s="387"/>
      <c r="F23" s="388"/>
      <c r="G23" s="397">
        <v>19</v>
      </c>
      <c r="H23" s="397">
        <v>1991.8940598874813</v>
      </c>
      <c r="I23" s="397">
        <v>104.83652946776216</v>
      </c>
      <c r="J23" s="217" t="s">
        <v>379</v>
      </c>
      <c r="K23" s="579"/>
      <c r="L23" s="580"/>
      <c r="M23" s="115"/>
    </row>
    <row r="24" spans="1:13" ht="15.75" customHeight="1">
      <c r="A24" s="568"/>
      <c r="B24" s="570"/>
      <c r="C24" s="150" t="s">
        <v>381</v>
      </c>
      <c r="D24" s="386"/>
      <c r="E24" s="387"/>
      <c r="F24" s="388"/>
      <c r="G24" s="149"/>
      <c r="H24" s="149"/>
      <c r="I24" s="149"/>
      <c r="J24" s="149"/>
      <c r="K24" s="577"/>
      <c r="L24" s="578"/>
      <c r="M24" s="115"/>
    </row>
    <row r="25" spans="1:13" ht="15.75" customHeight="1">
      <c r="A25" s="568"/>
      <c r="B25" s="570"/>
      <c r="C25" s="150" t="s">
        <v>382</v>
      </c>
      <c r="D25" s="386"/>
      <c r="E25" s="387"/>
      <c r="F25" s="388"/>
      <c r="G25" s="149"/>
      <c r="H25" s="149"/>
      <c r="I25" s="149"/>
      <c r="J25" s="149"/>
      <c r="K25" s="575"/>
      <c r="L25" s="576"/>
      <c r="M25" s="115"/>
    </row>
    <row r="26" spans="1:13" ht="15.75" customHeight="1">
      <c r="A26" s="568"/>
      <c r="B26" s="570"/>
      <c r="C26" s="150" t="s">
        <v>383</v>
      </c>
      <c r="D26" s="386"/>
      <c r="E26" s="387"/>
      <c r="F26" s="388"/>
      <c r="G26" s="149"/>
      <c r="H26" s="149"/>
      <c r="I26" s="149"/>
      <c r="J26" s="149"/>
      <c r="K26" s="575"/>
      <c r="L26" s="576"/>
      <c r="M26" s="115"/>
    </row>
    <row r="27" spans="1:13" ht="15.75" customHeight="1">
      <c r="A27" s="568"/>
      <c r="B27" s="570"/>
      <c r="C27" s="150" t="s">
        <v>384</v>
      </c>
      <c r="D27" s="386"/>
      <c r="E27" s="387"/>
      <c r="F27" s="388"/>
      <c r="G27" s="149"/>
      <c r="H27" s="149"/>
      <c r="I27" s="149"/>
      <c r="J27" s="149"/>
      <c r="K27" s="575"/>
      <c r="L27" s="576"/>
      <c r="M27" s="115"/>
    </row>
    <row r="28" spans="1:13" ht="15.75" customHeight="1">
      <c r="A28" s="564"/>
      <c r="B28" s="571"/>
      <c r="C28" s="150" t="s">
        <v>386</v>
      </c>
      <c r="D28" s="386"/>
      <c r="E28" s="387"/>
      <c r="F28" s="388"/>
      <c r="G28" s="149"/>
      <c r="H28" s="149"/>
      <c r="I28" s="149"/>
      <c r="J28" s="149"/>
      <c r="K28" s="575"/>
      <c r="L28" s="576"/>
      <c r="M28" s="115"/>
    </row>
  </sheetData>
  <mergeCells count="31">
    <mergeCell ref="K14:L14"/>
    <mergeCell ref="K15:L15"/>
    <mergeCell ref="K19:L21"/>
    <mergeCell ref="K27:L27"/>
    <mergeCell ref="K26:L26"/>
    <mergeCell ref="A18:B18"/>
    <mergeCell ref="D18:F18"/>
    <mergeCell ref="K18:L18"/>
    <mergeCell ref="A19:A28"/>
    <mergeCell ref="B19:B28"/>
    <mergeCell ref="K28:L28"/>
    <mergeCell ref="K24:L24"/>
    <mergeCell ref="K25:L25"/>
    <mergeCell ref="K22:L22"/>
    <mergeCell ref="K23:L23"/>
    <mergeCell ref="K12:L12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0:L10"/>
    <mergeCell ref="K16:L16"/>
    <mergeCell ref="K11:L11"/>
    <mergeCell ref="K13:L1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17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0" t="s">
        <v>364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115"/>
    </row>
    <row r="4" spans="1:13" s="116" customFormat="1" ht="15.75" customHeight="1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</row>
    <row r="5" spans="1:13" s="122" customFormat="1" ht="16.350000000000001" customHeight="1">
      <c r="A5" s="563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1">
        <v>9</v>
      </c>
      <c r="K5" s="141"/>
      <c r="L5" s="141"/>
      <c r="M5" s="141"/>
    </row>
    <row r="6" spans="1:13" ht="16.350000000000001" customHeight="1">
      <c r="A6" s="564"/>
      <c r="B6" s="144" t="s">
        <v>365</v>
      </c>
      <c r="C6" s="144" t="s">
        <v>366</v>
      </c>
      <c r="D6" s="144" t="s">
        <v>367</v>
      </c>
      <c r="E6" s="144" t="s">
        <v>368</v>
      </c>
      <c r="F6" s="132" t="s">
        <v>369</v>
      </c>
      <c r="G6" s="145" t="s">
        <v>370</v>
      </c>
      <c r="H6" s="146" t="s">
        <v>371</v>
      </c>
      <c r="I6" s="145" t="s">
        <v>372</v>
      </c>
      <c r="J6" s="154" t="s">
        <v>373</v>
      </c>
      <c r="K6" s="142"/>
      <c r="L6" s="142"/>
    </row>
    <row r="7" spans="1:13" s="122" customFormat="1" ht="15.75" customHeight="1">
      <c r="A7" s="565" t="s">
        <v>131</v>
      </c>
      <c r="B7" s="566"/>
      <c r="C7" s="389" t="s">
        <v>52</v>
      </c>
      <c r="D7" s="565" t="s">
        <v>53</v>
      </c>
      <c r="E7" s="567"/>
      <c r="F7" s="566"/>
      <c r="G7" s="389" t="s">
        <v>54</v>
      </c>
      <c r="H7" s="389" t="s">
        <v>374</v>
      </c>
      <c r="I7" s="389" t="s">
        <v>375</v>
      </c>
      <c r="J7" s="199" t="s">
        <v>376</v>
      </c>
      <c r="K7" s="565" t="s">
        <v>58</v>
      </c>
      <c r="L7" s="566"/>
      <c r="M7" s="141"/>
    </row>
    <row r="8" spans="1:13" ht="15.75" customHeight="1">
      <c r="A8" s="563">
        <v>9</v>
      </c>
      <c r="B8" s="569" t="s">
        <v>373</v>
      </c>
      <c r="C8" s="123">
        <v>1</v>
      </c>
      <c r="D8" s="386" t="s">
        <v>356</v>
      </c>
      <c r="E8" s="387"/>
      <c r="F8" s="388"/>
      <c r="G8" s="397">
        <v>7</v>
      </c>
      <c r="H8" s="397">
        <v>1413.6705039927313</v>
      </c>
      <c r="I8" s="397">
        <v>201.95292914181874</v>
      </c>
      <c r="J8" s="218" t="s">
        <v>377</v>
      </c>
      <c r="K8" s="543" t="s">
        <v>398</v>
      </c>
      <c r="L8" s="544"/>
    </row>
    <row r="9" spans="1:13" ht="15.75" customHeight="1">
      <c r="A9" s="568"/>
      <c r="B9" s="570"/>
      <c r="C9" s="123">
        <v>2</v>
      </c>
      <c r="D9" s="386" t="s">
        <v>353</v>
      </c>
      <c r="E9" s="387"/>
      <c r="F9" s="388"/>
      <c r="G9" s="397">
        <v>7</v>
      </c>
      <c r="H9" s="397">
        <v>1405.6893292910693</v>
      </c>
      <c r="I9" s="397">
        <v>200.81276132729562</v>
      </c>
      <c r="J9" s="219" t="s">
        <v>380</v>
      </c>
      <c r="K9" s="547"/>
      <c r="L9" s="548"/>
    </row>
    <row r="10" spans="1:13" ht="15.75" customHeight="1">
      <c r="A10" s="568"/>
      <c r="B10" s="570"/>
      <c r="C10" s="123">
        <v>3</v>
      </c>
      <c r="D10" s="386" t="s">
        <v>352</v>
      </c>
      <c r="E10" s="387"/>
      <c r="F10" s="388"/>
      <c r="G10" s="397">
        <v>7</v>
      </c>
      <c r="H10" s="397">
        <v>1276.1944312330068</v>
      </c>
      <c r="I10" s="397">
        <v>182.3134901761438</v>
      </c>
      <c r="J10" s="217" t="s">
        <v>379</v>
      </c>
      <c r="K10" s="558"/>
      <c r="L10" s="559"/>
    </row>
    <row r="11" spans="1:13" ht="15.75" customHeight="1">
      <c r="A11" s="568"/>
      <c r="B11" s="570"/>
      <c r="C11" s="123">
        <v>4</v>
      </c>
      <c r="D11" s="398" t="s">
        <v>399</v>
      </c>
      <c r="E11" s="387"/>
      <c r="F11" s="388"/>
      <c r="G11" s="397">
        <v>16.142857142857142</v>
      </c>
      <c r="H11" s="397">
        <v>1095.5642179452425</v>
      </c>
      <c r="I11" s="397">
        <v>67.917585668043301</v>
      </c>
      <c r="J11" s="218" t="s">
        <v>377</v>
      </c>
      <c r="K11" s="562" t="s">
        <v>400</v>
      </c>
      <c r="L11" s="559"/>
    </row>
    <row r="12" spans="1:13" ht="15.75" customHeight="1">
      <c r="A12" s="568"/>
      <c r="B12" s="570"/>
      <c r="C12" s="123">
        <v>5</v>
      </c>
      <c r="D12" s="386"/>
      <c r="E12" s="387"/>
      <c r="F12" s="388"/>
      <c r="G12" s="149"/>
      <c r="H12" s="149"/>
      <c r="I12" s="149"/>
      <c r="J12" s="149"/>
      <c r="K12" s="558"/>
      <c r="L12" s="559"/>
    </row>
    <row r="13" spans="1:13" ht="15.75" customHeight="1">
      <c r="A13" s="568"/>
      <c r="B13" s="570"/>
      <c r="C13" s="150" t="s">
        <v>381</v>
      </c>
      <c r="D13" s="386" t="s">
        <v>361</v>
      </c>
      <c r="E13" s="387"/>
      <c r="F13" s="388"/>
      <c r="G13" s="397">
        <v>20</v>
      </c>
      <c r="H13" s="397">
        <v>936.38321995464878</v>
      </c>
      <c r="I13" s="397">
        <v>46.819160997732446</v>
      </c>
      <c r="J13" s="217" t="s">
        <v>379</v>
      </c>
      <c r="K13" s="560"/>
      <c r="L13" s="561"/>
    </row>
    <row r="14" spans="1:13" ht="15.75" customHeight="1">
      <c r="A14" s="568"/>
      <c r="B14" s="570"/>
      <c r="C14" s="150" t="s">
        <v>382</v>
      </c>
      <c r="D14" s="386" t="s">
        <v>360</v>
      </c>
      <c r="E14" s="387"/>
      <c r="F14" s="388"/>
      <c r="G14" s="397">
        <v>19.142857142857142</v>
      </c>
      <c r="H14" s="397">
        <v>1051.7489076970501</v>
      </c>
      <c r="I14" s="397">
        <v>54.949784219908047</v>
      </c>
      <c r="J14" s="219" t="s">
        <v>380</v>
      </c>
      <c r="K14" s="558" t="s">
        <v>378</v>
      </c>
      <c r="L14" s="559"/>
    </row>
    <row r="15" spans="1:13" ht="15.75" customHeight="1">
      <c r="A15" s="568"/>
      <c r="B15" s="570"/>
      <c r="C15" s="150" t="s">
        <v>383</v>
      </c>
      <c r="D15" s="386" t="s">
        <v>357</v>
      </c>
      <c r="E15" s="387"/>
      <c r="F15" s="388"/>
      <c r="G15" s="397">
        <v>18.857142857142858</v>
      </c>
      <c r="H15" s="397">
        <v>1213.4944805539094</v>
      </c>
      <c r="I15" s="397">
        <v>64.366250856220802</v>
      </c>
      <c r="J15" s="217" t="s">
        <v>379</v>
      </c>
      <c r="K15" s="558"/>
      <c r="L15" s="559"/>
    </row>
    <row r="16" spans="1:13" ht="15.75" customHeight="1">
      <c r="A16" s="568"/>
      <c r="B16" s="570"/>
      <c r="C16" s="150" t="s">
        <v>384</v>
      </c>
      <c r="D16" s="386"/>
      <c r="E16" s="387"/>
      <c r="F16" s="388"/>
      <c r="G16" s="397"/>
      <c r="H16" s="397"/>
      <c r="I16" s="397"/>
      <c r="J16" s="218"/>
      <c r="K16" s="558"/>
      <c r="L16" s="559"/>
      <c r="M16" s="115"/>
    </row>
    <row r="17" spans="1:13" ht="15.75" customHeight="1">
      <c r="A17" s="564"/>
      <c r="B17" s="571"/>
      <c r="C17" s="150" t="s">
        <v>386</v>
      </c>
      <c r="D17" s="386"/>
      <c r="E17" s="387"/>
      <c r="F17" s="388"/>
      <c r="G17" s="149"/>
      <c r="H17" s="149"/>
      <c r="I17" s="149"/>
      <c r="J17" s="149"/>
      <c r="K17" s="558"/>
      <c r="L17" s="559"/>
      <c r="M17" s="115"/>
    </row>
    <row r="18" spans="1:13" s="120" customFormat="1" ht="15.75" customHeight="1">
      <c r="A18" s="572" t="s">
        <v>131</v>
      </c>
      <c r="B18" s="573"/>
      <c r="C18" s="258" t="s">
        <v>52</v>
      </c>
      <c r="D18" s="572" t="s">
        <v>53</v>
      </c>
      <c r="E18" s="574"/>
      <c r="F18" s="573"/>
      <c r="G18" s="258" t="s">
        <v>54</v>
      </c>
      <c r="H18" s="258" t="s">
        <v>374</v>
      </c>
      <c r="I18" s="258" t="s">
        <v>375</v>
      </c>
      <c r="J18" s="199" t="s">
        <v>376</v>
      </c>
      <c r="K18" s="572" t="s">
        <v>58</v>
      </c>
      <c r="L18" s="573"/>
      <c r="M18" s="142"/>
    </row>
    <row r="19" spans="1:13" ht="15.75" customHeight="1">
      <c r="A19" s="563"/>
      <c r="B19" s="569"/>
      <c r="C19" s="123">
        <v>1</v>
      </c>
      <c r="D19" s="577"/>
      <c r="E19" s="583"/>
      <c r="F19" s="578"/>
      <c r="G19" s="149"/>
      <c r="H19" s="149"/>
      <c r="I19" s="149"/>
      <c r="J19" s="149"/>
      <c r="K19" s="577"/>
      <c r="L19" s="578"/>
      <c r="M19" s="115"/>
    </row>
    <row r="20" spans="1:13" ht="15.75" customHeight="1">
      <c r="A20" s="568"/>
      <c r="B20" s="570"/>
      <c r="C20" s="123">
        <v>2</v>
      </c>
      <c r="D20" s="575"/>
      <c r="E20" s="582"/>
      <c r="F20" s="576"/>
      <c r="G20" s="149"/>
      <c r="H20" s="149"/>
      <c r="I20" s="149"/>
      <c r="J20" s="149"/>
      <c r="K20" s="575"/>
      <c r="L20" s="576"/>
      <c r="M20" s="115"/>
    </row>
    <row r="21" spans="1:13" ht="15.75" customHeight="1">
      <c r="A21" s="568"/>
      <c r="B21" s="570"/>
      <c r="C21" s="123">
        <v>3</v>
      </c>
      <c r="D21" s="575"/>
      <c r="E21" s="582"/>
      <c r="F21" s="576"/>
      <c r="G21" s="149"/>
      <c r="H21" s="149"/>
      <c r="I21" s="149"/>
      <c r="J21" s="149"/>
      <c r="K21" s="575"/>
      <c r="L21" s="576"/>
      <c r="M21" s="115"/>
    </row>
    <row r="22" spans="1:13" ht="15.75" customHeight="1">
      <c r="A22" s="568"/>
      <c r="B22" s="570"/>
      <c r="C22" s="123">
        <v>4</v>
      </c>
      <c r="D22" s="575"/>
      <c r="E22" s="582"/>
      <c r="F22" s="576"/>
      <c r="G22" s="149"/>
      <c r="H22" s="149"/>
      <c r="I22" s="149"/>
      <c r="J22" s="149"/>
      <c r="K22" s="575"/>
      <c r="L22" s="576"/>
      <c r="M22" s="115"/>
    </row>
    <row r="23" spans="1:13" ht="15.75" customHeight="1">
      <c r="A23" s="568"/>
      <c r="B23" s="570"/>
      <c r="C23" s="123">
        <v>5</v>
      </c>
      <c r="D23" s="575"/>
      <c r="E23" s="582"/>
      <c r="F23" s="576"/>
      <c r="G23" s="149"/>
      <c r="H23" s="149"/>
      <c r="I23" s="149"/>
      <c r="J23" s="149"/>
      <c r="K23" s="575"/>
      <c r="L23" s="576"/>
      <c r="M23" s="115"/>
    </row>
    <row r="24" spans="1:13" ht="15.75" customHeight="1">
      <c r="A24" s="568"/>
      <c r="B24" s="570"/>
      <c r="C24" s="150" t="s">
        <v>381</v>
      </c>
      <c r="D24" s="577"/>
      <c r="E24" s="583"/>
      <c r="F24" s="578"/>
      <c r="G24" s="149"/>
      <c r="H24" s="149"/>
      <c r="I24" s="149"/>
      <c r="J24" s="149"/>
      <c r="K24" s="577"/>
      <c r="L24" s="578"/>
      <c r="M24" s="115"/>
    </row>
    <row r="25" spans="1:13" ht="15.75" customHeight="1">
      <c r="A25" s="568"/>
      <c r="B25" s="570"/>
      <c r="C25" s="150" t="s">
        <v>382</v>
      </c>
      <c r="D25" s="575"/>
      <c r="E25" s="582"/>
      <c r="F25" s="576"/>
      <c r="G25" s="149"/>
      <c r="H25" s="149"/>
      <c r="I25" s="149"/>
      <c r="J25" s="149"/>
      <c r="K25" s="575"/>
      <c r="L25" s="576"/>
      <c r="M25" s="115"/>
    </row>
    <row r="26" spans="1:13" ht="15.75" customHeight="1">
      <c r="A26" s="568"/>
      <c r="B26" s="570"/>
      <c r="C26" s="150" t="s">
        <v>383</v>
      </c>
      <c r="D26" s="575"/>
      <c r="E26" s="582"/>
      <c r="F26" s="576"/>
      <c r="G26" s="149"/>
      <c r="H26" s="149"/>
      <c r="I26" s="149"/>
      <c r="J26" s="149"/>
      <c r="K26" s="575"/>
      <c r="L26" s="576"/>
      <c r="M26" s="115"/>
    </row>
    <row r="27" spans="1:13" ht="15.75" customHeight="1">
      <c r="A27" s="568"/>
      <c r="B27" s="570"/>
      <c r="C27" s="150" t="s">
        <v>384</v>
      </c>
      <c r="D27" s="575"/>
      <c r="E27" s="582"/>
      <c r="F27" s="576"/>
      <c r="G27" s="149"/>
      <c r="H27" s="149"/>
      <c r="I27" s="149"/>
      <c r="J27" s="149"/>
      <c r="K27" s="575"/>
      <c r="L27" s="576"/>
      <c r="M27" s="115"/>
    </row>
    <row r="28" spans="1:13" ht="15.75" customHeight="1">
      <c r="A28" s="564"/>
      <c r="B28" s="571"/>
      <c r="C28" s="150" t="s">
        <v>386</v>
      </c>
      <c r="D28" s="575"/>
      <c r="E28" s="582"/>
      <c r="F28" s="576"/>
      <c r="G28" s="149"/>
      <c r="H28" s="149"/>
      <c r="I28" s="149"/>
      <c r="J28" s="149"/>
      <c r="K28" s="575"/>
      <c r="L28" s="576"/>
      <c r="M28" s="115"/>
    </row>
  </sheetData>
  <mergeCells count="42">
    <mergeCell ref="D27:F27"/>
    <mergeCell ref="K27:L2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17:L17"/>
    <mergeCell ref="K21:L21"/>
    <mergeCell ref="D22:F22"/>
    <mergeCell ref="K22:L22"/>
    <mergeCell ref="D23:F23"/>
    <mergeCell ref="K24:L24"/>
    <mergeCell ref="K23:L23"/>
    <mergeCell ref="D24:F24"/>
    <mergeCell ref="K25:L25"/>
    <mergeCell ref="K8:L9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1:L11"/>
    <mergeCell ref="K12:L12"/>
    <mergeCell ref="K13:L13"/>
    <mergeCell ref="K10:L10"/>
    <mergeCell ref="K15:L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586" t="s">
        <v>363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</row>
    <row r="2" spans="1:13" s="168" customFormat="1" ht="15.75" customHeight="1">
      <c r="A2" s="586"/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</row>
    <row r="3" spans="1:13" ht="15.75" customHeight="1">
      <c r="A3" s="587" t="s">
        <v>401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</row>
    <row r="4" spans="1:13" s="168" customFormat="1" ht="15.75" customHeight="1">
      <c r="A4" s="587"/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</row>
    <row r="5" spans="1:13" ht="15.75" customHeight="1">
      <c r="A5" s="169" t="s">
        <v>402</v>
      </c>
      <c r="B5" s="170">
        <v>212376150</v>
      </c>
    </row>
    <row r="6" spans="1:13" ht="15.75" customHeight="1">
      <c r="A6" s="588" t="s">
        <v>105</v>
      </c>
      <c r="B6" s="589" t="s">
        <v>47</v>
      </c>
      <c r="C6" s="589"/>
      <c r="D6" s="590"/>
      <c r="E6" s="588" t="s">
        <v>105</v>
      </c>
      <c r="F6" s="592">
        <v>1</v>
      </c>
      <c r="G6" s="592"/>
      <c r="H6" s="592">
        <v>2</v>
      </c>
      <c r="I6" s="592"/>
      <c r="J6" s="592">
        <v>3</v>
      </c>
      <c r="K6" s="592"/>
      <c r="L6" s="592">
        <v>4</v>
      </c>
      <c r="M6" s="592"/>
    </row>
    <row r="7" spans="1:13" ht="31.35" customHeight="1">
      <c r="A7" s="588"/>
      <c r="B7" s="589"/>
      <c r="C7" s="589"/>
      <c r="D7" s="591"/>
      <c r="E7" s="588"/>
      <c r="F7" s="584" t="s">
        <v>403</v>
      </c>
      <c r="G7" s="584"/>
      <c r="H7" s="584" t="s">
        <v>404</v>
      </c>
      <c r="I7" s="584"/>
      <c r="J7" s="584" t="s">
        <v>405</v>
      </c>
      <c r="K7" s="584"/>
      <c r="L7" s="584" t="s">
        <v>406</v>
      </c>
      <c r="M7" s="584"/>
    </row>
    <row r="8" spans="1:13" ht="15.75" customHeight="1">
      <c r="A8" s="588"/>
      <c r="B8" s="193" t="s">
        <v>50</v>
      </c>
      <c r="C8" s="193" t="s">
        <v>15</v>
      </c>
      <c r="D8" s="591"/>
      <c r="E8" s="588"/>
      <c r="F8" s="193" t="s">
        <v>50</v>
      </c>
      <c r="G8" s="193" t="s">
        <v>15</v>
      </c>
      <c r="H8" s="193" t="s">
        <v>50</v>
      </c>
      <c r="I8" s="193" t="s">
        <v>15</v>
      </c>
      <c r="J8" s="193" t="s">
        <v>50</v>
      </c>
      <c r="K8" s="193" t="s">
        <v>15</v>
      </c>
      <c r="L8" s="193" t="s">
        <v>50</v>
      </c>
      <c r="M8" s="193" t="s">
        <v>15</v>
      </c>
    </row>
    <row r="9" spans="1:13" ht="19.350000000000001" customHeight="1">
      <c r="A9" s="171" t="s">
        <v>407</v>
      </c>
      <c r="B9" s="172">
        <v>47927.00699999994</v>
      </c>
      <c r="C9" s="173">
        <f>B9/$B$5</f>
        <v>2.256703824793883E-4</v>
      </c>
      <c r="D9" s="591"/>
      <c r="E9" s="171" t="s">
        <v>407</v>
      </c>
      <c r="F9" s="174">
        <v>1423.9050000000002</v>
      </c>
      <c r="G9" s="175">
        <f>IFERROR(F9/$B$9,"")</f>
        <v>2.9709866923256903E-2</v>
      </c>
      <c r="H9" s="174">
        <v>5535.9419999999991</v>
      </c>
      <c r="I9" s="175">
        <f>IFERROR(H9/$B$9,"")</f>
        <v>0.11550777623146812</v>
      </c>
      <c r="J9" s="174">
        <v>6691.5360000000019</v>
      </c>
      <c r="K9" s="175">
        <f>IFERROR(J9/$B$9,"")</f>
        <v>0.13961931735065389</v>
      </c>
      <c r="L9" s="174">
        <v>17258.763000000006</v>
      </c>
      <c r="M9" s="175">
        <f>IFERROR(L9/$B$9,"")</f>
        <v>0.36010516993059943</v>
      </c>
    </row>
    <row r="10" spans="1:13" ht="19.350000000000001" customHeight="1">
      <c r="A10" s="176" t="s">
        <v>408</v>
      </c>
      <c r="B10" s="177">
        <v>69974.579191980054</v>
      </c>
      <c r="C10" s="173">
        <f>B10/$B$5</f>
        <v>3.2948416849999424E-4</v>
      </c>
      <c r="D10" s="591"/>
      <c r="E10" s="176" t="s">
        <v>408</v>
      </c>
      <c r="F10" s="174">
        <v>1179.8078200000007</v>
      </c>
      <c r="G10" s="175">
        <f>IFERROR(F10/$B$10,"")</f>
        <v>1.6860520400746062E-2</v>
      </c>
      <c r="H10" s="174">
        <v>3563.9139100000007</v>
      </c>
      <c r="I10" s="175">
        <f>IFERROR(H10/$B$10,"")</f>
        <v>5.0931551874319365E-2</v>
      </c>
      <c r="J10" s="174">
        <v>3130.998689999999</v>
      </c>
      <c r="K10" s="175">
        <f>IFERROR(J10/$B$10,"")</f>
        <v>4.4744801986016804E-2</v>
      </c>
      <c r="L10" s="174">
        <v>14381.948886699534</v>
      </c>
      <c r="M10" s="175">
        <f>IFERROR(L10/$B$10,"")</f>
        <v>0.20553105217312806</v>
      </c>
    </row>
    <row r="11" spans="1:13" ht="15.75" customHeight="1">
      <c r="D11" s="591"/>
      <c r="E11" s="588" t="s">
        <v>105</v>
      </c>
      <c r="F11" s="592">
        <v>5</v>
      </c>
      <c r="G11" s="592"/>
      <c r="H11" s="592">
        <v>6</v>
      </c>
      <c r="I11" s="592"/>
      <c r="J11" s="592">
        <v>7</v>
      </c>
      <c r="K11" s="592"/>
      <c r="L11" s="593">
        <v>8</v>
      </c>
      <c r="M11" s="593"/>
    </row>
    <row r="12" spans="1:13" ht="31.35" customHeight="1">
      <c r="D12" s="591"/>
      <c r="E12" s="588"/>
      <c r="F12" s="584" t="s">
        <v>409</v>
      </c>
      <c r="G12" s="584"/>
      <c r="H12" s="584" t="s">
        <v>410</v>
      </c>
      <c r="I12" s="584"/>
      <c r="J12" s="584" t="s">
        <v>411</v>
      </c>
      <c r="K12" s="584"/>
      <c r="L12" s="585" t="s">
        <v>412</v>
      </c>
      <c r="M12" s="585"/>
    </row>
    <row r="13" spans="1:13" ht="15.75" customHeight="1">
      <c r="D13" s="591"/>
      <c r="E13" s="588"/>
      <c r="F13" s="193" t="s">
        <v>50</v>
      </c>
      <c r="G13" s="193" t="s">
        <v>15</v>
      </c>
      <c r="H13" s="193" t="s">
        <v>50</v>
      </c>
      <c r="I13" s="193" t="s">
        <v>15</v>
      </c>
      <c r="J13" s="193" t="s">
        <v>50</v>
      </c>
      <c r="K13" s="193" t="s">
        <v>15</v>
      </c>
      <c r="L13" s="193" t="s">
        <v>50</v>
      </c>
      <c r="M13" s="193" t="s">
        <v>15</v>
      </c>
    </row>
    <row r="14" spans="1:13" ht="19.350000000000001" customHeight="1">
      <c r="D14" s="591"/>
      <c r="E14" s="171" t="s">
        <v>407</v>
      </c>
      <c r="F14" s="174">
        <v>12460.915000000001</v>
      </c>
      <c r="G14" s="175">
        <f>IFERROR(F14/$B$9,"")</f>
        <v>0.25999777119401629</v>
      </c>
      <c r="H14" s="174">
        <v>1494.27</v>
      </c>
      <c r="I14" s="175">
        <f>IFERROR(H14/$B$9,"")</f>
        <v>3.1178037051218365E-2</v>
      </c>
      <c r="J14" s="174">
        <v>3061.675999999999</v>
      </c>
      <c r="K14" s="175">
        <f>IFERROR(J14/$B$9,"")</f>
        <v>6.3882061318788444E-2</v>
      </c>
      <c r="L14" s="174">
        <v>0</v>
      </c>
      <c r="M14" s="175">
        <f>IFERROR(L14/$B$9,"")</f>
        <v>0</v>
      </c>
    </row>
    <row r="15" spans="1:13" ht="19.350000000000001" customHeight="1">
      <c r="D15" s="591"/>
      <c r="E15" s="176" t="s">
        <v>408</v>
      </c>
      <c r="F15" s="174">
        <v>30846.731825280494</v>
      </c>
      <c r="G15" s="175">
        <f>IFERROR(F15/$B$10,"")</f>
        <v>0.44082768601795191</v>
      </c>
      <c r="H15" s="174">
        <v>12704.309300000044</v>
      </c>
      <c r="I15" s="175">
        <f>IFERROR(H15/$B$10,"")</f>
        <v>0.18155606574131589</v>
      </c>
      <c r="J15" s="174">
        <v>3994.7131600000112</v>
      </c>
      <c r="K15" s="175">
        <f>IFERROR(J15/$B$10,"")</f>
        <v>5.7088062638293857E-2</v>
      </c>
      <c r="L15" s="174">
        <v>0</v>
      </c>
      <c r="M15" s="175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27"/>
  <sheetViews>
    <sheetView tabSelected="1" topLeftCell="A278" zoomScale="110" zoomScaleNormal="110" zoomScaleSheetLayoutView="115" workbookViewId="0">
      <selection activeCell="E333" sqref="E333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586" t="s">
        <v>363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</row>
    <row r="2" spans="1:13" s="168" customFormat="1" ht="15.75" customHeight="1">
      <c r="A2" s="586"/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</row>
    <row r="3" spans="1:13" ht="15.75" customHeight="1">
      <c r="A3" s="587" t="s">
        <v>413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</row>
    <row r="4" spans="1:13" s="168" customFormat="1" ht="15.75" customHeight="1">
      <c r="A4" s="587"/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</row>
    <row r="5" spans="1:13" ht="15.75" customHeight="1">
      <c r="A5" s="169" t="s">
        <v>402</v>
      </c>
      <c r="B5" s="170">
        <v>75872986</v>
      </c>
    </row>
    <row r="6" spans="1:13" ht="15.75" customHeight="1">
      <c r="A6" s="588" t="s">
        <v>105</v>
      </c>
      <c r="B6" s="589" t="s">
        <v>47</v>
      </c>
      <c r="C6" s="589"/>
      <c r="D6" s="590"/>
      <c r="E6" s="588" t="s">
        <v>105</v>
      </c>
      <c r="F6" s="592">
        <v>1</v>
      </c>
      <c r="G6" s="592"/>
      <c r="H6" s="592">
        <v>2</v>
      </c>
      <c r="I6" s="592"/>
      <c r="J6" s="592">
        <v>3</v>
      </c>
      <c r="K6" s="592"/>
      <c r="L6" s="592">
        <v>4</v>
      </c>
      <c r="M6" s="592"/>
    </row>
    <row r="7" spans="1:13" ht="31.35" customHeight="1">
      <c r="A7" s="588"/>
      <c r="B7" s="589"/>
      <c r="C7" s="589"/>
      <c r="D7" s="591"/>
      <c r="E7" s="588"/>
      <c r="F7" s="584" t="s">
        <v>403</v>
      </c>
      <c r="G7" s="584"/>
      <c r="H7" s="584" t="s">
        <v>404</v>
      </c>
      <c r="I7" s="584"/>
      <c r="J7" s="584" t="s">
        <v>405</v>
      </c>
      <c r="K7" s="584"/>
      <c r="L7" s="584" t="s">
        <v>414</v>
      </c>
      <c r="M7" s="584"/>
    </row>
    <row r="8" spans="1:13" ht="15.75" customHeight="1">
      <c r="A8" s="588"/>
      <c r="B8" s="193" t="s">
        <v>50</v>
      </c>
      <c r="C8" s="193" t="s">
        <v>15</v>
      </c>
      <c r="D8" s="591"/>
      <c r="E8" s="588"/>
      <c r="F8" s="193" t="s">
        <v>50</v>
      </c>
      <c r="G8" s="193" t="s">
        <v>15</v>
      </c>
      <c r="H8" s="193" t="s">
        <v>50</v>
      </c>
      <c r="I8" s="193" t="s">
        <v>15</v>
      </c>
      <c r="J8" s="193" t="s">
        <v>50</v>
      </c>
      <c r="K8" s="193" t="s">
        <v>15</v>
      </c>
      <c r="L8" s="193" t="s">
        <v>50</v>
      </c>
      <c r="M8" s="193" t="s">
        <v>15</v>
      </c>
    </row>
    <row r="9" spans="1:13" ht="19.350000000000001" customHeight="1">
      <c r="A9" s="171" t="s">
        <v>407</v>
      </c>
      <c r="B9" s="172">
        <v>18257.814999999991</v>
      </c>
      <c r="C9" s="173">
        <f>B9/$B$5</f>
        <v>2.4063656859372835E-4</v>
      </c>
      <c r="D9" s="591"/>
      <c r="E9" s="171" t="s">
        <v>407</v>
      </c>
      <c r="F9" s="174">
        <v>552.57299999999998</v>
      </c>
      <c r="G9" s="175">
        <f>IFERROR(F9/$B$9,"")</f>
        <v>3.0265012543943523E-2</v>
      </c>
      <c r="H9" s="174">
        <v>1893.9470000000001</v>
      </c>
      <c r="I9" s="175">
        <f>IFERROR(H9/$B$9,"")</f>
        <v>0.10373349713533635</v>
      </c>
      <c r="J9" s="174">
        <v>2015.6379999999999</v>
      </c>
      <c r="K9" s="175">
        <f>IFERROR(J9/$B$9,"")</f>
        <v>0.11039864299205578</v>
      </c>
      <c r="L9" s="174">
        <v>6004.951</v>
      </c>
      <c r="M9" s="175">
        <f>IFERROR(L9/$B$9,"")</f>
        <v>0.32889757071150094</v>
      </c>
    </row>
    <row r="10" spans="1:13" ht="19.350000000000001" customHeight="1">
      <c r="A10" s="176" t="s">
        <v>408</v>
      </c>
      <c r="B10" s="177">
        <v>22782.319846732516</v>
      </c>
      <c r="C10" s="173">
        <f>B10/$B$5</f>
        <v>3.0026918733279477E-4</v>
      </c>
      <c r="D10" s="591"/>
      <c r="E10" s="176" t="s">
        <v>408</v>
      </c>
      <c r="F10" s="174">
        <v>733.22632000000021</v>
      </c>
      <c r="G10" s="175">
        <f>IFERROR(F10/$B$10,"")</f>
        <v>3.2184006059644575E-2</v>
      </c>
      <c r="H10" s="174">
        <v>2126.0029800000007</v>
      </c>
      <c r="I10" s="175">
        <f>IFERROR(H10/$B$10,"")</f>
        <v>9.3318107826710892E-2</v>
      </c>
      <c r="J10" s="174">
        <v>833.94599999999934</v>
      </c>
      <c r="K10" s="175">
        <f>IFERROR(J10/$B$10,"")</f>
        <v>3.6604964095419169E-2</v>
      </c>
      <c r="L10" s="174">
        <v>7270.6642214520316</v>
      </c>
      <c r="M10" s="175">
        <f>IFERROR(L10/$B$10,"")</f>
        <v>0.31913625435711734</v>
      </c>
    </row>
    <row r="11" spans="1:13" ht="15.75" customHeight="1">
      <c r="D11" s="591"/>
      <c r="E11" s="588" t="s">
        <v>105</v>
      </c>
      <c r="F11" s="592">
        <v>5</v>
      </c>
      <c r="G11" s="592"/>
      <c r="H11" s="592">
        <v>6</v>
      </c>
      <c r="I11" s="592"/>
      <c r="J11" s="592">
        <v>7</v>
      </c>
      <c r="K11" s="592"/>
      <c r="L11" s="593">
        <v>8</v>
      </c>
      <c r="M11" s="593"/>
    </row>
    <row r="12" spans="1:13" ht="31.35" customHeight="1">
      <c r="D12" s="591"/>
      <c r="E12" s="588"/>
      <c r="F12" s="584" t="s">
        <v>409</v>
      </c>
      <c r="G12" s="584"/>
      <c r="H12" s="584" t="s">
        <v>410</v>
      </c>
      <c r="I12" s="584"/>
      <c r="J12" s="584" t="s">
        <v>411</v>
      </c>
      <c r="K12" s="584"/>
      <c r="L12" s="585" t="s">
        <v>412</v>
      </c>
      <c r="M12" s="585"/>
    </row>
    <row r="13" spans="1:13" ht="15.75" customHeight="1">
      <c r="D13" s="591"/>
      <c r="E13" s="588"/>
      <c r="F13" s="193" t="s">
        <v>50</v>
      </c>
      <c r="G13" s="193" t="s">
        <v>15</v>
      </c>
      <c r="H13" s="193" t="s">
        <v>50</v>
      </c>
      <c r="I13" s="193" t="s">
        <v>15</v>
      </c>
      <c r="J13" s="193" t="s">
        <v>50</v>
      </c>
      <c r="K13" s="193" t="s">
        <v>15</v>
      </c>
      <c r="L13" s="193" t="s">
        <v>50</v>
      </c>
      <c r="M13" s="193" t="s">
        <v>15</v>
      </c>
    </row>
    <row r="14" spans="1:13" ht="19.350000000000001" customHeight="1">
      <c r="D14" s="591"/>
      <c r="E14" s="171" t="s">
        <v>407</v>
      </c>
      <c r="F14" s="174">
        <v>6580.9920000000002</v>
      </c>
      <c r="G14" s="175">
        <f>IFERROR(F14/$B$9,"")</f>
        <v>0.3604479506446967</v>
      </c>
      <c r="H14" s="174">
        <v>0</v>
      </c>
      <c r="I14" s="175">
        <f>IFERROR(H14/$B$9,"")</f>
        <v>0</v>
      </c>
      <c r="J14" s="174">
        <v>1209.7139999999999</v>
      </c>
      <c r="K14" s="175">
        <f>IFERROR(J14/$B$9,"")</f>
        <v>6.6257325972467154E-2</v>
      </c>
      <c r="L14" s="174">
        <v>0</v>
      </c>
      <c r="M14" s="175">
        <f>IFERROR(L14/$B$9,"")</f>
        <v>0</v>
      </c>
    </row>
    <row r="15" spans="1:13" ht="19.350000000000001" customHeight="1" thickBot="1">
      <c r="D15" s="591"/>
      <c r="E15" s="176" t="s">
        <v>408</v>
      </c>
      <c r="F15" s="174">
        <v>9515.0165852805003</v>
      </c>
      <c r="G15" s="175">
        <f>IFERROR(F15/$B$10,"")</f>
        <v>0.41764915290859467</v>
      </c>
      <c r="H15" s="174">
        <v>415.10627999999923</v>
      </c>
      <c r="I15" s="175">
        <f>IFERROR(H15/$B$10,"")</f>
        <v>1.8220544825663772E-2</v>
      </c>
      <c r="J15" s="174">
        <v>1888.3574600000009</v>
      </c>
      <c r="K15" s="175">
        <f>IFERROR(J15/$B$10,"")</f>
        <v>8.2886969926850212E-2</v>
      </c>
      <c r="L15" s="174">
        <v>0</v>
      </c>
      <c r="M15" s="175">
        <f>IFERROR(L15/$B$10,"")</f>
        <v>0</v>
      </c>
    </row>
    <row r="16" spans="1:13" ht="15.75" customHeight="1">
      <c r="A16" s="594" t="s">
        <v>415</v>
      </c>
      <c r="B16" s="595"/>
      <c r="C16" s="595"/>
      <c r="D16" s="595"/>
      <c r="E16" s="595"/>
      <c r="F16" s="595"/>
      <c r="G16" s="595"/>
      <c r="H16" s="595"/>
      <c r="I16" s="595"/>
      <c r="J16" s="595"/>
      <c r="K16" s="595"/>
      <c r="L16" s="595"/>
      <c r="M16" s="596"/>
    </row>
    <row r="17" spans="1:13" ht="15.75" customHeight="1">
      <c r="A17" s="597"/>
      <c r="B17" s="587"/>
      <c r="C17" s="587"/>
      <c r="D17" s="587"/>
      <c r="E17" s="587"/>
      <c r="F17" s="587"/>
      <c r="G17" s="587"/>
      <c r="H17" s="587"/>
      <c r="I17" s="587"/>
      <c r="J17" s="587"/>
      <c r="K17" s="587"/>
      <c r="L17" s="587"/>
      <c r="M17" s="598"/>
    </row>
    <row r="18" spans="1:13" ht="15.75" customHeight="1">
      <c r="A18" s="242" t="s">
        <v>402</v>
      </c>
      <c r="B18" s="170">
        <v>48523585</v>
      </c>
      <c r="M18" s="243"/>
    </row>
    <row r="19" spans="1:13" ht="15.75" customHeight="1">
      <c r="A19" s="599" t="s">
        <v>105</v>
      </c>
      <c r="B19" s="589" t="s">
        <v>47</v>
      </c>
      <c r="C19" s="589"/>
      <c r="D19" s="590"/>
      <c r="E19" s="588" t="s">
        <v>105</v>
      </c>
      <c r="F19" s="592">
        <v>1</v>
      </c>
      <c r="G19" s="592"/>
      <c r="H19" s="592">
        <v>2</v>
      </c>
      <c r="I19" s="592"/>
      <c r="J19" s="592">
        <v>3</v>
      </c>
      <c r="K19" s="592"/>
      <c r="L19" s="592">
        <v>4</v>
      </c>
      <c r="M19" s="601"/>
    </row>
    <row r="20" spans="1:13" ht="15.75" customHeight="1">
      <c r="A20" s="599"/>
      <c r="B20" s="589"/>
      <c r="C20" s="589"/>
      <c r="D20" s="591"/>
      <c r="E20" s="588"/>
      <c r="F20" s="584" t="s">
        <v>403</v>
      </c>
      <c r="G20" s="584"/>
      <c r="H20" s="584" t="s">
        <v>404</v>
      </c>
      <c r="I20" s="584"/>
      <c r="J20" s="584" t="s">
        <v>405</v>
      </c>
      <c r="K20" s="584"/>
      <c r="L20" s="584" t="s">
        <v>414</v>
      </c>
      <c r="M20" s="602"/>
    </row>
    <row r="21" spans="1:13" ht="15.75" customHeight="1">
      <c r="A21" s="599"/>
      <c r="B21" s="193" t="s">
        <v>50</v>
      </c>
      <c r="C21" s="193" t="s">
        <v>15</v>
      </c>
      <c r="D21" s="591"/>
      <c r="E21" s="588"/>
      <c r="F21" s="193" t="s">
        <v>50</v>
      </c>
      <c r="G21" s="193" t="s">
        <v>15</v>
      </c>
      <c r="H21" s="193" t="s">
        <v>50</v>
      </c>
      <c r="I21" s="193" t="s">
        <v>15</v>
      </c>
      <c r="J21" s="193" t="s">
        <v>50</v>
      </c>
      <c r="K21" s="193" t="s">
        <v>15</v>
      </c>
      <c r="L21" s="193" t="s">
        <v>50</v>
      </c>
      <c r="M21" s="244" t="s">
        <v>15</v>
      </c>
    </row>
    <row r="22" spans="1:13" ht="15.75" customHeight="1">
      <c r="A22" s="245" t="s">
        <v>407</v>
      </c>
      <c r="B22" s="246">
        <v>11676.691000000003</v>
      </c>
      <c r="C22" s="173">
        <f>B22/$B$18</f>
        <v>2.4063949520630024E-4</v>
      </c>
      <c r="D22" s="591"/>
      <c r="E22" s="171" t="s">
        <v>407</v>
      </c>
      <c r="F22" s="247">
        <v>165.98000000000002</v>
      </c>
      <c r="G22" s="175">
        <f>IFERROR(F22/$B$9,"")</f>
        <v>9.0909016221272978E-3</v>
      </c>
      <c r="H22" s="247">
        <v>1611.5420000000004</v>
      </c>
      <c r="I22" s="175">
        <f>IFERROR(H22/$B$9,"")</f>
        <v>8.8265874092820037E-2</v>
      </c>
      <c r="J22" s="247">
        <v>1228.9280000000001</v>
      </c>
      <c r="K22" s="175">
        <f>IFERROR(J22/$B$9,"")</f>
        <v>6.7309697244714153E-2</v>
      </c>
      <c r="L22" s="247">
        <v>3775.8909999999996</v>
      </c>
      <c r="M22" s="248">
        <f>IFERROR(L22/$B$9,"")</f>
        <v>0.20680957715915083</v>
      </c>
    </row>
    <row r="23" spans="1:13" ht="15.75" customHeight="1">
      <c r="A23" s="249" t="s">
        <v>408</v>
      </c>
      <c r="B23" s="250">
        <v>18680.446015247508</v>
      </c>
      <c r="C23" s="173">
        <f>B23/$B$18</f>
        <v>3.8497662559861369E-4</v>
      </c>
      <c r="D23" s="591"/>
      <c r="E23" s="176" t="s">
        <v>408</v>
      </c>
      <c r="F23" s="247">
        <v>0</v>
      </c>
      <c r="G23" s="175">
        <f>IFERROR(F23/$B$10,"")</f>
        <v>0</v>
      </c>
      <c r="H23" s="247">
        <v>644.21809999999959</v>
      </c>
      <c r="I23" s="175">
        <f>IFERROR(H23/$B$10,"")</f>
        <v>2.8277107174947972E-2</v>
      </c>
      <c r="J23" s="247">
        <v>874.41625999999883</v>
      </c>
      <c r="K23" s="175">
        <f>IFERROR(J23/$B$10,"")</f>
        <v>3.8381352991381575E-2</v>
      </c>
      <c r="L23" s="247">
        <v>3059.7451552474977</v>
      </c>
      <c r="M23" s="248">
        <f>IFERROR(L23/$B$10,"")</f>
        <v>0.13430349393002364</v>
      </c>
    </row>
    <row r="24" spans="1:13" ht="15.75" customHeight="1">
      <c r="A24" s="251"/>
      <c r="D24" s="591"/>
      <c r="E24" s="588" t="s">
        <v>105</v>
      </c>
      <c r="F24" s="592">
        <v>5</v>
      </c>
      <c r="G24" s="592"/>
      <c r="H24" s="592">
        <v>6</v>
      </c>
      <c r="I24" s="592"/>
      <c r="J24" s="592">
        <v>7</v>
      </c>
      <c r="K24" s="592"/>
      <c r="L24" s="593">
        <v>8</v>
      </c>
      <c r="M24" s="611"/>
    </row>
    <row r="25" spans="1:13" ht="15.75" customHeight="1">
      <c r="A25" s="251"/>
      <c r="D25" s="591"/>
      <c r="E25" s="588"/>
      <c r="F25" s="584" t="s">
        <v>409</v>
      </c>
      <c r="G25" s="584"/>
      <c r="H25" s="584" t="s">
        <v>410</v>
      </c>
      <c r="I25" s="584"/>
      <c r="J25" s="584" t="s">
        <v>411</v>
      </c>
      <c r="K25" s="584"/>
      <c r="L25" s="585" t="s">
        <v>412</v>
      </c>
      <c r="M25" s="612"/>
    </row>
    <row r="26" spans="1:13" ht="15.75" customHeight="1">
      <c r="A26" s="251"/>
      <c r="D26" s="591"/>
      <c r="E26" s="588"/>
      <c r="F26" s="193" t="s">
        <v>50</v>
      </c>
      <c r="G26" s="193" t="s">
        <v>15</v>
      </c>
      <c r="H26" s="193" t="s">
        <v>50</v>
      </c>
      <c r="I26" s="193" t="s">
        <v>15</v>
      </c>
      <c r="J26" s="193" t="s">
        <v>50</v>
      </c>
      <c r="K26" s="193" t="s">
        <v>15</v>
      </c>
      <c r="L26" s="193" t="s">
        <v>50</v>
      </c>
      <c r="M26" s="244" t="s">
        <v>15</v>
      </c>
    </row>
    <row r="27" spans="1:13" ht="15.75" customHeight="1">
      <c r="A27" s="251"/>
      <c r="D27" s="591"/>
      <c r="E27" s="171" t="s">
        <v>407</v>
      </c>
      <c r="F27" s="247">
        <v>3919.5130000000004</v>
      </c>
      <c r="G27" s="175">
        <f>IFERROR(F27/$B$9,"")</f>
        <v>0.21467590727587074</v>
      </c>
      <c r="H27" s="247">
        <v>0</v>
      </c>
      <c r="I27" s="175">
        <f>IFERROR(H27/$B$9,"")</f>
        <v>0</v>
      </c>
      <c r="J27" s="247">
        <v>974.8370000000001</v>
      </c>
      <c r="K27" s="175">
        <f>IFERROR(J27/$B$9,"")</f>
        <v>5.3392862179839184E-2</v>
      </c>
      <c r="L27" s="247">
        <v>0</v>
      </c>
      <c r="M27" s="248">
        <f>IFERROR(L27/$B$9,"")</f>
        <v>0</v>
      </c>
    </row>
    <row r="28" spans="1:13" ht="15.75" customHeight="1" thickBot="1">
      <c r="A28" s="252"/>
      <c r="B28" s="253"/>
      <c r="C28" s="253"/>
      <c r="D28" s="600"/>
      <c r="E28" s="254" t="s">
        <v>408</v>
      </c>
      <c r="F28" s="255">
        <v>10050.147089999993</v>
      </c>
      <c r="G28" s="256">
        <f>IFERROR(F28/$B$10,"")</f>
        <v>0.44113800339965836</v>
      </c>
      <c r="H28" s="255">
        <v>2190.4281100000026</v>
      </c>
      <c r="I28" s="256">
        <f>IFERROR(H28/$B$10,"")</f>
        <v>9.6145964271244222E-2</v>
      </c>
      <c r="J28" s="255">
        <v>1689.3357000000103</v>
      </c>
      <c r="K28" s="256">
        <f>IFERROR(J28/$B$10,"")</f>
        <v>7.4151171231243082E-2</v>
      </c>
      <c r="L28" s="255">
        <v>0</v>
      </c>
      <c r="M28" s="257">
        <f>IFERROR(L28/$B$10,"")</f>
        <v>0</v>
      </c>
    </row>
    <row r="29" spans="1:13" ht="15.75" customHeight="1">
      <c r="A29" s="594" t="s">
        <v>416</v>
      </c>
      <c r="B29" s="595"/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596"/>
    </row>
    <row r="30" spans="1:13" ht="15.75" customHeight="1">
      <c r="A30" s="597"/>
      <c r="B30" s="587"/>
      <c r="C30" s="587"/>
      <c r="D30" s="587"/>
      <c r="E30" s="587"/>
      <c r="F30" s="587"/>
      <c r="G30" s="587"/>
      <c r="H30" s="587"/>
      <c r="I30" s="587"/>
      <c r="J30" s="587"/>
      <c r="K30" s="587"/>
      <c r="L30" s="587"/>
      <c r="M30" s="598"/>
    </row>
    <row r="31" spans="1:13" ht="15.75" customHeight="1">
      <c r="A31" s="242" t="s">
        <v>402</v>
      </c>
      <c r="B31" s="170">
        <v>48655452</v>
      </c>
      <c r="M31" s="243"/>
    </row>
    <row r="32" spans="1:13" ht="15.75" customHeight="1">
      <c r="A32" s="599" t="s">
        <v>105</v>
      </c>
      <c r="B32" s="589" t="s">
        <v>47</v>
      </c>
      <c r="C32" s="589"/>
      <c r="D32" s="590"/>
      <c r="E32" s="588" t="s">
        <v>105</v>
      </c>
      <c r="F32" s="592">
        <v>1</v>
      </c>
      <c r="G32" s="592"/>
      <c r="H32" s="592">
        <v>2</v>
      </c>
      <c r="I32" s="592"/>
      <c r="J32" s="592">
        <v>3</v>
      </c>
      <c r="K32" s="592"/>
      <c r="L32" s="592">
        <v>4</v>
      </c>
      <c r="M32" s="601"/>
    </row>
    <row r="33" spans="1:13" ht="15.75" customHeight="1">
      <c r="A33" s="599"/>
      <c r="B33" s="589"/>
      <c r="C33" s="589"/>
      <c r="D33" s="591"/>
      <c r="E33" s="588"/>
      <c r="F33" s="584" t="s">
        <v>403</v>
      </c>
      <c r="G33" s="584"/>
      <c r="H33" s="584" t="s">
        <v>404</v>
      </c>
      <c r="I33" s="584"/>
      <c r="J33" s="584" t="s">
        <v>405</v>
      </c>
      <c r="K33" s="584"/>
      <c r="L33" s="584" t="s">
        <v>414</v>
      </c>
      <c r="M33" s="602"/>
    </row>
    <row r="34" spans="1:13" ht="15.75" customHeight="1">
      <c r="A34" s="599"/>
      <c r="B34" s="193" t="s">
        <v>50</v>
      </c>
      <c r="C34" s="193" t="s">
        <v>15</v>
      </c>
      <c r="D34" s="591"/>
      <c r="E34" s="588"/>
      <c r="F34" s="193" t="s">
        <v>50</v>
      </c>
      <c r="G34" s="193" t="s">
        <v>15</v>
      </c>
      <c r="H34" s="193" t="s">
        <v>50</v>
      </c>
      <c r="I34" s="193" t="s">
        <v>15</v>
      </c>
      <c r="J34" s="193" t="s">
        <v>50</v>
      </c>
      <c r="K34" s="193" t="s">
        <v>15</v>
      </c>
      <c r="L34" s="193" t="s">
        <v>50</v>
      </c>
      <c r="M34" s="244" t="s">
        <v>15</v>
      </c>
    </row>
    <row r="35" spans="1:13" ht="15.75" customHeight="1">
      <c r="A35" s="245" t="s">
        <v>407</v>
      </c>
      <c r="B35" s="246">
        <v>9800.9250000000029</v>
      </c>
      <c r="C35" s="173">
        <f>B35/$B$5</f>
        <v>1.2917542219835663E-4</v>
      </c>
      <c r="D35" s="591"/>
      <c r="E35" s="171" t="s">
        <v>407</v>
      </c>
      <c r="F35" s="247">
        <v>705.35199999999998</v>
      </c>
      <c r="G35" s="175">
        <f>IFERROR(F35/$B$9,"")</f>
        <v>3.8632881316849818E-2</v>
      </c>
      <c r="H35" s="247">
        <v>1195.5910000000001</v>
      </c>
      <c r="I35" s="175">
        <f>IFERROR(H35/$B$9,"")</f>
        <v>6.5483794199908407E-2</v>
      </c>
      <c r="J35" s="247">
        <v>1614.134</v>
      </c>
      <c r="K35" s="175">
        <f>IFERROR(J35/$B$9,"")</f>
        <v>8.8407840697257628E-2</v>
      </c>
      <c r="L35" s="247">
        <v>4035.8779999999997</v>
      </c>
      <c r="M35" s="248">
        <f>IFERROR(L35/$B$9,"")</f>
        <v>0.22104934243226812</v>
      </c>
    </row>
    <row r="36" spans="1:13" ht="15.75" customHeight="1" thickBot="1">
      <c r="A36" s="249" t="s">
        <v>408</v>
      </c>
      <c r="B36" s="250">
        <v>15896.425820000022</v>
      </c>
      <c r="C36" s="173">
        <f>B36/$B$5</f>
        <v>2.0951364455328042E-4</v>
      </c>
      <c r="D36" s="591"/>
      <c r="E36" s="176" t="s">
        <v>408</v>
      </c>
      <c r="F36" s="255">
        <v>446.58150000000035</v>
      </c>
      <c r="G36" s="175">
        <f>IFERROR(F36/$B$10,"")</f>
        <v>1.9602108257823003E-2</v>
      </c>
      <c r="H36" s="247">
        <v>793.69283000000019</v>
      </c>
      <c r="I36" s="175">
        <f>IFERROR(H36/$B$10,"")</f>
        <v>3.4838104079810514E-2</v>
      </c>
      <c r="J36" s="247">
        <v>666.6480400000014</v>
      </c>
      <c r="K36" s="175">
        <f>IFERROR(J36/$B$10,"")</f>
        <v>2.9261639924505464E-2</v>
      </c>
      <c r="L36" s="247">
        <v>1637.1258600000046</v>
      </c>
      <c r="M36" s="248">
        <f>IFERROR(L36/$B$10,"")</f>
        <v>7.1859488893744258E-2</v>
      </c>
    </row>
    <row r="37" spans="1:13" ht="15.75" customHeight="1">
      <c r="A37" s="251"/>
      <c r="D37" s="591"/>
      <c r="E37" s="588" t="s">
        <v>105</v>
      </c>
      <c r="F37" s="592">
        <v>5</v>
      </c>
      <c r="G37" s="592"/>
      <c r="H37" s="592">
        <v>6</v>
      </c>
      <c r="I37" s="592"/>
      <c r="J37" s="592">
        <v>7</v>
      </c>
      <c r="K37" s="592"/>
      <c r="L37" s="593">
        <v>8</v>
      </c>
      <c r="M37" s="611"/>
    </row>
    <row r="38" spans="1:13" ht="15.75" customHeight="1">
      <c r="A38" s="251"/>
      <c r="D38" s="591"/>
      <c r="E38" s="588"/>
      <c r="F38" s="584" t="s">
        <v>409</v>
      </c>
      <c r="G38" s="584"/>
      <c r="H38" s="584" t="s">
        <v>410</v>
      </c>
      <c r="I38" s="584"/>
      <c r="J38" s="584" t="s">
        <v>411</v>
      </c>
      <c r="K38" s="584"/>
      <c r="L38" s="585" t="s">
        <v>412</v>
      </c>
      <c r="M38" s="612"/>
    </row>
    <row r="39" spans="1:13" ht="15.75" customHeight="1">
      <c r="A39" s="251"/>
      <c r="D39" s="591"/>
      <c r="E39" s="588"/>
      <c r="F39" s="193" t="s">
        <v>50</v>
      </c>
      <c r="G39" s="193" t="s">
        <v>15</v>
      </c>
      <c r="H39" s="193" t="s">
        <v>50</v>
      </c>
      <c r="I39" s="193" t="s">
        <v>15</v>
      </c>
      <c r="J39" s="193" t="s">
        <v>50</v>
      </c>
      <c r="K39" s="193" t="s">
        <v>15</v>
      </c>
      <c r="L39" s="193" t="s">
        <v>50</v>
      </c>
      <c r="M39" s="244" t="s">
        <v>15</v>
      </c>
    </row>
    <row r="40" spans="1:13" ht="15.75" customHeight="1">
      <c r="A40" s="251"/>
      <c r="D40" s="591"/>
      <c r="E40" s="171" t="s">
        <v>407</v>
      </c>
      <c r="F40" s="247">
        <v>1269.0300000000002</v>
      </c>
      <c r="G40" s="175">
        <f>IFERROR(F40/$B$9,"")</f>
        <v>6.9506126554574069E-2</v>
      </c>
      <c r="H40" s="247">
        <v>361.74299999999999</v>
      </c>
      <c r="I40" s="175">
        <f>IFERROR(H40/$B$9,"")</f>
        <v>1.9813049918623898E-2</v>
      </c>
      <c r="J40" s="247">
        <v>619.197</v>
      </c>
      <c r="K40" s="175">
        <f>IFERROR(J40/$B$9,"")</f>
        <v>3.3914080080228677E-2</v>
      </c>
      <c r="L40" s="247">
        <v>0</v>
      </c>
      <c r="M40" s="248">
        <f>IFERROR(L40/$B$9,"")</f>
        <v>0</v>
      </c>
    </row>
    <row r="41" spans="1:13" ht="15.75" customHeight="1" thickBot="1">
      <c r="A41" s="252"/>
      <c r="B41" s="253"/>
      <c r="C41" s="253"/>
      <c r="D41" s="600"/>
      <c r="E41" s="254" t="s">
        <v>408</v>
      </c>
      <c r="F41" s="255">
        <v>6394.8248599999997</v>
      </c>
      <c r="G41" s="256">
        <f>IFERROR(F41/$B$10,"")</f>
        <v>0.28069243619706086</v>
      </c>
      <c r="H41" s="255">
        <v>5540.5327300000126</v>
      </c>
      <c r="I41" s="256">
        <f>IFERROR(H41/$B$10,"")</f>
        <v>0.24319440545448431</v>
      </c>
      <c r="J41" s="255">
        <v>417.01999999999981</v>
      </c>
      <c r="K41" s="256">
        <f>IFERROR(J41/$B$10,"")</f>
        <v>1.8304545050964578E-2</v>
      </c>
      <c r="L41" s="255">
        <v>0</v>
      </c>
      <c r="M41" s="257">
        <f>IFERROR(L41/$B$10,"")</f>
        <v>0</v>
      </c>
    </row>
    <row r="42" spans="1:13" ht="15.75" customHeight="1">
      <c r="A42" s="594" t="s">
        <v>417</v>
      </c>
      <c r="B42" s="595"/>
      <c r="C42" s="595"/>
      <c r="D42" s="595"/>
      <c r="E42" s="595"/>
      <c r="F42" s="595"/>
      <c r="G42" s="595"/>
      <c r="H42" s="595"/>
      <c r="I42" s="595"/>
      <c r="J42" s="595"/>
      <c r="K42" s="595"/>
      <c r="L42" s="595"/>
      <c r="M42" s="596"/>
    </row>
    <row r="43" spans="1:13" ht="15.75" customHeight="1">
      <c r="A43" s="597"/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98"/>
    </row>
    <row r="44" spans="1:13" ht="15.75" customHeight="1">
      <c r="A44" s="242" t="s">
        <v>402</v>
      </c>
      <c r="B44" s="170">
        <v>46287577</v>
      </c>
      <c r="M44" s="243"/>
    </row>
    <row r="45" spans="1:13" ht="15.75" customHeight="1">
      <c r="A45" s="599" t="s">
        <v>105</v>
      </c>
      <c r="B45" s="589" t="s">
        <v>47</v>
      </c>
      <c r="C45" s="589"/>
      <c r="D45" s="590"/>
      <c r="E45" s="588" t="s">
        <v>105</v>
      </c>
      <c r="F45" s="592">
        <v>1</v>
      </c>
      <c r="G45" s="592"/>
      <c r="H45" s="592">
        <v>2</v>
      </c>
      <c r="I45" s="592"/>
      <c r="J45" s="592">
        <v>3</v>
      </c>
      <c r="K45" s="592"/>
      <c r="L45" s="592">
        <v>4</v>
      </c>
      <c r="M45" s="601"/>
    </row>
    <row r="46" spans="1:13" ht="15.75" customHeight="1">
      <c r="A46" s="599"/>
      <c r="B46" s="589"/>
      <c r="C46" s="589"/>
      <c r="D46" s="591"/>
      <c r="E46" s="588"/>
      <c r="F46" s="584" t="s">
        <v>403</v>
      </c>
      <c r="G46" s="584"/>
      <c r="H46" s="584" t="s">
        <v>404</v>
      </c>
      <c r="I46" s="584"/>
      <c r="J46" s="584" t="s">
        <v>405</v>
      </c>
      <c r="K46" s="584"/>
      <c r="L46" s="584" t="s">
        <v>414</v>
      </c>
      <c r="M46" s="602"/>
    </row>
    <row r="47" spans="1:13" ht="15.75" customHeight="1">
      <c r="A47" s="599"/>
      <c r="B47" s="193" t="s">
        <v>50</v>
      </c>
      <c r="C47" s="193" t="s">
        <v>15</v>
      </c>
      <c r="D47" s="591"/>
      <c r="E47" s="588"/>
      <c r="F47" s="193" t="s">
        <v>50</v>
      </c>
      <c r="G47" s="193" t="s">
        <v>15</v>
      </c>
      <c r="H47" s="193" t="s">
        <v>50</v>
      </c>
      <c r="I47" s="193" t="s">
        <v>15</v>
      </c>
      <c r="J47" s="193" t="s">
        <v>50</v>
      </c>
      <c r="K47" s="193" t="s">
        <v>15</v>
      </c>
      <c r="L47" s="193" t="s">
        <v>50</v>
      </c>
      <c r="M47" s="244" t="s">
        <v>15</v>
      </c>
    </row>
    <row r="48" spans="1:13" ht="15.75" customHeight="1">
      <c r="A48" s="245" t="s">
        <v>407</v>
      </c>
      <c r="B48" s="246">
        <v>9587.904999999997</v>
      </c>
      <c r="C48" s="173">
        <v>2.07137759662814E-4</v>
      </c>
      <c r="D48" s="591"/>
      <c r="E48" s="171" t="s">
        <v>407</v>
      </c>
      <c r="F48" s="247">
        <v>0</v>
      </c>
      <c r="G48" s="175">
        <v>0</v>
      </c>
      <c r="H48" s="247">
        <v>834.86200000000008</v>
      </c>
      <c r="I48" s="175">
        <v>4.5726282142742734E-2</v>
      </c>
      <c r="J48" s="247">
        <v>2231.3200000000002</v>
      </c>
      <c r="K48" s="175">
        <v>0.12221177616270081</v>
      </c>
      <c r="L48" s="247">
        <v>4146.4030000000002</v>
      </c>
      <c r="M48" s="248">
        <v>0.22710291456014875</v>
      </c>
    </row>
    <row r="49" spans="1:13" ht="15.75" customHeight="1">
      <c r="A49" s="249" t="s">
        <v>408</v>
      </c>
      <c r="B49" s="250">
        <v>14733.35162000003</v>
      </c>
      <c r="C49" s="173">
        <v>3.1830034265997612E-4</v>
      </c>
      <c r="D49" s="591"/>
      <c r="E49" s="176" t="s">
        <v>408</v>
      </c>
      <c r="F49" s="247">
        <v>0</v>
      </c>
      <c r="G49" s="175">
        <v>0</v>
      </c>
      <c r="H49" s="247">
        <v>0</v>
      </c>
      <c r="I49" s="175">
        <v>0</v>
      </c>
      <c r="J49" s="247">
        <v>1459.6556299999991</v>
      </c>
      <c r="K49" s="175">
        <v>6.4069666294731861E-2</v>
      </c>
      <c r="L49" s="247">
        <v>2414.4136500000041</v>
      </c>
      <c r="M49" s="248">
        <v>0.10597751529444373</v>
      </c>
    </row>
    <row r="50" spans="1:13" ht="15.75" customHeight="1">
      <c r="A50" s="251"/>
      <c r="D50" s="591"/>
      <c r="E50" s="588" t="s">
        <v>105</v>
      </c>
      <c r="F50" s="592">
        <v>5</v>
      </c>
      <c r="G50" s="592"/>
      <c r="H50" s="592">
        <v>6</v>
      </c>
      <c r="I50" s="592"/>
      <c r="J50" s="592">
        <v>7</v>
      </c>
      <c r="K50" s="592"/>
      <c r="L50" s="593">
        <v>8</v>
      </c>
      <c r="M50" s="611"/>
    </row>
    <row r="51" spans="1:13" ht="15.75" customHeight="1">
      <c r="A51" s="251"/>
      <c r="D51" s="591"/>
      <c r="E51" s="588"/>
      <c r="F51" s="584" t="s">
        <v>409</v>
      </c>
      <c r="G51" s="584"/>
      <c r="H51" s="584" t="s">
        <v>410</v>
      </c>
      <c r="I51" s="584"/>
      <c r="J51" s="584" t="s">
        <v>411</v>
      </c>
      <c r="K51" s="584"/>
      <c r="L51" s="585" t="s">
        <v>412</v>
      </c>
      <c r="M51" s="612"/>
    </row>
    <row r="52" spans="1:13" ht="15.75" customHeight="1">
      <c r="A52" s="251"/>
      <c r="D52" s="591"/>
      <c r="E52" s="588"/>
      <c r="F52" s="193" t="s">
        <v>50</v>
      </c>
      <c r="G52" s="193" t="s">
        <v>15</v>
      </c>
      <c r="H52" s="193" t="s">
        <v>50</v>
      </c>
      <c r="I52" s="193" t="s">
        <v>15</v>
      </c>
      <c r="J52" s="193" t="s">
        <v>50</v>
      </c>
      <c r="K52" s="193" t="s">
        <v>15</v>
      </c>
      <c r="L52" s="193" t="s">
        <v>50</v>
      </c>
      <c r="M52" s="244" t="s">
        <v>15</v>
      </c>
    </row>
    <row r="53" spans="1:13" ht="15.75" customHeight="1">
      <c r="A53" s="251"/>
      <c r="D53" s="591"/>
      <c r="E53" s="171" t="s">
        <v>407</v>
      </c>
      <c r="F53" s="247">
        <v>825.84</v>
      </c>
      <c r="G53" s="175">
        <v>4.523213758053745E-2</v>
      </c>
      <c r="H53" s="247">
        <v>1291.5520000000001</v>
      </c>
      <c r="I53" s="175">
        <v>7.0739680514891878E-2</v>
      </c>
      <c r="J53" s="247">
        <v>257.928</v>
      </c>
      <c r="K53" s="175">
        <v>1.4126991647138506E-2</v>
      </c>
      <c r="L53" s="247">
        <v>0</v>
      </c>
      <c r="M53" s="248">
        <v>0</v>
      </c>
    </row>
    <row r="54" spans="1:13" ht="15.75" customHeight="1" thickBot="1">
      <c r="A54" s="252"/>
      <c r="B54" s="253"/>
      <c r="C54" s="253"/>
      <c r="D54" s="600"/>
      <c r="E54" s="254" t="s">
        <v>408</v>
      </c>
      <c r="F54" s="255">
        <v>5870.1435299999976</v>
      </c>
      <c r="G54" s="256">
        <v>0.25766223850298126</v>
      </c>
      <c r="H54" s="255">
        <v>4989.1388100000286</v>
      </c>
      <c r="I54" s="256">
        <v>0.21899169371531671</v>
      </c>
      <c r="J54" s="255">
        <v>0</v>
      </c>
      <c r="K54" s="256">
        <v>0</v>
      </c>
      <c r="L54" s="255">
        <v>0</v>
      </c>
      <c r="M54" s="257">
        <v>0</v>
      </c>
    </row>
    <row r="55" spans="1:13" ht="15.75" customHeight="1">
      <c r="A55" s="594" t="s">
        <v>418</v>
      </c>
      <c r="B55" s="595"/>
      <c r="C55" s="595"/>
      <c r="D55" s="595"/>
      <c r="E55" s="595"/>
      <c r="F55" s="595"/>
      <c r="G55" s="595"/>
      <c r="H55" s="595"/>
      <c r="I55" s="595"/>
      <c r="J55" s="595"/>
      <c r="K55" s="595"/>
      <c r="L55" s="595"/>
      <c r="M55" s="596"/>
    </row>
    <row r="56" spans="1:13" ht="15.75" customHeight="1">
      <c r="A56" s="597"/>
      <c r="B56" s="587"/>
      <c r="C56" s="587"/>
      <c r="D56" s="587"/>
      <c r="E56" s="587"/>
      <c r="F56" s="587"/>
      <c r="G56" s="587"/>
      <c r="H56" s="587"/>
      <c r="I56" s="587"/>
      <c r="J56" s="587"/>
      <c r="K56" s="587"/>
      <c r="L56" s="587"/>
      <c r="M56" s="598"/>
    </row>
    <row r="57" spans="1:13" ht="15.75" customHeight="1">
      <c r="A57" s="242" t="s">
        <v>402</v>
      </c>
      <c r="B57" s="170">
        <v>48362935</v>
      </c>
      <c r="M57" s="243"/>
    </row>
    <row r="58" spans="1:13" ht="15.75" customHeight="1">
      <c r="A58" s="599" t="s">
        <v>105</v>
      </c>
      <c r="B58" s="589" t="s">
        <v>47</v>
      </c>
      <c r="C58" s="589"/>
      <c r="D58" s="590"/>
      <c r="E58" s="588" t="s">
        <v>105</v>
      </c>
      <c r="F58" s="592">
        <v>1</v>
      </c>
      <c r="G58" s="592"/>
      <c r="H58" s="592">
        <v>2</v>
      </c>
      <c r="I58" s="592"/>
      <c r="J58" s="592">
        <v>3</v>
      </c>
      <c r="K58" s="592"/>
      <c r="L58" s="592">
        <v>4</v>
      </c>
      <c r="M58" s="601"/>
    </row>
    <row r="59" spans="1:13" ht="15.75" customHeight="1">
      <c r="A59" s="599"/>
      <c r="B59" s="589"/>
      <c r="C59" s="589"/>
      <c r="D59" s="591"/>
      <c r="E59" s="588"/>
      <c r="F59" s="584" t="s">
        <v>403</v>
      </c>
      <c r="G59" s="584"/>
      <c r="H59" s="584" t="s">
        <v>404</v>
      </c>
      <c r="I59" s="584"/>
      <c r="J59" s="584" t="s">
        <v>405</v>
      </c>
      <c r="K59" s="584"/>
      <c r="L59" s="584" t="s">
        <v>414</v>
      </c>
      <c r="M59" s="602"/>
    </row>
    <row r="60" spans="1:13" ht="15.75" customHeight="1">
      <c r="A60" s="599"/>
      <c r="B60" s="193" t="s">
        <v>50</v>
      </c>
      <c r="C60" s="193" t="s">
        <v>15</v>
      </c>
      <c r="D60" s="591"/>
      <c r="E60" s="588"/>
      <c r="F60" s="193" t="s">
        <v>50</v>
      </c>
      <c r="G60" s="193" t="s">
        <v>15</v>
      </c>
      <c r="H60" s="193" t="s">
        <v>50</v>
      </c>
      <c r="I60" s="193" t="s">
        <v>15</v>
      </c>
      <c r="J60" s="193" t="s">
        <v>50</v>
      </c>
      <c r="K60" s="193" t="s">
        <v>15</v>
      </c>
      <c r="L60" s="193" t="s">
        <v>50</v>
      </c>
      <c r="M60" s="244" t="s">
        <v>15</v>
      </c>
    </row>
    <row r="61" spans="1:13" ht="15.75" customHeight="1">
      <c r="A61" s="245" t="s">
        <v>407</v>
      </c>
      <c r="B61" s="246">
        <v>10199.575000000004</v>
      </c>
      <c r="C61" s="173">
        <f>B61/$B$57</f>
        <v>2.1089652644116832E-4</v>
      </c>
      <c r="D61" s="591"/>
      <c r="E61" s="171" t="s">
        <v>407</v>
      </c>
      <c r="F61" s="247">
        <v>0</v>
      </c>
      <c r="G61" s="175">
        <f>IFERROR(F61/$B$9,"")</f>
        <v>0</v>
      </c>
      <c r="H61" s="247">
        <v>277.08100000000002</v>
      </c>
      <c r="I61" s="175">
        <f>IFERROR(H61/$B$9,"")</f>
        <v>1.5176021884327349E-2</v>
      </c>
      <c r="J61" s="247">
        <v>1993.0930000000003</v>
      </c>
      <c r="K61" s="175">
        <f>IFERROR(J61/$B$9,"")</f>
        <v>0.10916382929720786</v>
      </c>
      <c r="L61" s="247">
        <v>5007.6209999999992</v>
      </c>
      <c r="M61" s="248">
        <f>IFERROR(L61/$B$9,"")</f>
        <v>0.27427274293227322</v>
      </c>
    </row>
    <row r="62" spans="1:13" ht="15.75" customHeight="1">
      <c r="A62" s="249" t="s">
        <v>408</v>
      </c>
      <c r="B62" s="250">
        <v>38331.075293114794</v>
      </c>
      <c r="C62" s="173">
        <f>B62/$B$57</f>
        <v>7.9257132126316966E-4</v>
      </c>
      <c r="D62" s="591"/>
      <c r="E62" s="176" t="s">
        <v>408</v>
      </c>
      <c r="F62" s="247">
        <v>0</v>
      </c>
      <c r="G62" s="175">
        <f>IFERROR(F62/$B$62,"")</f>
        <v>0</v>
      </c>
      <c r="H62" s="247">
        <v>1230.5148299999994</v>
      </c>
      <c r="I62" s="175">
        <f>IFERROR(H62/$B$62,"")</f>
        <v>3.210227786698773E-2</v>
      </c>
      <c r="J62" s="247">
        <v>1139.0088600000024</v>
      </c>
      <c r="K62" s="175">
        <f>IFERROR(J62/$B$62,"")</f>
        <v>2.9715024984039426E-2</v>
      </c>
      <c r="L62" s="247">
        <v>2998.8652431147748</v>
      </c>
      <c r="M62" s="248">
        <f>IFERROR(L62/$B$62,"")</f>
        <v>7.8235875727009532E-2</v>
      </c>
    </row>
    <row r="63" spans="1:13" ht="15.75" customHeight="1">
      <c r="A63" s="251"/>
      <c r="D63" s="591"/>
      <c r="E63" s="588" t="s">
        <v>105</v>
      </c>
      <c r="F63" s="603">
        <v>5</v>
      </c>
      <c r="G63" s="604"/>
      <c r="H63" s="603">
        <v>6</v>
      </c>
      <c r="I63" s="604"/>
      <c r="J63" s="603">
        <v>7</v>
      </c>
      <c r="K63" s="604"/>
      <c r="L63" s="605">
        <v>8</v>
      </c>
      <c r="M63" s="606"/>
    </row>
    <row r="64" spans="1:13" ht="15.75" customHeight="1">
      <c r="A64" s="251"/>
      <c r="D64" s="591"/>
      <c r="E64" s="588"/>
      <c r="F64" s="607" t="s">
        <v>409</v>
      </c>
      <c r="G64" s="608"/>
      <c r="H64" s="607" t="s">
        <v>410</v>
      </c>
      <c r="I64" s="608"/>
      <c r="J64" s="607" t="s">
        <v>411</v>
      </c>
      <c r="K64" s="608"/>
      <c r="L64" s="609" t="s">
        <v>412</v>
      </c>
      <c r="M64" s="610"/>
    </row>
    <row r="65" spans="1:13" ht="15.75" customHeight="1">
      <c r="A65" s="251"/>
      <c r="D65" s="591"/>
      <c r="E65" s="588"/>
      <c r="F65" s="193" t="s">
        <v>50</v>
      </c>
      <c r="G65" s="193" t="s">
        <v>15</v>
      </c>
      <c r="H65" s="193" t="s">
        <v>50</v>
      </c>
      <c r="I65" s="193" t="s">
        <v>15</v>
      </c>
      <c r="J65" s="193" t="s">
        <v>50</v>
      </c>
      <c r="K65" s="193" t="s">
        <v>15</v>
      </c>
      <c r="L65" s="193" t="s">
        <v>50</v>
      </c>
      <c r="M65" s="244" t="s">
        <v>15</v>
      </c>
    </row>
    <row r="66" spans="1:13" ht="15.75" customHeight="1">
      <c r="A66" s="251"/>
      <c r="D66" s="591"/>
      <c r="E66" s="171" t="s">
        <v>407</v>
      </c>
      <c r="F66" s="247">
        <v>1790.1419999999998</v>
      </c>
      <c r="G66" s="175">
        <f>IFERROR(F66/$B$9,"")</f>
        <v>9.8047986574516216E-2</v>
      </c>
      <c r="H66" s="247">
        <v>1131.6379999999999</v>
      </c>
      <c r="I66" s="175">
        <f>IFERROR(H66/$B$9,"")</f>
        <v>6.1981020182316472E-2</v>
      </c>
      <c r="J66" s="247">
        <v>0</v>
      </c>
      <c r="K66" s="175">
        <f>IFERROR(J66/$B$9,"")</f>
        <v>0</v>
      </c>
      <c r="L66" s="247">
        <v>0</v>
      </c>
      <c r="M66" s="248">
        <f>IFERROR(L66/$B$9,"")</f>
        <v>0</v>
      </c>
    </row>
    <row r="67" spans="1:13" ht="15.75" customHeight="1" thickBot="1">
      <c r="A67" s="252"/>
      <c r="B67" s="253"/>
      <c r="C67" s="253"/>
      <c r="D67" s="600"/>
      <c r="E67" s="254" t="s">
        <v>408</v>
      </c>
      <c r="F67" s="255">
        <v>27345.851710000003</v>
      </c>
      <c r="G67" s="256">
        <f>IFERROR(F67/$B$62,"")</f>
        <v>0.71341206842981497</v>
      </c>
      <c r="H67" s="255">
        <v>5616.8346500000025</v>
      </c>
      <c r="I67" s="256">
        <f>IFERROR(H67/$B$62,"")</f>
        <v>0.14653475299214797</v>
      </c>
      <c r="J67" s="255">
        <v>0</v>
      </c>
      <c r="K67" s="256">
        <f>IFERROR(J67/$B$62,"")</f>
        <v>0</v>
      </c>
      <c r="L67" s="255">
        <v>0</v>
      </c>
      <c r="M67" s="257">
        <f>IFERROR(L67/$B$62,"")</f>
        <v>0</v>
      </c>
    </row>
    <row r="68" spans="1:13" ht="15.75" customHeight="1">
      <c r="A68" s="594" t="s">
        <v>419</v>
      </c>
      <c r="B68" s="595"/>
      <c r="C68" s="595"/>
      <c r="D68" s="595"/>
      <c r="E68" s="595"/>
      <c r="F68" s="595"/>
      <c r="G68" s="595"/>
      <c r="H68" s="595"/>
      <c r="I68" s="595"/>
      <c r="J68" s="595"/>
      <c r="K68" s="595"/>
      <c r="L68" s="595"/>
      <c r="M68" s="596"/>
    </row>
    <row r="69" spans="1:13" ht="15.75" customHeight="1">
      <c r="A69" s="597"/>
      <c r="B69" s="587"/>
      <c r="C69" s="587"/>
      <c r="D69" s="587"/>
      <c r="E69" s="587"/>
      <c r="F69" s="587"/>
      <c r="G69" s="587"/>
      <c r="H69" s="587"/>
      <c r="I69" s="587"/>
      <c r="J69" s="587"/>
      <c r="K69" s="587"/>
      <c r="L69" s="587"/>
      <c r="M69" s="598"/>
    </row>
    <row r="70" spans="1:13" ht="15.75" customHeight="1">
      <c r="A70" s="242" t="s">
        <v>402</v>
      </c>
      <c r="B70" s="170">
        <v>50470102</v>
      </c>
      <c r="M70" s="243"/>
    </row>
    <row r="71" spans="1:13" ht="15.75" customHeight="1">
      <c r="A71" s="599" t="s">
        <v>105</v>
      </c>
      <c r="B71" s="589" t="s">
        <v>47</v>
      </c>
      <c r="C71" s="589"/>
      <c r="D71" s="590"/>
      <c r="E71" s="588" t="s">
        <v>105</v>
      </c>
      <c r="F71" s="592">
        <v>1</v>
      </c>
      <c r="G71" s="592"/>
      <c r="H71" s="592">
        <v>2</v>
      </c>
      <c r="I71" s="592"/>
      <c r="J71" s="592">
        <v>3</v>
      </c>
      <c r="K71" s="592"/>
      <c r="L71" s="592">
        <v>4</v>
      </c>
      <c r="M71" s="601"/>
    </row>
    <row r="72" spans="1:13" ht="15.75" customHeight="1">
      <c r="A72" s="599"/>
      <c r="B72" s="589"/>
      <c r="C72" s="589"/>
      <c r="D72" s="591"/>
      <c r="E72" s="588"/>
      <c r="F72" s="584" t="s">
        <v>403</v>
      </c>
      <c r="G72" s="584"/>
      <c r="H72" s="584" t="s">
        <v>404</v>
      </c>
      <c r="I72" s="584"/>
      <c r="J72" s="584" t="s">
        <v>405</v>
      </c>
      <c r="K72" s="584"/>
      <c r="L72" s="584" t="s">
        <v>414</v>
      </c>
      <c r="M72" s="602"/>
    </row>
    <row r="73" spans="1:13" ht="15.75" customHeight="1">
      <c r="A73" s="599"/>
      <c r="B73" s="193" t="s">
        <v>50</v>
      </c>
      <c r="C73" s="193" t="s">
        <v>15</v>
      </c>
      <c r="D73" s="591"/>
      <c r="E73" s="588"/>
      <c r="F73" s="193" t="s">
        <v>50</v>
      </c>
      <c r="G73" s="193" t="s">
        <v>15</v>
      </c>
      <c r="H73" s="193" t="s">
        <v>50</v>
      </c>
      <c r="I73" s="193" t="s">
        <v>15</v>
      </c>
      <c r="J73" s="193" t="s">
        <v>50</v>
      </c>
      <c r="K73" s="193" t="s">
        <v>15</v>
      </c>
      <c r="L73" s="193" t="s">
        <v>50</v>
      </c>
      <c r="M73" s="244" t="s">
        <v>15</v>
      </c>
    </row>
    <row r="74" spans="1:13" ht="15.75" customHeight="1">
      <c r="A74" s="245" t="s">
        <v>407</v>
      </c>
      <c r="B74" s="246">
        <v>11260.655999999997</v>
      </c>
      <c r="C74" s="173">
        <f>B74/$B$70</f>
        <v>2.2311538027008538E-4</v>
      </c>
      <c r="D74" s="591"/>
      <c r="E74" s="171" t="s">
        <v>407</v>
      </c>
      <c r="F74" s="247">
        <v>0</v>
      </c>
      <c r="G74" s="175">
        <f>IFERROR(F74/$B$74,"")</f>
        <v>0</v>
      </c>
      <c r="H74" s="247">
        <v>766.85</v>
      </c>
      <c r="I74" s="175">
        <f>IFERROR(H74/$B$74,"")</f>
        <v>6.809994018110492E-2</v>
      </c>
      <c r="J74" s="247">
        <v>2647.3230000000008</v>
      </c>
      <c r="K74" s="175">
        <f>IFERROR(J74/$B$74,"")</f>
        <v>0.23509491809358188</v>
      </c>
      <c r="L74" s="247">
        <v>4766.7250000000004</v>
      </c>
      <c r="M74" s="248">
        <f>IFERROR(L74/$B$74,"")</f>
        <v>0.42330793161606228</v>
      </c>
    </row>
    <row r="75" spans="1:13" ht="15.75" customHeight="1">
      <c r="A75" s="249" t="s">
        <v>408</v>
      </c>
      <c r="B75" s="250">
        <v>30667.696349999991</v>
      </c>
      <c r="C75" s="173">
        <f>B75/$B$70</f>
        <v>6.0764086329764084E-4</v>
      </c>
      <c r="D75" s="591"/>
      <c r="E75" s="176" t="s">
        <v>408</v>
      </c>
      <c r="F75" s="247">
        <v>0</v>
      </c>
      <c r="G75" s="175">
        <f>IFERROR(F75/$B$75,"")</f>
        <v>0</v>
      </c>
      <c r="H75" s="247">
        <v>264.93571999999978</v>
      </c>
      <c r="I75" s="175">
        <f>IFERROR(H75/$B$75,"")</f>
        <v>8.6389181951059667E-3</v>
      </c>
      <c r="J75" s="247">
        <v>1098.7587799999997</v>
      </c>
      <c r="K75" s="175">
        <f>IFERROR(J75/$B$75,"")</f>
        <v>3.5827887672430274E-2</v>
      </c>
      <c r="L75" s="247">
        <v>2446.1784400000056</v>
      </c>
      <c r="M75" s="248">
        <f>IFERROR(L75/$B$75,"")</f>
        <v>7.9764010054182183E-2</v>
      </c>
    </row>
    <row r="76" spans="1:13" ht="15.75" customHeight="1">
      <c r="A76" s="251"/>
      <c r="D76" s="591"/>
      <c r="E76" s="588" t="s">
        <v>105</v>
      </c>
      <c r="F76" s="603">
        <v>5</v>
      </c>
      <c r="G76" s="604"/>
      <c r="H76" s="603">
        <v>6</v>
      </c>
      <c r="I76" s="604"/>
      <c r="J76" s="603">
        <v>7</v>
      </c>
      <c r="K76" s="604"/>
      <c r="L76" s="605">
        <v>8</v>
      </c>
      <c r="M76" s="606"/>
    </row>
    <row r="77" spans="1:13" ht="15.75" customHeight="1">
      <c r="A77" s="251"/>
      <c r="D77" s="591"/>
      <c r="E77" s="588"/>
      <c r="F77" s="607" t="s">
        <v>409</v>
      </c>
      <c r="G77" s="608"/>
      <c r="H77" s="607" t="s">
        <v>410</v>
      </c>
      <c r="I77" s="608"/>
      <c r="J77" s="607" t="s">
        <v>411</v>
      </c>
      <c r="K77" s="608"/>
      <c r="L77" s="609" t="s">
        <v>412</v>
      </c>
      <c r="M77" s="610"/>
    </row>
    <row r="78" spans="1:13" ht="15.75" customHeight="1">
      <c r="A78" s="251"/>
      <c r="D78" s="591"/>
      <c r="E78" s="588"/>
      <c r="F78" s="193" t="s">
        <v>50</v>
      </c>
      <c r="G78" s="193" t="s">
        <v>15</v>
      </c>
      <c r="H78" s="193" t="s">
        <v>50</v>
      </c>
      <c r="I78" s="193" t="s">
        <v>15</v>
      </c>
      <c r="J78" s="193" t="s">
        <v>50</v>
      </c>
      <c r="K78" s="193" t="s">
        <v>15</v>
      </c>
      <c r="L78" s="193" t="s">
        <v>50</v>
      </c>
      <c r="M78" s="244" t="s">
        <v>15</v>
      </c>
    </row>
    <row r="79" spans="1:13" ht="15.75" customHeight="1">
      <c r="A79" s="251"/>
      <c r="D79" s="591"/>
      <c r="E79" s="171" t="s">
        <v>407</v>
      </c>
      <c r="F79" s="247">
        <v>2196.7870000000003</v>
      </c>
      <c r="G79" s="175">
        <f>IFERROR(F79/$B$74,"")</f>
        <v>0.1950851708816965</v>
      </c>
      <c r="H79" s="247">
        <v>882.97099999999989</v>
      </c>
      <c r="I79" s="175">
        <f>IFERROR(H79/$B$74,"")</f>
        <v>7.8412039227554783E-2</v>
      </c>
      <c r="J79" s="247">
        <v>0</v>
      </c>
      <c r="K79" s="175">
        <f>IFERROR(J79/$B$74,"")</f>
        <v>0</v>
      </c>
      <c r="L79" s="247">
        <v>0</v>
      </c>
      <c r="M79" s="248">
        <f>IFERROR(L79/$B$74,"")</f>
        <v>0</v>
      </c>
    </row>
    <row r="80" spans="1:13" ht="15.75" customHeight="1" thickBot="1">
      <c r="A80" s="252"/>
      <c r="B80" s="253"/>
      <c r="C80" s="253"/>
      <c r="D80" s="600"/>
      <c r="E80" s="254" t="s">
        <v>408</v>
      </c>
      <c r="F80" s="255">
        <v>21773.092659999995</v>
      </c>
      <c r="G80" s="256">
        <f>IFERROR(F80/$B$75,"")</f>
        <v>0.70996831361283519</v>
      </c>
      <c r="H80" s="255">
        <v>5084.7307499999924</v>
      </c>
      <c r="I80" s="256">
        <f>IFERROR(H80/$B$75,"")</f>
        <v>0.16580087046544642</v>
      </c>
      <c r="J80" s="255">
        <v>0</v>
      </c>
      <c r="K80" s="256">
        <f>IFERROR(J80/$B$75,"")</f>
        <v>0</v>
      </c>
      <c r="L80" s="255">
        <v>0</v>
      </c>
      <c r="M80" s="257">
        <f>IFERROR(L80/$B$75,"")</f>
        <v>0</v>
      </c>
    </row>
    <row r="81" spans="1:13" ht="15.75" customHeight="1">
      <c r="A81" s="594" t="s">
        <v>420</v>
      </c>
      <c r="B81" s="595"/>
      <c r="C81" s="595"/>
      <c r="D81" s="595"/>
      <c r="E81" s="595"/>
      <c r="F81" s="595"/>
      <c r="G81" s="595"/>
      <c r="H81" s="595"/>
      <c r="I81" s="595"/>
      <c r="J81" s="595"/>
      <c r="K81" s="595"/>
      <c r="L81" s="595"/>
      <c r="M81" s="596"/>
    </row>
    <row r="82" spans="1:13" ht="15.75" customHeight="1">
      <c r="A82" s="597"/>
      <c r="B82" s="587"/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98"/>
    </row>
    <row r="83" spans="1:13" ht="15.75" customHeight="1">
      <c r="A83" s="242" t="s">
        <v>402</v>
      </c>
      <c r="B83" s="170">
        <v>52767858</v>
      </c>
      <c r="M83" s="243"/>
    </row>
    <row r="84" spans="1:13" ht="15.75" customHeight="1">
      <c r="A84" s="599" t="s">
        <v>105</v>
      </c>
      <c r="B84" s="589" t="s">
        <v>47</v>
      </c>
      <c r="C84" s="589"/>
      <c r="D84" s="590"/>
      <c r="E84" s="588" t="s">
        <v>105</v>
      </c>
      <c r="F84" s="592">
        <v>1</v>
      </c>
      <c r="G84" s="592"/>
      <c r="H84" s="592">
        <v>2</v>
      </c>
      <c r="I84" s="592"/>
      <c r="J84" s="592">
        <v>3</v>
      </c>
      <c r="K84" s="592"/>
      <c r="L84" s="592">
        <v>4</v>
      </c>
      <c r="M84" s="601"/>
    </row>
    <row r="85" spans="1:13" ht="15.75" customHeight="1">
      <c r="A85" s="599"/>
      <c r="B85" s="589"/>
      <c r="C85" s="589"/>
      <c r="D85" s="591"/>
      <c r="E85" s="588"/>
      <c r="F85" s="584" t="s">
        <v>403</v>
      </c>
      <c r="G85" s="584"/>
      <c r="H85" s="584" t="s">
        <v>404</v>
      </c>
      <c r="I85" s="584"/>
      <c r="J85" s="584" t="s">
        <v>405</v>
      </c>
      <c r="K85" s="584"/>
      <c r="L85" s="584" t="s">
        <v>414</v>
      </c>
      <c r="M85" s="602"/>
    </row>
    <row r="86" spans="1:13" ht="15.75" customHeight="1">
      <c r="A86" s="599"/>
      <c r="B86" s="193" t="s">
        <v>50</v>
      </c>
      <c r="C86" s="193" t="s">
        <v>15</v>
      </c>
      <c r="D86" s="591"/>
      <c r="E86" s="588"/>
      <c r="F86" s="193" t="s">
        <v>50</v>
      </c>
      <c r="G86" s="193" t="s">
        <v>15</v>
      </c>
      <c r="H86" s="193" t="s">
        <v>50</v>
      </c>
      <c r="I86" s="193" t="s">
        <v>15</v>
      </c>
      <c r="J86" s="193" t="s">
        <v>50</v>
      </c>
      <c r="K86" s="193" t="s">
        <v>15</v>
      </c>
      <c r="L86" s="193" t="s">
        <v>50</v>
      </c>
      <c r="M86" s="244" t="s">
        <v>15</v>
      </c>
    </row>
    <row r="87" spans="1:13" ht="15.75" customHeight="1">
      <c r="A87" s="245" t="s">
        <v>407</v>
      </c>
      <c r="B87" s="246">
        <v>11250.800999999999</v>
      </c>
      <c r="C87" s="173">
        <f>B87/$B$83</f>
        <v>2.1321314577521793E-4</v>
      </c>
      <c r="D87" s="591"/>
      <c r="E87" s="171" t="s">
        <v>407</v>
      </c>
      <c r="F87" s="247">
        <v>0</v>
      </c>
      <c r="G87" s="175">
        <f>IFERROR(F87/$B$87,"")</f>
        <v>0</v>
      </c>
      <c r="H87" s="247">
        <v>318.62400000000002</v>
      </c>
      <c r="I87" s="175">
        <f>IFERROR(H87/$B$87,"")</f>
        <v>2.8320116941007136E-2</v>
      </c>
      <c r="J87" s="247">
        <v>3141.2160000000003</v>
      </c>
      <c r="K87" s="175">
        <f>IFERROR(J87/$B$87,"")</f>
        <v>0.27919932100834427</v>
      </c>
      <c r="L87" s="247">
        <v>5274.1350000000002</v>
      </c>
      <c r="M87" s="248">
        <f>IFERROR(L87/$B$87,"")</f>
        <v>0.46877862296204514</v>
      </c>
    </row>
    <row r="88" spans="1:13" ht="15.75" customHeight="1">
      <c r="A88" s="249" t="s">
        <v>408</v>
      </c>
      <c r="B88" s="250">
        <v>29022.845779999985</v>
      </c>
      <c r="C88" s="173">
        <f>B88/$B$83</f>
        <v>5.5000992801337487E-4</v>
      </c>
      <c r="D88" s="591"/>
      <c r="E88" s="176" t="s">
        <v>408</v>
      </c>
      <c r="F88" s="247">
        <v>0</v>
      </c>
      <c r="G88" s="175">
        <f>IFERROR(F88/$B$88,"")</f>
        <v>0</v>
      </c>
      <c r="H88" s="247">
        <v>952.74906999999962</v>
      </c>
      <c r="I88" s="175">
        <f>IFERROR(H88/$B$88,"")</f>
        <v>3.2827555134395239E-2</v>
      </c>
      <c r="J88" s="247">
        <v>1550.483820000004</v>
      </c>
      <c r="K88" s="175">
        <f>IFERROR(J88/$B$88,"")</f>
        <v>5.3422873544277397E-2</v>
      </c>
      <c r="L88" s="247">
        <v>2058.8515699999925</v>
      </c>
      <c r="M88" s="248">
        <f>IFERROR(L88/$B$88,"")</f>
        <v>7.0938997009685853E-2</v>
      </c>
    </row>
    <row r="89" spans="1:13" ht="15.75" customHeight="1">
      <c r="A89" s="251"/>
      <c r="D89" s="591"/>
      <c r="E89" s="588" t="s">
        <v>105</v>
      </c>
      <c r="F89" s="603">
        <v>5</v>
      </c>
      <c r="G89" s="604"/>
      <c r="H89" s="603">
        <v>6</v>
      </c>
      <c r="I89" s="604"/>
      <c r="J89" s="603">
        <v>7</v>
      </c>
      <c r="K89" s="604"/>
      <c r="L89" s="605">
        <v>8</v>
      </c>
      <c r="M89" s="606"/>
    </row>
    <row r="90" spans="1:13" ht="15.75" customHeight="1">
      <c r="A90" s="251"/>
      <c r="D90" s="591"/>
      <c r="E90" s="588"/>
      <c r="F90" s="607" t="s">
        <v>409</v>
      </c>
      <c r="G90" s="608"/>
      <c r="H90" s="607" t="s">
        <v>410</v>
      </c>
      <c r="I90" s="608"/>
      <c r="J90" s="607" t="s">
        <v>411</v>
      </c>
      <c r="K90" s="608"/>
      <c r="L90" s="609" t="s">
        <v>412</v>
      </c>
      <c r="M90" s="610"/>
    </row>
    <row r="91" spans="1:13" ht="15.75" customHeight="1">
      <c r="A91" s="251"/>
      <c r="D91" s="591"/>
      <c r="E91" s="588"/>
      <c r="F91" s="193" t="s">
        <v>50</v>
      </c>
      <c r="G91" s="193" t="s">
        <v>15</v>
      </c>
      <c r="H91" s="193" t="s">
        <v>50</v>
      </c>
      <c r="I91" s="193" t="s">
        <v>15</v>
      </c>
      <c r="J91" s="193" t="s">
        <v>50</v>
      </c>
      <c r="K91" s="193" t="s">
        <v>15</v>
      </c>
      <c r="L91" s="193" t="s">
        <v>50</v>
      </c>
      <c r="M91" s="244" t="s">
        <v>15</v>
      </c>
    </row>
    <row r="92" spans="1:13" ht="15.75" customHeight="1">
      <c r="A92" s="251"/>
      <c r="D92" s="591"/>
      <c r="E92" s="171" t="s">
        <v>407</v>
      </c>
      <c r="F92" s="247">
        <v>2015.4880000000001</v>
      </c>
      <c r="G92" s="175">
        <f>IFERROR(F92/$B$87,"")</f>
        <v>0.17914173399742828</v>
      </c>
      <c r="H92" s="247">
        <v>501.33799999999997</v>
      </c>
      <c r="I92" s="175">
        <f>IFERROR(H92/$B$87,"")</f>
        <v>4.4560205091175288E-2</v>
      </c>
      <c r="J92" s="247">
        <v>0</v>
      </c>
      <c r="K92" s="175">
        <f>IFERROR(J92/$B$87,"")</f>
        <v>0</v>
      </c>
      <c r="L92" s="247">
        <v>0</v>
      </c>
      <c r="M92" s="248">
        <f>IFERROR(L92/$B$87,"")</f>
        <v>0</v>
      </c>
    </row>
    <row r="93" spans="1:13" ht="15.75" customHeight="1" thickBot="1">
      <c r="A93" s="252"/>
      <c r="B93" s="253"/>
      <c r="C93" s="253"/>
      <c r="D93" s="600"/>
      <c r="E93" s="254" t="s">
        <v>408</v>
      </c>
      <c r="F93" s="255">
        <v>18726.078090000003</v>
      </c>
      <c r="G93" s="256">
        <f>IFERROR(F93/$B$88,"")</f>
        <v>0.64521853687085307</v>
      </c>
      <c r="H93" s="255">
        <v>5734.6832299999887</v>
      </c>
      <c r="I93" s="256">
        <f>IFERROR(H93/$B$88,"")</f>
        <v>0.19759203744078854</v>
      </c>
      <c r="J93" s="255">
        <v>0</v>
      </c>
      <c r="K93" s="256">
        <f>IFERROR(J93/$B$88,"")</f>
        <v>0</v>
      </c>
      <c r="L93" s="255">
        <v>0</v>
      </c>
      <c r="M93" s="257">
        <f>IFERROR(L93/$B$88,"")</f>
        <v>0</v>
      </c>
    </row>
    <row r="94" spans="1:13" ht="15.75" customHeight="1">
      <c r="A94" s="594" t="s">
        <v>421</v>
      </c>
      <c r="B94" s="595"/>
      <c r="C94" s="595"/>
      <c r="D94" s="595"/>
      <c r="E94" s="595"/>
      <c r="F94" s="595"/>
      <c r="G94" s="595"/>
      <c r="H94" s="595"/>
      <c r="I94" s="595"/>
      <c r="J94" s="595"/>
      <c r="K94" s="595"/>
      <c r="L94" s="595"/>
      <c r="M94" s="596"/>
    </row>
    <row r="95" spans="1:13" ht="15.75" customHeight="1">
      <c r="A95" s="597"/>
      <c r="B95" s="587"/>
      <c r="C95" s="587"/>
      <c r="D95" s="587"/>
      <c r="E95" s="587"/>
      <c r="F95" s="587"/>
      <c r="G95" s="587"/>
      <c r="H95" s="587"/>
      <c r="I95" s="587"/>
      <c r="J95" s="587"/>
      <c r="K95" s="587"/>
      <c r="L95" s="587"/>
      <c r="M95" s="598"/>
    </row>
    <row r="96" spans="1:13" ht="15.75" customHeight="1">
      <c r="A96" s="242" t="s">
        <v>402</v>
      </c>
      <c r="B96" s="170">
        <v>47691357</v>
      </c>
      <c r="M96" s="243"/>
    </row>
    <row r="97" spans="1:13" ht="15.75" customHeight="1">
      <c r="A97" s="599" t="s">
        <v>105</v>
      </c>
      <c r="B97" s="589" t="s">
        <v>47</v>
      </c>
      <c r="C97" s="589"/>
      <c r="D97" s="590"/>
      <c r="E97" s="588" t="s">
        <v>105</v>
      </c>
      <c r="F97" s="592">
        <v>1</v>
      </c>
      <c r="G97" s="592"/>
      <c r="H97" s="592">
        <v>2</v>
      </c>
      <c r="I97" s="592"/>
      <c r="J97" s="592">
        <v>3</v>
      </c>
      <c r="K97" s="592"/>
      <c r="L97" s="592">
        <v>4</v>
      </c>
      <c r="M97" s="601"/>
    </row>
    <row r="98" spans="1:13" ht="15.75" customHeight="1">
      <c r="A98" s="599"/>
      <c r="B98" s="589"/>
      <c r="C98" s="589"/>
      <c r="D98" s="591"/>
      <c r="E98" s="588"/>
      <c r="F98" s="584" t="s">
        <v>403</v>
      </c>
      <c r="G98" s="584"/>
      <c r="H98" s="584" t="s">
        <v>404</v>
      </c>
      <c r="I98" s="584"/>
      <c r="J98" s="584" t="s">
        <v>405</v>
      </c>
      <c r="K98" s="584"/>
      <c r="L98" s="584" t="s">
        <v>414</v>
      </c>
      <c r="M98" s="602"/>
    </row>
    <row r="99" spans="1:13" ht="15.75" customHeight="1">
      <c r="A99" s="599"/>
      <c r="B99" s="193" t="s">
        <v>50</v>
      </c>
      <c r="C99" s="193" t="s">
        <v>15</v>
      </c>
      <c r="D99" s="591"/>
      <c r="E99" s="588"/>
      <c r="F99" s="193" t="s">
        <v>50</v>
      </c>
      <c r="G99" s="193" t="s">
        <v>15</v>
      </c>
      <c r="H99" s="193" t="s">
        <v>50</v>
      </c>
      <c r="I99" s="193" t="s">
        <v>15</v>
      </c>
      <c r="J99" s="193" t="s">
        <v>50</v>
      </c>
      <c r="K99" s="193" t="s">
        <v>15</v>
      </c>
      <c r="L99" s="193" t="s">
        <v>50</v>
      </c>
      <c r="M99" s="244" t="s">
        <v>15</v>
      </c>
    </row>
    <row r="100" spans="1:13" ht="15.75" customHeight="1">
      <c r="A100" s="245" t="s">
        <v>407</v>
      </c>
      <c r="B100" s="246">
        <v>10039.797000000002</v>
      </c>
      <c r="C100" s="173">
        <f>B100/B96</f>
        <v>2.1051606898080092E-4</v>
      </c>
      <c r="D100" s="591"/>
      <c r="E100" s="171" t="s">
        <v>407</v>
      </c>
      <c r="F100" s="247">
        <v>0</v>
      </c>
      <c r="G100" s="175">
        <f>IFERROR(F100/B100,"")</f>
        <v>0</v>
      </c>
      <c r="H100" s="247">
        <v>271.83799999999997</v>
      </c>
      <c r="I100" s="175">
        <f>IFERROR(H100/B100,"")</f>
        <v>2.7076045461875364E-2</v>
      </c>
      <c r="J100" s="247">
        <v>4273.6259999999993</v>
      </c>
      <c r="K100" s="175">
        <f>IFERROR(J100/B100,"")</f>
        <v>0.42566856680468723</v>
      </c>
      <c r="L100" s="247">
        <v>2693.489</v>
      </c>
      <c r="M100" s="248">
        <f>IFERROR(L100/B100,"")</f>
        <v>0.26828122122389519</v>
      </c>
    </row>
    <row r="101" spans="1:13" ht="15.75" customHeight="1">
      <c r="A101" s="249" t="s">
        <v>408</v>
      </c>
      <c r="B101" s="250">
        <v>24074.689549999996</v>
      </c>
      <c r="C101" s="173">
        <f>B101/B96</f>
        <v>5.0480194031803278E-4</v>
      </c>
      <c r="D101" s="591"/>
      <c r="E101" s="176" t="s">
        <v>408</v>
      </c>
      <c r="F101" s="247">
        <v>0</v>
      </c>
      <c r="G101" s="175">
        <f>IFERROR(F101/B101,"")</f>
        <v>0</v>
      </c>
      <c r="H101" s="247">
        <v>286.94316000000009</v>
      </c>
      <c r="I101" s="175">
        <f>IFERROR(H101/B101,"")</f>
        <v>1.191887269840205E-2</v>
      </c>
      <c r="J101" s="247">
        <v>1513.2548000000006</v>
      </c>
      <c r="K101" s="175">
        <f>IFERROR(J101/B101,"")</f>
        <v>6.2856669318919672E-2</v>
      </c>
      <c r="L101" s="247">
        <v>697.97637999999438</v>
      </c>
      <c r="M101" s="248">
        <f>IFERROR(L101/B101,"")</f>
        <v>2.8992123804977354E-2</v>
      </c>
    </row>
    <row r="102" spans="1:13" ht="15.75" customHeight="1">
      <c r="A102" s="251"/>
      <c r="D102" s="591"/>
      <c r="E102" s="588" t="s">
        <v>105</v>
      </c>
      <c r="F102" s="603">
        <v>5</v>
      </c>
      <c r="G102" s="604"/>
      <c r="H102" s="603">
        <v>6</v>
      </c>
      <c r="I102" s="604"/>
      <c r="J102" s="603">
        <v>7</v>
      </c>
      <c r="K102" s="604"/>
      <c r="L102" s="605">
        <v>8</v>
      </c>
      <c r="M102" s="606"/>
    </row>
    <row r="103" spans="1:13" ht="15.75" customHeight="1">
      <c r="A103" s="251"/>
      <c r="D103" s="591"/>
      <c r="E103" s="588"/>
      <c r="F103" s="607" t="s">
        <v>409</v>
      </c>
      <c r="G103" s="608"/>
      <c r="H103" s="607" t="s">
        <v>410</v>
      </c>
      <c r="I103" s="608"/>
      <c r="J103" s="607" t="s">
        <v>411</v>
      </c>
      <c r="K103" s="608"/>
      <c r="L103" s="609" t="s">
        <v>412</v>
      </c>
      <c r="M103" s="610"/>
    </row>
    <row r="104" spans="1:13" ht="15.75" customHeight="1">
      <c r="A104" s="251"/>
      <c r="D104" s="591"/>
      <c r="E104" s="588"/>
      <c r="F104" s="193" t="s">
        <v>50</v>
      </c>
      <c r="G104" s="193" t="s">
        <v>15</v>
      </c>
      <c r="H104" s="193" t="s">
        <v>50</v>
      </c>
      <c r="I104" s="193" t="s">
        <v>15</v>
      </c>
      <c r="J104" s="193" t="s">
        <v>50</v>
      </c>
      <c r="K104" s="193" t="s">
        <v>15</v>
      </c>
      <c r="L104" s="193" t="s">
        <v>50</v>
      </c>
      <c r="M104" s="244" t="s">
        <v>15</v>
      </c>
    </row>
    <row r="105" spans="1:13" ht="15.75" customHeight="1">
      <c r="A105" s="251"/>
      <c r="D105" s="591"/>
      <c r="E105" s="171" t="s">
        <v>407</v>
      </c>
      <c r="F105" s="247">
        <v>2055.0280000000002</v>
      </c>
      <c r="G105" s="175">
        <f>IFERROR(F105/B100,"")</f>
        <v>0.20468820236106366</v>
      </c>
      <c r="H105" s="247">
        <v>745.81600000000014</v>
      </c>
      <c r="I105" s="175">
        <f>IFERROR(H105/B100,"")</f>
        <v>7.4285964148478295E-2</v>
      </c>
      <c r="J105" s="247">
        <v>0</v>
      </c>
      <c r="K105" s="175">
        <f>IFERROR(J105/B100,"")</f>
        <v>0</v>
      </c>
      <c r="L105" s="247">
        <v>0</v>
      </c>
      <c r="M105" s="248">
        <f>IFERROR(L105/B100,"")</f>
        <v>0</v>
      </c>
    </row>
    <row r="106" spans="1:13" ht="15.75" customHeight="1" thickBot="1">
      <c r="A106" s="252"/>
      <c r="B106" s="253"/>
      <c r="C106" s="253"/>
      <c r="D106" s="600"/>
      <c r="E106" s="254" t="s">
        <v>408</v>
      </c>
      <c r="F106" s="255">
        <v>16573.329590000001</v>
      </c>
      <c r="G106" s="256">
        <f>IFERROR(F106/B101,"")</f>
        <v>0.68841301382430509</v>
      </c>
      <c r="H106" s="255">
        <v>5003.1856200000038</v>
      </c>
      <c r="I106" s="256">
        <f>IFERROR(H106/B101,"")</f>
        <v>0.20781932035339598</v>
      </c>
      <c r="J106" s="255">
        <v>0</v>
      </c>
      <c r="K106" s="256">
        <f>IFERROR(J106/B101,"")</f>
        <v>0</v>
      </c>
      <c r="L106" s="255">
        <v>0</v>
      </c>
      <c r="M106" s="257">
        <f>IFERROR(L106/B101,"")</f>
        <v>0</v>
      </c>
    </row>
    <row r="107" spans="1:13" ht="15.75" customHeight="1">
      <c r="A107" s="594" t="s">
        <v>422</v>
      </c>
      <c r="B107" s="595"/>
      <c r="C107" s="595"/>
      <c r="D107" s="595"/>
      <c r="E107" s="595"/>
      <c r="F107" s="595"/>
      <c r="G107" s="595"/>
      <c r="H107" s="595"/>
      <c r="I107" s="595"/>
      <c r="J107" s="595"/>
      <c r="K107" s="595"/>
      <c r="L107" s="595"/>
      <c r="M107" s="596"/>
    </row>
    <row r="108" spans="1:13" ht="15.75" customHeight="1">
      <c r="A108" s="597"/>
      <c r="B108" s="587"/>
      <c r="C108" s="587"/>
      <c r="D108" s="587"/>
      <c r="E108" s="587"/>
      <c r="F108" s="587"/>
      <c r="G108" s="587"/>
      <c r="H108" s="587"/>
      <c r="I108" s="587"/>
      <c r="J108" s="587"/>
      <c r="K108" s="587"/>
      <c r="L108" s="587"/>
      <c r="M108" s="598"/>
    </row>
    <row r="109" spans="1:13" ht="15.75" customHeight="1">
      <c r="A109" s="242" t="s">
        <v>402</v>
      </c>
      <c r="B109" s="293">
        <v>50444409</v>
      </c>
      <c r="M109" s="243"/>
    </row>
    <row r="110" spans="1:13" ht="15.75" customHeight="1">
      <c r="A110" s="599" t="s">
        <v>105</v>
      </c>
      <c r="B110" s="589" t="s">
        <v>47</v>
      </c>
      <c r="C110" s="589"/>
      <c r="D110" s="590"/>
      <c r="E110" s="588" t="s">
        <v>105</v>
      </c>
      <c r="F110" s="592">
        <v>1</v>
      </c>
      <c r="G110" s="592"/>
      <c r="H110" s="592">
        <v>2</v>
      </c>
      <c r="I110" s="592"/>
      <c r="J110" s="592">
        <v>3</v>
      </c>
      <c r="K110" s="592"/>
      <c r="L110" s="592">
        <v>4</v>
      </c>
      <c r="M110" s="601"/>
    </row>
    <row r="111" spans="1:13" ht="15.75" customHeight="1">
      <c r="A111" s="599"/>
      <c r="B111" s="589"/>
      <c r="C111" s="589"/>
      <c r="D111" s="591"/>
      <c r="E111" s="588"/>
      <c r="F111" s="584" t="s">
        <v>403</v>
      </c>
      <c r="G111" s="584"/>
      <c r="H111" s="584" t="s">
        <v>404</v>
      </c>
      <c r="I111" s="584"/>
      <c r="J111" s="584" t="s">
        <v>405</v>
      </c>
      <c r="K111" s="584"/>
      <c r="L111" s="584" t="s">
        <v>414</v>
      </c>
      <c r="M111" s="602"/>
    </row>
    <row r="112" spans="1:13" ht="15.75" customHeight="1">
      <c r="A112" s="599"/>
      <c r="B112" s="193" t="s">
        <v>50</v>
      </c>
      <c r="C112" s="193" t="s">
        <v>15</v>
      </c>
      <c r="D112" s="591"/>
      <c r="E112" s="588"/>
      <c r="F112" s="193" t="s">
        <v>50</v>
      </c>
      <c r="G112" s="193" t="s">
        <v>15</v>
      </c>
      <c r="H112" s="193" t="s">
        <v>50</v>
      </c>
      <c r="I112" s="193" t="s">
        <v>15</v>
      </c>
      <c r="J112" s="193" t="s">
        <v>50</v>
      </c>
      <c r="K112" s="193" t="s">
        <v>15</v>
      </c>
      <c r="L112" s="193" t="s">
        <v>50</v>
      </c>
      <c r="M112" s="244" t="s">
        <v>15</v>
      </c>
    </row>
    <row r="113" spans="1:13" ht="15.75" customHeight="1">
      <c r="A113" s="245" t="s">
        <v>407</v>
      </c>
      <c r="B113" s="246">
        <v>10637.800000000001</v>
      </c>
      <c r="C113" s="173">
        <f>B113/B109</f>
        <v>2.1088164597190544E-4</v>
      </c>
      <c r="D113" s="591"/>
      <c r="E113" s="171" t="s">
        <v>407</v>
      </c>
      <c r="F113" s="247">
        <v>0</v>
      </c>
      <c r="G113" s="175">
        <f>IFERROR(F113/B113,"")</f>
        <v>0</v>
      </c>
      <c r="H113" s="247">
        <v>136.82900000000001</v>
      </c>
      <c r="I113" s="175">
        <f>IFERROR(H113/B113,"")</f>
        <v>1.2862527966308823E-2</v>
      </c>
      <c r="J113" s="247">
        <v>3185.3060000000005</v>
      </c>
      <c r="K113" s="175">
        <f>IFERROR(J113/B113,"")</f>
        <v>0.29943277745398489</v>
      </c>
      <c r="L113" s="247">
        <v>4151.8950000000004</v>
      </c>
      <c r="M113" s="248">
        <f>IFERROR(L113/B113,"")</f>
        <v>0.39029639587132681</v>
      </c>
    </row>
    <row r="114" spans="1:13" ht="15.75" customHeight="1">
      <c r="A114" s="249" t="s">
        <v>408</v>
      </c>
      <c r="B114" s="250">
        <v>22192.718089999984</v>
      </c>
      <c r="C114" s="173">
        <f>B114/B109</f>
        <v>4.3994405980650865E-4</v>
      </c>
      <c r="D114" s="591"/>
      <c r="E114" s="176" t="s">
        <v>408</v>
      </c>
      <c r="F114" s="247">
        <v>0</v>
      </c>
      <c r="G114" s="175">
        <f>IFERROR(F114/B114,"")</f>
        <v>0</v>
      </c>
      <c r="H114" s="247">
        <v>431.16616000000005</v>
      </c>
      <c r="I114" s="175">
        <f>IFERROR(H114/B114,"")</f>
        <v>1.942827184355949E-2</v>
      </c>
      <c r="J114" s="247">
        <v>1784.5664799999979</v>
      </c>
      <c r="K114" s="175">
        <f>IFERROR(J114/B114,"")</f>
        <v>8.0412253819604082E-2</v>
      </c>
      <c r="L114" s="247">
        <v>2934.7442599999968</v>
      </c>
      <c r="M114" s="248">
        <f>IFERROR(L114/B114,"")</f>
        <v>0.13223906364684501</v>
      </c>
    </row>
    <row r="115" spans="1:13" ht="15.75" customHeight="1">
      <c r="A115" s="251"/>
      <c r="D115" s="591"/>
      <c r="E115" s="588" t="s">
        <v>105</v>
      </c>
      <c r="F115" s="603">
        <v>5</v>
      </c>
      <c r="G115" s="604"/>
      <c r="H115" s="603">
        <v>6</v>
      </c>
      <c r="I115" s="604"/>
      <c r="J115" s="603">
        <v>7</v>
      </c>
      <c r="K115" s="604"/>
      <c r="L115" s="605">
        <v>8</v>
      </c>
      <c r="M115" s="606"/>
    </row>
    <row r="116" spans="1:13" ht="15.75" customHeight="1">
      <c r="A116" s="251"/>
      <c r="D116" s="591"/>
      <c r="E116" s="588"/>
      <c r="F116" s="607" t="s">
        <v>409</v>
      </c>
      <c r="G116" s="608"/>
      <c r="H116" s="607" t="s">
        <v>410</v>
      </c>
      <c r="I116" s="608"/>
      <c r="J116" s="607" t="s">
        <v>411</v>
      </c>
      <c r="K116" s="608"/>
      <c r="L116" s="609" t="s">
        <v>412</v>
      </c>
      <c r="M116" s="610"/>
    </row>
    <row r="117" spans="1:13" ht="15.75" customHeight="1">
      <c r="A117" s="251"/>
      <c r="D117" s="591"/>
      <c r="E117" s="588"/>
      <c r="F117" s="193" t="s">
        <v>50</v>
      </c>
      <c r="G117" s="193" t="s">
        <v>15</v>
      </c>
      <c r="H117" s="193" t="s">
        <v>50</v>
      </c>
      <c r="I117" s="193" t="s">
        <v>15</v>
      </c>
      <c r="J117" s="193" t="s">
        <v>50</v>
      </c>
      <c r="K117" s="193" t="s">
        <v>15</v>
      </c>
      <c r="L117" s="193" t="s">
        <v>50</v>
      </c>
      <c r="M117" s="244" t="s">
        <v>15</v>
      </c>
    </row>
    <row r="118" spans="1:13" ht="15.75" customHeight="1">
      <c r="A118" s="251"/>
      <c r="D118" s="591"/>
      <c r="E118" s="171" t="s">
        <v>407</v>
      </c>
      <c r="F118" s="247">
        <v>2466.5980000000004</v>
      </c>
      <c r="G118" s="175">
        <f>IFERROR(F118/B113,"")</f>
        <v>0.23187106356577489</v>
      </c>
      <c r="H118" s="247">
        <v>697.17200000000003</v>
      </c>
      <c r="I118" s="175">
        <f>IFERROR(H118/B113,"")</f>
        <v>6.5537235142604663E-2</v>
      </c>
      <c r="J118" s="247">
        <v>0</v>
      </c>
      <c r="K118" s="175">
        <f>IFERROR(J118/B113,"")</f>
        <v>0</v>
      </c>
      <c r="L118" s="247">
        <v>0</v>
      </c>
      <c r="M118" s="248">
        <f>IFERROR(L118/B113,"")</f>
        <v>0</v>
      </c>
    </row>
    <row r="119" spans="1:13" ht="15.75" customHeight="1" thickBot="1">
      <c r="A119" s="252"/>
      <c r="B119" s="253"/>
      <c r="C119" s="253"/>
      <c r="D119" s="600"/>
      <c r="E119" s="254" t="s">
        <v>408</v>
      </c>
      <c r="F119" s="255">
        <v>10862.057839999987</v>
      </c>
      <c r="G119" s="256">
        <f>IFERROR(F119/B114,"")</f>
        <v>0.48944242863583343</v>
      </c>
      <c r="H119" s="255">
        <v>6180.1833500000057</v>
      </c>
      <c r="I119" s="256">
        <f>IFERROR(H119/B114,"")</f>
        <v>0.27847798205415814</v>
      </c>
      <c r="J119" s="255">
        <v>0</v>
      </c>
      <c r="K119" s="256">
        <f>IFERROR(J119/B114,"")</f>
        <v>0</v>
      </c>
      <c r="L119" s="255">
        <v>0</v>
      </c>
      <c r="M119" s="257">
        <f>IFERROR(L119/B114,"")</f>
        <v>0</v>
      </c>
    </row>
    <row r="120" spans="1:13" ht="15.75" customHeight="1">
      <c r="A120" s="594" t="s">
        <v>423</v>
      </c>
      <c r="B120" s="595"/>
      <c r="C120" s="595"/>
      <c r="D120" s="595"/>
      <c r="E120" s="595"/>
      <c r="F120" s="595"/>
      <c r="G120" s="595"/>
      <c r="H120" s="595"/>
      <c r="I120" s="595"/>
      <c r="J120" s="595"/>
      <c r="K120" s="595"/>
      <c r="L120" s="595"/>
      <c r="M120" s="596"/>
    </row>
    <row r="121" spans="1:13" ht="15.75" customHeight="1">
      <c r="A121" s="597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98"/>
    </row>
    <row r="122" spans="1:13" ht="15.75" customHeight="1">
      <c r="A122" s="242" t="s">
        <v>402</v>
      </c>
      <c r="B122" s="293">
        <v>50896038</v>
      </c>
      <c r="M122" s="243"/>
    </row>
    <row r="123" spans="1:13" ht="15.75" customHeight="1">
      <c r="A123" s="599" t="s">
        <v>105</v>
      </c>
      <c r="B123" s="589" t="s">
        <v>47</v>
      </c>
      <c r="C123" s="589"/>
      <c r="D123" s="590"/>
      <c r="E123" s="588" t="s">
        <v>105</v>
      </c>
      <c r="F123" s="592">
        <v>1</v>
      </c>
      <c r="G123" s="592"/>
      <c r="H123" s="592">
        <v>2</v>
      </c>
      <c r="I123" s="592"/>
      <c r="J123" s="592">
        <v>3</v>
      </c>
      <c r="K123" s="592"/>
      <c r="L123" s="592">
        <v>4</v>
      </c>
      <c r="M123" s="601"/>
    </row>
    <row r="124" spans="1:13" ht="15.75" customHeight="1">
      <c r="A124" s="599"/>
      <c r="B124" s="589"/>
      <c r="C124" s="589"/>
      <c r="D124" s="591"/>
      <c r="E124" s="588"/>
      <c r="F124" s="584" t="s">
        <v>403</v>
      </c>
      <c r="G124" s="584"/>
      <c r="H124" s="584" t="s">
        <v>404</v>
      </c>
      <c r="I124" s="584"/>
      <c r="J124" s="584" t="s">
        <v>405</v>
      </c>
      <c r="K124" s="584"/>
      <c r="L124" s="584" t="s">
        <v>414</v>
      </c>
      <c r="M124" s="602"/>
    </row>
    <row r="125" spans="1:13" ht="15.75" customHeight="1">
      <c r="A125" s="599"/>
      <c r="B125" s="193" t="s">
        <v>50</v>
      </c>
      <c r="C125" s="193" t="s">
        <v>15</v>
      </c>
      <c r="D125" s="591"/>
      <c r="E125" s="588"/>
      <c r="F125" s="193" t="s">
        <v>50</v>
      </c>
      <c r="G125" s="193" t="s">
        <v>15</v>
      </c>
      <c r="H125" s="193" t="s">
        <v>50</v>
      </c>
      <c r="I125" s="193" t="s">
        <v>15</v>
      </c>
      <c r="J125" s="193" t="s">
        <v>50</v>
      </c>
      <c r="K125" s="193" t="s">
        <v>15</v>
      </c>
      <c r="L125" s="193" t="s">
        <v>50</v>
      </c>
      <c r="M125" s="244" t="s">
        <v>15</v>
      </c>
    </row>
    <row r="126" spans="1:13" ht="15.75" customHeight="1">
      <c r="A126" s="245" t="s">
        <v>407</v>
      </c>
      <c r="B126" s="246">
        <v>125923.71199999998</v>
      </c>
      <c r="C126" s="173">
        <f>B126/B122</f>
        <v>2.4741358453088231E-3</v>
      </c>
      <c r="D126" s="591"/>
      <c r="E126" s="171" t="s">
        <v>407</v>
      </c>
      <c r="F126" s="247">
        <v>0</v>
      </c>
      <c r="G126" s="175">
        <f>IFERROR(F126/B126,"")</f>
        <v>0</v>
      </c>
      <c r="H126" s="247">
        <v>413.55200000000002</v>
      </c>
      <c r="I126" s="175">
        <f>IFERROR(H126/B126,"")</f>
        <v>3.2841471509353222E-3</v>
      </c>
      <c r="J126" s="247">
        <v>2539.8149999999996</v>
      </c>
      <c r="K126" s="175">
        <f>IFERROR(J126/B126,"")</f>
        <v>2.0169473720723859E-2</v>
      </c>
      <c r="L126" s="247">
        <v>3379.052000000001</v>
      </c>
      <c r="M126" s="248">
        <f>IFERROR(L126/B126,"")</f>
        <v>2.683412001069347E-2</v>
      </c>
    </row>
    <row r="127" spans="1:13" ht="15.75" customHeight="1">
      <c r="A127" s="249" t="s">
        <v>408</v>
      </c>
      <c r="B127" s="250">
        <v>119028.51714747345</v>
      </c>
      <c r="C127" s="173">
        <f>B127/B122</f>
        <v>2.3386597822697606E-3</v>
      </c>
      <c r="D127" s="591"/>
      <c r="E127" s="176" t="s">
        <v>408</v>
      </c>
      <c r="F127" s="247">
        <v>0</v>
      </c>
      <c r="G127" s="175">
        <f>IFERROR(F127/B127,"")</f>
        <v>0</v>
      </c>
      <c r="H127" s="247">
        <v>1857.0376799999999</v>
      </c>
      <c r="I127" s="175">
        <f>IFERROR(H127/B127,"")</f>
        <v>1.5601619884915268E-2</v>
      </c>
      <c r="J127" s="247">
        <v>916.46043999999961</v>
      </c>
      <c r="K127" s="175">
        <f>IFERROR(J127/B127,"")</f>
        <v>7.6995031271752069E-3</v>
      </c>
      <c r="L127" s="247">
        <v>2305.2656700000025</v>
      </c>
      <c r="M127" s="248">
        <f>IFERROR(L127/B127,"")</f>
        <v>1.936733923303299E-2</v>
      </c>
    </row>
    <row r="128" spans="1:13" ht="15.75" customHeight="1">
      <c r="A128" s="251"/>
      <c r="D128" s="591"/>
      <c r="E128" s="588" t="s">
        <v>105</v>
      </c>
      <c r="F128" s="603">
        <v>5</v>
      </c>
      <c r="G128" s="604"/>
      <c r="H128" s="603">
        <v>6</v>
      </c>
      <c r="I128" s="604"/>
      <c r="J128" s="603">
        <v>7</v>
      </c>
      <c r="K128" s="604"/>
      <c r="L128" s="605">
        <v>8</v>
      </c>
      <c r="M128" s="606"/>
    </row>
    <row r="129" spans="1:13" ht="15.75" customHeight="1">
      <c r="A129" s="251"/>
      <c r="D129" s="591"/>
      <c r="E129" s="588"/>
      <c r="F129" s="607" t="s">
        <v>409</v>
      </c>
      <c r="G129" s="608"/>
      <c r="H129" s="607" t="s">
        <v>410</v>
      </c>
      <c r="I129" s="608"/>
      <c r="J129" s="607" t="s">
        <v>411</v>
      </c>
      <c r="K129" s="608"/>
      <c r="L129" s="609" t="s">
        <v>412</v>
      </c>
      <c r="M129" s="610"/>
    </row>
    <row r="130" spans="1:13" ht="15.75" customHeight="1">
      <c r="A130" s="251"/>
      <c r="D130" s="591"/>
      <c r="E130" s="588"/>
      <c r="F130" s="193" t="s">
        <v>50</v>
      </c>
      <c r="G130" s="193" t="s">
        <v>15</v>
      </c>
      <c r="H130" s="193" t="s">
        <v>50</v>
      </c>
      <c r="I130" s="193" t="s">
        <v>15</v>
      </c>
      <c r="J130" s="193" t="s">
        <v>50</v>
      </c>
      <c r="K130" s="193" t="s">
        <v>15</v>
      </c>
      <c r="L130" s="193" t="s">
        <v>50</v>
      </c>
      <c r="M130" s="244" t="s">
        <v>15</v>
      </c>
    </row>
    <row r="131" spans="1:13" ht="15.75" customHeight="1">
      <c r="A131" s="251"/>
      <c r="D131" s="591"/>
      <c r="E131" s="171" t="s">
        <v>407</v>
      </c>
      <c r="F131" s="247">
        <v>1678.1869999999997</v>
      </c>
      <c r="G131" s="175">
        <f>IFERROR(F131/B126,"")</f>
        <v>1.332701342222186E-2</v>
      </c>
      <c r="H131" s="247">
        <v>737.43200000000002</v>
      </c>
      <c r="I131" s="175">
        <f>IFERROR(H131/B126,"")</f>
        <v>5.8561806056034952E-3</v>
      </c>
      <c r="J131" s="247">
        <v>0</v>
      </c>
      <c r="K131" s="175">
        <f>IFERROR(J131/B126,"")</f>
        <v>0</v>
      </c>
      <c r="L131" s="247">
        <v>0</v>
      </c>
      <c r="M131" s="248">
        <f>IFERROR(L131/B126,"")</f>
        <v>0</v>
      </c>
    </row>
    <row r="132" spans="1:13" ht="15.75" customHeight="1" thickBot="1">
      <c r="A132" s="252"/>
      <c r="B132" s="253"/>
      <c r="C132" s="253"/>
      <c r="D132" s="600"/>
      <c r="E132" s="254" t="s">
        <v>408</v>
      </c>
      <c r="F132" s="255">
        <v>8281.5108900000032</v>
      </c>
      <c r="G132" s="256">
        <f>IFERROR(F132/B127,"")</f>
        <v>6.9575855336745998E-2</v>
      </c>
      <c r="H132" s="255">
        <v>5034.3212100000064</v>
      </c>
      <c r="I132" s="256">
        <f>IFERROR(H132/B127,"")</f>
        <v>4.229508466246458E-2</v>
      </c>
      <c r="J132" s="255">
        <v>935.0999999999998</v>
      </c>
      <c r="K132" s="256">
        <f>IFERROR(J132/B127,"")</f>
        <v>7.856100558166523E-3</v>
      </c>
      <c r="L132" s="255">
        <v>0</v>
      </c>
      <c r="M132" s="257">
        <f>IFERROR(L132/B127,"")</f>
        <v>0</v>
      </c>
    </row>
    <row r="133" spans="1:13" ht="15.75" customHeight="1">
      <c r="A133" s="594" t="s">
        <v>424</v>
      </c>
      <c r="B133" s="595"/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6"/>
    </row>
    <row r="134" spans="1:13" ht="15.75" customHeight="1">
      <c r="A134" s="597"/>
      <c r="B134" s="587"/>
      <c r="C134" s="587"/>
      <c r="D134" s="587"/>
      <c r="E134" s="587"/>
      <c r="F134" s="587"/>
      <c r="G134" s="587"/>
      <c r="H134" s="587"/>
      <c r="I134" s="587"/>
      <c r="J134" s="587"/>
      <c r="K134" s="587"/>
      <c r="L134" s="587"/>
      <c r="M134" s="598"/>
    </row>
    <row r="135" spans="1:13" ht="15.75" customHeight="1">
      <c r="A135" s="242" t="s">
        <v>402</v>
      </c>
      <c r="B135" s="293">
        <v>51190043</v>
      </c>
      <c r="M135" s="243"/>
    </row>
    <row r="136" spans="1:13" ht="15.75" customHeight="1">
      <c r="A136" s="599" t="s">
        <v>105</v>
      </c>
      <c r="B136" s="589" t="s">
        <v>47</v>
      </c>
      <c r="C136" s="589"/>
      <c r="D136" s="590"/>
      <c r="E136" s="588" t="s">
        <v>105</v>
      </c>
      <c r="F136" s="592">
        <v>1</v>
      </c>
      <c r="G136" s="592"/>
      <c r="H136" s="592">
        <v>2</v>
      </c>
      <c r="I136" s="592"/>
      <c r="J136" s="592">
        <v>3</v>
      </c>
      <c r="K136" s="592"/>
      <c r="L136" s="592">
        <v>4</v>
      </c>
      <c r="M136" s="601"/>
    </row>
    <row r="137" spans="1:13" ht="15.75" customHeight="1">
      <c r="A137" s="599"/>
      <c r="B137" s="589"/>
      <c r="C137" s="589"/>
      <c r="D137" s="591"/>
      <c r="E137" s="588"/>
      <c r="F137" s="584" t="s">
        <v>403</v>
      </c>
      <c r="G137" s="584"/>
      <c r="H137" s="584" t="s">
        <v>404</v>
      </c>
      <c r="I137" s="584"/>
      <c r="J137" s="584" t="s">
        <v>405</v>
      </c>
      <c r="K137" s="584"/>
      <c r="L137" s="584" t="s">
        <v>414</v>
      </c>
      <c r="M137" s="602"/>
    </row>
    <row r="138" spans="1:13" ht="15.75" customHeight="1">
      <c r="A138" s="599"/>
      <c r="B138" s="193" t="s">
        <v>50</v>
      </c>
      <c r="C138" s="193" t="s">
        <v>15</v>
      </c>
      <c r="D138" s="591"/>
      <c r="E138" s="588"/>
      <c r="F138" s="193" t="s">
        <v>50</v>
      </c>
      <c r="G138" s="193" t="s">
        <v>15</v>
      </c>
      <c r="H138" s="193" t="s">
        <v>50</v>
      </c>
      <c r="I138" s="193" t="s">
        <v>15</v>
      </c>
      <c r="J138" s="193" t="s">
        <v>50</v>
      </c>
      <c r="K138" s="193" t="s">
        <v>15</v>
      </c>
      <c r="L138" s="193" t="s">
        <v>50</v>
      </c>
      <c r="M138" s="244" t="s">
        <v>15</v>
      </c>
    </row>
    <row r="139" spans="1:13" ht="15.75" customHeight="1">
      <c r="A139" s="245" t="s">
        <v>407</v>
      </c>
      <c r="B139" s="246">
        <v>126488</v>
      </c>
      <c r="C139" s="173">
        <f>B139/B135</f>
        <v>2.4709492820703433E-3</v>
      </c>
      <c r="D139" s="591"/>
      <c r="E139" s="171" t="s">
        <v>407</v>
      </c>
      <c r="F139" s="247">
        <v>0</v>
      </c>
      <c r="G139" s="175">
        <f>IFERROR(F139/B139,"")</f>
        <v>0</v>
      </c>
      <c r="H139" s="247">
        <v>134.22499999999999</v>
      </c>
      <c r="I139" s="175">
        <f>IFERROR(H139/B139,"")</f>
        <v>1.0611678578205047E-3</v>
      </c>
      <c r="J139" s="247">
        <v>4376.1360000000004</v>
      </c>
      <c r="K139" s="175">
        <f>IFERROR(J139/B139,"")</f>
        <v>3.4597242426159004E-2</v>
      </c>
      <c r="L139" s="247">
        <v>2683.2860000000001</v>
      </c>
      <c r="M139" s="248">
        <f>IFERROR(L139/B139,"")</f>
        <v>2.1213759408007085E-2</v>
      </c>
    </row>
    <row r="140" spans="1:13" ht="15.75" customHeight="1">
      <c r="A140" s="249" t="s">
        <v>408</v>
      </c>
      <c r="B140" s="250">
        <v>115508.24525041386</v>
      </c>
      <c r="C140" s="173">
        <f>B140/B135</f>
        <v>2.2564592346682316E-3</v>
      </c>
      <c r="D140" s="591"/>
      <c r="E140" s="176" t="s">
        <v>408</v>
      </c>
      <c r="F140" s="247">
        <v>0</v>
      </c>
      <c r="G140" s="175">
        <f>IFERROR(F140/B140,"")</f>
        <v>0</v>
      </c>
      <c r="H140" s="247">
        <v>1567.3288099999995</v>
      </c>
      <c r="I140" s="175">
        <f>IFERROR(H140/B140,"")</f>
        <v>1.3568977752212748E-2</v>
      </c>
      <c r="J140" s="247">
        <v>0</v>
      </c>
      <c r="K140" s="175">
        <f>IFERROR(J140/B140,"")</f>
        <v>0</v>
      </c>
      <c r="L140" s="247">
        <v>3126.5364695081889</v>
      </c>
      <c r="M140" s="248">
        <f>IFERROR(L140/B140,"")</f>
        <v>2.7067647532261221E-2</v>
      </c>
    </row>
    <row r="141" spans="1:13" ht="15.75" customHeight="1">
      <c r="A141" s="251"/>
      <c r="D141" s="591"/>
      <c r="E141" s="588" t="s">
        <v>105</v>
      </c>
      <c r="F141" s="603">
        <v>5</v>
      </c>
      <c r="G141" s="604"/>
      <c r="H141" s="603">
        <v>6</v>
      </c>
      <c r="I141" s="604"/>
      <c r="J141" s="603">
        <v>7</v>
      </c>
      <c r="K141" s="604"/>
      <c r="L141" s="605">
        <v>8</v>
      </c>
      <c r="M141" s="606"/>
    </row>
    <row r="142" spans="1:13" ht="15.75" customHeight="1">
      <c r="A142" s="251"/>
      <c r="D142" s="591"/>
      <c r="E142" s="588"/>
      <c r="F142" s="607" t="s">
        <v>409</v>
      </c>
      <c r="G142" s="608"/>
      <c r="H142" s="607" t="s">
        <v>410</v>
      </c>
      <c r="I142" s="608"/>
      <c r="J142" s="607" t="s">
        <v>411</v>
      </c>
      <c r="K142" s="608"/>
      <c r="L142" s="609" t="s">
        <v>412</v>
      </c>
      <c r="M142" s="610"/>
    </row>
    <row r="143" spans="1:13" ht="15.75" customHeight="1">
      <c r="A143" s="251"/>
      <c r="D143" s="591"/>
      <c r="E143" s="588"/>
      <c r="F143" s="193" t="s">
        <v>50</v>
      </c>
      <c r="G143" s="193" t="s">
        <v>15</v>
      </c>
      <c r="H143" s="193" t="s">
        <v>50</v>
      </c>
      <c r="I143" s="193" t="s">
        <v>15</v>
      </c>
      <c r="J143" s="193" t="s">
        <v>50</v>
      </c>
      <c r="K143" s="193" t="s">
        <v>15</v>
      </c>
      <c r="L143" s="193" t="s">
        <v>50</v>
      </c>
      <c r="M143" s="244" t="s">
        <v>15</v>
      </c>
    </row>
    <row r="144" spans="1:13" ht="15.75" customHeight="1">
      <c r="A144" s="251"/>
      <c r="D144" s="591"/>
      <c r="E144" s="171" t="s">
        <v>407</v>
      </c>
      <c r="F144" s="247">
        <v>1998.4399999999998</v>
      </c>
      <c r="G144" s="175">
        <f>IFERROR(F144/B139,"")</f>
        <v>1.5799443425463282E-2</v>
      </c>
      <c r="H144" s="247">
        <v>929.51</v>
      </c>
      <c r="I144" s="175">
        <f>IFERROR(H144/B139,"")</f>
        <v>7.3486022389475684E-3</v>
      </c>
      <c r="J144" s="247">
        <v>0</v>
      </c>
      <c r="K144" s="175">
        <f>IFERROR(J144/B139,"")</f>
        <v>0</v>
      </c>
      <c r="L144" s="247">
        <v>0</v>
      </c>
      <c r="M144" s="248">
        <f>IFERROR(L144/B139,"")</f>
        <v>0</v>
      </c>
    </row>
    <row r="145" spans="1:13" ht="15.75" customHeight="1" thickBot="1">
      <c r="A145" s="252"/>
      <c r="B145" s="253"/>
      <c r="C145" s="253"/>
      <c r="D145" s="600"/>
      <c r="E145" s="254" t="s">
        <v>408</v>
      </c>
      <c r="F145" s="255">
        <v>9727.9645499999788</v>
      </c>
      <c r="G145" s="256">
        <f>IFERROR(F145/B140,"")</f>
        <v>8.421878913414732E-2</v>
      </c>
      <c r="H145" s="255">
        <v>5044.1673599999995</v>
      </c>
      <c r="I145" s="256">
        <f>IFERROR(H145/B140,"")</f>
        <v>4.3669327233433378E-2</v>
      </c>
      <c r="J145" s="255">
        <v>1022.6864000000024</v>
      </c>
      <c r="K145" s="256">
        <f>IFERROR(J145/B140,"")</f>
        <v>8.8537956557377291E-3</v>
      </c>
      <c r="L145" s="255">
        <v>0</v>
      </c>
      <c r="M145" s="257">
        <f>IFERROR(L145/B140,"")</f>
        <v>0</v>
      </c>
    </row>
    <row r="146" spans="1:13" ht="15.75" customHeight="1">
      <c r="A146" s="594" t="s">
        <v>425</v>
      </c>
      <c r="B146" s="595"/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6"/>
    </row>
    <row r="147" spans="1:13" ht="15.75" customHeight="1">
      <c r="A147" s="597"/>
      <c r="B147" s="587"/>
      <c r="C147" s="587"/>
      <c r="D147" s="587"/>
      <c r="E147" s="587"/>
      <c r="F147" s="587"/>
      <c r="G147" s="587"/>
      <c r="H147" s="587"/>
      <c r="I147" s="587"/>
      <c r="J147" s="587"/>
      <c r="K147" s="587"/>
      <c r="L147" s="587"/>
      <c r="M147" s="598"/>
    </row>
    <row r="148" spans="1:13" ht="15.75" customHeight="1">
      <c r="A148" s="242" t="s">
        <v>402</v>
      </c>
      <c r="B148" s="293">
        <v>49497330</v>
      </c>
      <c r="M148" s="243"/>
    </row>
    <row r="149" spans="1:13" ht="15.75" customHeight="1">
      <c r="A149" s="599" t="s">
        <v>105</v>
      </c>
      <c r="B149" s="589" t="s">
        <v>47</v>
      </c>
      <c r="C149" s="589"/>
      <c r="D149" s="590"/>
      <c r="E149" s="588" t="s">
        <v>105</v>
      </c>
      <c r="F149" s="592">
        <v>1</v>
      </c>
      <c r="G149" s="592"/>
      <c r="H149" s="592">
        <v>2</v>
      </c>
      <c r="I149" s="592"/>
      <c r="J149" s="592">
        <v>3</v>
      </c>
      <c r="K149" s="592"/>
      <c r="L149" s="592">
        <v>4</v>
      </c>
      <c r="M149" s="601"/>
    </row>
    <row r="150" spans="1:13" ht="15.75" customHeight="1">
      <c r="A150" s="599"/>
      <c r="B150" s="589"/>
      <c r="C150" s="589"/>
      <c r="D150" s="591"/>
      <c r="E150" s="588"/>
      <c r="F150" s="584" t="s">
        <v>403</v>
      </c>
      <c r="G150" s="584"/>
      <c r="H150" s="584" t="s">
        <v>404</v>
      </c>
      <c r="I150" s="584"/>
      <c r="J150" s="584" t="s">
        <v>405</v>
      </c>
      <c r="K150" s="584"/>
      <c r="L150" s="584" t="s">
        <v>414</v>
      </c>
      <c r="M150" s="602"/>
    </row>
    <row r="151" spans="1:13" ht="15.75" customHeight="1">
      <c r="A151" s="599"/>
      <c r="B151" s="193" t="s">
        <v>50</v>
      </c>
      <c r="C151" s="193" t="s">
        <v>15</v>
      </c>
      <c r="D151" s="591"/>
      <c r="E151" s="588"/>
      <c r="F151" s="193" t="s">
        <v>50</v>
      </c>
      <c r="G151" s="193" t="s">
        <v>15</v>
      </c>
      <c r="H151" s="193" t="s">
        <v>50</v>
      </c>
      <c r="I151" s="193" t="s">
        <v>15</v>
      </c>
      <c r="J151" s="193" t="s">
        <v>50</v>
      </c>
      <c r="K151" s="193" t="s">
        <v>15</v>
      </c>
      <c r="L151" s="193" t="s">
        <v>50</v>
      </c>
      <c r="M151" s="244" t="s">
        <v>15</v>
      </c>
    </row>
    <row r="152" spans="1:13" ht="15.75" customHeight="1">
      <c r="A152" s="245" t="s">
        <v>407</v>
      </c>
      <c r="B152" s="246">
        <v>121653.17465</v>
      </c>
      <c r="C152" s="173">
        <f>B152/B148</f>
        <v>2.4577724626762697E-3</v>
      </c>
      <c r="D152" s="591"/>
      <c r="E152" s="171" t="s">
        <v>407</v>
      </c>
      <c r="F152" s="247">
        <v>0</v>
      </c>
      <c r="G152" s="175">
        <f>IFERROR(F152/B152,"")</f>
        <v>0</v>
      </c>
      <c r="H152" s="247">
        <v>278.36500000000001</v>
      </c>
      <c r="I152" s="175">
        <f>IFERROR(H152/B152,"")</f>
        <v>2.2881852512346254E-3</v>
      </c>
      <c r="J152" s="247">
        <v>1647.2909999999999</v>
      </c>
      <c r="K152" s="175">
        <f>IFERROR(J152/B152,"")</f>
        <v>1.3540879674856886E-2</v>
      </c>
      <c r="L152" s="247">
        <v>4182.6130000000003</v>
      </c>
      <c r="M152" s="248">
        <f>IFERROR(L152/B152,"")</f>
        <v>3.4381453768333702E-2</v>
      </c>
    </row>
    <row r="153" spans="1:13" ht="15.75" customHeight="1">
      <c r="A153" s="249" t="s">
        <v>408</v>
      </c>
      <c r="B153" s="250">
        <v>118133.70914207518</v>
      </c>
      <c r="C153" s="173">
        <f>B153/B148</f>
        <v>2.3866683140701768E-3</v>
      </c>
      <c r="D153" s="591"/>
      <c r="E153" s="176" t="s">
        <v>408</v>
      </c>
      <c r="F153" s="247">
        <v>0</v>
      </c>
      <c r="G153" s="175">
        <f>IFERROR(F153/B153,"")</f>
        <v>0</v>
      </c>
      <c r="H153" s="247">
        <v>439.30235999999979</v>
      </c>
      <c r="I153" s="175">
        <f>IFERROR(H153/B153,"")</f>
        <v>3.7186876056830363E-3</v>
      </c>
      <c r="J153" s="247">
        <v>403.64119999999946</v>
      </c>
      <c r="K153" s="175">
        <f>IFERROR(J153/B153,"")</f>
        <v>3.4168164441070298E-3</v>
      </c>
      <c r="L153" s="247">
        <v>2938.0159700000004</v>
      </c>
      <c r="M153" s="248">
        <f>IFERROR(L153/B153,"")</f>
        <v>2.4870259228604714E-2</v>
      </c>
    </row>
    <row r="154" spans="1:13" ht="15.75" customHeight="1">
      <c r="A154" s="251"/>
      <c r="D154" s="591"/>
      <c r="E154" s="588" t="s">
        <v>105</v>
      </c>
      <c r="F154" s="603">
        <v>5</v>
      </c>
      <c r="G154" s="604"/>
      <c r="H154" s="603">
        <v>6</v>
      </c>
      <c r="I154" s="604"/>
      <c r="J154" s="603">
        <v>7</v>
      </c>
      <c r="K154" s="604"/>
      <c r="L154" s="605">
        <v>8</v>
      </c>
      <c r="M154" s="606"/>
    </row>
    <row r="155" spans="1:13" ht="15.75" customHeight="1">
      <c r="A155" s="251"/>
      <c r="D155" s="591"/>
      <c r="E155" s="588"/>
      <c r="F155" s="607" t="s">
        <v>409</v>
      </c>
      <c r="G155" s="608"/>
      <c r="H155" s="607" t="s">
        <v>410</v>
      </c>
      <c r="I155" s="608"/>
      <c r="J155" s="607" t="s">
        <v>411</v>
      </c>
      <c r="K155" s="608"/>
      <c r="L155" s="609" t="s">
        <v>412</v>
      </c>
      <c r="M155" s="610"/>
    </row>
    <row r="156" spans="1:13" ht="15.75" customHeight="1">
      <c r="A156" s="251"/>
      <c r="D156" s="591"/>
      <c r="E156" s="588"/>
      <c r="F156" s="193" t="s">
        <v>50</v>
      </c>
      <c r="G156" s="193" t="s">
        <v>15</v>
      </c>
      <c r="H156" s="193" t="s">
        <v>50</v>
      </c>
      <c r="I156" s="193" t="s">
        <v>15</v>
      </c>
      <c r="J156" s="193" t="s">
        <v>50</v>
      </c>
      <c r="K156" s="193" t="s">
        <v>15</v>
      </c>
      <c r="L156" s="193" t="s">
        <v>50</v>
      </c>
      <c r="M156" s="244" t="s">
        <v>15</v>
      </c>
    </row>
    <row r="157" spans="1:13" ht="15.75" customHeight="1">
      <c r="A157" s="251"/>
      <c r="D157" s="591"/>
      <c r="E157" s="171" t="s">
        <v>407</v>
      </c>
      <c r="F157" s="247">
        <v>2506.0449999999996</v>
      </c>
      <c r="G157" s="175">
        <f>IFERROR(F157/B152,"")</f>
        <v>2.0599914529234192E-2</v>
      </c>
      <c r="H157" s="247">
        <v>1135.7530000000002</v>
      </c>
      <c r="I157" s="175">
        <f>IFERROR(H157/B152,"")</f>
        <v>9.3359914631705836E-3</v>
      </c>
      <c r="J157" s="247">
        <v>290.55100000000004</v>
      </c>
      <c r="K157" s="175">
        <f>IFERROR(J157/B152,"")</f>
        <v>2.3883552635262039E-3</v>
      </c>
      <c r="L157" s="247">
        <v>0</v>
      </c>
      <c r="M157" s="248">
        <f>IFERROR(L157/B152,"")</f>
        <v>0</v>
      </c>
    </row>
    <row r="158" spans="1:13" ht="15.75" customHeight="1" thickBot="1">
      <c r="A158" s="252"/>
      <c r="B158" s="253"/>
      <c r="C158" s="253"/>
      <c r="D158" s="600"/>
      <c r="E158" s="254" t="s">
        <v>408</v>
      </c>
      <c r="F158" s="255">
        <v>7689.4863200000027</v>
      </c>
      <c r="G158" s="256">
        <f>IFERROR(F158/B153,"")</f>
        <v>6.5091381417239108E-2</v>
      </c>
      <c r="H158" s="255">
        <v>5591.6998200000153</v>
      </c>
      <c r="I158" s="256">
        <f>IFERROR(H158/B153,"")</f>
        <v>4.7333651509029302E-2</v>
      </c>
      <c r="J158" s="255">
        <v>1252.1805999999999</v>
      </c>
      <c r="K158" s="256">
        <f>IFERROR(J158/B153,"")</f>
        <v>1.0599689191965073E-2</v>
      </c>
      <c r="L158" s="255">
        <v>0</v>
      </c>
      <c r="M158" s="257">
        <f>IFERROR(L158/B153,"")</f>
        <v>0</v>
      </c>
    </row>
    <row r="159" spans="1:13" ht="15.75" customHeight="1">
      <c r="A159" s="594" t="s">
        <v>426</v>
      </c>
      <c r="B159" s="595"/>
      <c r="C159" s="595"/>
      <c r="D159" s="595"/>
      <c r="E159" s="595"/>
      <c r="F159" s="595"/>
      <c r="G159" s="595"/>
      <c r="H159" s="595"/>
      <c r="I159" s="595"/>
      <c r="J159" s="595"/>
      <c r="K159" s="595"/>
      <c r="L159" s="595"/>
      <c r="M159" s="596"/>
    </row>
    <row r="160" spans="1:13" ht="15.75" customHeight="1">
      <c r="A160" s="597"/>
      <c r="B160" s="587"/>
      <c r="C160" s="587"/>
      <c r="D160" s="587"/>
      <c r="E160" s="587"/>
      <c r="F160" s="587"/>
      <c r="G160" s="587"/>
      <c r="H160" s="587"/>
      <c r="I160" s="587"/>
      <c r="J160" s="587"/>
      <c r="K160" s="587"/>
      <c r="L160" s="587"/>
      <c r="M160" s="598"/>
    </row>
    <row r="161" spans="1:13" ht="15.75" customHeight="1">
      <c r="A161" s="242" t="s">
        <v>402</v>
      </c>
      <c r="B161" s="293">
        <v>52649495</v>
      </c>
      <c r="M161" s="243"/>
    </row>
    <row r="162" spans="1:13" ht="15.75" customHeight="1">
      <c r="A162" s="599" t="s">
        <v>105</v>
      </c>
      <c r="B162" s="589" t="s">
        <v>47</v>
      </c>
      <c r="C162" s="589"/>
      <c r="D162" s="590"/>
      <c r="E162" s="588" t="s">
        <v>105</v>
      </c>
      <c r="F162" s="592">
        <v>1</v>
      </c>
      <c r="G162" s="592"/>
      <c r="H162" s="592">
        <v>2</v>
      </c>
      <c r="I162" s="592"/>
      <c r="J162" s="592">
        <v>3</v>
      </c>
      <c r="K162" s="592"/>
      <c r="L162" s="592">
        <v>4</v>
      </c>
      <c r="M162" s="601"/>
    </row>
    <row r="163" spans="1:13" ht="15.75" customHeight="1">
      <c r="A163" s="599"/>
      <c r="B163" s="589"/>
      <c r="C163" s="589"/>
      <c r="D163" s="591"/>
      <c r="E163" s="588"/>
      <c r="F163" s="584" t="s">
        <v>403</v>
      </c>
      <c r="G163" s="584"/>
      <c r="H163" s="584" t="s">
        <v>404</v>
      </c>
      <c r="I163" s="584"/>
      <c r="J163" s="584" t="s">
        <v>405</v>
      </c>
      <c r="K163" s="584"/>
      <c r="L163" s="584" t="s">
        <v>414</v>
      </c>
      <c r="M163" s="602"/>
    </row>
    <row r="164" spans="1:13" ht="15.75" customHeight="1">
      <c r="A164" s="599"/>
      <c r="B164" s="193" t="s">
        <v>50</v>
      </c>
      <c r="C164" s="193" t="s">
        <v>15</v>
      </c>
      <c r="D164" s="591"/>
      <c r="E164" s="588"/>
      <c r="F164" s="193" t="s">
        <v>50</v>
      </c>
      <c r="G164" s="193" t="s">
        <v>15</v>
      </c>
      <c r="H164" s="193" t="s">
        <v>50</v>
      </c>
      <c r="I164" s="193" t="s">
        <v>15</v>
      </c>
      <c r="J164" s="193" t="s">
        <v>50</v>
      </c>
      <c r="K164" s="193" t="s">
        <v>15</v>
      </c>
      <c r="L164" s="193" t="s">
        <v>50</v>
      </c>
      <c r="M164" s="244" t="s">
        <v>15</v>
      </c>
    </row>
    <row r="165" spans="1:13" ht="15.75" customHeight="1">
      <c r="A165" s="245" t="s">
        <v>407</v>
      </c>
      <c r="B165" s="246">
        <v>129274</v>
      </c>
      <c r="C165" s="173">
        <f>B165/B161</f>
        <v>2.4553701797139743E-3</v>
      </c>
      <c r="D165" s="591"/>
      <c r="E165" s="171" t="s">
        <v>407</v>
      </c>
      <c r="F165" s="247">
        <v>0</v>
      </c>
      <c r="G165" s="175">
        <f>IFERROR(F165/B165,"")</f>
        <v>0</v>
      </c>
      <c r="H165" s="247">
        <v>308.69000000000005</v>
      </c>
      <c r="I165" s="175">
        <f>IFERROR(H165/B165,"")</f>
        <v>2.3878738184012257E-3</v>
      </c>
      <c r="J165" s="247">
        <v>721.21400000000006</v>
      </c>
      <c r="K165" s="175">
        <f>IFERROR(J165/B165,"")</f>
        <v>5.5789563253245047E-3</v>
      </c>
      <c r="L165" s="247">
        <v>4567.991</v>
      </c>
      <c r="M165" s="248">
        <f>IFERROR(L165/B165,"")</f>
        <v>3.5335728762164086E-2</v>
      </c>
    </row>
    <row r="166" spans="1:13" ht="15.75" customHeight="1">
      <c r="A166" s="249" t="s">
        <v>408</v>
      </c>
      <c r="B166" s="250">
        <v>118981.92926777399</v>
      </c>
      <c r="C166" s="173">
        <f>B166/B161</f>
        <v>2.2598873791244149E-3</v>
      </c>
      <c r="D166" s="591"/>
      <c r="E166" s="176" t="s">
        <v>408</v>
      </c>
      <c r="F166" s="247">
        <v>0</v>
      </c>
      <c r="G166" s="175">
        <f>IFERROR(F166/B166,"")</f>
        <v>0</v>
      </c>
      <c r="H166" s="247">
        <v>0</v>
      </c>
      <c r="I166" s="175">
        <f>IFERROR(H166/B166,"")</f>
        <v>0</v>
      </c>
      <c r="J166" s="247">
        <v>638.26473999999939</v>
      </c>
      <c r="K166" s="175">
        <f>IFERROR(J166/B166,"")</f>
        <v>5.3643838516314263E-3</v>
      </c>
      <c r="L166" s="247">
        <v>4112.5036300000047</v>
      </c>
      <c r="M166" s="248">
        <f>IFERROR(L166/B166,"")</f>
        <v>3.4564102761728104E-2</v>
      </c>
    </row>
    <row r="167" spans="1:13" ht="15.75" customHeight="1">
      <c r="A167" s="251"/>
      <c r="D167" s="591"/>
      <c r="E167" s="588" t="s">
        <v>105</v>
      </c>
      <c r="F167" s="603">
        <v>5</v>
      </c>
      <c r="G167" s="604"/>
      <c r="H167" s="603">
        <v>6</v>
      </c>
      <c r="I167" s="604"/>
      <c r="J167" s="603">
        <v>7</v>
      </c>
      <c r="K167" s="604"/>
      <c r="L167" s="605">
        <v>8</v>
      </c>
      <c r="M167" s="606"/>
    </row>
    <row r="168" spans="1:13" ht="15.75" customHeight="1">
      <c r="A168" s="251"/>
      <c r="D168" s="591"/>
      <c r="E168" s="588"/>
      <c r="F168" s="607" t="s">
        <v>409</v>
      </c>
      <c r="G168" s="608"/>
      <c r="H168" s="607" t="s">
        <v>410</v>
      </c>
      <c r="I168" s="608"/>
      <c r="J168" s="607" t="s">
        <v>411</v>
      </c>
      <c r="K168" s="608"/>
      <c r="L168" s="609" t="s">
        <v>412</v>
      </c>
      <c r="M168" s="610"/>
    </row>
    <row r="169" spans="1:13" ht="15.75" customHeight="1">
      <c r="A169" s="251"/>
      <c r="D169" s="591"/>
      <c r="E169" s="588"/>
      <c r="F169" s="193" t="s">
        <v>50</v>
      </c>
      <c r="G169" s="193" t="s">
        <v>15</v>
      </c>
      <c r="H169" s="193" t="s">
        <v>50</v>
      </c>
      <c r="I169" s="193" t="s">
        <v>15</v>
      </c>
      <c r="J169" s="193" t="s">
        <v>50</v>
      </c>
      <c r="K169" s="193" t="s">
        <v>15</v>
      </c>
      <c r="L169" s="193" t="s">
        <v>50</v>
      </c>
      <c r="M169" s="244" t="s">
        <v>15</v>
      </c>
    </row>
    <row r="170" spans="1:13" ht="15.75" customHeight="1">
      <c r="A170" s="251"/>
      <c r="D170" s="591"/>
      <c r="E170" s="171" t="s">
        <v>407</v>
      </c>
      <c r="F170" s="247">
        <v>2919.8290000000006</v>
      </c>
      <c r="G170" s="175">
        <f>IFERROR(F170/B165,"")</f>
        <v>2.2586359206027511E-2</v>
      </c>
      <c r="H170" s="247">
        <v>1754.818</v>
      </c>
      <c r="I170" s="175">
        <f>IFERROR(H170/B165,"")</f>
        <v>1.3574407846898834E-2</v>
      </c>
      <c r="J170" s="247">
        <v>504.61500000000001</v>
      </c>
      <c r="K170" s="175">
        <f>IFERROR(J170/B165,"")</f>
        <v>3.9034531305598961E-3</v>
      </c>
      <c r="L170" s="247">
        <v>0</v>
      </c>
      <c r="M170" s="248">
        <f>IFERROR(L170/B165,"")</f>
        <v>0</v>
      </c>
    </row>
    <row r="171" spans="1:13" ht="15.75" customHeight="1" thickBot="1">
      <c r="A171" s="252"/>
      <c r="B171" s="253"/>
      <c r="C171" s="253"/>
      <c r="D171" s="600"/>
      <c r="E171" s="254" t="s">
        <v>408</v>
      </c>
      <c r="F171" s="255">
        <v>7286.3094799999935</v>
      </c>
      <c r="G171" s="256">
        <f>IFERROR(F171/B166,"")</f>
        <v>6.1238790838580526E-2</v>
      </c>
      <c r="H171" s="255">
        <v>3621.9585500000039</v>
      </c>
      <c r="I171" s="256">
        <f>IFERROR(H171/B166,"")</f>
        <v>3.0441249123206175E-2</v>
      </c>
      <c r="J171" s="255">
        <v>1091.537080000001</v>
      </c>
      <c r="K171" s="256">
        <f>IFERROR(J171/B166,"")</f>
        <v>9.1739736169805207E-3</v>
      </c>
      <c r="L171" s="255">
        <v>0</v>
      </c>
      <c r="M171" s="257">
        <f>IFERROR(L171/B166,"")</f>
        <v>0</v>
      </c>
    </row>
    <row r="172" spans="1:13" ht="15.75" customHeight="1">
      <c r="A172" s="594" t="s">
        <v>427</v>
      </c>
      <c r="B172" s="595"/>
      <c r="C172" s="595"/>
      <c r="D172" s="595"/>
      <c r="E172" s="595"/>
      <c r="F172" s="595"/>
      <c r="G172" s="595"/>
      <c r="H172" s="595"/>
      <c r="I172" s="595"/>
      <c r="J172" s="595"/>
      <c r="K172" s="595"/>
      <c r="L172" s="595"/>
      <c r="M172" s="596"/>
    </row>
    <row r="173" spans="1:13" ht="15.75" customHeight="1">
      <c r="A173" s="597"/>
      <c r="B173" s="587"/>
      <c r="C173" s="587"/>
      <c r="D173" s="587"/>
      <c r="E173" s="587"/>
      <c r="F173" s="587"/>
      <c r="G173" s="587"/>
      <c r="H173" s="587"/>
      <c r="I173" s="587"/>
      <c r="J173" s="587"/>
      <c r="K173" s="587"/>
      <c r="L173" s="587"/>
      <c r="M173" s="598"/>
    </row>
    <row r="174" spans="1:13" ht="15.75" customHeight="1">
      <c r="A174" s="242" t="s">
        <v>402</v>
      </c>
      <c r="B174" s="293">
        <v>49899447</v>
      </c>
      <c r="M174" s="243"/>
    </row>
    <row r="175" spans="1:13" ht="15.75" customHeight="1">
      <c r="A175" s="599" t="s">
        <v>105</v>
      </c>
      <c r="B175" s="589" t="s">
        <v>47</v>
      </c>
      <c r="C175" s="589"/>
      <c r="D175" s="590"/>
      <c r="E175" s="588" t="s">
        <v>105</v>
      </c>
      <c r="F175" s="592">
        <v>1</v>
      </c>
      <c r="G175" s="592"/>
      <c r="H175" s="592">
        <v>2</v>
      </c>
      <c r="I175" s="592"/>
      <c r="J175" s="592">
        <v>3</v>
      </c>
      <c r="K175" s="592"/>
      <c r="L175" s="592">
        <v>4</v>
      </c>
      <c r="M175" s="601"/>
    </row>
    <row r="176" spans="1:13" ht="15.75" customHeight="1">
      <c r="A176" s="599"/>
      <c r="B176" s="589"/>
      <c r="C176" s="589"/>
      <c r="D176" s="591"/>
      <c r="E176" s="588"/>
      <c r="F176" s="584" t="s">
        <v>403</v>
      </c>
      <c r="G176" s="584"/>
      <c r="H176" s="584" t="s">
        <v>404</v>
      </c>
      <c r="I176" s="584"/>
      <c r="J176" s="584" t="s">
        <v>405</v>
      </c>
      <c r="K176" s="584"/>
      <c r="L176" s="584" t="s">
        <v>414</v>
      </c>
      <c r="M176" s="602"/>
    </row>
    <row r="177" spans="1:13" ht="15.75" customHeight="1">
      <c r="A177" s="599"/>
      <c r="B177" s="193" t="s">
        <v>50</v>
      </c>
      <c r="C177" s="193" t="s">
        <v>15</v>
      </c>
      <c r="D177" s="591"/>
      <c r="E177" s="588"/>
      <c r="F177" s="193" t="s">
        <v>50</v>
      </c>
      <c r="G177" s="193" t="s">
        <v>15</v>
      </c>
      <c r="H177" s="193" t="s">
        <v>50</v>
      </c>
      <c r="I177" s="193" t="s">
        <v>15</v>
      </c>
      <c r="J177" s="193" t="s">
        <v>50</v>
      </c>
      <c r="K177" s="193" t="s">
        <v>15</v>
      </c>
      <c r="L177" s="193" t="s">
        <v>50</v>
      </c>
      <c r="M177" s="244" t="s">
        <v>15</v>
      </c>
    </row>
    <row r="178" spans="1:13" ht="15.75" customHeight="1">
      <c r="A178" s="245" t="s">
        <v>407</v>
      </c>
      <c r="B178" s="246">
        <v>122397.80100000001</v>
      </c>
      <c r="C178" s="173">
        <f>B178/B174</f>
        <v>2.4528889268051407E-3</v>
      </c>
      <c r="D178" s="591"/>
      <c r="E178" s="171" t="s">
        <v>407</v>
      </c>
      <c r="F178" s="247">
        <v>0</v>
      </c>
      <c r="G178" s="175">
        <f>IFERROR(F178/B178,"")</f>
        <v>0</v>
      </c>
      <c r="H178" s="247">
        <v>280.89300000000003</v>
      </c>
      <c r="I178" s="175">
        <f>IFERROR(H178/B178,"")</f>
        <v>2.2949186807694364E-3</v>
      </c>
      <c r="J178" s="247">
        <v>1185.7960000000003</v>
      </c>
      <c r="K178" s="175">
        <f>IFERROR(J178/B178,"")</f>
        <v>9.6880498694580323E-3</v>
      </c>
      <c r="L178" s="247">
        <v>2752.3570000000004</v>
      </c>
      <c r="M178" s="248">
        <f>IFERROR(L178/B178,"")</f>
        <v>2.2486980791427785E-2</v>
      </c>
    </row>
    <row r="179" spans="1:13" ht="15.75" customHeight="1">
      <c r="A179" s="249" t="s">
        <v>408</v>
      </c>
      <c r="B179" s="250">
        <v>110502.30436585688</v>
      </c>
      <c r="C179" s="173">
        <f>B179/B174</f>
        <v>2.2144995788401598E-3</v>
      </c>
      <c r="D179" s="591"/>
      <c r="E179" s="176" t="s">
        <v>408</v>
      </c>
      <c r="F179" s="247">
        <v>0</v>
      </c>
      <c r="G179" s="175">
        <f>IFERROR(F179/B179,"")</f>
        <v>0</v>
      </c>
      <c r="H179" s="247">
        <v>0</v>
      </c>
      <c r="I179" s="175">
        <f>IFERROR(H179/B179,"")</f>
        <v>0</v>
      </c>
      <c r="J179" s="247">
        <v>335.43429000000094</v>
      </c>
      <c r="K179" s="175">
        <f>IFERROR(J179/B179,"")</f>
        <v>3.0355411312458004E-3</v>
      </c>
      <c r="L179" s="247">
        <v>2469.7383400000108</v>
      </c>
      <c r="M179" s="248">
        <f>IFERROR(L179/B179,"")</f>
        <v>2.2350107123767032E-2</v>
      </c>
    </row>
    <row r="180" spans="1:13" ht="15.75" customHeight="1">
      <c r="A180" s="251"/>
      <c r="D180" s="591"/>
      <c r="E180" s="588" t="s">
        <v>105</v>
      </c>
      <c r="F180" s="603">
        <v>5</v>
      </c>
      <c r="G180" s="604"/>
      <c r="H180" s="603">
        <v>6</v>
      </c>
      <c r="I180" s="604"/>
      <c r="J180" s="603">
        <v>7</v>
      </c>
      <c r="K180" s="604"/>
      <c r="L180" s="605">
        <v>8</v>
      </c>
      <c r="M180" s="606"/>
    </row>
    <row r="181" spans="1:13" ht="15.75" customHeight="1">
      <c r="A181" s="251"/>
      <c r="D181" s="591"/>
      <c r="E181" s="588"/>
      <c r="F181" s="607" t="s">
        <v>409</v>
      </c>
      <c r="G181" s="608"/>
      <c r="H181" s="607" t="s">
        <v>410</v>
      </c>
      <c r="I181" s="608"/>
      <c r="J181" s="607" t="s">
        <v>411</v>
      </c>
      <c r="K181" s="608"/>
      <c r="L181" s="609" t="s">
        <v>412</v>
      </c>
      <c r="M181" s="610"/>
    </row>
    <row r="182" spans="1:13" ht="15.75" customHeight="1">
      <c r="A182" s="251"/>
      <c r="D182" s="591"/>
      <c r="E182" s="588"/>
      <c r="F182" s="193" t="s">
        <v>50</v>
      </c>
      <c r="G182" s="193" t="s">
        <v>15</v>
      </c>
      <c r="H182" s="193" t="s">
        <v>50</v>
      </c>
      <c r="I182" s="193" t="s">
        <v>15</v>
      </c>
      <c r="J182" s="193" t="s">
        <v>50</v>
      </c>
      <c r="K182" s="193" t="s">
        <v>15</v>
      </c>
      <c r="L182" s="193" t="s">
        <v>50</v>
      </c>
      <c r="M182" s="244" t="s">
        <v>15</v>
      </c>
    </row>
    <row r="183" spans="1:13" ht="15.75" customHeight="1">
      <c r="A183" s="251"/>
      <c r="D183" s="591"/>
      <c r="E183" s="171" t="s">
        <v>407</v>
      </c>
      <c r="F183" s="247">
        <v>4668.351999999999</v>
      </c>
      <c r="G183" s="175">
        <f>IFERROR(F183/B178,"")</f>
        <v>3.814081594488776E-2</v>
      </c>
      <c r="H183" s="247">
        <v>1295.3419999999999</v>
      </c>
      <c r="I183" s="175">
        <f>IFERROR(H183/B178,"")</f>
        <v>1.0583049608873282E-2</v>
      </c>
      <c r="J183" s="247">
        <v>336.41</v>
      </c>
      <c r="K183" s="175">
        <f>IFERROR(J183/B178,"")</f>
        <v>2.7484970910547652E-3</v>
      </c>
      <c r="L183" s="247">
        <v>0</v>
      </c>
      <c r="M183" s="248">
        <f>IFERROR(L183/B178,"")</f>
        <v>0</v>
      </c>
    </row>
    <row r="184" spans="1:13" ht="15.75" customHeight="1" thickBot="1">
      <c r="A184" s="252"/>
      <c r="B184" s="253"/>
      <c r="C184" s="253"/>
      <c r="D184" s="600"/>
      <c r="E184" s="254" t="s">
        <v>408</v>
      </c>
      <c r="F184" s="255">
        <v>8778.6225899999881</v>
      </c>
      <c r="G184" s="256">
        <f>IFERROR(F184/B179,"")</f>
        <v>7.9442891624551648E-2</v>
      </c>
      <c r="H184" s="255">
        <v>3397.7179399999904</v>
      </c>
      <c r="I184" s="256">
        <f>IFERROR(H184/B179,"")</f>
        <v>3.0747937425364868E-2</v>
      </c>
      <c r="J184" s="255">
        <v>1368.9606800000008</v>
      </c>
      <c r="K184" s="256">
        <f>IFERROR(J184/B179,"")</f>
        <v>1.2388526084194346E-2</v>
      </c>
      <c r="L184" s="255">
        <v>0</v>
      </c>
      <c r="M184" s="257">
        <f>IFERROR(L184/B179,"")</f>
        <v>0</v>
      </c>
    </row>
    <row r="185" spans="1:13" ht="15.75" customHeight="1">
      <c r="A185" s="594" t="s">
        <v>428</v>
      </c>
      <c r="B185" s="595"/>
      <c r="C185" s="595"/>
      <c r="D185" s="595"/>
      <c r="E185" s="595"/>
      <c r="F185" s="595"/>
      <c r="G185" s="595"/>
      <c r="H185" s="595"/>
      <c r="I185" s="595"/>
      <c r="J185" s="595"/>
      <c r="K185" s="595"/>
      <c r="L185" s="595"/>
      <c r="M185" s="596"/>
    </row>
    <row r="186" spans="1:13" ht="15.75" customHeight="1">
      <c r="A186" s="597"/>
      <c r="B186" s="587"/>
      <c r="C186" s="587"/>
      <c r="D186" s="587"/>
      <c r="E186" s="587"/>
      <c r="F186" s="587"/>
      <c r="G186" s="587"/>
      <c r="H186" s="587"/>
      <c r="I186" s="587"/>
      <c r="J186" s="587"/>
      <c r="K186" s="587"/>
      <c r="L186" s="587"/>
      <c r="M186" s="598"/>
    </row>
    <row r="187" spans="1:13" ht="15.75" customHeight="1">
      <c r="A187" s="242" t="s">
        <v>402</v>
      </c>
      <c r="B187" s="293">
        <v>50932396</v>
      </c>
      <c r="M187" s="243"/>
    </row>
    <row r="188" spans="1:13" ht="15.75" customHeight="1">
      <c r="A188" s="599" t="s">
        <v>105</v>
      </c>
      <c r="B188" s="589" t="s">
        <v>47</v>
      </c>
      <c r="C188" s="589"/>
      <c r="D188" s="590"/>
      <c r="E188" s="588" t="s">
        <v>105</v>
      </c>
      <c r="F188" s="592">
        <v>1</v>
      </c>
      <c r="G188" s="592"/>
      <c r="H188" s="592">
        <v>2</v>
      </c>
      <c r="I188" s="592"/>
      <c r="J188" s="592">
        <v>3</v>
      </c>
      <c r="K188" s="592"/>
      <c r="L188" s="592">
        <v>4</v>
      </c>
      <c r="M188" s="601"/>
    </row>
    <row r="189" spans="1:13" ht="15.75" customHeight="1">
      <c r="A189" s="599"/>
      <c r="B189" s="589"/>
      <c r="C189" s="589"/>
      <c r="D189" s="591"/>
      <c r="E189" s="588"/>
      <c r="F189" s="584" t="s">
        <v>403</v>
      </c>
      <c r="G189" s="584"/>
      <c r="H189" s="584" t="s">
        <v>404</v>
      </c>
      <c r="I189" s="584"/>
      <c r="J189" s="584" t="s">
        <v>405</v>
      </c>
      <c r="K189" s="584"/>
      <c r="L189" s="584" t="s">
        <v>414</v>
      </c>
      <c r="M189" s="602"/>
    </row>
    <row r="190" spans="1:13" ht="15.75" customHeight="1">
      <c r="A190" s="599"/>
      <c r="B190" s="193" t="s">
        <v>50</v>
      </c>
      <c r="C190" s="193" t="s">
        <v>15</v>
      </c>
      <c r="D190" s="591"/>
      <c r="E190" s="588"/>
      <c r="F190" s="193" t="s">
        <v>50</v>
      </c>
      <c r="G190" s="193" t="s">
        <v>15</v>
      </c>
      <c r="H190" s="193" t="s">
        <v>50</v>
      </c>
      <c r="I190" s="193" t="s">
        <v>15</v>
      </c>
      <c r="J190" s="193" t="s">
        <v>50</v>
      </c>
      <c r="K190" s="193" t="s">
        <v>15</v>
      </c>
      <c r="L190" s="193" t="s">
        <v>50</v>
      </c>
      <c r="M190" s="244" t="s">
        <v>15</v>
      </c>
    </row>
    <row r="191" spans="1:13" ht="15.75" customHeight="1">
      <c r="A191" s="245" t="s">
        <v>407</v>
      </c>
      <c r="B191" s="246">
        <v>125026</v>
      </c>
      <c r="C191" s="173">
        <f>B191/B187</f>
        <v>2.4547441278827721E-3</v>
      </c>
      <c r="D191" s="591"/>
      <c r="E191" s="171" t="s">
        <v>407</v>
      </c>
      <c r="F191" s="247">
        <v>0</v>
      </c>
      <c r="G191" s="175">
        <f>IFERROR(F191/B191,"")</f>
        <v>0</v>
      </c>
      <c r="H191" s="247">
        <v>0</v>
      </c>
      <c r="I191" s="175">
        <f>IFERROR(H191/B191,"")</f>
        <v>0</v>
      </c>
      <c r="J191" s="247">
        <v>2703.6120000000001</v>
      </c>
      <c r="K191" s="175">
        <f>IFERROR(J191/B191,"")</f>
        <v>2.1624398125189962E-2</v>
      </c>
      <c r="L191" s="247">
        <v>6391.12</v>
      </c>
      <c r="M191" s="248">
        <f>IFERROR(L191/B191,"")</f>
        <v>5.1118327387903319E-2</v>
      </c>
    </row>
    <row r="192" spans="1:13" ht="15.75" customHeight="1">
      <c r="A192" s="249" t="s">
        <v>408</v>
      </c>
      <c r="B192" s="250">
        <v>115976.36212522408</v>
      </c>
      <c r="C192" s="173">
        <f>B192/B187</f>
        <v>2.2770647217386767E-3</v>
      </c>
      <c r="D192" s="591"/>
      <c r="E192" s="176" t="s">
        <v>408</v>
      </c>
      <c r="F192" s="247">
        <v>0</v>
      </c>
      <c r="G192" s="175">
        <f>IFERROR(F192/B192,"")</f>
        <v>0</v>
      </c>
      <c r="H192" s="247">
        <v>0</v>
      </c>
      <c r="I192" s="175">
        <f>IFERROR(H192/B192,"")</f>
        <v>0</v>
      </c>
      <c r="J192" s="247">
        <v>0</v>
      </c>
      <c r="K192" s="175">
        <f>IFERROR(J192/B192,"")</f>
        <v>0</v>
      </c>
      <c r="L192" s="247">
        <v>13832.589219999996</v>
      </c>
      <c r="M192" s="248">
        <f>IFERROR(L192/B192,"")</f>
        <v>0.11927076316693244</v>
      </c>
    </row>
    <row r="193" spans="1:13" ht="15.75" customHeight="1">
      <c r="A193" s="251"/>
      <c r="D193" s="591"/>
      <c r="E193" s="588" t="s">
        <v>105</v>
      </c>
      <c r="F193" s="603">
        <v>5</v>
      </c>
      <c r="G193" s="604"/>
      <c r="H193" s="603">
        <v>6</v>
      </c>
      <c r="I193" s="604"/>
      <c r="J193" s="603">
        <v>7</v>
      </c>
      <c r="K193" s="604"/>
      <c r="L193" s="605">
        <v>8</v>
      </c>
      <c r="M193" s="606"/>
    </row>
    <row r="194" spans="1:13" ht="15.75" customHeight="1">
      <c r="A194" s="251"/>
      <c r="D194" s="591"/>
      <c r="E194" s="588"/>
      <c r="F194" s="607" t="s">
        <v>409</v>
      </c>
      <c r="G194" s="608"/>
      <c r="H194" s="607" t="s">
        <v>410</v>
      </c>
      <c r="I194" s="608"/>
      <c r="J194" s="607" t="s">
        <v>411</v>
      </c>
      <c r="K194" s="608"/>
      <c r="L194" s="609" t="s">
        <v>412</v>
      </c>
      <c r="M194" s="610"/>
    </row>
    <row r="195" spans="1:13" ht="15.75" customHeight="1">
      <c r="A195" s="251"/>
      <c r="D195" s="591"/>
      <c r="E195" s="588"/>
      <c r="F195" s="193" t="s">
        <v>50</v>
      </c>
      <c r="G195" s="193" t="s">
        <v>15</v>
      </c>
      <c r="H195" s="193" t="s">
        <v>50</v>
      </c>
      <c r="I195" s="193" t="s">
        <v>15</v>
      </c>
      <c r="J195" s="193" t="s">
        <v>50</v>
      </c>
      <c r="K195" s="193" t="s">
        <v>15</v>
      </c>
      <c r="L195" s="193" t="s">
        <v>50</v>
      </c>
      <c r="M195" s="244" t="s">
        <v>15</v>
      </c>
    </row>
    <row r="196" spans="1:13" ht="15.75" customHeight="1">
      <c r="A196" s="251"/>
      <c r="D196" s="591"/>
      <c r="E196" s="171" t="s">
        <v>407</v>
      </c>
      <c r="F196" s="247">
        <v>3607.0949999999998</v>
      </c>
      <c r="G196" s="175">
        <f>IFERROR(F196/B191,"")</f>
        <v>2.8850759042119239E-2</v>
      </c>
      <c r="H196" s="247">
        <v>1671.3330000000001</v>
      </c>
      <c r="I196" s="175">
        <f>IFERROR(H196/B191,"")</f>
        <v>1.3367883480236112E-2</v>
      </c>
      <c r="J196" s="247">
        <v>0</v>
      </c>
      <c r="K196" s="175">
        <f>IFERROR(J196/B191,"")</f>
        <v>0</v>
      </c>
      <c r="L196" s="247">
        <v>0</v>
      </c>
      <c r="M196" s="248">
        <f>IFERROR(L196/B191,"")</f>
        <v>0</v>
      </c>
    </row>
    <row r="197" spans="1:13" ht="15.75" customHeight="1" thickBot="1">
      <c r="A197" s="252"/>
      <c r="B197" s="253"/>
      <c r="C197" s="253"/>
      <c r="D197" s="600"/>
      <c r="E197" s="254" t="s">
        <v>408</v>
      </c>
      <c r="F197" s="255">
        <v>11873.359339999959</v>
      </c>
      <c r="G197" s="256">
        <f>IFERROR(F197/B192,"")</f>
        <v>0.10237740796852933</v>
      </c>
      <c r="H197" s="255">
        <v>7203.390679999995</v>
      </c>
      <c r="I197" s="256">
        <f>IFERROR(H197/B192,"")</f>
        <v>6.2110852142630756E-2</v>
      </c>
      <c r="J197" s="255">
        <v>0</v>
      </c>
      <c r="K197" s="256">
        <f>IFERROR(J197/B192,"")</f>
        <v>0</v>
      </c>
      <c r="L197" s="255">
        <v>0</v>
      </c>
      <c r="M197" s="257">
        <f>IFERROR(L197/B192,"")</f>
        <v>0</v>
      </c>
    </row>
    <row r="198" spans="1:13" ht="15.75" customHeight="1">
      <c r="A198" s="594" t="s">
        <v>429</v>
      </c>
      <c r="B198" s="595"/>
      <c r="C198" s="595"/>
      <c r="D198" s="595"/>
      <c r="E198" s="595"/>
      <c r="F198" s="595"/>
      <c r="G198" s="595"/>
      <c r="H198" s="595"/>
      <c r="I198" s="595"/>
      <c r="J198" s="595"/>
      <c r="K198" s="595"/>
      <c r="L198" s="595"/>
      <c r="M198" s="596"/>
    </row>
    <row r="199" spans="1:13" ht="15.75" customHeight="1">
      <c r="A199" s="597"/>
      <c r="B199" s="587"/>
      <c r="C199" s="587"/>
      <c r="D199" s="587"/>
      <c r="E199" s="587"/>
      <c r="F199" s="587"/>
      <c r="G199" s="587"/>
      <c r="H199" s="587"/>
      <c r="I199" s="587"/>
      <c r="J199" s="587"/>
      <c r="K199" s="587"/>
      <c r="L199" s="587"/>
      <c r="M199" s="598"/>
    </row>
    <row r="200" spans="1:13" ht="15.75" customHeight="1">
      <c r="A200" s="242" t="s">
        <v>402</v>
      </c>
      <c r="B200" s="293">
        <v>48568543</v>
      </c>
      <c r="M200" s="243"/>
    </row>
    <row r="201" spans="1:13" ht="15.75" customHeight="1">
      <c r="A201" s="599" t="s">
        <v>105</v>
      </c>
      <c r="B201" s="589" t="s">
        <v>47</v>
      </c>
      <c r="C201" s="589"/>
      <c r="D201" s="590"/>
      <c r="E201" s="588" t="s">
        <v>105</v>
      </c>
      <c r="F201" s="592">
        <v>1</v>
      </c>
      <c r="G201" s="592"/>
      <c r="H201" s="592">
        <v>2</v>
      </c>
      <c r="I201" s="592"/>
      <c r="J201" s="592">
        <v>3</v>
      </c>
      <c r="K201" s="592"/>
      <c r="L201" s="592">
        <v>4</v>
      </c>
      <c r="M201" s="601"/>
    </row>
    <row r="202" spans="1:13" ht="15.75" customHeight="1">
      <c r="A202" s="599"/>
      <c r="B202" s="589"/>
      <c r="C202" s="589"/>
      <c r="D202" s="591"/>
      <c r="E202" s="588"/>
      <c r="F202" s="584" t="s">
        <v>403</v>
      </c>
      <c r="G202" s="584"/>
      <c r="H202" s="584" t="s">
        <v>404</v>
      </c>
      <c r="I202" s="584"/>
      <c r="J202" s="584" t="s">
        <v>405</v>
      </c>
      <c r="K202" s="584"/>
      <c r="L202" s="584" t="s">
        <v>414</v>
      </c>
      <c r="M202" s="602"/>
    </row>
    <row r="203" spans="1:13" ht="15.75" customHeight="1">
      <c r="A203" s="599"/>
      <c r="B203" s="193" t="s">
        <v>50</v>
      </c>
      <c r="C203" s="193" t="s">
        <v>15</v>
      </c>
      <c r="D203" s="591"/>
      <c r="E203" s="588"/>
      <c r="F203" s="193" t="s">
        <v>50</v>
      </c>
      <c r="G203" s="193" t="s">
        <v>15</v>
      </c>
      <c r="H203" s="193" t="s">
        <v>50</v>
      </c>
      <c r="I203" s="193" t="s">
        <v>15</v>
      </c>
      <c r="J203" s="193" t="s">
        <v>50</v>
      </c>
      <c r="K203" s="193" t="s">
        <v>15</v>
      </c>
      <c r="L203" s="193" t="s">
        <v>50</v>
      </c>
      <c r="M203" s="244" t="s">
        <v>15</v>
      </c>
    </row>
    <row r="204" spans="1:13" ht="15.75" customHeight="1">
      <c r="A204" s="245" t="s">
        <v>407</v>
      </c>
      <c r="B204" s="246">
        <v>118904</v>
      </c>
      <c r="C204" s="173">
        <f>B204/B200</f>
        <v>2.4481689722502071E-3</v>
      </c>
      <c r="D204" s="591"/>
      <c r="E204" s="171" t="s">
        <v>407</v>
      </c>
      <c r="F204" s="247">
        <v>0</v>
      </c>
      <c r="G204" s="175">
        <f>IFERROR(F204/B204,"")</f>
        <v>0</v>
      </c>
      <c r="H204" s="247">
        <v>644.82600000000002</v>
      </c>
      <c r="I204" s="175">
        <f>IFERROR(H204/B204,"")</f>
        <v>5.4230808046827695E-3</v>
      </c>
      <c r="J204" s="247">
        <v>1959.9749999999999</v>
      </c>
      <c r="K204" s="175">
        <f>IFERROR(J204/B204,"")</f>
        <v>1.6483675906613739E-2</v>
      </c>
      <c r="L204" s="247">
        <v>5007.1060000000007</v>
      </c>
      <c r="M204" s="248">
        <f>IFERROR(L204/B204,"")</f>
        <v>4.2110492498149771E-2</v>
      </c>
    </row>
    <row r="205" spans="1:13" ht="15.75" customHeight="1">
      <c r="A205" s="249" t="s">
        <v>408</v>
      </c>
      <c r="B205" s="250">
        <v>107634.69212281464</v>
      </c>
      <c r="C205" s="173">
        <f>B205/B200</f>
        <v>2.2161400255061108E-3</v>
      </c>
      <c r="D205" s="591"/>
      <c r="E205" s="176" t="s">
        <v>408</v>
      </c>
      <c r="F205" s="247">
        <v>0</v>
      </c>
      <c r="G205" s="175">
        <f>IFERROR(F205/B205,"")</f>
        <v>0</v>
      </c>
      <c r="H205" s="247">
        <v>0</v>
      </c>
      <c r="I205" s="175">
        <f>IFERROR(H205/B205,"")</f>
        <v>0</v>
      </c>
      <c r="J205" s="247">
        <v>0</v>
      </c>
      <c r="K205" s="175">
        <f>IFERROR(J205/B205,"")</f>
        <v>0</v>
      </c>
      <c r="L205" s="247">
        <v>14266.462739999961</v>
      </c>
      <c r="M205" s="248">
        <f>IFERROR(L205/B205,"")</f>
        <v>0.13254520878567172</v>
      </c>
    </row>
    <row r="206" spans="1:13" ht="15.75" customHeight="1">
      <c r="A206" s="251"/>
      <c r="D206" s="591"/>
      <c r="E206" s="588" t="s">
        <v>105</v>
      </c>
      <c r="F206" s="603">
        <v>5</v>
      </c>
      <c r="G206" s="604"/>
      <c r="H206" s="603">
        <v>6</v>
      </c>
      <c r="I206" s="604"/>
      <c r="J206" s="603">
        <v>7</v>
      </c>
      <c r="K206" s="604"/>
      <c r="L206" s="605">
        <v>8</v>
      </c>
      <c r="M206" s="606"/>
    </row>
    <row r="207" spans="1:13" ht="15.75" customHeight="1">
      <c r="A207" s="251"/>
      <c r="D207" s="591"/>
      <c r="E207" s="588"/>
      <c r="F207" s="607" t="s">
        <v>409</v>
      </c>
      <c r="G207" s="608"/>
      <c r="H207" s="607" t="s">
        <v>410</v>
      </c>
      <c r="I207" s="608"/>
      <c r="J207" s="607" t="s">
        <v>411</v>
      </c>
      <c r="K207" s="608"/>
      <c r="L207" s="609" t="s">
        <v>412</v>
      </c>
      <c r="M207" s="610"/>
    </row>
    <row r="208" spans="1:13" ht="15.75" customHeight="1">
      <c r="A208" s="251"/>
      <c r="D208" s="591"/>
      <c r="E208" s="588"/>
      <c r="F208" s="193" t="s">
        <v>50</v>
      </c>
      <c r="G208" s="193" t="s">
        <v>15</v>
      </c>
      <c r="H208" s="193" t="s">
        <v>50</v>
      </c>
      <c r="I208" s="193" t="s">
        <v>15</v>
      </c>
      <c r="J208" s="193" t="s">
        <v>50</v>
      </c>
      <c r="K208" s="193" t="s">
        <v>15</v>
      </c>
      <c r="L208" s="193" t="s">
        <v>50</v>
      </c>
      <c r="M208" s="244" t="s">
        <v>15</v>
      </c>
    </row>
    <row r="209" spans="1:13" ht="15.75" customHeight="1">
      <c r="A209" s="251"/>
      <c r="D209" s="591"/>
      <c r="E209" s="171" t="s">
        <v>407</v>
      </c>
      <c r="F209" s="247">
        <v>4790.9799999999996</v>
      </c>
      <c r="G209" s="175">
        <f>IFERROR(F209/B204,"")</f>
        <v>4.0292841283724679E-2</v>
      </c>
      <c r="H209" s="247">
        <v>1516.2709999999997</v>
      </c>
      <c r="I209" s="175">
        <f>IFERROR(H209/B204,"")</f>
        <v>1.2752060485770031E-2</v>
      </c>
      <c r="J209" s="247">
        <v>0</v>
      </c>
      <c r="K209" s="175">
        <f>IFERROR(J209/B204,"")</f>
        <v>0</v>
      </c>
      <c r="L209" s="247">
        <v>0</v>
      </c>
      <c r="M209" s="248">
        <f>IFERROR(L209/B204,"")</f>
        <v>0</v>
      </c>
    </row>
    <row r="210" spans="1:13" ht="15.75" customHeight="1" thickBot="1">
      <c r="A210" s="252"/>
      <c r="B210" s="253"/>
      <c r="C210" s="253"/>
      <c r="D210" s="600"/>
      <c r="E210" s="254" t="s">
        <v>408</v>
      </c>
      <c r="F210" s="255">
        <v>10972.051010000034</v>
      </c>
      <c r="G210" s="256">
        <f>IFERROR(F210/B205,"")</f>
        <v>0.10193786774138371</v>
      </c>
      <c r="H210" s="255">
        <v>3627.1672599999574</v>
      </c>
      <c r="I210" s="256">
        <f>IFERROR(H210/B205,"")</f>
        <v>3.3698867794978625E-2</v>
      </c>
      <c r="J210" s="255">
        <v>0</v>
      </c>
      <c r="K210" s="256">
        <f>IFERROR(J210/B205,"")</f>
        <v>0</v>
      </c>
      <c r="L210" s="255">
        <v>0</v>
      </c>
      <c r="M210" s="257">
        <f>IFERROR(L210/B205,"")</f>
        <v>0</v>
      </c>
    </row>
    <row r="211" spans="1:13" ht="15.75" customHeight="1">
      <c r="A211" s="594" t="s">
        <v>430</v>
      </c>
      <c r="B211" s="595"/>
      <c r="C211" s="595"/>
      <c r="D211" s="595"/>
      <c r="E211" s="595"/>
      <c r="F211" s="595"/>
      <c r="G211" s="595"/>
      <c r="H211" s="595"/>
      <c r="I211" s="595"/>
      <c r="J211" s="595"/>
      <c r="K211" s="595"/>
      <c r="L211" s="595"/>
      <c r="M211" s="596"/>
    </row>
    <row r="212" spans="1:13" ht="15.75" customHeight="1">
      <c r="A212" s="597"/>
      <c r="B212" s="587"/>
      <c r="C212" s="587"/>
      <c r="D212" s="587"/>
      <c r="E212" s="587"/>
      <c r="F212" s="587"/>
      <c r="G212" s="587"/>
      <c r="H212" s="587"/>
      <c r="I212" s="587"/>
      <c r="J212" s="587"/>
      <c r="K212" s="587"/>
      <c r="L212" s="587"/>
      <c r="M212" s="598"/>
    </row>
    <row r="213" spans="1:13" ht="15.75" customHeight="1">
      <c r="A213" s="242" t="s">
        <v>402</v>
      </c>
      <c r="B213" s="293">
        <v>49954974</v>
      </c>
      <c r="M213" s="243"/>
    </row>
    <row r="214" spans="1:13" ht="15.75" customHeight="1">
      <c r="A214" s="599" t="s">
        <v>105</v>
      </c>
      <c r="B214" s="589" t="s">
        <v>47</v>
      </c>
      <c r="C214" s="589"/>
      <c r="D214" s="590"/>
      <c r="E214" s="588" t="s">
        <v>105</v>
      </c>
      <c r="F214" s="592">
        <v>1</v>
      </c>
      <c r="G214" s="592"/>
      <c r="H214" s="592">
        <v>2</v>
      </c>
      <c r="I214" s="592"/>
      <c r="J214" s="592">
        <v>3</v>
      </c>
      <c r="K214" s="592"/>
      <c r="L214" s="592">
        <v>4</v>
      </c>
      <c r="M214" s="601"/>
    </row>
    <row r="215" spans="1:13" ht="15.75" customHeight="1">
      <c r="A215" s="599"/>
      <c r="B215" s="589"/>
      <c r="C215" s="589"/>
      <c r="D215" s="591"/>
      <c r="E215" s="588"/>
      <c r="F215" s="584" t="s">
        <v>403</v>
      </c>
      <c r="G215" s="584"/>
      <c r="H215" s="584" t="s">
        <v>404</v>
      </c>
      <c r="I215" s="584"/>
      <c r="J215" s="584" t="s">
        <v>405</v>
      </c>
      <c r="K215" s="584"/>
      <c r="L215" s="584" t="s">
        <v>414</v>
      </c>
      <c r="M215" s="602"/>
    </row>
    <row r="216" spans="1:13" ht="15.75" customHeight="1">
      <c r="A216" s="599"/>
      <c r="B216" s="193" t="s">
        <v>50</v>
      </c>
      <c r="C216" s="193" t="s">
        <v>15</v>
      </c>
      <c r="D216" s="591"/>
      <c r="E216" s="588"/>
      <c r="F216" s="193" t="s">
        <v>50</v>
      </c>
      <c r="G216" s="193" t="s">
        <v>15</v>
      </c>
      <c r="H216" s="193" t="s">
        <v>50</v>
      </c>
      <c r="I216" s="193" t="s">
        <v>15</v>
      </c>
      <c r="J216" s="193" t="s">
        <v>50</v>
      </c>
      <c r="K216" s="193" t="s">
        <v>15</v>
      </c>
      <c r="L216" s="193" t="s">
        <v>50</v>
      </c>
      <c r="M216" s="244" t="s">
        <v>15</v>
      </c>
    </row>
    <row r="217" spans="1:13" ht="15.75" customHeight="1">
      <c r="A217" s="245" t="s">
        <v>407</v>
      </c>
      <c r="B217" s="246">
        <v>122936</v>
      </c>
      <c r="C217" s="173">
        <f>B217/B213</f>
        <v>2.4609361221967605E-3</v>
      </c>
      <c r="D217" s="591"/>
      <c r="E217" s="171" t="s">
        <v>407</v>
      </c>
      <c r="F217" s="247">
        <v>0</v>
      </c>
      <c r="G217" s="175">
        <f>IFERROR(F217/B217,"")</f>
        <v>0</v>
      </c>
      <c r="H217" s="247">
        <v>1501.0600000000002</v>
      </c>
      <c r="I217" s="175">
        <f>IFERROR(H217/B217,"")</f>
        <v>1.2210093056549751E-2</v>
      </c>
      <c r="J217" s="247">
        <v>2748.6741000000002</v>
      </c>
      <c r="K217" s="175">
        <f>IFERROR(J217/B217,"")</f>
        <v>2.2358577633890805E-2</v>
      </c>
      <c r="L217" s="247">
        <v>6482.1190000000006</v>
      </c>
      <c r="M217" s="248">
        <f>IFERROR(L217/B217,"")</f>
        <v>5.2727589965510517E-2</v>
      </c>
    </row>
    <row r="218" spans="1:13" ht="15.75" customHeight="1">
      <c r="A218" s="249" t="s">
        <v>408</v>
      </c>
      <c r="B218" s="250">
        <v>110726.85705083513</v>
      </c>
      <c r="C218" s="173">
        <f>B218/B213</f>
        <v>2.2165331734700757E-3</v>
      </c>
      <c r="D218" s="591"/>
      <c r="E218" s="176" t="s">
        <v>408</v>
      </c>
      <c r="F218" s="247">
        <v>0</v>
      </c>
      <c r="G218" s="175">
        <f>IFERROR(F218/B218,"")</f>
        <v>0</v>
      </c>
      <c r="H218" s="247">
        <v>1280.8224000000021</v>
      </c>
      <c r="I218" s="175">
        <f>IFERROR(H218/B218,"")</f>
        <v>1.1567405001046598E-2</v>
      </c>
      <c r="J218" s="247">
        <v>1314.0638399999846</v>
      </c>
      <c r="K218" s="175">
        <f>IFERROR(J218/B218,"")</f>
        <v>1.1867616177317242E-2</v>
      </c>
      <c r="L218" s="247">
        <v>11296.346420000025</v>
      </c>
      <c r="M218" s="248">
        <f>IFERROR(L218/B218,"")</f>
        <v>0.10201993193768545</v>
      </c>
    </row>
    <row r="219" spans="1:13" ht="15.75" customHeight="1">
      <c r="A219" s="251"/>
      <c r="D219" s="591"/>
      <c r="E219" s="588" t="s">
        <v>105</v>
      </c>
      <c r="F219" s="603">
        <v>5</v>
      </c>
      <c r="G219" s="604"/>
      <c r="H219" s="603">
        <v>6</v>
      </c>
      <c r="I219" s="604"/>
      <c r="J219" s="603">
        <v>7</v>
      </c>
      <c r="K219" s="604"/>
      <c r="L219" s="605">
        <v>8</v>
      </c>
      <c r="M219" s="606"/>
    </row>
    <row r="220" spans="1:13" ht="15.75" customHeight="1">
      <c r="A220" s="251"/>
      <c r="D220" s="591"/>
      <c r="E220" s="588"/>
      <c r="F220" s="607" t="s">
        <v>409</v>
      </c>
      <c r="G220" s="608"/>
      <c r="H220" s="607" t="s">
        <v>410</v>
      </c>
      <c r="I220" s="608"/>
      <c r="J220" s="607" t="s">
        <v>411</v>
      </c>
      <c r="K220" s="608"/>
      <c r="L220" s="609" t="s">
        <v>412</v>
      </c>
      <c r="M220" s="610"/>
    </row>
    <row r="221" spans="1:13" ht="15.75" customHeight="1">
      <c r="A221" s="251"/>
      <c r="D221" s="591"/>
      <c r="E221" s="588"/>
      <c r="F221" s="193" t="s">
        <v>50</v>
      </c>
      <c r="G221" s="193" t="s">
        <v>15</v>
      </c>
      <c r="H221" s="193" t="s">
        <v>50</v>
      </c>
      <c r="I221" s="193" t="s">
        <v>15</v>
      </c>
      <c r="J221" s="193" t="s">
        <v>50</v>
      </c>
      <c r="K221" s="193" t="s">
        <v>15</v>
      </c>
      <c r="L221" s="193" t="s">
        <v>50</v>
      </c>
      <c r="M221" s="244" t="s">
        <v>15</v>
      </c>
    </row>
    <row r="222" spans="1:13" ht="15.75" customHeight="1">
      <c r="A222" s="251"/>
      <c r="D222" s="591"/>
      <c r="E222" s="171" t="s">
        <v>407</v>
      </c>
      <c r="F222" s="247">
        <v>2195.3139999999999</v>
      </c>
      <c r="G222" s="175">
        <f>IFERROR(F222/B217,"")</f>
        <v>1.7857372942018609E-2</v>
      </c>
      <c r="H222" s="247">
        <v>1509.8239999999998</v>
      </c>
      <c r="I222" s="175">
        <f>IFERROR(H222/B217,"")</f>
        <v>1.2281382182599075E-2</v>
      </c>
      <c r="J222" s="247">
        <v>0</v>
      </c>
      <c r="K222" s="175">
        <f>IFERROR(J222/B217,"")</f>
        <v>0</v>
      </c>
      <c r="L222" s="247">
        <v>0</v>
      </c>
      <c r="M222" s="248">
        <f>IFERROR(L222/B217,"")</f>
        <v>0</v>
      </c>
    </row>
    <row r="223" spans="1:13" ht="15.75" customHeight="1" thickBot="1">
      <c r="A223" s="252"/>
      <c r="B223" s="253"/>
      <c r="C223" s="253"/>
      <c r="D223" s="600"/>
      <c r="E223" s="254" t="s">
        <v>408</v>
      </c>
      <c r="F223" s="255">
        <v>9630.2537600000069</v>
      </c>
      <c r="G223" s="256">
        <f>IFERROR(F223/B218,"")</f>
        <v>8.697306160851942E-2</v>
      </c>
      <c r="H223" s="255">
        <v>5050.8231600000054</v>
      </c>
      <c r="I223" s="256">
        <f>IFERROR(H223/B218,"")</f>
        <v>4.5615158729567777E-2</v>
      </c>
      <c r="J223" s="255">
        <v>0</v>
      </c>
      <c r="K223" s="256">
        <f>IFERROR(J223/B218,"")</f>
        <v>0</v>
      </c>
      <c r="L223" s="255">
        <v>0</v>
      </c>
      <c r="M223" s="257">
        <f>IFERROR(L223/B218,"")</f>
        <v>0</v>
      </c>
    </row>
    <row r="224" spans="1:13" ht="15.75" customHeight="1">
      <c r="A224" s="594" t="s">
        <v>431</v>
      </c>
      <c r="B224" s="595"/>
      <c r="C224" s="595"/>
      <c r="D224" s="595"/>
      <c r="E224" s="595"/>
      <c r="F224" s="595"/>
      <c r="G224" s="595"/>
      <c r="H224" s="595"/>
      <c r="I224" s="595"/>
      <c r="J224" s="595"/>
      <c r="K224" s="595"/>
      <c r="L224" s="595"/>
      <c r="M224" s="596"/>
    </row>
    <row r="225" spans="1:13" ht="15.75" customHeight="1">
      <c r="A225" s="597"/>
      <c r="B225" s="587"/>
      <c r="C225" s="587"/>
      <c r="D225" s="587"/>
      <c r="E225" s="587"/>
      <c r="F225" s="587"/>
      <c r="G225" s="587"/>
      <c r="H225" s="587"/>
      <c r="I225" s="587"/>
      <c r="J225" s="587"/>
      <c r="K225" s="587"/>
      <c r="L225" s="587"/>
      <c r="M225" s="598"/>
    </row>
    <row r="226" spans="1:13" ht="15.75" customHeight="1">
      <c r="A226" s="242" t="s">
        <v>402</v>
      </c>
      <c r="B226" s="293">
        <v>47582302</v>
      </c>
      <c r="M226" s="243"/>
    </row>
    <row r="227" spans="1:13" ht="15.75" customHeight="1">
      <c r="A227" s="599" t="s">
        <v>105</v>
      </c>
      <c r="B227" s="589" t="s">
        <v>47</v>
      </c>
      <c r="C227" s="589"/>
      <c r="D227" s="590"/>
      <c r="E227" s="588" t="s">
        <v>105</v>
      </c>
      <c r="F227" s="592">
        <v>1</v>
      </c>
      <c r="G227" s="592"/>
      <c r="H227" s="592">
        <v>2</v>
      </c>
      <c r="I227" s="592"/>
      <c r="J227" s="592">
        <v>3</v>
      </c>
      <c r="K227" s="592"/>
      <c r="L227" s="592">
        <v>4</v>
      </c>
      <c r="M227" s="601"/>
    </row>
    <row r="228" spans="1:13" ht="15.75" customHeight="1">
      <c r="A228" s="599"/>
      <c r="B228" s="589"/>
      <c r="C228" s="589"/>
      <c r="D228" s="591"/>
      <c r="E228" s="588"/>
      <c r="F228" s="584" t="s">
        <v>403</v>
      </c>
      <c r="G228" s="584"/>
      <c r="H228" s="584" t="s">
        <v>404</v>
      </c>
      <c r="I228" s="584"/>
      <c r="J228" s="584" t="s">
        <v>405</v>
      </c>
      <c r="K228" s="584"/>
      <c r="L228" s="584" t="s">
        <v>414</v>
      </c>
      <c r="M228" s="602"/>
    </row>
    <row r="229" spans="1:13" ht="15.75" customHeight="1">
      <c r="A229" s="599"/>
      <c r="B229" s="193" t="s">
        <v>50</v>
      </c>
      <c r="C229" s="193" t="s">
        <v>15</v>
      </c>
      <c r="D229" s="591"/>
      <c r="E229" s="588"/>
      <c r="F229" s="193" t="s">
        <v>50</v>
      </c>
      <c r="G229" s="193" t="s">
        <v>15</v>
      </c>
      <c r="H229" s="193" t="s">
        <v>50</v>
      </c>
      <c r="I229" s="193" t="s">
        <v>15</v>
      </c>
      <c r="J229" s="193" t="s">
        <v>50</v>
      </c>
      <c r="K229" s="193" t="s">
        <v>15</v>
      </c>
      <c r="L229" s="193" t="s">
        <v>50</v>
      </c>
      <c r="M229" s="244" t="s">
        <v>15</v>
      </c>
    </row>
    <row r="230" spans="1:13" ht="15.75" customHeight="1">
      <c r="A230" s="245" t="s">
        <v>407</v>
      </c>
      <c r="B230" s="246">
        <v>116707.33200000001</v>
      </c>
      <c r="C230" s="173">
        <f>B230/B226</f>
        <v>2.4527466535772063E-3</v>
      </c>
      <c r="D230" s="591"/>
      <c r="E230" s="171" t="s">
        <v>407</v>
      </c>
      <c r="F230" s="247">
        <v>0</v>
      </c>
      <c r="G230" s="175">
        <f>IFERROR(F230/B230,"")</f>
        <v>0</v>
      </c>
      <c r="H230" s="247">
        <v>655.30500000000006</v>
      </c>
      <c r="I230" s="175">
        <f>IFERROR(H230/B230,"")</f>
        <v>5.6149428555182807E-3</v>
      </c>
      <c r="J230" s="247">
        <v>2194.0420000000004</v>
      </c>
      <c r="K230" s="175">
        <f>IFERROR(J230/B230,"")</f>
        <v>1.879952152449171E-2</v>
      </c>
      <c r="L230" s="247">
        <v>6503.0510000000004</v>
      </c>
      <c r="M230" s="248">
        <f>IFERROR(L230/B230,"")</f>
        <v>5.572101502585973E-2</v>
      </c>
    </row>
    <row r="231" spans="1:13" ht="15.75" customHeight="1">
      <c r="A231" s="249" t="s">
        <v>408</v>
      </c>
      <c r="B231" s="250">
        <v>104435.35944224003</v>
      </c>
      <c r="C231" s="173">
        <f>B231/B226</f>
        <v>2.1948362112081091E-3</v>
      </c>
      <c r="D231" s="591"/>
      <c r="E231" s="176" t="s">
        <v>408</v>
      </c>
      <c r="F231" s="247">
        <v>0</v>
      </c>
      <c r="G231" s="175">
        <f>IFERROR(F231/B231,"")</f>
        <v>0</v>
      </c>
      <c r="H231" s="247">
        <v>0</v>
      </c>
      <c r="I231" s="175">
        <f>IFERROR(H231/B231,"")</f>
        <v>0</v>
      </c>
      <c r="J231" s="247">
        <v>6120.2293400000053</v>
      </c>
      <c r="K231" s="175">
        <f>IFERROR(J231/B231,"")</f>
        <v>5.8603038019751488E-2</v>
      </c>
      <c r="L231" s="247">
        <v>5601.6356299999961</v>
      </c>
      <c r="M231" s="248">
        <f>IFERROR(L231/B231,"")</f>
        <v>5.3637347158249478E-2</v>
      </c>
    </row>
    <row r="232" spans="1:13" ht="15.75" customHeight="1">
      <c r="A232" s="251"/>
      <c r="D232" s="591"/>
      <c r="E232" s="588" t="s">
        <v>105</v>
      </c>
      <c r="F232" s="603">
        <v>5</v>
      </c>
      <c r="G232" s="604"/>
      <c r="H232" s="603">
        <v>6</v>
      </c>
      <c r="I232" s="604"/>
      <c r="J232" s="603">
        <v>7</v>
      </c>
      <c r="K232" s="604"/>
      <c r="L232" s="605">
        <v>8</v>
      </c>
      <c r="M232" s="606"/>
    </row>
    <row r="233" spans="1:13" ht="15.75" customHeight="1">
      <c r="A233" s="251"/>
      <c r="D233" s="591"/>
      <c r="E233" s="588"/>
      <c r="F233" s="607" t="s">
        <v>409</v>
      </c>
      <c r="G233" s="608"/>
      <c r="H233" s="607" t="s">
        <v>410</v>
      </c>
      <c r="I233" s="608"/>
      <c r="J233" s="607" t="s">
        <v>411</v>
      </c>
      <c r="K233" s="608"/>
      <c r="L233" s="609" t="s">
        <v>412</v>
      </c>
      <c r="M233" s="610"/>
    </row>
    <row r="234" spans="1:13" ht="15.75" customHeight="1">
      <c r="A234" s="251"/>
      <c r="D234" s="591"/>
      <c r="E234" s="588"/>
      <c r="F234" s="193" t="s">
        <v>50</v>
      </c>
      <c r="G234" s="193" t="s">
        <v>15</v>
      </c>
      <c r="H234" s="193" t="s">
        <v>50</v>
      </c>
      <c r="I234" s="193" t="s">
        <v>15</v>
      </c>
      <c r="J234" s="193" t="s">
        <v>50</v>
      </c>
      <c r="K234" s="193" t="s">
        <v>15</v>
      </c>
      <c r="L234" s="193" t="s">
        <v>50</v>
      </c>
      <c r="M234" s="244" t="s">
        <v>15</v>
      </c>
    </row>
    <row r="235" spans="1:13" ht="15.75" customHeight="1">
      <c r="A235" s="251"/>
      <c r="D235" s="591"/>
      <c r="E235" s="171" t="s">
        <v>407</v>
      </c>
      <c r="F235" s="247">
        <v>2881.55</v>
      </c>
      <c r="G235" s="175">
        <f>IFERROR(F235/B230,"")</f>
        <v>2.4690393916296537E-2</v>
      </c>
      <c r="H235" s="247">
        <v>2465.4870000000001</v>
      </c>
      <c r="I235" s="175">
        <f>IFERROR(H235/B230,"")</f>
        <v>2.1125382251048288E-2</v>
      </c>
      <c r="J235" s="247">
        <v>0</v>
      </c>
      <c r="K235" s="175">
        <f>IFERROR(J235/B230,"")</f>
        <v>0</v>
      </c>
      <c r="L235" s="247">
        <v>0</v>
      </c>
      <c r="M235" s="248">
        <f>IFERROR(L235/B230,"")</f>
        <v>0</v>
      </c>
    </row>
    <row r="236" spans="1:13" ht="15.75" customHeight="1" thickBot="1">
      <c r="A236" s="252"/>
      <c r="B236" s="253"/>
      <c r="C236" s="253"/>
      <c r="D236" s="600"/>
      <c r="E236" s="254" t="s">
        <v>408</v>
      </c>
      <c r="F236" s="255">
        <v>12214.969340000049</v>
      </c>
      <c r="G236" s="256">
        <f>IFERROR(F236/B231,"")</f>
        <v>0.11696200793712756</v>
      </c>
      <c r="H236" s="255">
        <v>5285.9332799999956</v>
      </c>
      <c r="I236" s="256">
        <f>IFERROR(H236/B231,"")</f>
        <v>5.061440213573911E-2</v>
      </c>
      <c r="J236" s="255">
        <v>0</v>
      </c>
      <c r="K236" s="256">
        <f>IFERROR(J236/B231,"")</f>
        <v>0</v>
      </c>
      <c r="L236" s="255">
        <v>0</v>
      </c>
      <c r="M236" s="257">
        <f>IFERROR(L236/B231,"")</f>
        <v>0</v>
      </c>
    </row>
    <row r="237" spans="1:13" ht="15.75" customHeight="1">
      <c r="A237" s="594" t="s">
        <v>432</v>
      </c>
      <c r="B237" s="595"/>
      <c r="C237" s="595"/>
      <c r="D237" s="595"/>
      <c r="E237" s="595"/>
      <c r="F237" s="595"/>
      <c r="G237" s="595"/>
      <c r="H237" s="595"/>
      <c r="I237" s="595"/>
      <c r="J237" s="595"/>
      <c r="K237" s="595"/>
      <c r="L237" s="595"/>
      <c r="M237" s="596"/>
    </row>
    <row r="238" spans="1:13" ht="15.75" customHeight="1">
      <c r="A238" s="597"/>
      <c r="B238" s="587"/>
      <c r="C238" s="587"/>
      <c r="D238" s="587"/>
      <c r="E238" s="587"/>
      <c r="F238" s="587"/>
      <c r="G238" s="587"/>
      <c r="H238" s="587"/>
      <c r="I238" s="587"/>
      <c r="J238" s="587"/>
      <c r="K238" s="587"/>
      <c r="L238" s="587"/>
      <c r="M238" s="598"/>
    </row>
    <row r="239" spans="1:13" ht="15.75" customHeight="1">
      <c r="A239" s="242" t="s">
        <v>402</v>
      </c>
      <c r="B239" s="293">
        <v>49743811</v>
      </c>
      <c r="M239" s="243"/>
    </row>
    <row r="240" spans="1:13" ht="15.75" customHeight="1">
      <c r="A240" s="599" t="s">
        <v>105</v>
      </c>
      <c r="B240" s="589" t="s">
        <v>47</v>
      </c>
      <c r="C240" s="589"/>
      <c r="D240" s="590"/>
      <c r="E240" s="588" t="s">
        <v>105</v>
      </c>
      <c r="F240" s="592">
        <v>1</v>
      </c>
      <c r="G240" s="592"/>
      <c r="H240" s="592">
        <v>2</v>
      </c>
      <c r="I240" s="592"/>
      <c r="J240" s="592">
        <v>3</v>
      </c>
      <c r="K240" s="592"/>
      <c r="L240" s="592">
        <v>4</v>
      </c>
      <c r="M240" s="601"/>
    </row>
    <row r="241" spans="1:13" ht="15.75" customHeight="1">
      <c r="A241" s="599"/>
      <c r="B241" s="589"/>
      <c r="C241" s="589"/>
      <c r="D241" s="591"/>
      <c r="E241" s="588"/>
      <c r="F241" s="584" t="s">
        <v>403</v>
      </c>
      <c r="G241" s="584"/>
      <c r="H241" s="584" t="s">
        <v>404</v>
      </c>
      <c r="I241" s="584"/>
      <c r="J241" s="584" t="s">
        <v>405</v>
      </c>
      <c r="K241" s="584"/>
      <c r="L241" s="584" t="s">
        <v>414</v>
      </c>
      <c r="M241" s="602"/>
    </row>
    <row r="242" spans="1:13" ht="15.75" customHeight="1">
      <c r="A242" s="599"/>
      <c r="B242" s="193" t="s">
        <v>50</v>
      </c>
      <c r="C242" s="193" t="s">
        <v>15</v>
      </c>
      <c r="D242" s="591"/>
      <c r="E242" s="588"/>
      <c r="F242" s="193" t="s">
        <v>50</v>
      </c>
      <c r="G242" s="193" t="s">
        <v>15</v>
      </c>
      <c r="H242" s="193" t="s">
        <v>50</v>
      </c>
      <c r="I242" s="193" t="s">
        <v>15</v>
      </c>
      <c r="J242" s="193" t="s">
        <v>50</v>
      </c>
      <c r="K242" s="193" t="s">
        <v>15</v>
      </c>
      <c r="L242" s="193" t="s">
        <v>50</v>
      </c>
      <c r="M242" s="244" t="s">
        <v>15</v>
      </c>
    </row>
    <row r="243" spans="1:13" ht="15.75" customHeight="1">
      <c r="A243" s="245" t="s">
        <v>407</v>
      </c>
      <c r="B243" s="246">
        <v>122573</v>
      </c>
      <c r="C243" s="173">
        <f>B243/B239</f>
        <v>2.464085431652995E-3</v>
      </c>
      <c r="D243" s="591"/>
      <c r="E243" s="171" t="s">
        <v>407</v>
      </c>
      <c r="F243" s="247">
        <v>0</v>
      </c>
      <c r="G243" s="175">
        <f>IFERROR(F243/B243,"")</f>
        <v>0</v>
      </c>
      <c r="H243" s="247">
        <v>811.54099999999994</v>
      </c>
      <c r="I243" s="175">
        <f>IFERROR(H243/B243,"")</f>
        <v>6.6208789863999411E-3</v>
      </c>
      <c r="J243" s="247">
        <v>6045.5380000000005</v>
      </c>
      <c r="K243" s="175">
        <f>IFERROR(J243/B243,"")</f>
        <v>4.9321938763022856E-2</v>
      </c>
      <c r="L243" s="247">
        <v>3624.6750000000002</v>
      </c>
      <c r="M243" s="248">
        <f>IFERROR(L243/B243,"")</f>
        <v>2.9571561436858036E-2</v>
      </c>
    </row>
    <row r="244" spans="1:13" ht="15.75" customHeight="1">
      <c r="A244" s="249" t="s">
        <v>408</v>
      </c>
      <c r="B244" s="250">
        <v>101215.76197099355</v>
      </c>
      <c r="C244" s="173">
        <f>B244/B239</f>
        <v>2.0347408036548217E-3</v>
      </c>
      <c r="D244" s="591"/>
      <c r="E244" s="176" t="s">
        <v>408</v>
      </c>
      <c r="F244" s="247">
        <v>0</v>
      </c>
      <c r="G244" s="175">
        <f>IFERROR(F244/B244,"")</f>
        <v>0</v>
      </c>
      <c r="H244" s="247">
        <v>0</v>
      </c>
      <c r="I244" s="175">
        <f>IFERROR(H244/B244,"")</f>
        <v>0</v>
      </c>
      <c r="J244" s="247">
        <v>4566.049100000002</v>
      </c>
      <c r="K244" s="175">
        <f>IFERROR(J244/B244,"")</f>
        <v>4.5112036021707193E-2</v>
      </c>
      <c r="L244" s="247">
        <v>12694.373069999985</v>
      </c>
      <c r="M244" s="248">
        <f>IFERROR(L244/B244,"")</f>
        <v>0.12541893498403878</v>
      </c>
    </row>
    <row r="245" spans="1:13" ht="15.75" customHeight="1">
      <c r="A245" s="251"/>
      <c r="D245" s="591"/>
      <c r="E245" s="588" t="s">
        <v>105</v>
      </c>
      <c r="F245" s="603">
        <v>5</v>
      </c>
      <c r="G245" s="604"/>
      <c r="H245" s="603">
        <v>6</v>
      </c>
      <c r="I245" s="604"/>
      <c r="J245" s="603">
        <v>7</v>
      </c>
      <c r="K245" s="604"/>
      <c r="L245" s="605">
        <v>8</v>
      </c>
      <c r="M245" s="606"/>
    </row>
    <row r="246" spans="1:13" ht="15.75" customHeight="1">
      <c r="A246" s="251"/>
      <c r="D246" s="591"/>
      <c r="E246" s="588"/>
      <c r="F246" s="607" t="s">
        <v>409</v>
      </c>
      <c r="G246" s="608"/>
      <c r="H246" s="607" t="s">
        <v>410</v>
      </c>
      <c r="I246" s="608"/>
      <c r="J246" s="607" t="s">
        <v>411</v>
      </c>
      <c r="K246" s="608"/>
      <c r="L246" s="609" t="s">
        <v>412</v>
      </c>
      <c r="M246" s="610"/>
    </row>
    <row r="247" spans="1:13" ht="15.75" customHeight="1">
      <c r="A247" s="251"/>
      <c r="D247" s="591"/>
      <c r="E247" s="588"/>
      <c r="F247" s="193" t="s">
        <v>50</v>
      </c>
      <c r="G247" s="193" t="s">
        <v>15</v>
      </c>
      <c r="H247" s="193" t="s">
        <v>50</v>
      </c>
      <c r="I247" s="193" t="s">
        <v>15</v>
      </c>
      <c r="J247" s="193" t="s">
        <v>50</v>
      </c>
      <c r="K247" s="193" t="s">
        <v>15</v>
      </c>
      <c r="L247" s="193" t="s">
        <v>50</v>
      </c>
      <c r="M247" s="244" t="s">
        <v>15</v>
      </c>
    </row>
    <row r="248" spans="1:13" ht="15.75" customHeight="1">
      <c r="A248" s="251"/>
      <c r="D248" s="591"/>
      <c r="E248" s="171" t="s">
        <v>407</v>
      </c>
      <c r="F248" s="247">
        <v>2214.98</v>
      </c>
      <c r="G248" s="175">
        <f>IFERROR(F248/B243,"")</f>
        <v>1.8070700725282076E-2</v>
      </c>
      <c r="H248" s="247">
        <v>2466.8669999999997</v>
      </c>
      <c r="I248" s="175">
        <f>IFERROR(H248/B243,"")</f>
        <v>2.0125696523704238E-2</v>
      </c>
      <c r="J248" s="247">
        <v>0</v>
      </c>
      <c r="K248" s="175">
        <f>IFERROR(J248/B243,"")</f>
        <v>0</v>
      </c>
      <c r="L248" s="247">
        <v>0</v>
      </c>
      <c r="M248" s="248">
        <f>IFERROR(L248/B243,"")</f>
        <v>0</v>
      </c>
    </row>
    <row r="249" spans="1:13" ht="15.75" customHeight="1" thickBot="1">
      <c r="A249" s="252"/>
      <c r="B249" s="253"/>
      <c r="C249" s="253"/>
      <c r="D249" s="600"/>
      <c r="E249" s="254" t="s">
        <v>408</v>
      </c>
      <c r="F249" s="255">
        <v>6735.8776599999837</v>
      </c>
      <c r="G249" s="256">
        <f>IFERROR(F249/B244,"")</f>
        <v>6.6549690767830738E-2</v>
      </c>
      <c r="H249" s="255">
        <v>5140.3288799999918</v>
      </c>
      <c r="I249" s="256">
        <f>IFERROR(H249/B244,"")</f>
        <v>5.0785853704021999E-2</v>
      </c>
      <c r="J249" s="255">
        <v>0</v>
      </c>
      <c r="K249" s="256">
        <f>IFERROR(J249/B244,"")</f>
        <v>0</v>
      </c>
      <c r="L249" s="255">
        <v>0</v>
      </c>
      <c r="M249" s="257">
        <f>IFERROR(L249/B244,"")</f>
        <v>0</v>
      </c>
    </row>
    <row r="250" spans="1:13" ht="15.75" customHeight="1">
      <c r="A250" s="594" t="s">
        <v>433</v>
      </c>
      <c r="B250" s="595"/>
      <c r="C250" s="595"/>
      <c r="D250" s="595"/>
      <c r="E250" s="595"/>
      <c r="F250" s="595"/>
      <c r="G250" s="595"/>
      <c r="H250" s="595"/>
      <c r="I250" s="595"/>
      <c r="J250" s="595"/>
      <c r="K250" s="595"/>
      <c r="L250" s="595"/>
      <c r="M250" s="596"/>
    </row>
    <row r="251" spans="1:13" ht="15.75" customHeight="1">
      <c r="A251" s="597"/>
      <c r="B251" s="587"/>
      <c r="C251" s="587"/>
      <c r="D251" s="587"/>
      <c r="E251" s="587"/>
      <c r="F251" s="587"/>
      <c r="G251" s="587"/>
      <c r="H251" s="587"/>
      <c r="I251" s="587"/>
      <c r="J251" s="587"/>
      <c r="K251" s="587"/>
      <c r="L251" s="587"/>
      <c r="M251" s="598"/>
    </row>
    <row r="252" spans="1:13" ht="15.75" customHeight="1">
      <c r="A252" s="242" t="s">
        <v>402</v>
      </c>
      <c r="B252" s="293">
        <v>52585700</v>
      </c>
      <c r="M252" s="243"/>
    </row>
    <row r="253" spans="1:13" ht="15.75" customHeight="1">
      <c r="A253" s="599" t="s">
        <v>105</v>
      </c>
      <c r="B253" s="589" t="s">
        <v>47</v>
      </c>
      <c r="C253" s="589"/>
      <c r="D253" s="590"/>
      <c r="E253" s="588" t="s">
        <v>105</v>
      </c>
      <c r="F253" s="592">
        <v>1</v>
      </c>
      <c r="G253" s="592"/>
      <c r="H253" s="592">
        <v>2</v>
      </c>
      <c r="I253" s="592"/>
      <c r="J253" s="592">
        <v>3</v>
      </c>
      <c r="K253" s="592"/>
      <c r="L253" s="592">
        <v>4</v>
      </c>
      <c r="M253" s="601"/>
    </row>
    <row r="254" spans="1:13" ht="15.75" customHeight="1">
      <c r="A254" s="599"/>
      <c r="B254" s="589"/>
      <c r="C254" s="589"/>
      <c r="D254" s="591"/>
      <c r="E254" s="588"/>
      <c r="F254" s="584" t="s">
        <v>403</v>
      </c>
      <c r="G254" s="584"/>
      <c r="H254" s="584" t="s">
        <v>404</v>
      </c>
      <c r="I254" s="584"/>
      <c r="J254" s="584" t="s">
        <v>405</v>
      </c>
      <c r="K254" s="584"/>
      <c r="L254" s="584" t="s">
        <v>414</v>
      </c>
      <c r="M254" s="602"/>
    </row>
    <row r="255" spans="1:13" ht="15.75" customHeight="1">
      <c r="A255" s="599"/>
      <c r="B255" s="193" t="s">
        <v>50</v>
      </c>
      <c r="C255" s="193" t="s">
        <v>15</v>
      </c>
      <c r="D255" s="591"/>
      <c r="E255" s="588"/>
      <c r="F255" s="193" t="s">
        <v>50</v>
      </c>
      <c r="G255" s="193" t="s">
        <v>15</v>
      </c>
      <c r="H255" s="193" t="s">
        <v>50</v>
      </c>
      <c r="I255" s="193" t="s">
        <v>15</v>
      </c>
      <c r="J255" s="193" t="s">
        <v>50</v>
      </c>
      <c r="K255" s="193" t="s">
        <v>15</v>
      </c>
      <c r="L255" s="193" t="s">
        <v>50</v>
      </c>
      <c r="M255" s="244" t="s">
        <v>15</v>
      </c>
    </row>
    <row r="256" spans="1:13" ht="15.75" customHeight="1">
      <c r="A256" s="245" t="s">
        <v>407</v>
      </c>
      <c r="B256" s="246">
        <v>129101.829</v>
      </c>
      <c r="C256" s="173">
        <f>B256/B252</f>
        <v>2.4550748397377995E-3</v>
      </c>
      <c r="D256" s="591"/>
      <c r="E256" s="171" t="s">
        <v>407</v>
      </c>
      <c r="F256" s="247">
        <v>0</v>
      </c>
      <c r="G256" s="175">
        <f>IFERROR(F256/B256,"")</f>
        <v>0</v>
      </c>
      <c r="H256" s="247">
        <v>3603.7519999999995</v>
      </c>
      <c r="I256" s="175">
        <f>IFERROR(H256/B256,"")</f>
        <v>2.79140274612221E-2</v>
      </c>
      <c r="J256" s="247">
        <v>811.50300000000004</v>
      </c>
      <c r="K256" s="175">
        <f>IFERROR(J256/B256,"")</f>
        <v>6.285759127393928E-3</v>
      </c>
      <c r="L256" s="247">
        <v>10731.770000000002</v>
      </c>
      <c r="M256" s="248">
        <f>IFERROR(L256/B256,"")</f>
        <v>8.3126397845223424E-2</v>
      </c>
    </row>
    <row r="257" spans="1:13" ht="15.75" customHeight="1">
      <c r="A257" s="249" t="s">
        <v>408</v>
      </c>
      <c r="B257" s="250">
        <v>100452.3190710835</v>
      </c>
      <c r="C257" s="173">
        <f>B257/B252</f>
        <v>1.9102592353260203E-3</v>
      </c>
      <c r="D257" s="591"/>
      <c r="E257" s="176" t="s">
        <v>408</v>
      </c>
      <c r="F257" s="247">
        <v>0</v>
      </c>
      <c r="G257" s="175">
        <f>IFERROR(F257/B257,"")</f>
        <v>0</v>
      </c>
      <c r="H257" s="247">
        <v>1963.473449999999</v>
      </c>
      <c r="I257" s="175">
        <f>IFERROR(H257/B257,"")</f>
        <v>1.9546322754485916E-2</v>
      </c>
      <c r="J257" s="247">
        <v>0</v>
      </c>
      <c r="K257" s="175">
        <f>IFERROR(J257/B257,"")</f>
        <v>0</v>
      </c>
      <c r="L257" s="247">
        <v>18817.172480000161</v>
      </c>
      <c r="M257" s="248">
        <f>IFERROR(L257/B257,"")</f>
        <v>0.18732442072028704</v>
      </c>
    </row>
    <row r="258" spans="1:13" ht="15.75" customHeight="1">
      <c r="A258" s="251"/>
      <c r="D258" s="591"/>
      <c r="E258" s="588" t="s">
        <v>105</v>
      </c>
      <c r="F258" s="603">
        <v>5</v>
      </c>
      <c r="G258" s="604"/>
      <c r="H258" s="603">
        <v>6</v>
      </c>
      <c r="I258" s="604"/>
      <c r="J258" s="603">
        <v>7</v>
      </c>
      <c r="K258" s="604"/>
      <c r="L258" s="605">
        <v>8</v>
      </c>
      <c r="M258" s="606"/>
    </row>
    <row r="259" spans="1:13" ht="15.75" customHeight="1">
      <c r="A259" s="251"/>
      <c r="D259" s="591"/>
      <c r="E259" s="588"/>
      <c r="F259" s="607" t="s">
        <v>409</v>
      </c>
      <c r="G259" s="608"/>
      <c r="H259" s="607" t="s">
        <v>410</v>
      </c>
      <c r="I259" s="608"/>
      <c r="J259" s="607" t="s">
        <v>411</v>
      </c>
      <c r="K259" s="608"/>
      <c r="L259" s="609" t="s">
        <v>412</v>
      </c>
      <c r="M259" s="610"/>
    </row>
    <row r="260" spans="1:13" ht="15.75" customHeight="1">
      <c r="A260" s="251"/>
      <c r="D260" s="591"/>
      <c r="E260" s="588"/>
      <c r="F260" s="193" t="s">
        <v>50</v>
      </c>
      <c r="G260" s="193" t="s">
        <v>15</v>
      </c>
      <c r="H260" s="193" t="s">
        <v>50</v>
      </c>
      <c r="I260" s="193" t="s">
        <v>15</v>
      </c>
      <c r="J260" s="193" t="s">
        <v>50</v>
      </c>
      <c r="K260" s="193" t="s">
        <v>15</v>
      </c>
      <c r="L260" s="193" t="s">
        <v>50</v>
      </c>
      <c r="M260" s="244" t="s">
        <v>15</v>
      </c>
    </row>
    <row r="261" spans="1:13" ht="15.75" customHeight="1">
      <c r="A261" s="251"/>
      <c r="D261" s="591"/>
      <c r="E261" s="171" t="s">
        <v>407</v>
      </c>
      <c r="F261" s="247">
        <v>1612.078</v>
      </c>
      <c r="G261" s="175">
        <f>IFERROR(F261/B256,"")</f>
        <v>1.2486871893968288E-2</v>
      </c>
      <c r="H261" s="247">
        <v>1022.1999999999998</v>
      </c>
      <c r="I261" s="175">
        <f>IFERROR(H261/B256,"")</f>
        <v>7.9177809324451932E-3</v>
      </c>
      <c r="J261" s="247">
        <v>0</v>
      </c>
      <c r="K261" s="175">
        <f>IFERROR(J261/B256,"")</f>
        <v>0</v>
      </c>
      <c r="L261" s="247">
        <v>0</v>
      </c>
      <c r="M261" s="248">
        <f>IFERROR(L261/B256,"")</f>
        <v>0</v>
      </c>
    </row>
    <row r="262" spans="1:13" ht="15.75" customHeight="1" thickBot="1">
      <c r="A262" s="252"/>
      <c r="B262" s="253"/>
      <c r="C262" s="253"/>
      <c r="D262" s="600"/>
      <c r="E262" s="254" t="s">
        <v>408</v>
      </c>
      <c r="F262" s="255">
        <v>5619.3451999999734</v>
      </c>
      <c r="G262" s="256">
        <f>IFERROR(F262/B257,"")</f>
        <v>5.5940422799234051E-2</v>
      </c>
      <c r="H262" s="255">
        <v>4763.3846399999848</v>
      </c>
      <c r="I262" s="256">
        <f>IFERROR(H262/B257,"")</f>
        <v>4.7419359593174254E-2</v>
      </c>
      <c r="J262" s="255">
        <v>0</v>
      </c>
      <c r="K262" s="256">
        <f>IFERROR(J262/B257,"")</f>
        <v>0</v>
      </c>
      <c r="L262" s="255">
        <v>0</v>
      </c>
      <c r="M262" s="257">
        <f>IFERROR(L262/B257,"")</f>
        <v>0</v>
      </c>
    </row>
    <row r="263" spans="1:13" ht="15.75" customHeight="1">
      <c r="A263" s="594" t="s">
        <v>434</v>
      </c>
      <c r="B263" s="595"/>
      <c r="C263" s="595"/>
      <c r="D263" s="595"/>
      <c r="E263" s="595"/>
      <c r="F263" s="595"/>
      <c r="G263" s="595"/>
      <c r="H263" s="595"/>
      <c r="I263" s="595"/>
      <c r="J263" s="595"/>
      <c r="K263" s="595"/>
      <c r="L263" s="595"/>
      <c r="M263" s="596"/>
    </row>
    <row r="264" spans="1:13" ht="15.75" customHeight="1">
      <c r="A264" s="597"/>
      <c r="B264" s="587"/>
      <c r="C264" s="587"/>
      <c r="D264" s="587"/>
      <c r="E264" s="587"/>
      <c r="F264" s="587"/>
      <c r="G264" s="587"/>
      <c r="H264" s="587"/>
      <c r="I264" s="587"/>
      <c r="J264" s="587"/>
      <c r="K264" s="587"/>
      <c r="L264" s="587"/>
      <c r="M264" s="598"/>
    </row>
    <row r="265" spans="1:13" ht="15.75" customHeight="1">
      <c r="A265" s="242" t="s">
        <v>402</v>
      </c>
      <c r="B265" s="293">
        <v>48784609</v>
      </c>
      <c r="M265" s="243"/>
    </row>
    <row r="266" spans="1:13" ht="15.75" customHeight="1">
      <c r="A266" s="599" t="s">
        <v>105</v>
      </c>
      <c r="B266" s="589" t="s">
        <v>47</v>
      </c>
      <c r="C266" s="589"/>
      <c r="D266" s="590"/>
      <c r="E266" s="588" t="s">
        <v>105</v>
      </c>
      <c r="F266" s="592">
        <v>1</v>
      </c>
      <c r="G266" s="592"/>
      <c r="H266" s="592">
        <v>2</v>
      </c>
      <c r="I266" s="592"/>
      <c r="J266" s="592">
        <v>3</v>
      </c>
      <c r="K266" s="592"/>
      <c r="L266" s="592">
        <v>4</v>
      </c>
      <c r="M266" s="601"/>
    </row>
    <row r="267" spans="1:13" ht="15.75" customHeight="1">
      <c r="A267" s="599"/>
      <c r="B267" s="589"/>
      <c r="C267" s="589"/>
      <c r="D267" s="591"/>
      <c r="E267" s="588"/>
      <c r="F267" s="584" t="s">
        <v>403</v>
      </c>
      <c r="G267" s="584"/>
      <c r="H267" s="584" t="s">
        <v>404</v>
      </c>
      <c r="I267" s="584"/>
      <c r="J267" s="584" t="s">
        <v>405</v>
      </c>
      <c r="K267" s="584"/>
      <c r="L267" s="584" t="s">
        <v>414</v>
      </c>
      <c r="M267" s="602"/>
    </row>
    <row r="268" spans="1:13" ht="15.75" customHeight="1">
      <c r="A268" s="599"/>
      <c r="B268" s="193" t="s">
        <v>50</v>
      </c>
      <c r="C268" s="193" t="s">
        <v>15</v>
      </c>
      <c r="D268" s="591"/>
      <c r="E268" s="588"/>
      <c r="F268" s="193" t="s">
        <v>50</v>
      </c>
      <c r="G268" s="193" t="s">
        <v>15</v>
      </c>
      <c r="H268" s="193" t="s">
        <v>50</v>
      </c>
      <c r="I268" s="193" t="s">
        <v>15</v>
      </c>
      <c r="J268" s="193" t="s">
        <v>50</v>
      </c>
      <c r="K268" s="193" t="s">
        <v>15</v>
      </c>
      <c r="L268" s="193" t="s">
        <v>50</v>
      </c>
      <c r="M268" s="244" t="s">
        <v>15</v>
      </c>
    </row>
    <row r="269" spans="1:13" ht="15.75" customHeight="1">
      <c r="A269" s="245" t="s">
        <v>407</v>
      </c>
      <c r="B269" s="246">
        <v>119574</v>
      </c>
      <c r="C269" s="173">
        <f>B269/B265</f>
        <v>2.451059923427899E-3</v>
      </c>
      <c r="D269" s="591"/>
      <c r="E269" s="171" t="s">
        <v>407</v>
      </c>
      <c r="F269" s="247">
        <v>0</v>
      </c>
      <c r="G269" s="175">
        <f>IFERROR(F269/B269,"")</f>
        <v>0</v>
      </c>
      <c r="H269" s="247">
        <v>1458.4679999999998</v>
      </c>
      <c r="I269" s="175">
        <f>IFERROR(H269/B269,"")</f>
        <v>1.2197200060213758E-2</v>
      </c>
      <c r="J269" s="247">
        <v>1387.144</v>
      </c>
      <c r="K269" s="175">
        <f>IFERROR(J269/B269,"")</f>
        <v>1.1600715874688477E-2</v>
      </c>
      <c r="L269" s="247">
        <v>8259.2160000000003</v>
      </c>
      <c r="M269" s="248">
        <f>IFERROR(L269/B269,"")</f>
        <v>6.9072005619950833E-2</v>
      </c>
    </row>
    <row r="270" spans="1:13" ht="15.75" customHeight="1">
      <c r="A270" s="249" t="s">
        <v>408</v>
      </c>
      <c r="B270" s="250">
        <v>107362.99873387686</v>
      </c>
      <c r="C270" s="173">
        <f>B270/B265</f>
        <v>2.2007555443126921E-3</v>
      </c>
      <c r="D270" s="591"/>
      <c r="E270" s="176" t="s">
        <v>408</v>
      </c>
      <c r="F270" s="247">
        <v>0</v>
      </c>
      <c r="G270" s="175">
        <f>IFERROR(F270/B270,"")</f>
        <v>0</v>
      </c>
      <c r="H270" s="247">
        <v>3354.9993999999924</v>
      </c>
      <c r="I270" s="175">
        <f>IFERROR(H270/B270,"")</f>
        <v>3.1249121574147783E-2</v>
      </c>
      <c r="J270" s="247">
        <v>1249.2024999999915</v>
      </c>
      <c r="K270" s="175">
        <f>IFERROR(J270/B270,"")</f>
        <v>1.1635316773299324E-2</v>
      </c>
      <c r="L270" s="247">
        <v>13497.26806</v>
      </c>
      <c r="M270" s="248">
        <f>IFERROR(L270/B270,"")</f>
        <v>0.12571619849642976</v>
      </c>
    </row>
    <row r="271" spans="1:13" ht="15.75" customHeight="1">
      <c r="A271" s="251"/>
      <c r="D271" s="591"/>
      <c r="E271" s="588" t="s">
        <v>105</v>
      </c>
      <c r="F271" s="603">
        <v>5</v>
      </c>
      <c r="G271" s="604"/>
      <c r="H271" s="603">
        <v>6</v>
      </c>
      <c r="I271" s="604"/>
      <c r="J271" s="603">
        <v>7</v>
      </c>
      <c r="K271" s="604"/>
      <c r="L271" s="605">
        <v>8</v>
      </c>
      <c r="M271" s="606"/>
    </row>
    <row r="272" spans="1:13" ht="15.75" customHeight="1">
      <c r="A272" s="251"/>
      <c r="D272" s="591"/>
      <c r="E272" s="588"/>
      <c r="F272" s="607" t="s">
        <v>409</v>
      </c>
      <c r="G272" s="608"/>
      <c r="H272" s="607" t="s">
        <v>410</v>
      </c>
      <c r="I272" s="608"/>
      <c r="J272" s="607" t="s">
        <v>411</v>
      </c>
      <c r="K272" s="608"/>
      <c r="L272" s="609" t="s">
        <v>412</v>
      </c>
      <c r="M272" s="610"/>
    </row>
    <row r="273" spans="1:13" ht="15.75" customHeight="1">
      <c r="A273" s="251"/>
      <c r="D273" s="591"/>
      <c r="E273" s="588"/>
      <c r="F273" s="193" t="s">
        <v>50</v>
      </c>
      <c r="G273" s="193" t="s">
        <v>15</v>
      </c>
      <c r="H273" s="193" t="s">
        <v>50</v>
      </c>
      <c r="I273" s="193" t="s">
        <v>15</v>
      </c>
      <c r="J273" s="193" t="s">
        <v>50</v>
      </c>
      <c r="K273" s="193" t="s">
        <v>15</v>
      </c>
      <c r="L273" s="193" t="s">
        <v>50</v>
      </c>
      <c r="M273" s="244" t="s">
        <v>15</v>
      </c>
    </row>
    <row r="274" spans="1:13" ht="15.75" customHeight="1">
      <c r="A274" s="251"/>
      <c r="D274" s="591"/>
      <c r="E274" s="171" t="s">
        <v>407</v>
      </c>
      <c r="F274" s="247">
        <v>3769.37</v>
      </c>
      <c r="G274" s="175">
        <f>IFERROR(F274/B269,"")</f>
        <v>3.1523324468529949E-2</v>
      </c>
      <c r="H274" s="247">
        <v>0</v>
      </c>
      <c r="I274" s="175">
        <f>IFERROR(H274/B269,"")</f>
        <v>0</v>
      </c>
      <c r="J274" s="247">
        <v>0</v>
      </c>
      <c r="K274" s="175">
        <f>IFERROR(J274/B269,"")</f>
        <v>0</v>
      </c>
      <c r="L274" s="247">
        <v>0</v>
      </c>
      <c r="M274" s="248">
        <f>IFERROR(L274/B269,"")</f>
        <v>0</v>
      </c>
    </row>
    <row r="275" spans="1:13" ht="15.75" customHeight="1" thickBot="1">
      <c r="A275" s="252"/>
      <c r="B275" s="253"/>
      <c r="C275" s="253"/>
      <c r="D275" s="600"/>
      <c r="E275" s="254" t="s">
        <v>408</v>
      </c>
      <c r="F275" s="255">
        <v>8107.1470500000132</v>
      </c>
      <c r="G275" s="256">
        <f>IFERROR(F275/B270,"")</f>
        <v>7.551155561605899E-2</v>
      </c>
      <c r="H275" s="255">
        <v>2973.3343199999513</v>
      </c>
      <c r="I275" s="256">
        <f>IFERROR(H275/B270,"")</f>
        <v>2.7694218260147743E-2</v>
      </c>
      <c r="J275" s="255">
        <v>0</v>
      </c>
      <c r="K275" s="256">
        <f>IFERROR(J275/B270,"")</f>
        <v>0</v>
      </c>
      <c r="L275" s="255">
        <v>0</v>
      </c>
      <c r="M275" s="257">
        <f>IFERROR(L275/B270,"")</f>
        <v>0</v>
      </c>
    </row>
    <row r="276" spans="1:13" ht="15.75" customHeight="1">
      <c r="A276" s="594" t="s">
        <v>435</v>
      </c>
      <c r="B276" s="595"/>
      <c r="C276" s="595"/>
      <c r="D276" s="595"/>
      <c r="E276" s="595"/>
      <c r="F276" s="595"/>
      <c r="G276" s="595"/>
      <c r="H276" s="595"/>
      <c r="I276" s="595"/>
      <c r="J276" s="595"/>
      <c r="K276" s="595"/>
      <c r="L276" s="595"/>
      <c r="M276" s="596"/>
    </row>
    <row r="277" spans="1:13" ht="15.75" customHeight="1">
      <c r="A277" s="597"/>
      <c r="B277" s="587"/>
      <c r="C277" s="587"/>
      <c r="D277" s="587"/>
      <c r="E277" s="587"/>
      <c r="F277" s="587"/>
      <c r="G277" s="587"/>
      <c r="H277" s="587"/>
      <c r="I277" s="587"/>
      <c r="J277" s="587"/>
      <c r="K277" s="587"/>
      <c r="L277" s="587"/>
      <c r="M277" s="598"/>
    </row>
    <row r="278" spans="1:13" ht="15.75" customHeight="1">
      <c r="A278" s="242" t="s">
        <v>402</v>
      </c>
      <c r="B278" s="293">
        <v>47077667</v>
      </c>
      <c r="M278" s="243"/>
    </row>
    <row r="279" spans="1:13" ht="15.75" customHeight="1">
      <c r="A279" s="599" t="s">
        <v>105</v>
      </c>
      <c r="B279" s="589" t="s">
        <v>47</v>
      </c>
      <c r="C279" s="589"/>
      <c r="D279" s="590"/>
      <c r="E279" s="588" t="s">
        <v>105</v>
      </c>
      <c r="F279" s="592">
        <v>1</v>
      </c>
      <c r="G279" s="592"/>
      <c r="H279" s="592">
        <v>2</v>
      </c>
      <c r="I279" s="592"/>
      <c r="J279" s="592">
        <v>3</v>
      </c>
      <c r="K279" s="592"/>
      <c r="L279" s="592">
        <v>4</v>
      </c>
      <c r="M279" s="601"/>
    </row>
    <row r="280" spans="1:13" ht="15.75" customHeight="1">
      <c r="A280" s="599"/>
      <c r="B280" s="589"/>
      <c r="C280" s="589"/>
      <c r="D280" s="591"/>
      <c r="E280" s="588"/>
      <c r="F280" s="584" t="s">
        <v>403</v>
      </c>
      <c r="G280" s="584"/>
      <c r="H280" s="584" t="s">
        <v>404</v>
      </c>
      <c r="I280" s="584"/>
      <c r="J280" s="584" t="s">
        <v>405</v>
      </c>
      <c r="K280" s="584"/>
      <c r="L280" s="584" t="s">
        <v>414</v>
      </c>
      <c r="M280" s="602"/>
    </row>
    <row r="281" spans="1:13" ht="15.75" customHeight="1">
      <c r="A281" s="599"/>
      <c r="B281" s="193" t="s">
        <v>50</v>
      </c>
      <c r="C281" s="193" t="s">
        <v>15</v>
      </c>
      <c r="D281" s="591"/>
      <c r="E281" s="588"/>
      <c r="F281" s="193" t="s">
        <v>50</v>
      </c>
      <c r="G281" s="193" t="s">
        <v>15</v>
      </c>
      <c r="H281" s="193" t="s">
        <v>50</v>
      </c>
      <c r="I281" s="193" t="s">
        <v>15</v>
      </c>
      <c r="J281" s="193" t="s">
        <v>50</v>
      </c>
      <c r="K281" s="193" t="s">
        <v>15</v>
      </c>
      <c r="L281" s="193" t="s">
        <v>50</v>
      </c>
      <c r="M281" s="244" t="s">
        <v>15</v>
      </c>
    </row>
    <row r="282" spans="1:13" ht="15.75" customHeight="1">
      <c r="A282" s="245" t="s">
        <v>407</v>
      </c>
      <c r="B282" s="246">
        <v>115557</v>
      </c>
      <c r="C282" s="173">
        <f>B282/B278</f>
        <v>2.454603368514417E-3</v>
      </c>
      <c r="D282" s="591"/>
      <c r="E282" s="171" t="s">
        <v>407</v>
      </c>
      <c r="F282" s="247">
        <v>0</v>
      </c>
      <c r="G282" s="175">
        <f>IFERROR(F282/B282,"")</f>
        <v>0</v>
      </c>
      <c r="H282" s="247">
        <v>2058.9650000000001</v>
      </c>
      <c r="I282" s="175">
        <f>IFERROR(H282/B282,"")</f>
        <v>1.7817743624358545E-2</v>
      </c>
      <c r="J282" s="247">
        <v>1278.299</v>
      </c>
      <c r="K282" s="175">
        <f>IFERROR(J282/B282,"")</f>
        <v>1.1062064608807775E-2</v>
      </c>
      <c r="L282" s="247">
        <v>6266.3449999999993</v>
      </c>
      <c r="M282" s="248">
        <f>IFERROR(L282/B282,"")</f>
        <v>5.422730773557638E-2</v>
      </c>
    </row>
    <row r="283" spans="1:13" ht="15.75" customHeight="1">
      <c r="A283" s="249" t="s">
        <v>408</v>
      </c>
      <c r="B283" s="250">
        <v>104545.0793315998</v>
      </c>
      <c r="C283" s="173">
        <f>B283/B278</f>
        <v>2.2206937172906168E-3</v>
      </c>
      <c r="D283" s="591"/>
      <c r="E283" s="176" t="s">
        <v>408</v>
      </c>
      <c r="F283" s="247">
        <v>0</v>
      </c>
      <c r="G283" s="175">
        <f>IFERROR(F283/B283,"")</f>
        <v>0</v>
      </c>
      <c r="H283" s="247">
        <v>0</v>
      </c>
      <c r="I283" s="175">
        <f>IFERROR(H283/B283,"")</f>
        <v>0</v>
      </c>
      <c r="J283" s="247">
        <v>1502.8863499999807</v>
      </c>
      <c r="K283" s="175">
        <f>IFERROR(J283/B283,"")</f>
        <v>1.4375486245823892E-2</v>
      </c>
      <c r="L283" s="247">
        <v>13574.219739999902</v>
      </c>
      <c r="M283" s="248">
        <f>IFERROR(L283/B283,"")</f>
        <v>0.12984082872943939</v>
      </c>
    </row>
    <row r="284" spans="1:13" ht="15.75" customHeight="1">
      <c r="A284" s="251"/>
      <c r="D284" s="591"/>
      <c r="E284" s="588" t="s">
        <v>105</v>
      </c>
      <c r="F284" s="603">
        <v>5</v>
      </c>
      <c r="G284" s="604"/>
      <c r="H284" s="603">
        <v>6</v>
      </c>
      <c r="I284" s="604"/>
      <c r="J284" s="603">
        <v>7</v>
      </c>
      <c r="K284" s="604"/>
      <c r="L284" s="605">
        <v>8</v>
      </c>
      <c r="M284" s="606"/>
    </row>
    <row r="285" spans="1:13" ht="15.75" customHeight="1">
      <c r="A285" s="251"/>
      <c r="D285" s="591"/>
      <c r="E285" s="588"/>
      <c r="F285" s="607" t="s">
        <v>409</v>
      </c>
      <c r="G285" s="608"/>
      <c r="H285" s="607" t="s">
        <v>410</v>
      </c>
      <c r="I285" s="608"/>
      <c r="J285" s="607" t="s">
        <v>411</v>
      </c>
      <c r="K285" s="608"/>
      <c r="L285" s="609" t="s">
        <v>412</v>
      </c>
      <c r="M285" s="610"/>
    </row>
    <row r="286" spans="1:13" ht="15.75" customHeight="1">
      <c r="A286" s="251"/>
      <c r="D286" s="591"/>
      <c r="E286" s="588"/>
      <c r="F286" s="193" t="s">
        <v>50</v>
      </c>
      <c r="G286" s="193" t="s">
        <v>15</v>
      </c>
      <c r="H286" s="193" t="s">
        <v>50</v>
      </c>
      <c r="I286" s="193" t="s">
        <v>15</v>
      </c>
      <c r="J286" s="193" t="s">
        <v>50</v>
      </c>
      <c r="K286" s="193" t="s">
        <v>15</v>
      </c>
      <c r="L286" s="193" t="s">
        <v>50</v>
      </c>
      <c r="M286" s="244" t="s">
        <v>15</v>
      </c>
    </row>
    <row r="287" spans="1:13" ht="15.75" customHeight="1">
      <c r="A287" s="251"/>
      <c r="D287" s="591"/>
      <c r="E287" s="171" t="s">
        <v>407</v>
      </c>
      <c r="F287" s="247">
        <v>4216.2010000000009</v>
      </c>
      <c r="G287" s="175">
        <f>IFERROR(F287/B282,"")</f>
        <v>3.648589873395814E-2</v>
      </c>
      <c r="H287" s="247">
        <v>860.79999999999984</v>
      </c>
      <c r="I287" s="175">
        <f>IFERROR(H287/B282,"")</f>
        <v>7.4491376550100798E-3</v>
      </c>
      <c r="J287" s="247">
        <v>0</v>
      </c>
      <c r="K287" s="175">
        <f>IFERROR(J287/B282,"")</f>
        <v>0</v>
      </c>
      <c r="L287" s="247">
        <v>0</v>
      </c>
      <c r="M287" s="248">
        <f>IFERROR(L287/B282,"")</f>
        <v>0</v>
      </c>
    </row>
    <row r="288" spans="1:13" ht="15.75" customHeight="1" thickBot="1">
      <c r="A288" s="252"/>
      <c r="B288" s="253"/>
      <c r="C288" s="253"/>
      <c r="D288" s="600"/>
      <c r="E288" s="254" t="s">
        <v>408</v>
      </c>
      <c r="F288" s="255">
        <v>11653.282010000023</v>
      </c>
      <c r="G288" s="256">
        <f>IFERROR(F288/B283,"")</f>
        <v>0.11146657580159969</v>
      </c>
      <c r="H288" s="255">
        <v>0</v>
      </c>
      <c r="I288" s="256">
        <f>IFERROR(H288/B283,"")</f>
        <v>0</v>
      </c>
      <c r="J288" s="255">
        <v>0</v>
      </c>
      <c r="K288" s="256">
        <f>IFERROR(J288/B283,"")</f>
        <v>0</v>
      </c>
      <c r="L288" s="255">
        <v>0</v>
      </c>
      <c r="M288" s="257">
        <f>IFERROR(L288/B283,"")</f>
        <v>0</v>
      </c>
    </row>
    <row r="289" spans="1:13" ht="15.75" customHeight="1">
      <c r="A289" s="594" t="s">
        <v>436</v>
      </c>
      <c r="B289" s="595"/>
      <c r="C289" s="595"/>
      <c r="D289" s="595"/>
      <c r="E289" s="595"/>
      <c r="F289" s="595"/>
      <c r="G289" s="595"/>
      <c r="H289" s="595"/>
      <c r="I289" s="595"/>
      <c r="J289" s="595"/>
      <c r="K289" s="595"/>
      <c r="L289" s="595"/>
      <c r="M289" s="596"/>
    </row>
    <row r="290" spans="1:13" ht="15.75" customHeight="1">
      <c r="A290" s="597"/>
      <c r="B290" s="587"/>
      <c r="C290" s="587"/>
      <c r="D290" s="587"/>
      <c r="E290" s="587"/>
      <c r="F290" s="587"/>
      <c r="G290" s="587"/>
      <c r="H290" s="587"/>
      <c r="I290" s="587"/>
      <c r="J290" s="587"/>
      <c r="K290" s="587"/>
      <c r="L290" s="587"/>
      <c r="M290" s="598"/>
    </row>
    <row r="291" spans="1:13" ht="15.75" customHeight="1">
      <c r="A291" s="242" t="s">
        <v>402</v>
      </c>
      <c r="B291" s="293">
        <v>47860768</v>
      </c>
      <c r="M291" s="243"/>
    </row>
    <row r="292" spans="1:13" ht="15.75" customHeight="1">
      <c r="A292" s="599" t="s">
        <v>105</v>
      </c>
      <c r="B292" s="589" t="s">
        <v>47</v>
      </c>
      <c r="C292" s="589"/>
      <c r="D292" s="590"/>
      <c r="E292" s="588" t="s">
        <v>105</v>
      </c>
      <c r="F292" s="592">
        <v>1</v>
      </c>
      <c r="G292" s="592"/>
      <c r="H292" s="592">
        <v>2</v>
      </c>
      <c r="I292" s="592"/>
      <c r="J292" s="592">
        <v>3</v>
      </c>
      <c r="K292" s="592"/>
      <c r="L292" s="592">
        <v>4</v>
      </c>
      <c r="M292" s="601"/>
    </row>
    <row r="293" spans="1:13" ht="15.75" customHeight="1">
      <c r="A293" s="599"/>
      <c r="B293" s="589"/>
      <c r="C293" s="589"/>
      <c r="D293" s="591"/>
      <c r="E293" s="588"/>
      <c r="F293" s="584" t="s">
        <v>403</v>
      </c>
      <c r="G293" s="584"/>
      <c r="H293" s="584" t="s">
        <v>404</v>
      </c>
      <c r="I293" s="584"/>
      <c r="J293" s="584" t="s">
        <v>405</v>
      </c>
      <c r="K293" s="584"/>
      <c r="L293" s="584" t="s">
        <v>414</v>
      </c>
      <c r="M293" s="602"/>
    </row>
    <row r="294" spans="1:13" ht="15.75" customHeight="1">
      <c r="A294" s="599"/>
      <c r="B294" s="193" t="s">
        <v>50</v>
      </c>
      <c r="C294" s="193" t="s">
        <v>15</v>
      </c>
      <c r="D294" s="591"/>
      <c r="E294" s="588"/>
      <c r="F294" s="193" t="s">
        <v>50</v>
      </c>
      <c r="G294" s="193" t="s">
        <v>15</v>
      </c>
      <c r="H294" s="193" t="s">
        <v>50</v>
      </c>
      <c r="I294" s="193" t="s">
        <v>15</v>
      </c>
      <c r="J294" s="193" t="s">
        <v>50</v>
      </c>
      <c r="K294" s="193" t="s">
        <v>15</v>
      </c>
      <c r="L294" s="193" t="s">
        <v>50</v>
      </c>
      <c r="M294" s="244" t="s">
        <v>15</v>
      </c>
    </row>
    <row r="295" spans="1:13" ht="15.75" customHeight="1">
      <c r="A295" s="245" t="s">
        <v>407</v>
      </c>
      <c r="B295" s="246">
        <v>117024</v>
      </c>
      <c r="C295" s="173">
        <f>B295/B291</f>
        <v>2.4450923980158445E-3</v>
      </c>
      <c r="D295" s="591"/>
      <c r="E295" s="171" t="s">
        <v>407</v>
      </c>
      <c r="F295" s="247">
        <v>0</v>
      </c>
      <c r="G295" s="175">
        <f>IFERROR(F295/B295,"")</f>
        <v>0</v>
      </c>
      <c r="H295" s="247">
        <v>3420.3180000000002</v>
      </c>
      <c r="I295" s="175">
        <f>IFERROR(H295/B295,"")</f>
        <v>2.9227491796554556E-2</v>
      </c>
      <c r="J295" s="247">
        <v>1232.9130000000002</v>
      </c>
      <c r="K295" s="175">
        <f>IFERROR(J295/B295,"")</f>
        <v>1.0535556808859724E-2</v>
      </c>
      <c r="L295" s="247">
        <v>1214.7220000000002</v>
      </c>
      <c r="M295" s="248">
        <f>IFERROR(L295/B295,"")</f>
        <v>1.0380110062893083E-2</v>
      </c>
    </row>
    <row r="296" spans="1:13" ht="15.75" customHeight="1">
      <c r="A296" s="249" t="s">
        <v>408</v>
      </c>
      <c r="B296" s="250">
        <v>106787.07459785466</v>
      </c>
      <c r="C296" s="173">
        <f>B296/B291</f>
        <v>2.2312026960757225E-3</v>
      </c>
      <c r="D296" s="591"/>
      <c r="E296" s="176" t="s">
        <v>408</v>
      </c>
      <c r="F296" s="247">
        <v>0</v>
      </c>
      <c r="G296" s="175">
        <f>IFERROR(F296/B296,"")</f>
        <v>0</v>
      </c>
      <c r="H296" s="247">
        <v>2618.8591999999899</v>
      </c>
      <c r="I296" s="175">
        <f>IFERROR(H296/B296,"")</f>
        <v>2.4524121574284633E-2</v>
      </c>
      <c r="J296" s="247">
        <v>1594.8998000000151</v>
      </c>
      <c r="K296" s="175">
        <f>IFERROR(J296/B296,"")</f>
        <v>1.493532626496406E-2</v>
      </c>
      <c r="L296" s="247">
        <v>3295.7032599999875</v>
      </c>
      <c r="M296" s="248">
        <f>IFERROR(L296/B296,"")</f>
        <v>3.0862379856468114E-2</v>
      </c>
    </row>
    <row r="297" spans="1:13" ht="15.75" customHeight="1">
      <c r="A297" s="251"/>
      <c r="D297" s="591"/>
      <c r="E297" s="588" t="s">
        <v>105</v>
      </c>
      <c r="F297" s="603">
        <v>5</v>
      </c>
      <c r="G297" s="604"/>
      <c r="H297" s="603">
        <v>6</v>
      </c>
      <c r="I297" s="604"/>
      <c r="J297" s="603">
        <v>7</v>
      </c>
      <c r="K297" s="604"/>
      <c r="L297" s="605">
        <v>8</v>
      </c>
      <c r="M297" s="606"/>
    </row>
    <row r="298" spans="1:13" ht="15.75" customHeight="1">
      <c r="A298" s="251"/>
      <c r="D298" s="591"/>
      <c r="E298" s="588"/>
      <c r="F298" s="607" t="s">
        <v>409</v>
      </c>
      <c r="G298" s="608"/>
      <c r="H298" s="607" t="s">
        <v>410</v>
      </c>
      <c r="I298" s="608"/>
      <c r="J298" s="607" t="s">
        <v>411</v>
      </c>
      <c r="K298" s="608"/>
      <c r="L298" s="609" t="s">
        <v>412</v>
      </c>
      <c r="M298" s="610"/>
    </row>
    <row r="299" spans="1:13" ht="15.75" customHeight="1">
      <c r="A299" s="251"/>
      <c r="D299" s="591"/>
      <c r="E299" s="588"/>
      <c r="F299" s="193" t="s">
        <v>50</v>
      </c>
      <c r="G299" s="193" t="s">
        <v>15</v>
      </c>
      <c r="H299" s="193" t="s">
        <v>50</v>
      </c>
      <c r="I299" s="193" t="s">
        <v>15</v>
      </c>
      <c r="J299" s="193" t="s">
        <v>50</v>
      </c>
      <c r="K299" s="193" t="s">
        <v>15</v>
      </c>
      <c r="L299" s="193" t="s">
        <v>50</v>
      </c>
      <c r="M299" s="244" t="s">
        <v>15</v>
      </c>
    </row>
    <row r="300" spans="1:13" ht="15.75" customHeight="1">
      <c r="A300" s="251"/>
      <c r="D300" s="591"/>
      <c r="E300" s="171" t="s">
        <v>407</v>
      </c>
      <c r="F300" s="247">
        <v>1368.8999999999999</v>
      </c>
      <c r="G300" s="175">
        <f>IFERROR(F300/B295,"")</f>
        <v>1.1697600492206726E-2</v>
      </c>
      <c r="H300" s="247">
        <v>807</v>
      </c>
      <c r="I300" s="175">
        <f>IFERROR(H300/B295,"")</f>
        <v>6.8960213289581624E-3</v>
      </c>
      <c r="J300" s="247">
        <v>0</v>
      </c>
      <c r="K300" s="175">
        <f>IFERROR(J300/B295,"")</f>
        <v>0</v>
      </c>
      <c r="L300" s="247">
        <v>0</v>
      </c>
      <c r="M300" s="248">
        <f>IFERROR(L300/B295,"")</f>
        <v>0</v>
      </c>
    </row>
    <row r="301" spans="1:13" ht="15.75" customHeight="1" thickBot="1">
      <c r="A301" s="252"/>
      <c r="B301" s="253"/>
      <c r="C301" s="253"/>
      <c r="D301" s="600"/>
      <c r="E301" s="254" t="s">
        <v>408</v>
      </c>
      <c r="F301" s="255">
        <v>6554.8831299998656</v>
      </c>
      <c r="G301" s="256">
        <f>IFERROR(F301/B296,"")</f>
        <v>6.1382739012981184E-2</v>
      </c>
      <c r="H301" s="255">
        <v>1088.1764799999992</v>
      </c>
      <c r="I301" s="256">
        <f>IFERROR(H301/B296,"")</f>
        <v>1.0190151608684113E-2</v>
      </c>
      <c r="J301" s="255">
        <v>0</v>
      </c>
      <c r="K301" s="256">
        <f>IFERROR(J301/B296,"")</f>
        <v>0</v>
      </c>
      <c r="L301" s="255">
        <v>0</v>
      </c>
      <c r="M301" s="257">
        <f>IFERROR(L301/B296,"")</f>
        <v>0</v>
      </c>
    </row>
    <row r="302" spans="1:13" ht="15.75" customHeight="1">
      <c r="A302" s="594" t="s">
        <v>437</v>
      </c>
      <c r="B302" s="595"/>
      <c r="C302" s="595"/>
      <c r="D302" s="595"/>
      <c r="E302" s="595"/>
      <c r="F302" s="595"/>
      <c r="G302" s="595"/>
      <c r="H302" s="595"/>
      <c r="I302" s="595"/>
      <c r="J302" s="595"/>
      <c r="K302" s="595"/>
      <c r="L302" s="595"/>
      <c r="M302" s="596"/>
    </row>
    <row r="303" spans="1:13" ht="15.75" customHeight="1">
      <c r="A303" s="597"/>
      <c r="B303" s="587"/>
      <c r="C303" s="587"/>
      <c r="D303" s="587"/>
      <c r="E303" s="587"/>
      <c r="F303" s="587"/>
      <c r="G303" s="587"/>
      <c r="H303" s="587"/>
      <c r="I303" s="587"/>
      <c r="J303" s="587"/>
      <c r="K303" s="587"/>
      <c r="L303" s="587"/>
      <c r="M303" s="598"/>
    </row>
    <row r="304" spans="1:13" ht="15.75" customHeight="1">
      <c r="A304" s="242" t="s">
        <v>402</v>
      </c>
      <c r="B304" s="293">
        <v>45268529</v>
      </c>
      <c r="M304" s="243"/>
    </row>
    <row r="305" spans="1:13" ht="15.75" customHeight="1">
      <c r="A305" s="599" t="s">
        <v>105</v>
      </c>
      <c r="B305" s="589" t="s">
        <v>47</v>
      </c>
      <c r="C305" s="589"/>
      <c r="D305" s="590"/>
      <c r="E305" s="588" t="s">
        <v>105</v>
      </c>
      <c r="F305" s="592">
        <v>1</v>
      </c>
      <c r="G305" s="592"/>
      <c r="H305" s="592">
        <v>2</v>
      </c>
      <c r="I305" s="592"/>
      <c r="J305" s="592">
        <v>3</v>
      </c>
      <c r="K305" s="592"/>
      <c r="L305" s="592">
        <v>4</v>
      </c>
      <c r="M305" s="601"/>
    </row>
    <row r="306" spans="1:13" ht="15.75" customHeight="1">
      <c r="A306" s="599"/>
      <c r="B306" s="589"/>
      <c r="C306" s="589"/>
      <c r="D306" s="591"/>
      <c r="E306" s="588"/>
      <c r="F306" s="584" t="s">
        <v>403</v>
      </c>
      <c r="G306" s="584"/>
      <c r="H306" s="584" t="s">
        <v>404</v>
      </c>
      <c r="I306" s="584"/>
      <c r="J306" s="584" t="s">
        <v>405</v>
      </c>
      <c r="K306" s="584"/>
      <c r="L306" s="584" t="s">
        <v>414</v>
      </c>
      <c r="M306" s="602"/>
    </row>
    <row r="307" spans="1:13" ht="15.75" customHeight="1">
      <c r="A307" s="599"/>
      <c r="B307" s="193" t="s">
        <v>50</v>
      </c>
      <c r="C307" s="193" t="s">
        <v>15</v>
      </c>
      <c r="D307" s="591"/>
      <c r="E307" s="588"/>
      <c r="F307" s="193" t="s">
        <v>50</v>
      </c>
      <c r="G307" s="193" t="s">
        <v>15</v>
      </c>
      <c r="H307" s="193" t="s">
        <v>50</v>
      </c>
      <c r="I307" s="193" t="s">
        <v>15</v>
      </c>
      <c r="J307" s="193" t="s">
        <v>50</v>
      </c>
      <c r="K307" s="193" t="s">
        <v>15</v>
      </c>
      <c r="L307" s="193" t="s">
        <v>50</v>
      </c>
      <c r="M307" s="244" t="s">
        <v>15</v>
      </c>
    </row>
    <row r="308" spans="1:13" ht="15.75" customHeight="1">
      <c r="A308" s="245" t="s">
        <v>407</v>
      </c>
      <c r="B308" s="246">
        <v>111302</v>
      </c>
      <c r="C308" s="173">
        <f>B308/B304</f>
        <v>2.4587059146543066E-3</v>
      </c>
      <c r="D308" s="591"/>
      <c r="E308" s="171" t="s">
        <v>407</v>
      </c>
      <c r="F308" s="247">
        <v>0</v>
      </c>
      <c r="G308" s="175">
        <f>IFERROR(F308/B308,"")</f>
        <v>0</v>
      </c>
      <c r="H308" s="247">
        <v>2032.4850000000001</v>
      </c>
      <c r="I308" s="175">
        <v>0.15</v>
      </c>
      <c r="J308" s="247">
        <v>0</v>
      </c>
      <c r="K308" s="175">
        <f>IFERROR(J308/B308,"")</f>
        <v>0</v>
      </c>
      <c r="L308" s="247">
        <v>1297.2910000000002</v>
      </c>
      <c r="M308" s="248">
        <v>0.1</v>
      </c>
    </row>
    <row r="309" spans="1:13" ht="15.75" customHeight="1">
      <c r="A309" s="249" t="s">
        <v>408</v>
      </c>
      <c r="B309" s="250">
        <v>101893.93253329059</v>
      </c>
      <c r="C309" s="173">
        <f>B309/B304</f>
        <v>2.2508779230111628E-3</v>
      </c>
      <c r="D309" s="591"/>
      <c r="E309" s="176" t="s">
        <v>408</v>
      </c>
      <c r="F309" s="247">
        <v>0</v>
      </c>
      <c r="G309" s="175">
        <f>IFERROR(F309/B309,"")</f>
        <v>0</v>
      </c>
      <c r="H309" s="247">
        <v>1351.4083999999991</v>
      </c>
      <c r="I309" s="175">
        <v>0.05</v>
      </c>
      <c r="J309" s="247">
        <v>2382.4582500000106</v>
      </c>
      <c r="K309" s="175">
        <v>0.1</v>
      </c>
      <c r="L309" s="247">
        <v>2411.1381199999896</v>
      </c>
      <c r="M309" s="248">
        <v>0.1</v>
      </c>
    </row>
    <row r="310" spans="1:13" ht="15.75" customHeight="1">
      <c r="A310" s="251" t="s">
        <v>438</v>
      </c>
      <c r="B310" s="403">
        <f>B308-B295</f>
        <v>-5722</v>
      </c>
      <c r="D310" s="591"/>
      <c r="E310" s="588" t="s">
        <v>105</v>
      </c>
      <c r="F310" s="603">
        <v>5</v>
      </c>
      <c r="G310" s="604"/>
      <c r="H310" s="603">
        <v>6</v>
      </c>
      <c r="I310" s="604"/>
      <c r="J310" s="603">
        <v>7</v>
      </c>
      <c r="K310" s="604"/>
      <c r="L310" s="605">
        <v>8</v>
      </c>
      <c r="M310" s="606"/>
    </row>
    <row r="311" spans="1:13" ht="15.75" customHeight="1">
      <c r="A311" s="251" t="s">
        <v>439</v>
      </c>
      <c r="B311" s="403">
        <f>B309-B296</f>
        <v>-4893.1420645640756</v>
      </c>
      <c r="D311" s="591"/>
      <c r="E311" s="588"/>
      <c r="F311" s="607" t="s">
        <v>409</v>
      </c>
      <c r="G311" s="608"/>
      <c r="H311" s="607" t="s">
        <v>410</v>
      </c>
      <c r="I311" s="608"/>
      <c r="J311" s="607" t="s">
        <v>411</v>
      </c>
      <c r="K311" s="608"/>
      <c r="L311" s="609" t="s">
        <v>412</v>
      </c>
      <c r="M311" s="610"/>
    </row>
    <row r="312" spans="1:13" ht="15.75" customHeight="1">
      <c r="A312" s="251"/>
      <c r="D312" s="591"/>
      <c r="E312" s="588"/>
      <c r="F312" s="193" t="s">
        <v>50</v>
      </c>
      <c r="G312" s="193" t="s">
        <v>15</v>
      </c>
      <c r="H312" s="193" t="s">
        <v>50</v>
      </c>
      <c r="I312" s="193" t="s">
        <v>15</v>
      </c>
      <c r="J312" s="193" t="s">
        <v>50</v>
      </c>
      <c r="K312" s="193" t="s">
        <v>15</v>
      </c>
      <c r="L312" s="193" t="s">
        <v>50</v>
      </c>
      <c r="M312" s="244" t="s">
        <v>15</v>
      </c>
    </row>
    <row r="313" spans="1:13" ht="15.75" customHeight="1">
      <c r="A313" s="251"/>
      <c r="D313" s="591"/>
      <c r="E313" s="171" t="s">
        <v>407</v>
      </c>
      <c r="F313" s="247">
        <v>1368.8999999999999</v>
      </c>
      <c r="G313" s="175">
        <v>0.1</v>
      </c>
      <c r="H313" s="247">
        <v>807</v>
      </c>
      <c r="I313" s="175">
        <v>0.05</v>
      </c>
      <c r="J313" s="247">
        <v>0</v>
      </c>
      <c r="K313" s="175">
        <v>0</v>
      </c>
      <c r="L313" s="247">
        <v>0</v>
      </c>
      <c r="M313" s="248">
        <v>0</v>
      </c>
    </row>
    <row r="314" spans="1:13" ht="15.75" customHeight="1" thickBot="1">
      <c r="A314" s="252"/>
      <c r="B314" s="253"/>
      <c r="C314" s="253"/>
      <c r="D314" s="600"/>
      <c r="E314" s="254" t="s">
        <v>408</v>
      </c>
      <c r="F314" s="255">
        <v>6554.8831299998656</v>
      </c>
      <c r="G314" s="256">
        <v>0.25</v>
      </c>
      <c r="H314" s="255">
        <v>1088.1764799999992</v>
      </c>
      <c r="I314" s="256">
        <v>0.05</v>
      </c>
      <c r="J314" s="255">
        <v>0</v>
      </c>
      <c r="K314" s="256">
        <v>0</v>
      </c>
      <c r="L314" s="255">
        <v>0</v>
      </c>
      <c r="M314" s="257">
        <v>0</v>
      </c>
    </row>
    <row r="315" spans="1:13" ht="15.75" customHeight="1">
      <c r="A315" s="594" t="s">
        <v>440</v>
      </c>
      <c r="B315" s="595"/>
      <c r="C315" s="595"/>
      <c r="D315" s="595"/>
      <c r="E315" s="595"/>
      <c r="F315" s="595"/>
      <c r="G315" s="595"/>
      <c r="H315" s="595"/>
      <c r="I315" s="595"/>
      <c r="J315" s="595"/>
      <c r="K315" s="595"/>
      <c r="L315" s="595"/>
      <c r="M315" s="596"/>
    </row>
    <row r="316" spans="1:13" ht="15.75" customHeight="1">
      <c r="A316" s="597"/>
      <c r="B316" s="587"/>
      <c r="C316" s="587"/>
      <c r="D316" s="587"/>
      <c r="E316" s="587"/>
      <c r="F316" s="587"/>
      <c r="G316" s="587"/>
      <c r="H316" s="587"/>
      <c r="I316" s="587"/>
      <c r="J316" s="587"/>
      <c r="K316" s="587"/>
      <c r="L316" s="587"/>
      <c r="M316" s="598"/>
    </row>
    <row r="317" spans="1:13" ht="15.75" customHeight="1">
      <c r="A317" s="242" t="s">
        <v>402</v>
      </c>
      <c r="B317" s="293">
        <v>46317667</v>
      </c>
      <c r="M317" s="243"/>
    </row>
    <row r="318" spans="1:13" ht="15.75" customHeight="1">
      <c r="A318" s="599" t="s">
        <v>105</v>
      </c>
      <c r="B318" s="589" t="s">
        <v>47</v>
      </c>
      <c r="C318" s="589"/>
      <c r="D318" s="590"/>
      <c r="E318" s="588" t="s">
        <v>105</v>
      </c>
      <c r="F318" s="592">
        <v>1</v>
      </c>
      <c r="G318" s="592"/>
      <c r="H318" s="592">
        <v>2</v>
      </c>
      <c r="I318" s="592"/>
      <c r="J318" s="592">
        <v>3</v>
      </c>
      <c r="K318" s="592"/>
      <c r="L318" s="592">
        <v>4</v>
      </c>
      <c r="M318" s="601"/>
    </row>
    <row r="319" spans="1:13" ht="15.75" customHeight="1">
      <c r="A319" s="599"/>
      <c r="B319" s="589"/>
      <c r="C319" s="589"/>
      <c r="D319" s="591"/>
      <c r="E319" s="588"/>
      <c r="F319" s="584" t="s">
        <v>403</v>
      </c>
      <c r="G319" s="584"/>
      <c r="H319" s="584" t="s">
        <v>404</v>
      </c>
      <c r="I319" s="584"/>
      <c r="J319" s="584" t="s">
        <v>405</v>
      </c>
      <c r="K319" s="584"/>
      <c r="L319" s="584" t="s">
        <v>414</v>
      </c>
      <c r="M319" s="602"/>
    </row>
    <row r="320" spans="1:13" ht="15.75" customHeight="1">
      <c r="A320" s="599"/>
      <c r="B320" s="193" t="s">
        <v>50</v>
      </c>
      <c r="C320" s="193" t="s">
        <v>15</v>
      </c>
      <c r="D320" s="591"/>
      <c r="E320" s="588"/>
      <c r="F320" s="193" t="s">
        <v>50</v>
      </c>
      <c r="G320" s="193" t="s">
        <v>15</v>
      </c>
      <c r="H320" s="193" t="s">
        <v>50</v>
      </c>
      <c r="I320" s="193" t="s">
        <v>15</v>
      </c>
      <c r="J320" s="193" t="s">
        <v>50</v>
      </c>
      <c r="K320" s="193" t="s">
        <v>15</v>
      </c>
      <c r="L320" s="193" t="s">
        <v>50</v>
      </c>
      <c r="M320" s="244" t="s">
        <v>15</v>
      </c>
    </row>
    <row r="321" spans="1:13" ht="15.75" customHeight="1">
      <c r="A321" s="245" t="s">
        <v>407</v>
      </c>
      <c r="B321" s="246">
        <v>113778.49100000001</v>
      </c>
      <c r="C321" s="173">
        <f>B321/B317</f>
        <v>2.4564814760639824E-3</v>
      </c>
      <c r="D321" s="591"/>
      <c r="E321" s="171" t="s">
        <v>407</v>
      </c>
      <c r="F321" s="247">
        <v>0</v>
      </c>
      <c r="G321" s="175">
        <f>IFERROR(F321/B321,"")</f>
        <v>0</v>
      </c>
      <c r="H321" s="247">
        <v>2032.4850000000001</v>
      </c>
      <c r="I321" s="175">
        <v>0.15</v>
      </c>
      <c r="J321" s="247">
        <v>0</v>
      </c>
      <c r="K321" s="175">
        <f>IFERROR(J321/B321,"")</f>
        <v>0</v>
      </c>
      <c r="L321" s="247">
        <v>6182</v>
      </c>
      <c r="M321" s="248">
        <v>0.45</v>
      </c>
    </row>
    <row r="322" spans="1:13" ht="15.75" customHeight="1">
      <c r="A322" s="249" t="s">
        <v>408</v>
      </c>
      <c r="B322" s="250">
        <v>98194.248914419688</v>
      </c>
      <c r="C322" s="173">
        <f>B322/B317</f>
        <v>2.1200171613656553E-3</v>
      </c>
      <c r="D322" s="591"/>
      <c r="E322" s="176" t="s">
        <v>408</v>
      </c>
      <c r="F322" s="247">
        <v>0</v>
      </c>
      <c r="G322" s="175">
        <f>IFERROR(F322/B322,"")</f>
        <v>0</v>
      </c>
      <c r="H322" s="247">
        <v>2511.7135999999964</v>
      </c>
      <c r="I322" s="175">
        <f>IFERROR(H322/B322,"")</f>
        <v>2.5579029604768988E-2</v>
      </c>
      <c r="J322" s="247">
        <v>1140.6631499999999</v>
      </c>
      <c r="K322" s="175">
        <f>IFERROR(J322/B322,"")</f>
        <v>1.161639467291139E-2</v>
      </c>
      <c r="L322" s="247">
        <v>15389.934349999996</v>
      </c>
      <c r="M322" s="248">
        <f>IFERROR(L322/B322,"")</f>
        <v>0.15672948792971525</v>
      </c>
    </row>
    <row r="323" spans="1:13" ht="15.75" customHeight="1">
      <c r="A323" s="251" t="s">
        <v>438</v>
      </c>
      <c r="B323" s="403">
        <f>B321-B308</f>
        <v>2476.4910000000091</v>
      </c>
      <c r="D323" s="591"/>
      <c r="E323" s="588" t="s">
        <v>105</v>
      </c>
      <c r="F323" s="603">
        <v>5</v>
      </c>
      <c r="G323" s="604"/>
      <c r="H323" s="603">
        <v>6</v>
      </c>
      <c r="I323" s="604"/>
      <c r="J323" s="603">
        <v>7</v>
      </c>
      <c r="K323" s="604"/>
      <c r="L323" s="605">
        <v>8</v>
      </c>
      <c r="M323" s="606"/>
    </row>
    <row r="324" spans="1:13" ht="15.75" customHeight="1">
      <c r="A324" s="251" t="s">
        <v>439</v>
      </c>
      <c r="B324" s="403">
        <f>B322-B309</f>
        <v>-3699.6836188708985</v>
      </c>
      <c r="D324" s="591"/>
      <c r="E324" s="588"/>
      <c r="F324" s="607" t="s">
        <v>409</v>
      </c>
      <c r="G324" s="608"/>
      <c r="H324" s="607" t="s">
        <v>410</v>
      </c>
      <c r="I324" s="608"/>
      <c r="J324" s="607" t="s">
        <v>411</v>
      </c>
      <c r="K324" s="608"/>
      <c r="L324" s="609" t="s">
        <v>412</v>
      </c>
      <c r="M324" s="610"/>
    </row>
    <row r="325" spans="1:13" ht="15.75" customHeight="1">
      <c r="A325" s="251"/>
      <c r="D325" s="591"/>
      <c r="E325" s="588"/>
      <c r="F325" s="193" t="s">
        <v>50</v>
      </c>
      <c r="G325" s="193" t="s">
        <v>15</v>
      </c>
      <c r="H325" s="193" t="s">
        <v>50</v>
      </c>
      <c r="I325" s="193" t="s">
        <v>15</v>
      </c>
      <c r="J325" s="193" t="s">
        <v>50</v>
      </c>
      <c r="K325" s="193" t="s">
        <v>15</v>
      </c>
      <c r="L325" s="193" t="s">
        <v>50</v>
      </c>
      <c r="M325" s="244" t="s">
        <v>15</v>
      </c>
    </row>
    <row r="326" spans="1:13" ht="15.75" customHeight="1">
      <c r="A326" s="251"/>
      <c r="D326" s="591"/>
      <c r="E326" s="171" t="s">
        <v>407</v>
      </c>
      <c r="F326" s="247">
        <v>4127</v>
      </c>
      <c r="G326" s="175">
        <v>0.3</v>
      </c>
      <c r="H326" s="247">
        <v>780</v>
      </c>
      <c r="I326" s="175">
        <v>0.05</v>
      </c>
      <c r="J326" s="247">
        <v>632</v>
      </c>
      <c r="K326" s="175">
        <v>0.05</v>
      </c>
      <c r="L326" s="247">
        <v>0</v>
      </c>
      <c r="M326" s="248">
        <f>IFERROR(L326/B321,"")</f>
        <v>0</v>
      </c>
    </row>
    <row r="327" spans="1:13" ht="15.75" customHeight="1" thickBot="1">
      <c r="A327" s="252"/>
      <c r="B327" s="253"/>
      <c r="C327" s="253"/>
      <c r="D327" s="600"/>
      <c r="E327" s="254" t="s">
        <v>408</v>
      </c>
      <c r="F327" s="255">
        <v>5034.1327199998859</v>
      </c>
      <c r="G327" s="256">
        <f>IFERROR(F327/B322,"")</f>
        <v>5.1267083109799425E-2</v>
      </c>
      <c r="H327" s="255">
        <v>0</v>
      </c>
      <c r="I327" s="256">
        <f>IFERROR(H327/B322,"")</f>
        <v>0</v>
      </c>
      <c r="J327" s="255">
        <v>1714.8269600000033</v>
      </c>
      <c r="K327" s="256">
        <f>IFERROR(J327/B322,"")</f>
        <v>1.7463619091323213E-2</v>
      </c>
      <c r="L327" s="255">
        <v>0</v>
      </c>
      <c r="M327" s="257">
        <f>IFERROR(L327/B322,"")</f>
        <v>0</v>
      </c>
    </row>
  </sheetData>
  <mergeCells count="551"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5" customWidth="1"/>
    <col min="2" max="2" width="11.42578125" style="160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</row>
    <row r="3" spans="1:17" ht="15.75" customHeight="1">
      <c r="A3" s="540" t="s">
        <v>441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</row>
    <row r="4" spans="1:17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</row>
    <row r="5" spans="1:17" ht="15.75" customHeight="1">
      <c r="A5" s="450" t="s">
        <v>442</v>
      </c>
      <c r="B5" s="642">
        <v>1</v>
      </c>
      <c r="C5" s="642"/>
      <c r="D5" s="642">
        <v>2</v>
      </c>
      <c r="E5" s="642"/>
      <c r="F5" s="642">
        <v>3</v>
      </c>
      <c r="G5" s="642"/>
      <c r="H5" s="528">
        <v>4</v>
      </c>
      <c r="I5" s="528"/>
      <c r="J5" s="528">
        <v>5</v>
      </c>
      <c r="K5" s="528"/>
      <c r="L5" s="528">
        <v>6</v>
      </c>
      <c r="M5" s="528"/>
      <c r="N5" s="528">
        <v>7</v>
      </c>
      <c r="O5" s="528"/>
      <c r="P5" s="528">
        <v>8</v>
      </c>
      <c r="Q5" s="528"/>
    </row>
    <row r="6" spans="1:17" ht="15.75" customHeight="1">
      <c r="A6" s="450"/>
      <c r="B6" s="643" t="s">
        <v>403</v>
      </c>
      <c r="C6" s="643"/>
      <c r="D6" s="643" t="s">
        <v>443</v>
      </c>
      <c r="E6" s="643"/>
      <c r="F6" s="643" t="s">
        <v>405</v>
      </c>
      <c r="G6" s="643"/>
      <c r="H6" s="450" t="s">
        <v>414</v>
      </c>
      <c r="I6" s="450"/>
      <c r="J6" s="450" t="s">
        <v>409</v>
      </c>
      <c r="K6" s="450"/>
      <c r="L6" s="450" t="s">
        <v>410</v>
      </c>
      <c r="M6" s="450"/>
      <c r="N6" s="450" t="s">
        <v>411</v>
      </c>
      <c r="O6" s="450"/>
      <c r="P6" s="641" t="s">
        <v>444</v>
      </c>
      <c r="Q6" s="450"/>
    </row>
    <row r="8" spans="1:17" s="122" customFormat="1" ht="15.75" customHeight="1">
      <c r="A8" s="632" t="s">
        <v>442</v>
      </c>
      <c r="B8" s="633"/>
      <c r="C8" s="401" t="s">
        <v>52</v>
      </c>
      <c r="D8" s="634" t="s">
        <v>53</v>
      </c>
      <c r="E8" s="635"/>
      <c r="F8" s="636"/>
      <c r="G8" s="399" t="s">
        <v>62</v>
      </c>
      <c r="H8" s="400"/>
      <c r="I8" s="401"/>
      <c r="J8" s="155" t="s">
        <v>63</v>
      </c>
      <c r="K8" s="155" t="s">
        <v>27</v>
      </c>
      <c r="L8" s="155" t="s">
        <v>64</v>
      </c>
      <c r="M8" s="155" t="s">
        <v>50</v>
      </c>
      <c r="N8" s="300" t="s">
        <v>445</v>
      </c>
      <c r="O8" s="637" t="s">
        <v>58</v>
      </c>
      <c r="P8" s="638"/>
    </row>
    <row r="9" spans="1:17" ht="15.75" customHeight="1">
      <c r="A9" s="563">
        <v>1</v>
      </c>
      <c r="B9" s="619" t="s">
        <v>446</v>
      </c>
      <c r="C9" s="156">
        <v>1</v>
      </c>
      <c r="D9" s="405">
        <v>0</v>
      </c>
      <c r="E9" s="622"/>
      <c r="F9" s="623"/>
      <c r="G9" s="405">
        <v>0</v>
      </c>
      <c r="H9" s="622"/>
      <c r="I9" s="623"/>
      <c r="J9" s="4">
        <v>0</v>
      </c>
      <c r="K9" s="14">
        <v>0</v>
      </c>
      <c r="L9" s="4">
        <v>0</v>
      </c>
      <c r="M9" s="16">
        <v>0</v>
      </c>
      <c r="N9" s="157"/>
      <c r="O9" s="630"/>
      <c r="P9" s="631"/>
    </row>
    <row r="10" spans="1:17" ht="15.75" customHeight="1">
      <c r="A10" s="568"/>
      <c r="B10" s="620"/>
      <c r="C10" s="156">
        <v>2</v>
      </c>
      <c r="D10" s="405">
        <v>0</v>
      </c>
      <c r="E10" s="622"/>
      <c r="F10" s="623"/>
      <c r="G10" s="405">
        <v>0</v>
      </c>
      <c r="H10" s="622"/>
      <c r="I10" s="623"/>
      <c r="J10" s="4">
        <v>0</v>
      </c>
      <c r="K10" s="14">
        <v>0</v>
      </c>
      <c r="L10" s="4">
        <v>0</v>
      </c>
      <c r="M10" s="16">
        <v>0</v>
      </c>
      <c r="N10" s="157"/>
      <c r="O10" s="630"/>
      <c r="P10" s="631"/>
    </row>
    <row r="11" spans="1:17" ht="15.75" customHeight="1">
      <c r="A11" s="568"/>
      <c r="B11" s="620"/>
      <c r="C11" s="156">
        <v>3</v>
      </c>
      <c r="D11" s="405">
        <v>0</v>
      </c>
      <c r="E11" s="622"/>
      <c r="F11" s="623"/>
      <c r="G11" s="405">
        <v>0</v>
      </c>
      <c r="H11" s="622"/>
      <c r="I11" s="623"/>
      <c r="J11" s="4">
        <v>0</v>
      </c>
      <c r="K11" s="14">
        <v>0</v>
      </c>
      <c r="L11" s="4">
        <v>0</v>
      </c>
      <c r="M11" s="16">
        <v>0</v>
      </c>
      <c r="N11" s="157"/>
      <c r="O11" s="630"/>
      <c r="P11" s="631"/>
    </row>
    <row r="12" spans="1:17" ht="15.75" customHeight="1">
      <c r="A12" s="568"/>
      <c r="B12" s="620"/>
      <c r="C12" s="156">
        <v>4</v>
      </c>
      <c r="D12" s="405">
        <v>0</v>
      </c>
      <c r="E12" s="622"/>
      <c r="F12" s="623"/>
      <c r="G12" s="405">
        <v>0</v>
      </c>
      <c r="H12" s="622"/>
      <c r="I12" s="623"/>
      <c r="J12" s="4">
        <v>0</v>
      </c>
      <c r="K12" s="14">
        <v>0</v>
      </c>
      <c r="L12" s="4">
        <v>0</v>
      </c>
      <c r="M12" s="16">
        <v>0</v>
      </c>
      <c r="N12" s="157"/>
      <c r="O12" s="630"/>
      <c r="P12" s="631"/>
    </row>
    <row r="13" spans="1:17" ht="15.75" customHeight="1" thickBot="1">
      <c r="A13" s="568"/>
      <c r="B13" s="620"/>
      <c r="C13" s="158">
        <v>5</v>
      </c>
      <c r="D13" s="627">
        <v>0</v>
      </c>
      <c r="E13" s="628"/>
      <c r="F13" s="629"/>
      <c r="G13" s="627">
        <v>0</v>
      </c>
      <c r="H13" s="628"/>
      <c r="I13" s="629"/>
      <c r="J13" s="4">
        <v>0</v>
      </c>
      <c r="K13" s="14">
        <v>0</v>
      </c>
      <c r="L13" s="4">
        <v>0</v>
      </c>
      <c r="M13" s="16">
        <v>0</v>
      </c>
      <c r="N13" s="159"/>
      <c r="O13" s="639"/>
      <c r="P13" s="640"/>
    </row>
    <row r="14" spans="1:17" ht="15.75" customHeight="1" thickTop="1" thickBot="1">
      <c r="A14" s="564"/>
      <c r="B14" s="621"/>
      <c r="C14" s="613"/>
      <c r="D14" s="614"/>
      <c r="E14" s="614"/>
      <c r="F14" s="614"/>
      <c r="G14" s="614"/>
      <c r="H14" s="614"/>
      <c r="I14" s="615"/>
      <c r="J14" s="298" t="s">
        <v>73</v>
      </c>
      <c r="K14" s="224">
        <v>0</v>
      </c>
      <c r="L14" s="298" t="s">
        <v>74</v>
      </c>
      <c r="M14" s="226">
        <v>0</v>
      </c>
      <c r="N14" s="616"/>
      <c r="O14" s="617"/>
      <c r="P14" s="618"/>
    </row>
    <row r="15" spans="1:17" ht="15.75" customHeight="1" thickTop="1"/>
    <row r="16" spans="1:17" ht="15.75" customHeight="1">
      <c r="A16" s="632" t="s">
        <v>442</v>
      </c>
      <c r="B16" s="633"/>
      <c r="C16" s="401" t="s">
        <v>52</v>
      </c>
      <c r="D16" s="634" t="s">
        <v>53</v>
      </c>
      <c r="E16" s="635"/>
      <c r="F16" s="636"/>
      <c r="G16" s="399" t="s">
        <v>62</v>
      </c>
      <c r="H16" s="400"/>
      <c r="I16" s="401"/>
      <c r="J16" s="155" t="s">
        <v>63</v>
      </c>
      <c r="K16" s="155" t="s">
        <v>27</v>
      </c>
      <c r="L16" s="155" t="s">
        <v>64</v>
      </c>
      <c r="M16" s="155" t="s">
        <v>50</v>
      </c>
      <c r="N16" s="300" t="s">
        <v>445</v>
      </c>
      <c r="O16" s="637" t="s">
        <v>58</v>
      </c>
      <c r="P16" s="638"/>
    </row>
    <row r="17" spans="1:16" ht="15.75" customHeight="1">
      <c r="A17" s="563">
        <v>2</v>
      </c>
      <c r="B17" s="619" t="s">
        <v>447</v>
      </c>
      <c r="C17" s="156">
        <v>1</v>
      </c>
      <c r="D17" s="405" t="s">
        <v>319</v>
      </c>
      <c r="E17" s="622"/>
      <c r="F17" s="623"/>
      <c r="G17" s="405" t="s">
        <v>448</v>
      </c>
      <c r="H17" s="622"/>
      <c r="I17" s="623"/>
      <c r="J17" s="301">
        <v>140.43</v>
      </c>
      <c r="K17" s="14">
        <v>3.312523888393426E-2</v>
      </c>
      <c r="L17" s="4">
        <v>1.3</v>
      </c>
      <c r="M17" s="284">
        <v>182.55900000000003</v>
      </c>
      <c r="N17" s="157"/>
      <c r="O17" s="630" t="s">
        <v>449</v>
      </c>
      <c r="P17" s="631"/>
    </row>
    <row r="18" spans="1:16" ht="15.75" customHeight="1">
      <c r="A18" s="568"/>
      <c r="B18" s="620"/>
      <c r="C18" s="156">
        <v>2</v>
      </c>
      <c r="D18" s="405" t="s">
        <v>306</v>
      </c>
      <c r="E18" s="622"/>
      <c r="F18" s="623"/>
      <c r="G18" s="405" t="s">
        <v>450</v>
      </c>
      <c r="H18" s="622"/>
      <c r="I18" s="623"/>
      <c r="J18" s="301">
        <v>298.2</v>
      </c>
      <c r="K18" s="14">
        <v>0.22692889561270804</v>
      </c>
      <c r="L18" s="4">
        <v>0.60000000000000009</v>
      </c>
      <c r="M18" s="284">
        <v>178.92000000000002</v>
      </c>
      <c r="N18" s="157"/>
      <c r="O18" s="630" t="s">
        <v>449</v>
      </c>
      <c r="P18" s="631"/>
    </row>
    <row r="19" spans="1:16" ht="15.75" customHeight="1">
      <c r="A19" s="568"/>
      <c r="B19" s="620"/>
      <c r="C19" s="156">
        <v>3</v>
      </c>
      <c r="D19" s="405" t="s">
        <v>303</v>
      </c>
      <c r="E19" s="622"/>
      <c r="F19" s="623"/>
      <c r="G19" s="405" t="s">
        <v>451</v>
      </c>
      <c r="H19" s="622"/>
      <c r="I19" s="623"/>
      <c r="J19" s="301">
        <v>730.4</v>
      </c>
      <c r="K19" s="14">
        <v>0.25284450063211128</v>
      </c>
      <c r="L19" s="4">
        <v>0.2</v>
      </c>
      <c r="M19" s="284">
        <v>146.08000000000001</v>
      </c>
      <c r="N19" s="157"/>
      <c r="O19" s="630" t="s">
        <v>449</v>
      </c>
      <c r="P19" s="631"/>
    </row>
    <row r="20" spans="1:16" ht="15.75" customHeight="1">
      <c r="A20" s="568"/>
      <c r="B20" s="620"/>
      <c r="C20" s="156">
        <v>4</v>
      </c>
      <c r="D20" s="405" t="s">
        <v>297</v>
      </c>
      <c r="E20" s="622"/>
      <c r="F20" s="623"/>
      <c r="G20" s="405" t="s">
        <v>452</v>
      </c>
      <c r="H20" s="622"/>
      <c r="I20" s="623"/>
      <c r="J20" s="301">
        <v>730.4</v>
      </c>
      <c r="K20" s="14">
        <v>0.14164305949008499</v>
      </c>
      <c r="L20" s="4">
        <v>0.1</v>
      </c>
      <c r="M20" s="284">
        <v>145.55799999999999</v>
      </c>
      <c r="N20" s="157"/>
      <c r="O20" s="630" t="s">
        <v>449</v>
      </c>
      <c r="P20" s="631"/>
    </row>
    <row r="21" spans="1:16" ht="15.75" customHeight="1" thickBot="1">
      <c r="A21" s="568"/>
      <c r="B21" s="620"/>
      <c r="C21" s="158">
        <v>5</v>
      </c>
      <c r="D21" s="405" t="s">
        <v>276</v>
      </c>
      <c r="E21" s="622"/>
      <c r="F21" s="623"/>
      <c r="G21" s="405" t="s">
        <v>453</v>
      </c>
      <c r="H21" s="622"/>
      <c r="I21" s="623"/>
      <c r="J21" s="301">
        <v>459.58</v>
      </c>
      <c r="K21" s="14">
        <v>1.86219739292365E-2</v>
      </c>
      <c r="L21" s="4">
        <v>0.3</v>
      </c>
      <c r="M21" s="284">
        <v>137.874</v>
      </c>
      <c r="N21" s="159"/>
      <c r="O21" s="630" t="s">
        <v>449</v>
      </c>
      <c r="P21" s="631"/>
    </row>
    <row r="22" spans="1:16" ht="15.75" customHeight="1" thickTop="1" thickBot="1">
      <c r="A22" s="564"/>
      <c r="B22" s="621"/>
      <c r="C22" s="624"/>
      <c r="D22" s="625"/>
      <c r="E22" s="625"/>
      <c r="F22" s="625"/>
      <c r="G22" s="625"/>
      <c r="H22" s="625"/>
      <c r="I22" s="626"/>
      <c r="J22" s="298" t="s">
        <v>73</v>
      </c>
      <c r="K22" s="224">
        <v>6.9520257567838549E-3</v>
      </c>
      <c r="L22" s="298" t="s">
        <v>74</v>
      </c>
      <c r="M22" s="226">
        <v>790.9910000000001</v>
      </c>
      <c r="N22" s="616"/>
      <c r="O22" s="617"/>
      <c r="P22" s="618"/>
    </row>
    <row r="23" spans="1:16" ht="15.75" customHeight="1" thickTop="1"/>
    <row r="24" spans="1:16" ht="15.75" customHeight="1">
      <c r="A24" s="632" t="s">
        <v>442</v>
      </c>
      <c r="B24" s="633"/>
      <c r="C24" s="401" t="s">
        <v>52</v>
      </c>
      <c r="D24" s="634" t="s">
        <v>53</v>
      </c>
      <c r="E24" s="635"/>
      <c r="F24" s="636"/>
      <c r="G24" s="399" t="s">
        <v>62</v>
      </c>
      <c r="H24" s="400"/>
      <c r="I24" s="401"/>
      <c r="J24" s="155" t="s">
        <v>63</v>
      </c>
      <c r="K24" s="155" t="s">
        <v>27</v>
      </c>
      <c r="L24" s="155" t="s">
        <v>64</v>
      </c>
      <c r="M24" s="155" t="s">
        <v>50</v>
      </c>
      <c r="N24" s="300" t="s">
        <v>445</v>
      </c>
      <c r="O24" s="637" t="s">
        <v>58</v>
      </c>
      <c r="P24" s="638"/>
    </row>
    <row r="25" spans="1:16" ht="15.75" customHeight="1">
      <c r="A25" s="563">
        <v>3</v>
      </c>
      <c r="B25" s="619" t="s">
        <v>454</v>
      </c>
      <c r="C25" s="156">
        <v>1</v>
      </c>
      <c r="D25" s="405" t="s">
        <v>297</v>
      </c>
      <c r="E25" s="622"/>
      <c r="F25" s="623"/>
      <c r="G25" s="405" t="s">
        <v>452</v>
      </c>
      <c r="H25" s="622"/>
      <c r="I25" s="623"/>
      <c r="J25" s="301">
        <v>103.97</v>
      </c>
      <c r="K25" s="14">
        <v>1.7694509497788186E-2</v>
      </c>
      <c r="L25" s="4">
        <v>1.7</v>
      </c>
      <c r="M25" s="284">
        <v>176.749</v>
      </c>
      <c r="N25" s="157"/>
      <c r="O25" s="630" t="s">
        <v>455</v>
      </c>
      <c r="P25" s="631"/>
    </row>
    <row r="26" spans="1:16" ht="15.75" customHeight="1">
      <c r="A26" s="568"/>
      <c r="B26" s="620"/>
      <c r="C26" s="156">
        <v>2</v>
      </c>
      <c r="D26" s="405" t="s">
        <v>456</v>
      </c>
      <c r="E26" s="622"/>
      <c r="F26" s="623"/>
      <c r="G26" s="405" t="s">
        <v>457</v>
      </c>
      <c r="H26" s="622"/>
      <c r="I26" s="623"/>
      <c r="J26" s="301">
        <v>75.14</v>
      </c>
      <c r="K26" s="14">
        <v>3.0257186081694407E-2</v>
      </c>
      <c r="L26" s="4">
        <v>2</v>
      </c>
      <c r="M26" s="284">
        <v>150.28</v>
      </c>
      <c r="N26" s="157"/>
      <c r="O26" s="630" t="s">
        <v>455</v>
      </c>
      <c r="P26" s="631"/>
    </row>
    <row r="27" spans="1:16" ht="15.75" customHeight="1">
      <c r="A27" s="568"/>
      <c r="B27" s="620"/>
      <c r="C27" s="156">
        <v>3</v>
      </c>
      <c r="D27" s="405" t="s">
        <v>309</v>
      </c>
      <c r="E27" s="622"/>
      <c r="F27" s="623"/>
      <c r="G27" s="405" t="s">
        <v>458</v>
      </c>
      <c r="H27" s="622"/>
      <c r="I27" s="623"/>
      <c r="J27" s="301">
        <v>114.4</v>
      </c>
      <c r="K27" s="14">
        <v>2.2256462934429039E-2</v>
      </c>
      <c r="L27" s="4">
        <v>1.3</v>
      </c>
      <c r="M27" s="284">
        <v>148.72</v>
      </c>
      <c r="N27" s="157"/>
      <c r="O27" s="630" t="s">
        <v>455</v>
      </c>
      <c r="P27" s="631"/>
    </row>
    <row r="28" spans="1:16" ht="15.75" customHeight="1">
      <c r="A28" s="568"/>
      <c r="B28" s="620"/>
      <c r="C28" s="156">
        <v>4</v>
      </c>
      <c r="D28" s="405" t="s">
        <v>290</v>
      </c>
      <c r="E28" s="622"/>
      <c r="F28" s="623"/>
      <c r="G28" s="405" t="s">
        <v>459</v>
      </c>
      <c r="H28" s="622"/>
      <c r="I28" s="623"/>
      <c r="J28" s="301">
        <v>95.43</v>
      </c>
      <c r="K28" s="14">
        <v>2.5998142989786442E-2</v>
      </c>
      <c r="L28" s="4">
        <v>1.4</v>
      </c>
      <c r="M28" s="284">
        <v>133.602</v>
      </c>
      <c r="N28" s="157"/>
      <c r="O28" s="630" t="s">
        <v>455</v>
      </c>
      <c r="P28" s="631"/>
    </row>
    <row r="29" spans="1:16" ht="15.75" customHeight="1" thickBot="1">
      <c r="A29" s="568"/>
      <c r="B29" s="620"/>
      <c r="C29" s="158">
        <v>5</v>
      </c>
      <c r="D29" s="627">
        <v>0</v>
      </c>
      <c r="E29" s="628"/>
      <c r="F29" s="629"/>
      <c r="G29" s="627">
        <v>0</v>
      </c>
      <c r="H29" s="628"/>
      <c r="I29" s="629"/>
      <c r="J29" s="301">
        <v>0</v>
      </c>
      <c r="K29" s="14">
        <v>0</v>
      </c>
      <c r="L29" s="4">
        <v>0</v>
      </c>
      <c r="M29" s="284">
        <v>0</v>
      </c>
      <c r="N29" s="159"/>
      <c r="O29" s="630"/>
      <c r="P29" s="631"/>
    </row>
    <row r="30" spans="1:16" ht="15.75" customHeight="1" thickTop="1" thickBot="1">
      <c r="A30" s="564"/>
      <c r="B30" s="621"/>
      <c r="C30" s="613"/>
      <c r="D30" s="614"/>
      <c r="E30" s="614"/>
      <c r="F30" s="614"/>
      <c r="G30" s="614"/>
      <c r="H30" s="614"/>
      <c r="I30" s="615"/>
      <c r="J30" s="298" t="s">
        <v>73</v>
      </c>
      <c r="K30" s="224">
        <v>5.3555904516258699E-3</v>
      </c>
      <c r="L30" s="298" t="s">
        <v>74</v>
      </c>
      <c r="M30" s="226">
        <v>609.351</v>
      </c>
      <c r="N30" s="616"/>
      <c r="O30" s="617"/>
      <c r="P30" s="618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</row>
    <row r="3" spans="1:17" s="115" customFormat="1" ht="15.75" customHeight="1">
      <c r="A3" s="540" t="s">
        <v>441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</row>
    <row r="4" spans="1:17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</row>
    <row r="5" spans="1:17" s="115" customFormat="1" ht="15.75" customHeight="1">
      <c r="A5" s="450" t="s">
        <v>442</v>
      </c>
      <c r="B5" s="528">
        <v>1</v>
      </c>
      <c r="C5" s="528"/>
      <c r="D5" s="528">
        <v>2</v>
      </c>
      <c r="E5" s="528"/>
      <c r="F5" s="528">
        <v>3</v>
      </c>
      <c r="G5" s="528"/>
      <c r="H5" s="642">
        <v>4</v>
      </c>
      <c r="I5" s="642"/>
      <c r="J5" s="642">
        <v>5</v>
      </c>
      <c r="K5" s="642"/>
      <c r="L5" s="642">
        <v>6</v>
      </c>
      <c r="M5" s="642"/>
      <c r="N5" s="642">
        <v>7</v>
      </c>
      <c r="O5" s="642"/>
      <c r="P5" s="528">
        <v>8</v>
      </c>
      <c r="Q5" s="528"/>
    </row>
    <row r="6" spans="1:17" s="115" customFormat="1" ht="15.75" customHeight="1">
      <c r="A6" s="450"/>
      <c r="B6" s="450" t="s">
        <v>403</v>
      </c>
      <c r="C6" s="450"/>
      <c r="D6" s="450" t="s">
        <v>443</v>
      </c>
      <c r="E6" s="450"/>
      <c r="F6" s="450" t="s">
        <v>405</v>
      </c>
      <c r="G6" s="450"/>
      <c r="H6" s="643" t="s">
        <v>414</v>
      </c>
      <c r="I6" s="643"/>
      <c r="J6" s="643" t="s">
        <v>409</v>
      </c>
      <c r="K6" s="643"/>
      <c r="L6" s="643" t="s">
        <v>410</v>
      </c>
      <c r="M6" s="643"/>
      <c r="N6" s="643" t="s">
        <v>411</v>
      </c>
      <c r="O6" s="643"/>
      <c r="P6" s="641" t="s">
        <v>444</v>
      </c>
      <c r="Q6" s="450"/>
    </row>
    <row r="7" spans="1:17" s="115" customFormat="1" ht="15.75" customHeight="1">
      <c r="B7" s="160"/>
      <c r="C7" s="147"/>
    </row>
    <row r="8" spans="1:17" s="105" customFormat="1" ht="15.75" customHeight="1">
      <c r="A8" s="644" t="s">
        <v>442</v>
      </c>
      <c r="B8" s="645"/>
      <c r="C8" s="112" t="s">
        <v>52</v>
      </c>
      <c r="D8" s="646" t="s">
        <v>53</v>
      </c>
      <c r="E8" s="647"/>
      <c r="F8" s="648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300" t="s">
        <v>445</v>
      </c>
      <c r="O8" s="649" t="s">
        <v>58</v>
      </c>
      <c r="P8" s="650"/>
    </row>
    <row r="9" spans="1:17" ht="15.75" customHeight="1">
      <c r="A9" s="645">
        <v>4</v>
      </c>
      <c r="B9" s="652" t="s">
        <v>414</v>
      </c>
      <c r="C9" s="107">
        <v>1</v>
      </c>
      <c r="D9" s="405" t="s">
        <v>279</v>
      </c>
      <c r="E9" s="622"/>
      <c r="F9" s="623"/>
      <c r="G9" s="405" t="s">
        <v>460</v>
      </c>
      <c r="H9" s="622"/>
      <c r="I9" s="623"/>
      <c r="J9" s="301">
        <v>432.07</v>
      </c>
      <c r="K9" s="14">
        <v>1.0548523206751054E-2</v>
      </c>
      <c r="L9" s="4">
        <v>0.4</v>
      </c>
      <c r="M9" s="284">
        <v>172.828</v>
      </c>
      <c r="N9" s="4"/>
      <c r="O9" s="630" t="s">
        <v>461</v>
      </c>
      <c r="P9" s="658"/>
    </row>
    <row r="10" spans="1:17" ht="15.75" customHeight="1">
      <c r="A10" s="645"/>
      <c r="B10" s="652"/>
      <c r="C10" s="107">
        <v>2</v>
      </c>
      <c r="D10" s="405" t="s">
        <v>335</v>
      </c>
      <c r="E10" s="622"/>
      <c r="F10" s="623"/>
      <c r="G10" s="405" t="s">
        <v>462</v>
      </c>
      <c r="H10" s="622"/>
      <c r="I10" s="623"/>
      <c r="J10" s="301">
        <v>240.51</v>
      </c>
      <c r="K10" s="14">
        <v>1.5185699409927112E-2</v>
      </c>
      <c r="L10" s="4">
        <v>0.70000000000000007</v>
      </c>
      <c r="M10" s="284">
        <v>168.357</v>
      </c>
      <c r="N10" s="4"/>
      <c r="O10" s="630" t="s">
        <v>461</v>
      </c>
      <c r="P10" s="658"/>
    </row>
    <row r="11" spans="1:17" ht="15.75" customHeight="1">
      <c r="A11" s="645"/>
      <c r="B11" s="652"/>
      <c r="C11" s="107">
        <v>3</v>
      </c>
      <c r="D11" s="405" t="s">
        <v>354</v>
      </c>
      <c r="E11" s="622"/>
      <c r="F11" s="623"/>
      <c r="G11" s="405" t="s">
        <v>463</v>
      </c>
      <c r="H11" s="622"/>
      <c r="I11" s="623"/>
      <c r="J11" s="301">
        <v>127.48</v>
      </c>
      <c r="K11" s="14">
        <v>1.0485054764247576E-2</v>
      </c>
      <c r="L11" s="4">
        <v>1.3</v>
      </c>
      <c r="M11" s="284">
        <v>165.72400000000002</v>
      </c>
      <c r="N11" s="4"/>
      <c r="O11" s="630" t="s">
        <v>461</v>
      </c>
      <c r="P11" s="658"/>
    </row>
    <row r="12" spans="1:17" ht="15.75" customHeight="1">
      <c r="A12" s="645"/>
      <c r="B12" s="652"/>
      <c r="C12" s="107">
        <v>4</v>
      </c>
      <c r="D12" s="405" t="s">
        <v>335</v>
      </c>
      <c r="E12" s="622"/>
      <c r="F12" s="623"/>
      <c r="G12" s="405" t="s">
        <v>464</v>
      </c>
      <c r="H12" s="622"/>
      <c r="I12" s="623"/>
      <c r="J12" s="301">
        <v>320.63</v>
      </c>
      <c r="K12" s="14">
        <v>2.4792978628452419E-2</v>
      </c>
      <c r="L12" s="4">
        <v>0.5</v>
      </c>
      <c r="M12" s="284">
        <v>160.315</v>
      </c>
      <c r="N12" s="4"/>
      <c r="O12" s="630" t="s">
        <v>461</v>
      </c>
      <c r="P12" s="658"/>
    </row>
    <row r="13" spans="1:17" ht="15.75" customHeight="1" thickBot="1">
      <c r="A13" s="645"/>
      <c r="B13" s="652"/>
      <c r="C13" s="108">
        <v>5</v>
      </c>
      <c r="D13" s="405" t="s">
        <v>296</v>
      </c>
      <c r="E13" s="622"/>
      <c r="F13" s="623"/>
      <c r="G13" s="405" t="s">
        <v>465</v>
      </c>
      <c r="H13" s="622"/>
      <c r="I13" s="623"/>
      <c r="J13" s="301">
        <v>432.07</v>
      </c>
      <c r="K13" s="14">
        <v>7.0028011204481787E-3</v>
      </c>
      <c r="L13" s="4">
        <v>0.3</v>
      </c>
      <c r="M13" s="284">
        <v>158.26499999999999</v>
      </c>
      <c r="N13" s="27"/>
      <c r="O13" s="630" t="s">
        <v>461</v>
      </c>
      <c r="P13" s="658"/>
    </row>
    <row r="14" spans="1:17" ht="15.75" customHeight="1" thickTop="1" thickBot="1">
      <c r="A14" s="645"/>
      <c r="B14" s="652"/>
      <c r="C14" s="660"/>
      <c r="D14" s="660"/>
      <c r="E14" s="660"/>
      <c r="F14" s="660"/>
      <c r="G14" s="660"/>
      <c r="H14" s="660"/>
      <c r="I14" s="660"/>
      <c r="J14" s="225" t="s">
        <v>73</v>
      </c>
      <c r="K14" s="224">
        <v>7.2552289342631537E-3</v>
      </c>
      <c r="L14" s="225" t="s">
        <v>74</v>
      </c>
      <c r="M14" s="226">
        <v>825.48899999999992</v>
      </c>
      <c r="N14" s="659"/>
      <c r="O14" s="659"/>
      <c r="P14" s="659"/>
    </row>
    <row r="15" spans="1:17" ht="15.75" customHeight="1" thickTop="1"/>
    <row r="16" spans="1:17" ht="15.75" customHeight="1">
      <c r="A16" s="644" t="s">
        <v>442</v>
      </c>
      <c r="B16" s="645"/>
      <c r="C16" s="112" t="s">
        <v>52</v>
      </c>
      <c r="D16" s="646" t="s">
        <v>53</v>
      </c>
      <c r="E16" s="647"/>
      <c r="F16" s="648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300" t="s">
        <v>445</v>
      </c>
      <c r="O16" s="649" t="s">
        <v>58</v>
      </c>
      <c r="P16" s="650"/>
    </row>
    <row r="17" spans="1:16" ht="15.75" customHeight="1">
      <c r="A17" s="645">
        <v>5</v>
      </c>
      <c r="B17" s="651" t="s">
        <v>466</v>
      </c>
      <c r="C17" s="107">
        <v>1</v>
      </c>
      <c r="D17" s="405" t="s">
        <v>291</v>
      </c>
      <c r="E17" s="622"/>
      <c r="F17" s="623"/>
      <c r="G17" s="405" t="s">
        <v>467</v>
      </c>
      <c r="H17" s="622"/>
      <c r="I17" s="623"/>
      <c r="J17" s="301">
        <v>272.74</v>
      </c>
      <c r="K17" s="14">
        <v>1.1560693641618498E-2</v>
      </c>
      <c r="L17" s="4">
        <v>0.60000000000000009</v>
      </c>
      <c r="M17" s="284">
        <v>163.64400000000003</v>
      </c>
      <c r="N17" s="4"/>
      <c r="O17" s="630" t="s">
        <v>468</v>
      </c>
      <c r="P17" s="658"/>
    </row>
    <row r="18" spans="1:16" ht="15.75" customHeight="1">
      <c r="A18" s="645"/>
      <c r="B18" s="652"/>
      <c r="C18" s="107">
        <v>2</v>
      </c>
      <c r="D18" s="405" t="s">
        <v>283</v>
      </c>
      <c r="E18" s="622"/>
      <c r="F18" s="623"/>
      <c r="G18" s="405" t="s">
        <v>469</v>
      </c>
      <c r="H18" s="622"/>
      <c r="I18" s="623"/>
      <c r="J18" s="301">
        <v>310.43</v>
      </c>
      <c r="K18" s="14">
        <v>3.6683785766691124E-2</v>
      </c>
      <c r="L18" s="4">
        <v>0.5</v>
      </c>
      <c r="M18" s="284">
        <v>155.215</v>
      </c>
      <c r="N18" s="4"/>
      <c r="O18" s="630" t="s">
        <v>468</v>
      </c>
      <c r="P18" s="658"/>
    </row>
    <row r="19" spans="1:16" ht="15.75" customHeight="1">
      <c r="A19" s="645"/>
      <c r="B19" s="652"/>
      <c r="C19" s="107">
        <v>3</v>
      </c>
      <c r="D19" s="405" t="s">
        <v>306</v>
      </c>
      <c r="E19" s="622"/>
      <c r="F19" s="623"/>
      <c r="G19" s="405" t="s">
        <v>470</v>
      </c>
      <c r="H19" s="622"/>
      <c r="I19" s="623"/>
      <c r="J19" s="301">
        <v>487.6</v>
      </c>
      <c r="K19" s="14">
        <v>5.9718130424396849E-3</v>
      </c>
      <c r="L19" s="4">
        <v>0.3</v>
      </c>
      <c r="M19" s="284">
        <v>146.28</v>
      </c>
      <c r="N19" s="4"/>
      <c r="O19" s="630" t="s">
        <v>468</v>
      </c>
      <c r="P19" s="658"/>
    </row>
    <row r="20" spans="1:16" ht="15.75" customHeight="1">
      <c r="A20" s="645"/>
      <c r="B20" s="652"/>
      <c r="C20" s="107">
        <v>4</v>
      </c>
      <c r="D20" s="405" t="s">
        <v>303</v>
      </c>
      <c r="E20" s="622"/>
      <c r="F20" s="623"/>
      <c r="G20" s="405" t="s">
        <v>471</v>
      </c>
      <c r="H20" s="622"/>
      <c r="I20" s="623"/>
      <c r="J20" s="301">
        <v>290.67</v>
      </c>
      <c r="K20" s="14">
        <v>2.335575485799701E-2</v>
      </c>
      <c r="L20" s="4">
        <v>0.5</v>
      </c>
      <c r="M20" s="284">
        <v>145.33500000000001</v>
      </c>
      <c r="N20" s="4"/>
      <c r="O20" s="630" t="s">
        <v>468</v>
      </c>
      <c r="P20" s="658"/>
    </row>
    <row r="21" spans="1:16" ht="15.75" customHeight="1" thickBot="1">
      <c r="A21" s="645"/>
      <c r="B21" s="652"/>
      <c r="C21" s="108">
        <v>5</v>
      </c>
      <c r="D21" s="405" t="s">
        <v>297</v>
      </c>
      <c r="E21" s="622"/>
      <c r="F21" s="623"/>
      <c r="G21" s="405" t="s">
        <v>472</v>
      </c>
      <c r="H21" s="622"/>
      <c r="I21" s="623"/>
      <c r="J21" s="301">
        <v>278.12</v>
      </c>
      <c r="K21" s="14">
        <v>1.6112400103119359E-2</v>
      </c>
      <c r="L21" s="4">
        <v>0.5</v>
      </c>
      <c r="M21" s="284">
        <v>139.06</v>
      </c>
      <c r="N21" s="4"/>
      <c r="O21" s="630" t="s">
        <v>468</v>
      </c>
      <c r="P21" s="658"/>
    </row>
    <row r="22" spans="1:16" ht="15.75" customHeight="1" thickTop="1" thickBot="1">
      <c r="A22" s="645"/>
      <c r="B22" s="652"/>
      <c r="C22" s="653"/>
      <c r="D22" s="653"/>
      <c r="E22" s="653"/>
      <c r="F22" s="653"/>
      <c r="G22" s="653"/>
      <c r="H22" s="653"/>
      <c r="I22" s="654"/>
      <c r="J22" s="114" t="s">
        <v>73</v>
      </c>
      <c r="K22" s="224">
        <v>6.5876598767688E-3</v>
      </c>
      <c r="L22" s="114" t="s">
        <v>74</v>
      </c>
      <c r="M22" s="226">
        <v>749.53400000000011</v>
      </c>
      <c r="N22" s="655"/>
      <c r="O22" s="656"/>
      <c r="P22" s="657"/>
    </row>
    <row r="23" spans="1:16" ht="15.75" customHeight="1" thickTop="1"/>
    <row r="24" spans="1:16" ht="15.75" customHeight="1">
      <c r="A24" s="644" t="s">
        <v>442</v>
      </c>
      <c r="B24" s="645"/>
      <c r="C24" s="112" t="s">
        <v>52</v>
      </c>
      <c r="D24" s="646" t="s">
        <v>53</v>
      </c>
      <c r="E24" s="647"/>
      <c r="F24" s="648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300" t="s">
        <v>445</v>
      </c>
      <c r="O24" s="649" t="s">
        <v>58</v>
      </c>
      <c r="P24" s="650"/>
    </row>
    <row r="25" spans="1:16" ht="15.75" customHeight="1">
      <c r="A25" s="645">
        <v>6</v>
      </c>
      <c r="B25" s="651" t="s">
        <v>473</v>
      </c>
      <c r="C25" s="107">
        <v>1</v>
      </c>
      <c r="D25" s="405">
        <v>0</v>
      </c>
      <c r="E25" s="622"/>
      <c r="F25" s="623"/>
      <c r="G25" s="405">
        <v>0</v>
      </c>
      <c r="H25" s="622"/>
      <c r="I25" s="623"/>
      <c r="J25" s="301">
        <v>0</v>
      </c>
      <c r="K25" s="14">
        <v>0</v>
      </c>
      <c r="L25" s="4">
        <v>0</v>
      </c>
      <c r="M25" s="284">
        <v>0</v>
      </c>
      <c r="N25" s="4"/>
      <c r="O25" s="630"/>
      <c r="P25" s="658"/>
    </row>
    <row r="26" spans="1:16" ht="15.75" customHeight="1">
      <c r="A26" s="645"/>
      <c r="B26" s="652"/>
      <c r="C26" s="107">
        <v>2</v>
      </c>
      <c r="D26" s="405">
        <v>0</v>
      </c>
      <c r="E26" s="622"/>
      <c r="F26" s="623"/>
      <c r="G26" s="405">
        <v>0</v>
      </c>
      <c r="H26" s="622"/>
      <c r="I26" s="623"/>
      <c r="J26" s="301">
        <v>0</v>
      </c>
      <c r="K26" s="14">
        <v>0</v>
      </c>
      <c r="L26" s="4">
        <v>0</v>
      </c>
      <c r="M26" s="284">
        <v>0</v>
      </c>
      <c r="N26" s="4"/>
      <c r="O26" s="630"/>
      <c r="P26" s="658"/>
    </row>
    <row r="27" spans="1:16" ht="15.75" customHeight="1">
      <c r="A27" s="645"/>
      <c r="B27" s="652"/>
      <c r="C27" s="107">
        <v>3</v>
      </c>
      <c r="D27" s="405">
        <v>0</v>
      </c>
      <c r="E27" s="622"/>
      <c r="F27" s="623"/>
      <c r="G27" s="405">
        <v>0</v>
      </c>
      <c r="H27" s="622"/>
      <c r="I27" s="623"/>
      <c r="J27" s="301">
        <v>0</v>
      </c>
      <c r="K27" s="14">
        <v>0</v>
      </c>
      <c r="L27" s="4">
        <v>0</v>
      </c>
      <c r="M27" s="284">
        <v>0</v>
      </c>
      <c r="N27" s="4"/>
      <c r="O27" s="630"/>
      <c r="P27" s="658"/>
    </row>
    <row r="28" spans="1:16" ht="15.75" customHeight="1">
      <c r="A28" s="645"/>
      <c r="B28" s="652"/>
      <c r="C28" s="107">
        <v>4</v>
      </c>
      <c r="D28" s="405">
        <v>0</v>
      </c>
      <c r="E28" s="622"/>
      <c r="F28" s="623"/>
      <c r="G28" s="405">
        <v>0</v>
      </c>
      <c r="H28" s="622"/>
      <c r="I28" s="623"/>
      <c r="J28" s="301">
        <v>0</v>
      </c>
      <c r="K28" s="14">
        <v>0</v>
      </c>
      <c r="L28" s="4">
        <v>0</v>
      </c>
      <c r="M28" s="284">
        <v>0</v>
      </c>
      <c r="N28" s="4"/>
      <c r="O28" s="630"/>
      <c r="P28" s="658"/>
    </row>
    <row r="29" spans="1:16" ht="15.75" customHeight="1" thickBot="1">
      <c r="A29" s="645"/>
      <c r="B29" s="652"/>
      <c r="C29" s="108">
        <v>5</v>
      </c>
      <c r="D29" s="405">
        <v>0</v>
      </c>
      <c r="E29" s="622"/>
      <c r="F29" s="623"/>
      <c r="G29" s="405">
        <v>0</v>
      </c>
      <c r="H29" s="622"/>
      <c r="I29" s="623"/>
      <c r="J29" s="301">
        <v>0</v>
      </c>
      <c r="K29" s="14">
        <v>0</v>
      </c>
      <c r="L29" s="4">
        <v>0</v>
      </c>
      <c r="M29" s="284">
        <v>0</v>
      </c>
      <c r="N29" s="4"/>
      <c r="O29" s="630"/>
      <c r="P29" s="658"/>
    </row>
    <row r="30" spans="1:16" ht="15.75" customHeight="1" thickTop="1" thickBot="1">
      <c r="A30" s="645"/>
      <c r="B30" s="652"/>
      <c r="C30" s="653"/>
      <c r="D30" s="653"/>
      <c r="E30" s="653"/>
      <c r="F30" s="653"/>
      <c r="G30" s="653"/>
      <c r="H30" s="653"/>
      <c r="I30" s="654"/>
      <c r="J30" s="114" t="s">
        <v>73</v>
      </c>
      <c r="K30" s="224">
        <v>0</v>
      </c>
      <c r="L30" s="114" t="s">
        <v>74</v>
      </c>
      <c r="M30" s="226">
        <v>0</v>
      </c>
      <c r="N30" s="655"/>
      <c r="O30" s="656"/>
      <c r="P30" s="657"/>
    </row>
    <row r="31" spans="1:16" ht="15.75" customHeight="1" thickTop="1"/>
    <row r="32" spans="1:16" ht="15.75" customHeight="1">
      <c r="A32" s="644" t="s">
        <v>442</v>
      </c>
      <c r="B32" s="645"/>
      <c r="C32" s="112" t="s">
        <v>52</v>
      </c>
      <c r="D32" s="646" t="s">
        <v>53</v>
      </c>
      <c r="E32" s="647"/>
      <c r="F32" s="648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49" t="s">
        <v>58</v>
      </c>
      <c r="P32" s="650"/>
    </row>
    <row r="33" spans="1:16" ht="15.75" customHeight="1">
      <c r="A33" s="645">
        <v>7</v>
      </c>
      <c r="B33" s="651" t="s">
        <v>474</v>
      </c>
      <c r="C33" s="107">
        <v>1</v>
      </c>
      <c r="D33" s="405" t="s">
        <v>334</v>
      </c>
      <c r="E33" s="622"/>
      <c r="F33" s="623"/>
      <c r="G33" s="405" t="s">
        <v>475</v>
      </c>
      <c r="H33" s="622"/>
      <c r="I33" s="623"/>
      <c r="J33" s="4">
        <v>13.45</v>
      </c>
      <c r="K33" s="14">
        <v>1.2269938650306749E-2</v>
      </c>
      <c r="L33" s="4">
        <v>12</v>
      </c>
      <c r="M33" s="284">
        <v>161.39999999999998</v>
      </c>
      <c r="N33" s="4"/>
      <c r="O33" s="630" t="s">
        <v>476</v>
      </c>
      <c r="P33" s="658"/>
    </row>
    <row r="34" spans="1:16" ht="15.75" customHeight="1">
      <c r="A34" s="645"/>
      <c r="B34" s="652"/>
      <c r="C34" s="107">
        <v>2</v>
      </c>
      <c r="D34" s="405" t="s">
        <v>289</v>
      </c>
      <c r="E34" s="622"/>
      <c r="F34" s="623"/>
      <c r="G34" s="405" t="s">
        <v>477</v>
      </c>
      <c r="H34" s="622"/>
      <c r="I34" s="623"/>
      <c r="J34" s="4">
        <v>2485</v>
      </c>
      <c r="K34" s="14">
        <v>0</v>
      </c>
      <c r="L34" s="4">
        <v>0</v>
      </c>
      <c r="M34" s="284">
        <v>155.02199999999999</v>
      </c>
      <c r="N34" s="4"/>
      <c r="O34" s="630" t="s">
        <v>478</v>
      </c>
      <c r="P34" s="658"/>
    </row>
    <row r="35" spans="1:16" ht="15.75" customHeight="1">
      <c r="A35" s="645"/>
      <c r="B35" s="652"/>
      <c r="C35" s="107">
        <v>3</v>
      </c>
      <c r="D35" s="405" t="s">
        <v>456</v>
      </c>
      <c r="E35" s="622"/>
      <c r="F35" s="623"/>
      <c r="G35" s="405" t="s">
        <v>457</v>
      </c>
      <c r="H35" s="622"/>
      <c r="I35" s="623"/>
      <c r="J35" s="4">
        <v>651.53</v>
      </c>
      <c r="K35" s="14">
        <v>0</v>
      </c>
      <c r="L35" s="4">
        <v>0</v>
      </c>
      <c r="M35" s="284">
        <v>135.25200000000001</v>
      </c>
      <c r="N35" s="4"/>
      <c r="O35" s="630" t="s">
        <v>478</v>
      </c>
      <c r="P35" s="658"/>
    </row>
    <row r="36" spans="1:16" ht="15.75" customHeight="1">
      <c r="A36" s="645"/>
      <c r="B36" s="652"/>
      <c r="C36" s="107">
        <v>4</v>
      </c>
      <c r="D36" s="405" t="s">
        <v>307</v>
      </c>
      <c r="E36" s="622"/>
      <c r="F36" s="623"/>
      <c r="G36" s="405" t="s">
        <v>479</v>
      </c>
      <c r="H36" s="622"/>
      <c r="I36" s="623"/>
      <c r="J36" s="4">
        <v>651.53</v>
      </c>
      <c r="K36" s="14">
        <v>5.3316272126252935E-3</v>
      </c>
      <c r="L36" s="4">
        <v>0.2</v>
      </c>
      <c r="M36" s="284">
        <v>130.30600000000001</v>
      </c>
      <c r="N36" s="4"/>
      <c r="O36" s="630" t="s">
        <v>480</v>
      </c>
      <c r="P36" s="658"/>
    </row>
    <row r="37" spans="1:16" ht="15.75" customHeight="1" thickBot="1">
      <c r="A37" s="645"/>
      <c r="B37" s="652"/>
      <c r="C37" s="108">
        <v>5</v>
      </c>
      <c r="D37" s="405" t="s">
        <v>361</v>
      </c>
      <c r="E37" s="622"/>
      <c r="F37" s="623"/>
      <c r="G37" s="405" t="s">
        <v>481</v>
      </c>
      <c r="H37" s="622"/>
      <c r="I37" s="623"/>
      <c r="J37" s="4">
        <v>47.27</v>
      </c>
      <c r="K37" s="14">
        <v>5.0689375506893758E-2</v>
      </c>
      <c r="L37" s="4">
        <v>2.5</v>
      </c>
      <c r="M37" s="284">
        <v>118.17500000000001</v>
      </c>
      <c r="N37" s="4"/>
      <c r="O37" s="630" t="s">
        <v>476</v>
      </c>
      <c r="P37" s="658"/>
    </row>
    <row r="38" spans="1:16" ht="15.75" customHeight="1" thickTop="1" thickBot="1">
      <c r="A38" s="645"/>
      <c r="B38" s="652"/>
      <c r="C38" s="653"/>
      <c r="D38" s="653"/>
      <c r="E38" s="653"/>
      <c r="F38" s="653"/>
      <c r="G38" s="653"/>
      <c r="H38" s="653"/>
      <c r="I38" s="654"/>
      <c r="J38" s="114" t="s">
        <v>73</v>
      </c>
      <c r="K38" s="224">
        <v>6.1536674800863715E-3</v>
      </c>
      <c r="L38" s="114" t="s">
        <v>74</v>
      </c>
      <c r="M38" s="226">
        <v>700.15499999999997</v>
      </c>
      <c r="N38" s="655"/>
      <c r="O38" s="656"/>
      <c r="P38" s="657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67" customWidth="1"/>
    <col min="2" max="2" width="11.42578125" style="303" customWidth="1"/>
    <col min="3" max="3" width="4" style="304" customWidth="1"/>
    <col min="4" max="17" width="9.5703125" style="167" customWidth="1"/>
    <col min="18" max="16384" width="12.5703125" style="167"/>
  </cols>
  <sheetData>
    <row r="1" spans="1:23" ht="15.75" customHeight="1">
      <c r="A1" s="586" t="s">
        <v>363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23" s="168" customFormat="1" ht="15.75" customHeight="1">
      <c r="A2" s="586"/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167"/>
      <c r="S2" s="167"/>
      <c r="T2" s="167"/>
      <c r="U2" s="167"/>
      <c r="V2" s="167"/>
      <c r="W2" s="167"/>
    </row>
    <row r="3" spans="1:23" ht="15.75" customHeight="1">
      <c r="A3" s="587" t="s">
        <v>482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</row>
    <row r="4" spans="1:23" s="168" customFormat="1" ht="15.75" customHeight="1">
      <c r="A4" s="587"/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  <c r="R4" s="167"/>
      <c r="S4" s="167"/>
      <c r="T4" s="167"/>
      <c r="U4" s="167"/>
      <c r="V4" s="167"/>
      <c r="W4" s="167"/>
    </row>
    <row r="5" spans="1:23" ht="15.75" customHeight="1">
      <c r="A5" s="589" t="s">
        <v>442</v>
      </c>
      <c r="B5" s="662">
        <v>1</v>
      </c>
      <c r="C5" s="662"/>
      <c r="D5" s="662">
        <v>2</v>
      </c>
      <c r="E5" s="662"/>
      <c r="F5" s="662">
        <v>3</v>
      </c>
      <c r="G5" s="662"/>
      <c r="H5" s="592">
        <v>4</v>
      </c>
      <c r="I5" s="592"/>
      <c r="J5" s="592">
        <v>5</v>
      </c>
      <c r="K5" s="592"/>
      <c r="L5" s="592">
        <v>6</v>
      </c>
      <c r="M5" s="592"/>
      <c r="N5" s="592">
        <v>7</v>
      </c>
      <c r="O5" s="592"/>
      <c r="P5" s="592">
        <v>8</v>
      </c>
      <c r="Q5" s="592"/>
    </row>
    <row r="6" spans="1:23" ht="15.75" customHeight="1">
      <c r="A6" s="589"/>
      <c r="B6" s="663" t="s">
        <v>403</v>
      </c>
      <c r="C6" s="663"/>
      <c r="D6" s="663" t="s">
        <v>443</v>
      </c>
      <c r="E6" s="663"/>
      <c r="F6" s="663" t="s">
        <v>405</v>
      </c>
      <c r="G6" s="663"/>
      <c r="H6" s="661" t="s">
        <v>483</v>
      </c>
      <c r="I6" s="589"/>
      <c r="J6" s="589" t="s">
        <v>409</v>
      </c>
      <c r="K6" s="589"/>
      <c r="L6" s="589" t="s">
        <v>410</v>
      </c>
      <c r="M6" s="589"/>
      <c r="N6" s="589" t="s">
        <v>411</v>
      </c>
      <c r="O6" s="589"/>
      <c r="P6" s="661" t="s">
        <v>444</v>
      </c>
      <c r="Q6" s="589"/>
    </row>
    <row r="8" spans="1:23" s="302" customFormat="1" ht="15.75" customHeight="1">
      <c r="A8" s="632" t="s">
        <v>442</v>
      </c>
      <c r="B8" s="633"/>
      <c r="C8" s="401" t="s">
        <v>52</v>
      </c>
      <c r="D8" s="634" t="s">
        <v>53</v>
      </c>
      <c r="E8" s="635"/>
      <c r="F8" s="636"/>
      <c r="G8" s="399" t="s">
        <v>62</v>
      </c>
      <c r="H8" s="400"/>
      <c r="I8" s="401"/>
      <c r="J8" s="155" t="s">
        <v>63</v>
      </c>
      <c r="K8" s="300" t="s">
        <v>31</v>
      </c>
      <c r="L8" s="155" t="s">
        <v>64</v>
      </c>
      <c r="M8" s="155" t="s">
        <v>50</v>
      </c>
      <c r="N8" s="300" t="s">
        <v>445</v>
      </c>
      <c r="O8" s="637" t="s">
        <v>58</v>
      </c>
      <c r="P8" s="638"/>
      <c r="R8" s="167"/>
      <c r="S8" s="167"/>
      <c r="T8" s="167"/>
      <c r="U8" s="167"/>
      <c r="V8" s="167"/>
      <c r="W8" s="167"/>
    </row>
    <row r="9" spans="1:23" ht="15.75" customHeight="1">
      <c r="A9" s="563">
        <v>1</v>
      </c>
      <c r="B9" s="619" t="s">
        <v>446</v>
      </c>
      <c r="C9" s="156">
        <v>1</v>
      </c>
      <c r="D9" s="405">
        <v>0</v>
      </c>
      <c r="E9" s="622"/>
      <c r="F9" s="623"/>
      <c r="G9" s="405">
        <v>0</v>
      </c>
      <c r="H9" s="622"/>
      <c r="I9" s="623"/>
      <c r="J9" s="4">
        <v>0</v>
      </c>
      <c r="K9" s="14">
        <v>0</v>
      </c>
      <c r="L9" s="301">
        <v>0</v>
      </c>
      <c r="M9" s="16">
        <v>0</v>
      </c>
      <c r="N9" s="157"/>
      <c r="O9" s="630"/>
      <c r="P9" s="631"/>
    </row>
    <row r="10" spans="1:23" ht="15.75" customHeight="1">
      <c r="A10" s="568"/>
      <c r="B10" s="620"/>
      <c r="C10" s="156">
        <v>2</v>
      </c>
      <c r="D10" s="405">
        <v>0</v>
      </c>
      <c r="E10" s="622"/>
      <c r="F10" s="623"/>
      <c r="G10" s="405">
        <v>0</v>
      </c>
      <c r="H10" s="622"/>
      <c r="I10" s="623"/>
      <c r="J10" s="4">
        <v>0</v>
      </c>
      <c r="K10" s="14">
        <v>0</v>
      </c>
      <c r="L10" s="301">
        <v>0</v>
      </c>
      <c r="M10" s="16">
        <v>0</v>
      </c>
      <c r="N10" s="157"/>
      <c r="O10" s="630"/>
      <c r="P10" s="631"/>
    </row>
    <row r="11" spans="1:23" ht="15.75" customHeight="1">
      <c r="A11" s="568"/>
      <c r="B11" s="620"/>
      <c r="C11" s="156">
        <v>3</v>
      </c>
      <c r="D11" s="405">
        <v>0</v>
      </c>
      <c r="E11" s="622"/>
      <c r="F11" s="623"/>
      <c r="G11" s="405">
        <v>0</v>
      </c>
      <c r="H11" s="622"/>
      <c r="I11" s="623"/>
      <c r="J11" s="4">
        <v>0</v>
      </c>
      <c r="K11" s="14">
        <v>0</v>
      </c>
      <c r="L11" s="301">
        <v>0</v>
      </c>
      <c r="M11" s="16">
        <v>0</v>
      </c>
      <c r="N11" s="157"/>
      <c r="O11" s="630"/>
      <c r="P11" s="631"/>
    </row>
    <row r="12" spans="1:23" ht="15.75" customHeight="1">
      <c r="A12" s="568"/>
      <c r="B12" s="620"/>
      <c r="C12" s="156">
        <v>4</v>
      </c>
      <c r="D12" s="405">
        <v>0</v>
      </c>
      <c r="E12" s="622"/>
      <c r="F12" s="623"/>
      <c r="G12" s="405">
        <v>0</v>
      </c>
      <c r="H12" s="622"/>
      <c r="I12" s="623"/>
      <c r="J12" s="4">
        <v>0</v>
      </c>
      <c r="K12" s="14">
        <v>0</v>
      </c>
      <c r="L12" s="301">
        <v>0</v>
      </c>
      <c r="M12" s="16">
        <v>0</v>
      </c>
      <c r="N12" s="157"/>
      <c r="O12" s="630"/>
      <c r="P12" s="631"/>
    </row>
    <row r="13" spans="1:23" ht="15.75" customHeight="1" thickBot="1">
      <c r="A13" s="568"/>
      <c r="B13" s="620"/>
      <c r="C13" s="158">
        <v>5</v>
      </c>
      <c r="D13" s="627">
        <v>0</v>
      </c>
      <c r="E13" s="628"/>
      <c r="F13" s="629"/>
      <c r="G13" s="627">
        <v>0</v>
      </c>
      <c r="H13" s="628"/>
      <c r="I13" s="629"/>
      <c r="J13" s="4">
        <v>0</v>
      </c>
      <c r="K13" s="14">
        <v>0</v>
      </c>
      <c r="L13" s="301">
        <v>0</v>
      </c>
      <c r="M13" s="16">
        <v>0</v>
      </c>
      <c r="N13" s="159"/>
      <c r="O13" s="639"/>
      <c r="P13" s="640"/>
    </row>
    <row r="14" spans="1:23" ht="15.75" customHeight="1" thickTop="1" thickBot="1">
      <c r="A14" s="564"/>
      <c r="B14" s="621"/>
      <c r="C14" s="613"/>
      <c r="D14" s="614"/>
      <c r="E14" s="614"/>
      <c r="F14" s="614"/>
      <c r="G14" s="614"/>
      <c r="H14" s="614"/>
      <c r="I14" s="615"/>
      <c r="J14" s="298" t="s">
        <v>73</v>
      </c>
      <c r="K14" s="224">
        <v>0</v>
      </c>
      <c r="L14" s="298" t="s">
        <v>74</v>
      </c>
      <c r="M14" s="226">
        <v>0</v>
      </c>
      <c r="N14" s="616"/>
      <c r="O14" s="617"/>
      <c r="P14" s="618"/>
    </row>
    <row r="15" spans="1:23" ht="15.75" customHeight="1" thickTop="1">
      <c r="A15" s="115"/>
      <c r="B15" s="160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32" t="s">
        <v>442</v>
      </c>
      <c r="B16" s="633"/>
      <c r="C16" s="401" t="s">
        <v>52</v>
      </c>
      <c r="D16" s="634" t="s">
        <v>53</v>
      </c>
      <c r="E16" s="635"/>
      <c r="F16" s="636"/>
      <c r="G16" s="399" t="s">
        <v>62</v>
      </c>
      <c r="H16" s="400"/>
      <c r="I16" s="401"/>
      <c r="J16" s="155" t="s">
        <v>63</v>
      </c>
      <c r="K16" s="300" t="s">
        <v>31</v>
      </c>
      <c r="L16" s="155" t="s">
        <v>64</v>
      </c>
      <c r="M16" s="155" t="s">
        <v>50</v>
      </c>
      <c r="N16" s="300" t="s">
        <v>445</v>
      </c>
      <c r="O16" s="637" t="s">
        <v>58</v>
      </c>
      <c r="P16" s="638"/>
    </row>
    <row r="17" spans="1:16" ht="15.75" customHeight="1">
      <c r="A17" s="563">
        <v>2</v>
      </c>
      <c r="B17" s="619" t="s">
        <v>447</v>
      </c>
      <c r="C17" s="156">
        <v>1</v>
      </c>
      <c r="D17" s="405" t="s">
        <v>303</v>
      </c>
      <c r="E17" s="622"/>
      <c r="F17" s="623"/>
      <c r="G17" s="405" t="s">
        <v>451</v>
      </c>
      <c r="H17" s="622"/>
      <c r="I17" s="623"/>
      <c r="J17" s="301">
        <v>730.4</v>
      </c>
      <c r="K17" s="14">
        <v>0.27478753541076495</v>
      </c>
      <c r="L17" s="301">
        <v>0.19400000000000003</v>
      </c>
      <c r="M17" s="284">
        <v>141.69760000000002</v>
      </c>
      <c r="N17" s="157"/>
      <c r="O17" s="630" t="s">
        <v>449</v>
      </c>
      <c r="P17" s="631"/>
    </row>
    <row r="18" spans="1:16" ht="15.75" customHeight="1">
      <c r="A18" s="568"/>
      <c r="B18" s="620"/>
      <c r="C18" s="156">
        <v>2</v>
      </c>
      <c r="D18" s="405" t="s">
        <v>276</v>
      </c>
      <c r="E18" s="622"/>
      <c r="F18" s="623"/>
      <c r="G18" s="405" t="s">
        <v>453</v>
      </c>
      <c r="H18" s="622"/>
      <c r="I18" s="623"/>
      <c r="J18" s="301">
        <v>459.58</v>
      </c>
      <c r="K18" s="14">
        <v>1.8001241464928607E-2</v>
      </c>
      <c r="L18" s="301">
        <v>0.28999999999999987</v>
      </c>
      <c r="M18" s="284">
        <v>133.27819999999994</v>
      </c>
      <c r="N18" s="157"/>
      <c r="O18" s="630" t="s">
        <v>449</v>
      </c>
      <c r="P18" s="631"/>
    </row>
    <row r="19" spans="1:16" ht="15.75" customHeight="1">
      <c r="A19" s="568"/>
      <c r="B19" s="620"/>
      <c r="C19" s="156">
        <v>3</v>
      </c>
      <c r="D19" s="405" t="s">
        <v>283</v>
      </c>
      <c r="E19" s="622"/>
      <c r="F19" s="623"/>
      <c r="G19" s="405" t="s">
        <v>484</v>
      </c>
      <c r="H19" s="622"/>
      <c r="I19" s="623"/>
      <c r="J19" s="301">
        <v>846.44</v>
      </c>
      <c r="K19" s="14">
        <v>3.2059727711901527E-2</v>
      </c>
      <c r="L19" s="301">
        <v>0.14599999999999955</v>
      </c>
      <c r="M19" s="284">
        <v>123.58023999999963</v>
      </c>
      <c r="N19" s="157"/>
      <c r="O19" s="630" t="s">
        <v>449</v>
      </c>
      <c r="P19" s="631"/>
    </row>
    <row r="20" spans="1:16" ht="15.75" customHeight="1">
      <c r="A20" s="568"/>
      <c r="B20" s="620"/>
      <c r="C20" s="156">
        <v>4</v>
      </c>
      <c r="D20" s="405" t="s">
        <v>294</v>
      </c>
      <c r="E20" s="622"/>
      <c r="F20" s="623"/>
      <c r="G20" s="405" t="s">
        <v>485</v>
      </c>
      <c r="H20" s="622"/>
      <c r="I20" s="623"/>
      <c r="J20" s="301">
        <v>631.87</v>
      </c>
      <c r="K20" s="14">
        <v>7.7844311377245484E-2</v>
      </c>
      <c r="L20" s="301">
        <v>0.19499999999999992</v>
      </c>
      <c r="M20" s="284">
        <v>123.21464999999995</v>
      </c>
      <c r="N20" s="157"/>
      <c r="O20" s="630" t="s">
        <v>449</v>
      </c>
      <c r="P20" s="631"/>
    </row>
    <row r="21" spans="1:16" ht="15.75" customHeight="1" thickBot="1">
      <c r="A21" s="568"/>
      <c r="B21" s="620"/>
      <c r="C21" s="158">
        <v>5</v>
      </c>
      <c r="D21" s="405">
        <v>0</v>
      </c>
      <c r="E21" s="622"/>
      <c r="F21" s="623"/>
      <c r="G21" s="405">
        <v>0</v>
      </c>
      <c r="H21" s="622"/>
      <c r="I21" s="623"/>
      <c r="J21" s="301">
        <v>0</v>
      </c>
      <c r="K21" s="14">
        <v>0</v>
      </c>
      <c r="L21" s="301">
        <v>0</v>
      </c>
      <c r="M21" s="284">
        <v>0</v>
      </c>
      <c r="N21" s="159"/>
      <c r="O21" s="630"/>
      <c r="P21" s="631"/>
    </row>
    <row r="22" spans="1:16" ht="15.75" customHeight="1" thickTop="1" thickBot="1">
      <c r="A22" s="564"/>
      <c r="B22" s="621"/>
      <c r="C22" s="624"/>
      <c r="D22" s="625"/>
      <c r="E22" s="625"/>
      <c r="F22" s="625"/>
      <c r="G22" s="625"/>
      <c r="H22" s="625"/>
      <c r="I22" s="626"/>
      <c r="J22" s="298" t="s">
        <v>73</v>
      </c>
      <c r="K22" s="224">
        <v>5.3136583432166597E-3</v>
      </c>
      <c r="L22" s="298" t="s">
        <v>74</v>
      </c>
      <c r="M22" s="226">
        <v>521.7706899999996</v>
      </c>
      <c r="N22" s="616"/>
      <c r="O22" s="617"/>
      <c r="P22" s="618"/>
    </row>
    <row r="23" spans="1:16" ht="15.75" customHeight="1" thickTop="1">
      <c r="A23" s="115"/>
      <c r="B23" s="160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32" t="s">
        <v>442</v>
      </c>
      <c r="B24" s="633"/>
      <c r="C24" s="401" t="s">
        <v>52</v>
      </c>
      <c r="D24" s="634" t="s">
        <v>53</v>
      </c>
      <c r="E24" s="635"/>
      <c r="F24" s="636"/>
      <c r="G24" s="399" t="s">
        <v>62</v>
      </c>
      <c r="H24" s="400"/>
      <c r="I24" s="401"/>
      <c r="J24" s="155" t="s">
        <v>63</v>
      </c>
      <c r="K24" s="300" t="s">
        <v>31</v>
      </c>
      <c r="L24" s="155" t="s">
        <v>64</v>
      </c>
      <c r="M24" s="155" t="s">
        <v>50</v>
      </c>
      <c r="N24" s="300" t="s">
        <v>445</v>
      </c>
      <c r="O24" s="637" t="s">
        <v>58</v>
      </c>
      <c r="P24" s="638"/>
    </row>
    <row r="25" spans="1:16" ht="15.75" customHeight="1">
      <c r="A25" s="563">
        <v>3</v>
      </c>
      <c r="B25" s="619" t="s">
        <v>454</v>
      </c>
      <c r="C25" s="156">
        <v>1</v>
      </c>
      <c r="D25" s="405" t="s">
        <v>293</v>
      </c>
      <c r="E25" s="622"/>
      <c r="F25" s="623"/>
      <c r="G25" s="405" t="s">
        <v>486</v>
      </c>
      <c r="H25" s="622"/>
      <c r="I25" s="623"/>
      <c r="J25" s="301">
        <v>418.41</v>
      </c>
      <c r="K25" s="14">
        <v>3.2500293323947091E-2</v>
      </c>
      <c r="L25" s="301">
        <v>0.27700000000000102</v>
      </c>
      <c r="M25" s="284">
        <v>115.89957000000044</v>
      </c>
      <c r="N25" s="157"/>
      <c r="O25" s="630" t="s">
        <v>487</v>
      </c>
      <c r="P25" s="631"/>
    </row>
    <row r="26" spans="1:16" ht="15.75" customHeight="1">
      <c r="A26" s="568"/>
      <c r="B26" s="620"/>
      <c r="C26" s="156">
        <v>2</v>
      </c>
      <c r="D26" s="405">
        <v>0</v>
      </c>
      <c r="E26" s="622"/>
      <c r="F26" s="623"/>
      <c r="G26" s="405">
        <v>0</v>
      </c>
      <c r="H26" s="622"/>
      <c r="I26" s="623"/>
      <c r="J26" s="301">
        <v>0</v>
      </c>
      <c r="K26" s="14">
        <v>0</v>
      </c>
      <c r="L26" s="301">
        <v>0</v>
      </c>
      <c r="M26" s="284">
        <v>0</v>
      </c>
      <c r="N26" s="157"/>
      <c r="O26" s="630"/>
      <c r="P26" s="631"/>
    </row>
    <row r="27" spans="1:16" ht="15.75" customHeight="1">
      <c r="A27" s="568"/>
      <c r="B27" s="620"/>
      <c r="C27" s="156">
        <v>3</v>
      </c>
      <c r="D27" s="405">
        <v>0</v>
      </c>
      <c r="E27" s="622"/>
      <c r="F27" s="623"/>
      <c r="G27" s="405">
        <v>0</v>
      </c>
      <c r="H27" s="622"/>
      <c r="I27" s="623"/>
      <c r="J27" s="301">
        <v>0</v>
      </c>
      <c r="K27" s="14">
        <v>0</v>
      </c>
      <c r="L27" s="301">
        <v>0</v>
      </c>
      <c r="M27" s="284">
        <v>0</v>
      </c>
      <c r="N27" s="157"/>
      <c r="O27" s="630"/>
      <c r="P27" s="631"/>
    </row>
    <row r="28" spans="1:16" ht="15.75" customHeight="1">
      <c r="A28" s="568"/>
      <c r="B28" s="620"/>
      <c r="C28" s="156">
        <v>4</v>
      </c>
      <c r="D28" s="405">
        <v>0</v>
      </c>
      <c r="E28" s="622"/>
      <c r="F28" s="623"/>
      <c r="G28" s="405">
        <v>0</v>
      </c>
      <c r="H28" s="622"/>
      <c r="I28" s="623"/>
      <c r="J28" s="301">
        <v>0</v>
      </c>
      <c r="K28" s="14">
        <v>0</v>
      </c>
      <c r="L28" s="301">
        <v>0</v>
      </c>
      <c r="M28" s="284">
        <v>0</v>
      </c>
      <c r="N28" s="157"/>
      <c r="O28" s="630"/>
      <c r="P28" s="631"/>
    </row>
    <row r="29" spans="1:16" ht="15.75" customHeight="1" thickBot="1">
      <c r="A29" s="568"/>
      <c r="B29" s="620"/>
      <c r="C29" s="158">
        <v>5</v>
      </c>
      <c r="D29" s="627">
        <v>0</v>
      </c>
      <c r="E29" s="628"/>
      <c r="F29" s="629"/>
      <c r="G29" s="627">
        <v>0</v>
      </c>
      <c r="H29" s="628"/>
      <c r="I29" s="629"/>
      <c r="J29" s="301">
        <v>0</v>
      </c>
      <c r="K29" s="14">
        <v>0</v>
      </c>
      <c r="L29" s="301">
        <v>0</v>
      </c>
      <c r="M29" s="284">
        <v>0</v>
      </c>
      <c r="N29" s="159"/>
      <c r="O29" s="639"/>
      <c r="P29" s="640"/>
    </row>
    <row r="30" spans="1:16" ht="15.75" customHeight="1" thickTop="1" thickBot="1">
      <c r="A30" s="564"/>
      <c r="B30" s="621"/>
      <c r="C30" s="613"/>
      <c r="D30" s="614"/>
      <c r="E30" s="614"/>
      <c r="F30" s="614"/>
      <c r="G30" s="614"/>
      <c r="H30" s="614"/>
      <c r="I30" s="615"/>
      <c r="J30" s="298" t="s">
        <v>73</v>
      </c>
      <c r="K30" s="224">
        <v>1.180309145202706E-3</v>
      </c>
      <c r="L30" s="298" t="s">
        <v>74</v>
      </c>
      <c r="M30" s="226">
        <v>115.89957000000044</v>
      </c>
      <c r="N30" s="616"/>
      <c r="O30" s="617"/>
      <c r="P30" s="618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06" customWidth="1"/>
    <col min="2" max="2" width="11.42578125" style="307" customWidth="1"/>
    <col min="3" max="3" width="4" style="308" customWidth="1"/>
    <col min="4" max="17" width="9.5703125" style="306" customWidth="1"/>
    <col min="18" max="16384" width="12.5703125" style="306"/>
  </cols>
  <sheetData>
    <row r="1" spans="1:23" s="167" customFormat="1" ht="15.75" customHeight="1">
      <c r="A1" s="586" t="s">
        <v>363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</row>
    <row r="2" spans="1:23" s="168" customFormat="1" ht="15.75" customHeight="1">
      <c r="A2" s="586"/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</row>
    <row r="3" spans="1:23" s="167" customFormat="1" ht="15.75" customHeight="1">
      <c r="A3" s="587" t="s">
        <v>482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</row>
    <row r="4" spans="1:23" s="168" customFormat="1" ht="15.75" customHeight="1">
      <c r="A4" s="587"/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</row>
    <row r="5" spans="1:23" s="167" customFormat="1" ht="15.75" customHeight="1">
      <c r="A5" s="589" t="s">
        <v>442</v>
      </c>
      <c r="B5" s="592">
        <v>1</v>
      </c>
      <c r="C5" s="592"/>
      <c r="D5" s="592">
        <v>2</v>
      </c>
      <c r="E5" s="592"/>
      <c r="F5" s="592">
        <v>3</v>
      </c>
      <c r="G5" s="592"/>
      <c r="H5" s="662">
        <v>4</v>
      </c>
      <c r="I5" s="662"/>
      <c r="J5" s="662">
        <v>5</v>
      </c>
      <c r="K5" s="662"/>
      <c r="L5" s="662">
        <v>6</v>
      </c>
      <c r="M5" s="662"/>
      <c r="N5" s="662">
        <v>7</v>
      </c>
      <c r="O5" s="662"/>
      <c r="P5" s="592">
        <v>8</v>
      </c>
      <c r="Q5" s="592"/>
    </row>
    <row r="6" spans="1:23" s="167" customFormat="1" ht="15.75" customHeight="1">
      <c r="A6" s="589"/>
      <c r="B6" s="589" t="s">
        <v>403</v>
      </c>
      <c r="C6" s="589"/>
      <c r="D6" s="589" t="s">
        <v>443</v>
      </c>
      <c r="E6" s="589"/>
      <c r="F6" s="589" t="s">
        <v>405</v>
      </c>
      <c r="G6" s="589"/>
      <c r="H6" s="664" t="s">
        <v>483</v>
      </c>
      <c r="I6" s="663"/>
      <c r="J6" s="663" t="s">
        <v>409</v>
      </c>
      <c r="K6" s="663"/>
      <c r="L6" s="663" t="s">
        <v>410</v>
      </c>
      <c r="M6" s="663"/>
      <c r="N6" s="663" t="s">
        <v>411</v>
      </c>
      <c r="O6" s="663"/>
      <c r="P6" s="661" t="s">
        <v>444</v>
      </c>
      <c r="Q6" s="589"/>
    </row>
    <row r="7" spans="1:23" s="167" customFormat="1" ht="15.75" customHeight="1">
      <c r="B7" s="303"/>
      <c r="C7" s="304"/>
    </row>
    <row r="8" spans="1:23" s="305" customFormat="1" ht="15.75" customHeight="1">
      <c r="A8" s="644" t="s">
        <v>442</v>
      </c>
      <c r="B8" s="645"/>
      <c r="C8" s="112" t="s">
        <v>52</v>
      </c>
      <c r="D8" s="646" t="s">
        <v>53</v>
      </c>
      <c r="E8" s="647"/>
      <c r="F8" s="648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300" t="s">
        <v>445</v>
      </c>
      <c r="O8" s="649" t="s">
        <v>58</v>
      </c>
      <c r="P8" s="650"/>
      <c r="R8" s="167"/>
      <c r="S8" s="167"/>
      <c r="T8" s="167"/>
      <c r="U8" s="167"/>
      <c r="V8" s="167"/>
      <c r="W8" s="167"/>
    </row>
    <row r="9" spans="1:23" ht="15.75" customHeight="1">
      <c r="A9" s="645">
        <v>4</v>
      </c>
      <c r="B9" s="652" t="s">
        <v>414</v>
      </c>
      <c r="C9" s="107">
        <v>1</v>
      </c>
      <c r="D9" s="405" t="s">
        <v>279</v>
      </c>
      <c r="E9" s="622"/>
      <c r="F9" s="623"/>
      <c r="G9" s="405" t="s">
        <v>460</v>
      </c>
      <c r="H9" s="622"/>
      <c r="I9" s="623"/>
      <c r="J9" s="301">
        <v>432.07</v>
      </c>
      <c r="K9" s="14">
        <v>8.403361344537735E-3</v>
      </c>
      <c r="L9" s="301">
        <v>0.3599999999999966</v>
      </c>
      <c r="M9" s="284">
        <v>155.54519999999854</v>
      </c>
      <c r="N9" s="4"/>
      <c r="O9" s="630" t="s">
        <v>488</v>
      </c>
      <c r="P9" s="658"/>
      <c r="R9" s="167"/>
      <c r="S9" s="167"/>
      <c r="T9" s="167"/>
      <c r="U9" s="167"/>
      <c r="V9" s="167"/>
      <c r="W9" s="167"/>
    </row>
    <row r="10" spans="1:23" ht="15.75" customHeight="1">
      <c r="A10" s="645"/>
      <c r="B10" s="652"/>
      <c r="C10" s="107">
        <v>2</v>
      </c>
      <c r="D10" s="405" t="s">
        <v>354</v>
      </c>
      <c r="E10" s="622"/>
      <c r="F10" s="623"/>
      <c r="G10" s="405" t="s">
        <v>463</v>
      </c>
      <c r="H10" s="622"/>
      <c r="I10" s="623"/>
      <c r="J10" s="301">
        <v>127.48</v>
      </c>
      <c r="K10" s="14">
        <v>1.0838684395678739E-2</v>
      </c>
      <c r="L10" s="301">
        <v>1.2169999999999959</v>
      </c>
      <c r="M10" s="284">
        <v>155.14315999999948</v>
      </c>
      <c r="N10" s="4"/>
      <c r="O10" s="630" t="s">
        <v>488</v>
      </c>
      <c r="P10" s="658"/>
      <c r="R10" s="167"/>
      <c r="S10" s="167"/>
      <c r="T10" s="167"/>
      <c r="U10" s="167"/>
      <c r="V10" s="167"/>
      <c r="W10" s="167"/>
    </row>
    <row r="11" spans="1:23" ht="15.75" customHeight="1">
      <c r="A11" s="645"/>
      <c r="B11" s="652"/>
      <c r="C11" s="107">
        <v>3</v>
      </c>
      <c r="D11" s="405" t="s">
        <v>312</v>
      </c>
      <c r="E11" s="622"/>
      <c r="F11" s="623"/>
      <c r="G11" s="405" t="s">
        <v>489</v>
      </c>
      <c r="H11" s="622"/>
      <c r="I11" s="623"/>
      <c r="J11" s="301">
        <v>91.03</v>
      </c>
      <c r="K11" s="14">
        <v>2.0261359549214729E-2</v>
      </c>
      <c r="L11" s="301">
        <v>1.6900000000000004</v>
      </c>
      <c r="M11" s="284">
        <v>153.84070000000006</v>
      </c>
      <c r="N11" s="4"/>
      <c r="O11" s="630" t="s">
        <v>488</v>
      </c>
      <c r="P11" s="658"/>
      <c r="R11" s="167"/>
      <c r="S11" s="167"/>
      <c r="T11" s="167"/>
      <c r="U11" s="167"/>
      <c r="V11" s="167"/>
      <c r="W11" s="167"/>
    </row>
    <row r="12" spans="1:23" ht="15.75" customHeight="1">
      <c r="A12" s="645"/>
      <c r="B12" s="652"/>
      <c r="C12" s="107">
        <v>4</v>
      </c>
      <c r="D12" s="405" t="s">
        <v>339</v>
      </c>
      <c r="E12" s="622"/>
      <c r="F12" s="623"/>
      <c r="G12" s="405" t="s">
        <v>490</v>
      </c>
      <c r="H12" s="622"/>
      <c r="I12" s="623"/>
      <c r="J12" s="301">
        <v>105.09</v>
      </c>
      <c r="K12" s="14">
        <v>1.6415346440160426E-2</v>
      </c>
      <c r="L12" s="301">
        <v>1.3760000000000074</v>
      </c>
      <c r="M12" s="284">
        <v>144.60384000000079</v>
      </c>
      <c r="N12" s="4"/>
      <c r="O12" s="630" t="s">
        <v>488</v>
      </c>
      <c r="P12" s="658"/>
      <c r="R12" s="167"/>
      <c r="S12" s="167"/>
      <c r="T12" s="167"/>
      <c r="U12" s="167"/>
      <c r="V12" s="167"/>
      <c r="W12" s="167"/>
    </row>
    <row r="13" spans="1:23" ht="15.75" customHeight="1" thickBot="1">
      <c r="A13" s="645"/>
      <c r="B13" s="652"/>
      <c r="C13" s="108">
        <v>5</v>
      </c>
      <c r="D13" s="405" t="s">
        <v>289</v>
      </c>
      <c r="E13" s="622"/>
      <c r="F13" s="623"/>
      <c r="G13" s="405" t="s">
        <v>491</v>
      </c>
      <c r="H13" s="622"/>
      <c r="I13" s="623"/>
      <c r="J13" s="301">
        <v>71.38</v>
      </c>
      <c r="K13" s="14">
        <v>8.5265121236344447E-3</v>
      </c>
      <c r="L13" s="301">
        <v>1.9200000000000044</v>
      </c>
      <c r="M13" s="284">
        <v>137.04960000000031</v>
      </c>
      <c r="N13" s="4"/>
      <c r="O13" s="630" t="s">
        <v>488</v>
      </c>
      <c r="P13" s="658"/>
      <c r="R13" s="167"/>
      <c r="S13" s="167"/>
      <c r="T13" s="167"/>
      <c r="U13" s="167"/>
      <c r="V13" s="167"/>
      <c r="W13" s="167"/>
    </row>
    <row r="14" spans="1:23" ht="15.75" customHeight="1" thickTop="1" thickBot="1">
      <c r="A14" s="645"/>
      <c r="B14" s="652"/>
      <c r="C14" s="660"/>
      <c r="D14" s="660"/>
      <c r="E14" s="660"/>
      <c r="F14" s="660"/>
      <c r="G14" s="660"/>
      <c r="H14" s="660"/>
      <c r="I14" s="660"/>
      <c r="J14" s="225" t="s">
        <v>73</v>
      </c>
      <c r="K14" s="224">
        <v>7.5990448345944154E-3</v>
      </c>
      <c r="L14" s="225" t="s">
        <v>74</v>
      </c>
      <c r="M14" s="226">
        <v>746.18249999999921</v>
      </c>
      <c r="N14" s="659"/>
      <c r="O14" s="659"/>
      <c r="P14" s="659"/>
      <c r="R14" s="167"/>
      <c r="S14" s="167"/>
      <c r="T14" s="167"/>
      <c r="U14" s="167"/>
      <c r="V14" s="167"/>
      <c r="W14" s="167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7"/>
      <c r="S15" s="167"/>
      <c r="T15" s="167"/>
      <c r="U15" s="167"/>
      <c r="V15" s="167"/>
      <c r="W15" s="167"/>
    </row>
    <row r="16" spans="1:23" ht="15.75" customHeight="1">
      <c r="A16" s="644" t="s">
        <v>442</v>
      </c>
      <c r="B16" s="645"/>
      <c r="C16" s="112" t="s">
        <v>52</v>
      </c>
      <c r="D16" s="646" t="s">
        <v>53</v>
      </c>
      <c r="E16" s="647"/>
      <c r="F16" s="648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300" t="s">
        <v>445</v>
      </c>
      <c r="O16" s="649" t="s">
        <v>58</v>
      </c>
      <c r="P16" s="650"/>
      <c r="R16" s="167"/>
      <c r="S16" s="167"/>
      <c r="T16" s="167"/>
      <c r="U16" s="167"/>
      <c r="V16" s="167"/>
      <c r="W16" s="167"/>
    </row>
    <row r="17" spans="1:23" ht="15.75" customHeight="1">
      <c r="A17" s="645">
        <v>5</v>
      </c>
      <c r="B17" s="651" t="s">
        <v>466</v>
      </c>
      <c r="C17" s="107">
        <v>1</v>
      </c>
      <c r="D17" s="405" t="s">
        <v>306</v>
      </c>
      <c r="E17" s="622"/>
      <c r="F17" s="623"/>
      <c r="G17" s="405" t="s">
        <v>470</v>
      </c>
      <c r="H17" s="622"/>
      <c r="I17" s="623"/>
      <c r="J17" s="301">
        <v>487.6</v>
      </c>
      <c r="K17" s="14">
        <v>7.4490169739894908E-3</v>
      </c>
      <c r="L17" s="301">
        <v>0.36599999999999966</v>
      </c>
      <c r="M17" s="284">
        <v>178.46159999999983</v>
      </c>
      <c r="N17" s="4"/>
      <c r="O17" s="630" t="s">
        <v>468</v>
      </c>
      <c r="P17" s="631"/>
      <c r="R17" s="167"/>
      <c r="S17" s="167"/>
      <c r="T17" s="167"/>
      <c r="U17" s="167"/>
      <c r="V17" s="167"/>
      <c r="W17" s="167"/>
    </row>
    <row r="18" spans="1:23" ht="15.75" customHeight="1">
      <c r="A18" s="645"/>
      <c r="B18" s="652"/>
      <c r="C18" s="107">
        <v>2</v>
      </c>
      <c r="D18" s="405" t="s">
        <v>288</v>
      </c>
      <c r="E18" s="622"/>
      <c r="F18" s="623"/>
      <c r="G18" s="405" t="s">
        <v>492</v>
      </c>
      <c r="H18" s="622"/>
      <c r="I18" s="623"/>
      <c r="J18" s="301">
        <v>581.91999999999996</v>
      </c>
      <c r="K18" s="14">
        <v>2.1541194759049549E-2</v>
      </c>
      <c r="L18" s="301">
        <v>0.29100000000000037</v>
      </c>
      <c r="M18" s="284">
        <v>169.33872000000019</v>
      </c>
      <c r="N18" s="4"/>
      <c r="O18" s="630" t="s">
        <v>468</v>
      </c>
      <c r="P18" s="631"/>
      <c r="R18" s="167"/>
      <c r="S18" s="167"/>
      <c r="T18" s="167"/>
      <c r="U18" s="167"/>
      <c r="V18" s="167"/>
      <c r="W18" s="167"/>
    </row>
    <row r="19" spans="1:23" ht="15.75" customHeight="1">
      <c r="A19" s="645"/>
      <c r="B19" s="652"/>
      <c r="C19" s="107">
        <v>3</v>
      </c>
      <c r="D19" s="405" t="s">
        <v>308</v>
      </c>
      <c r="E19" s="622"/>
      <c r="F19" s="623"/>
      <c r="G19" s="405" t="s">
        <v>493</v>
      </c>
      <c r="H19" s="622"/>
      <c r="I19" s="623"/>
      <c r="J19" s="301">
        <v>261.2</v>
      </c>
      <c r="K19" s="14">
        <v>2.7351332274571784E-3</v>
      </c>
      <c r="L19" s="301">
        <v>0.61999999999999322</v>
      </c>
      <c r="M19" s="284">
        <v>161.9439999999982</v>
      </c>
      <c r="N19" s="4"/>
      <c r="O19" s="630" t="s">
        <v>468</v>
      </c>
      <c r="P19" s="631"/>
      <c r="R19" s="167"/>
      <c r="S19" s="167"/>
      <c r="T19" s="167"/>
      <c r="U19" s="167"/>
      <c r="V19" s="167"/>
      <c r="W19" s="167"/>
    </row>
    <row r="20" spans="1:23" ht="15.75" customHeight="1">
      <c r="A20" s="645"/>
      <c r="B20" s="652"/>
      <c r="C20" s="107">
        <v>4</v>
      </c>
      <c r="D20" s="405" t="s">
        <v>314</v>
      </c>
      <c r="E20" s="622"/>
      <c r="F20" s="623"/>
      <c r="G20" s="405" t="s">
        <v>494</v>
      </c>
      <c r="H20" s="622"/>
      <c r="I20" s="623"/>
      <c r="J20" s="301">
        <v>420.33</v>
      </c>
      <c r="K20" s="14">
        <v>6.4738886491152352E-3</v>
      </c>
      <c r="L20" s="301">
        <v>0.375</v>
      </c>
      <c r="M20" s="284">
        <v>157.62375</v>
      </c>
      <c r="N20" s="4"/>
      <c r="O20" s="630" t="s">
        <v>468</v>
      </c>
      <c r="P20" s="631"/>
      <c r="R20" s="167"/>
      <c r="S20" s="167"/>
      <c r="T20" s="167"/>
      <c r="U20" s="167"/>
      <c r="V20" s="167"/>
      <c r="W20" s="167"/>
    </row>
    <row r="21" spans="1:23" ht="15.75" customHeight="1" thickBot="1">
      <c r="A21" s="645"/>
      <c r="B21" s="652"/>
      <c r="C21" s="108">
        <v>5</v>
      </c>
      <c r="D21" s="405" t="s">
        <v>291</v>
      </c>
      <c r="E21" s="622"/>
      <c r="F21" s="623"/>
      <c r="G21" s="405" t="s">
        <v>467</v>
      </c>
      <c r="H21" s="622"/>
      <c r="I21" s="623"/>
      <c r="J21" s="301">
        <v>272.74</v>
      </c>
      <c r="K21" s="14">
        <v>9.6339113680154395E-3</v>
      </c>
      <c r="L21" s="301">
        <v>0.50000000000000133</v>
      </c>
      <c r="M21" s="284">
        <v>136.37000000000037</v>
      </c>
      <c r="N21" s="4"/>
      <c r="O21" s="630" t="s">
        <v>468</v>
      </c>
      <c r="P21" s="631"/>
      <c r="R21" s="167"/>
      <c r="S21" s="167"/>
      <c r="T21" s="167"/>
      <c r="U21" s="167"/>
      <c r="V21" s="167"/>
      <c r="W21" s="167"/>
    </row>
    <row r="22" spans="1:23" ht="15.75" customHeight="1" thickTop="1" thickBot="1">
      <c r="A22" s="645"/>
      <c r="B22" s="652"/>
      <c r="C22" s="653"/>
      <c r="D22" s="653"/>
      <c r="E22" s="653"/>
      <c r="F22" s="653"/>
      <c r="G22" s="653"/>
      <c r="H22" s="653"/>
      <c r="I22" s="654"/>
      <c r="J22" s="114" t="s">
        <v>73</v>
      </c>
      <c r="K22" s="224">
        <v>8.1851847627093643E-3</v>
      </c>
      <c r="L22" s="114" t="s">
        <v>74</v>
      </c>
      <c r="M22" s="226">
        <v>803.73806999999863</v>
      </c>
      <c r="N22" s="655"/>
      <c r="O22" s="656"/>
      <c r="P22" s="657"/>
      <c r="R22" s="167"/>
      <c r="S22" s="167"/>
      <c r="T22" s="167"/>
      <c r="U22" s="167"/>
      <c r="V22" s="167"/>
      <c r="W22" s="167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7"/>
      <c r="S23" s="167"/>
      <c r="T23" s="167"/>
      <c r="U23" s="167"/>
      <c r="V23" s="167"/>
      <c r="W23" s="167"/>
    </row>
    <row r="24" spans="1:23" ht="15.75" customHeight="1">
      <c r="A24" s="644" t="s">
        <v>442</v>
      </c>
      <c r="B24" s="645"/>
      <c r="C24" s="112" t="s">
        <v>52</v>
      </c>
      <c r="D24" s="646" t="s">
        <v>53</v>
      </c>
      <c r="E24" s="647"/>
      <c r="F24" s="648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300" t="s">
        <v>445</v>
      </c>
      <c r="O24" s="649" t="s">
        <v>58</v>
      </c>
      <c r="P24" s="650"/>
      <c r="R24" s="167"/>
      <c r="S24" s="167"/>
      <c r="T24" s="167"/>
      <c r="U24" s="167"/>
      <c r="V24" s="167"/>
      <c r="W24" s="167"/>
    </row>
    <row r="25" spans="1:23" ht="15.75" customHeight="1">
      <c r="A25" s="645">
        <v>6</v>
      </c>
      <c r="B25" s="651" t="s">
        <v>473</v>
      </c>
      <c r="C25" s="107">
        <v>1</v>
      </c>
      <c r="D25" s="405">
        <v>0</v>
      </c>
      <c r="E25" s="622"/>
      <c r="F25" s="623"/>
      <c r="G25" s="405">
        <v>0</v>
      </c>
      <c r="H25" s="622"/>
      <c r="I25" s="623"/>
      <c r="J25" s="301">
        <v>0</v>
      </c>
      <c r="K25" s="14">
        <v>0</v>
      </c>
      <c r="L25" s="301">
        <v>0</v>
      </c>
      <c r="M25" s="284">
        <v>0</v>
      </c>
      <c r="N25" s="4"/>
      <c r="O25" s="630"/>
      <c r="P25" s="658"/>
      <c r="R25" s="167"/>
      <c r="S25" s="167"/>
      <c r="T25" s="167"/>
      <c r="U25" s="167"/>
      <c r="V25" s="167"/>
      <c r="W25" s="167"/>
    </row>
    <row r="26" spans="1:23" ht="15.75" customHeight="1">
      <c r="A26" s="645"/>
      <c r="B26" s="652"/>
      <c r="C26" s="107">
        <v>2</v>
      </c>
      <c r="D26" s="405">
        <v>0</v>
      </c>
      <c r="E26" s="622"/>
      <c r="F26" s="623"/>
      <c r="G26" s="405">
        <v>0</v>
      </c>
      <c r="H26" s="622"/>
      <c r="I26" s="623"/>
      <c r="J26" s="301">
        <v>0</v>
      </c>
      <c r="K26" s="14">
        <v>0</v>
      </c>
      <c r="L26" s="301">
        <v>0</v>
      </c>
      <c r="M26" s="284">
        <v>0</v>
      </c>
      <c r="N26" s="4"/>
      <c r="O26" s="630"/>
      <c r="P26" s="658"/>
      <c r="R26" s="167"/>
      <c r="S26" s="167"/>
      <c r="T26" s="167"/>
      <c r="U26" s="167"/>
      <c r="V26" s="167"/>
      <c r="W26" s="167"/>
    </row>
    <row r="27" spans="1:23" ht="15.75" customHeight="1">
      <c r="A27" s="645"/>
      <c r="B27" s="652"/>
      <c r="C27" s="107">
        <v>3</v>
      </c>
      <c r="D27" s="405">
        <v>0</v>
      </c>
      <c r="E27" s="622"/>
      <c r="F27" s="623"/>
      <c r="G27" s="405">
        <v>0</v>
      </c>
      <c r="H27" s="622"/>
      <c r="I27" s="623"/>
      <c r="J27" s="301">
        <v>0</v>
      </c>
      <c r="K27" s="14">
        <v>0</v>
      </c>
      <c r="L27" s="301">
        <v>0</v>
      </c>
      <c r="M27" s="284">
        <v>0</v>
      </c>
      <c r="N27" s="4"/>
      <c r="O27" s="630"/>
      <c r="P27" s="658"/>
      <c r="R27" s="167"/>
      <c r="S27" s="167"/>
      <c r="T27" s="167"/>
      <c r="U27" s="167"/>
      <c r="V27" s="167"/>
      <c r="W27" s="167"/>
    </row>
    <row r="28" spans="1:23" ht="15.75" customHeight="1">
      <c r="A28" s="645"/>
      <c r="B28" s="652"/>
      <c r="C28" s="107">
        <v>4</v>
      </c>
      <c r="D28" s="405">
        <v>0</v>
      </c>
      <c r="E28" s="622"/>
      <c r="F28" s="623"/>
      <c r="G28" s="405">
        <v>0</v>
      </c>
      <c r="H28" s="622"/>
      <c r="I28" s="623"/>
      <c r="J28" s="301">
        <v>0</v>
      </c>
      <c r="K28" s="14">
        <v>0</v>
      </c>
      <c r="L28" s="301">
        <v>0</v>
      </c>
      <c r="M28" s="284">
        <v>0</v>
      </c>
      <c r="N28" s="4"/>
      <c r="O28" s="630"/>
      <c r="P28" s="658"/>
      <c r="R28" s="167"/>
      <c r="S28" s="167"/>
      <c r="T28" s="167"/>
      <c r="U28" s="167"/>
      <c r="V28" s="167"/>
      <c r="W28" s="167"/>
    </row>
    <row r="29" spans="1:23" ht="15.75" customHeight="1" thickBot="1">
      <c r="A29" s="645"/>
      <c r="B29" s="652"/>
      <c r="C29" s="108">
        <v>5</v>
      </c>
      <c r="D29" s="405">
        <v>0</v>
      </c>
      <c r="E29" s="622"/>
      <c r="F29" s="623"/>
      <c r="G29" s="405">
        <v>0</v>
      </c>
      <c r="H29" s="622"/>
      <c r="I29" s="623"/>
      <c r="J29" s="301">
        <v>0</v>
      </c>
      <c r="K29" s="14">
        <v>0</v>
      </c>
      <c r="L29" s="301">
        <v>0</v>
      </c>
      <c r="M29" s="284">
        <v>0</v>
      </c>
      <c r="N29" s="4"/>
      <c r="O29" s="630"/>
      <c r="P29" s="658"/>
      <c r="R29" s="167"/>
      <c r="S29" s="167"/>
      <c r="T29" s="167"/>
      <c r="U29" s="167"/>
      <c r="V29" s="167"/>
      <c r="W29" s="167"/>
    </row>
    <row r="30" spans="1:23" ht="15.75" customHeight="1" thickTop="1" thickBot="1">
      <c r="A30" s="645"/>
      <c r="B30" s="652"/>
      <c r="C30" s="653"/>
      <c r="D30" s="653"/>
      <c r="E30" s="653"/>
      <c r="F30" s="653"/>
      <c r="G30" s="653"/>
      <c r="H30" s="653"/>
      <c r="I30" s="654"/>
      <c r="J30" s="114" t="s">
        <v>73</v>
      </c>
      <c r="K30" s="224">
        <v>0</v>
      </c>
      <c r="L30" s="114" t="s">
        <v>74</v>
      </c>
      <c r="M30" s="226">
        <v>0</v>
      </c>
      <c r="N30" s="655"/>
      <c r="O30" s="656"/>
      <c r="P30" s="657"/>
      <c r="R30" s="167"/>
      <c r="S30" s="167"/>
      <c r="T30" s="167"/>
      <c r="U30" s="167"/>
      <c r="V30" s="167"/>
      <c r="W30" s="167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7"/>
      <c r="S31" s="167"/>
      <c r="T31" s="167"/>
      <c r="U31" s="167"/>
      <c r="V31" s="167"/>
      <c r="W31" s="167"/>
    </row>
    <row r="32" spans="1:23" ht="15.75" customHeight="1">
      <c r="A32" s="644" t="s">
        <v>442</v>
      </c>
      <c r="B32" s="645"/>
      <c r="C32" s="112" t="s">
        <v>52</v>
      </c>
      <c r="D32" s="646" t="s">
        <v>53</v>
      </c>
      <c r="E32" s="647"/>
      <c r="F32" s="648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49" t="s">
        <v>58</v>
      </c>
      <c r="P32" s="650"/>
      <c r="R32" s="167"/>
      <c r="S32" s="167"/>
      <c r="T32" s="167"/>
      <c r="U32" s="167"/>
      <c r="V32" s="167"/>
      <c r="W32" s="167"/>
    </row>
    <row r="33" spans="1:23" ht="15.75" customHeight="1">
      <c r="A33" s="645">
        <v>7</v>
      </c>
      <c r="B33" s="651" t="s">
        <v>474</v>
      </c>
      <c r="C33" s="107">
        <v>1</v>
      </c>
      <c r="D33" s="405" t="s">
        <v>283</v>
      </c>
      <c r="E33" s="622"/>
      <c r="F33" s="623"/>
      <c r="G33" s="405" t="s">
        <v>484</v>
      </c>
      <c r="H33" s="622"/>
      <c r="I33" s="623"/>
      <c r="J33" s="301">
        <v>846.44</v>
      </c>
      <c r="K33" s="14">
        <v>6.3829787234042451E-2</v>
      </c>
      <c r="L33" s="301">
        <v>0.26999999999999957</v>
      </c>
      <c r="M33" s="284">
        <v>228.53879999999967</v>
      </c>
      <c r="N33" s="4"/>
      <c r="O33" s="630" t="s">
        <v>480</v>
      </c>
      <c r="P33" s="658"/>
      <c r="R33" s="167"/>
      <c r="S33" s="167"/>
      <c r="T33" s="167"/>
      <c r="U33" s="167"/>
      <c r="V33" s="167"/>
      <c r="W33" s="167"/>
    </row>
    <row r="34" spans="1:23" ht="15.75" customHeight="1">
      <c r="A34" s="645"/>
      <c r="B34" s="652"/>
      <c r="C34" s="107">
        <v>2</v>
      </c>
      <c r="D34" s="405" t="s">
        <v>307</v>
      </c>
      <c r="E34" s="622"/>
      <c r="F34" s="623"/>
      <c r="G34" s="405" t="s">
        <v>479</v>
      </c>
      <c r="H34" s="622"/>
      <c r="I34" s="623"/>
      <c r="J34" s="301">
        <v>651.53</v>
      </c>
      <c r="K34" s="14">
        <v>4.9959335424655969E-3</v>
      </c>
      <c r="L34" s="301">
        <v>0.34400000000001113</v>
      </c>
      <c r="M34" s="284">
        <v>224.12632000000721</v>
      </c>
      <c r="N34" s="4"/>
      <c r="O34" s="630" t="s">
        <v>480</v>
      </c>
      <c r="P34" s="658"/>
      <c r="R34" s="167"/>
      <c r="S34" s="167"/>
      <c r="T34" s="167"/>
      <c r="U34" s="167"/>
      <c r="V34" s="167"/>
      <c r="W34" s="167"/>
    </row>
    <row r="35" spans="1:23" ht="15.75" customHeight="1">
      <c r="A35" s="645"/>
      <c r="B35" s="652"/>
      <c r="C35" s="107">
        <v>3</v>
      </c>
      <c r="D35" s="405" t="s">
        <v>495</v>
      </c>
      <c r="E35" s="622"/>
      <c r="F35" s="623"/>
      <c r="G35" s="405" t="s">
        <v>496</v>
      </c>
      <c r="H35" s="622"/>
      <c r="I35" s="623"/>
      <c r="J35" s="301">
        <v>2485</v>
      </c>
      <c r="K35" s="14">
        <v>8.1242957955286986E-3</v>
      </c>
      <c r="L35" s="301">
        <v>6.8500000000000227E-2</v>
      </c>
      <c r="M35" s="284">
        <v>170.22250000000057</v>
      </c>
      <c r="N35" s="4"/>
      <c r="O35" s="630" t="s">
        <v>480</v>
      </c>
      <c r="P35" s="658"/>
      <c r="R35" s="167"/>
      <c r="S35" s="167"/>
      <c r="T35" s="167"/>
      <c r="U35" s="167"/>
      <c r="V35" s="167"/>
      <c r="W35" s="167"/>
    </row>
    <row r="36" spans="1:23" ht="15.75" customHeight="1">
      <c r="A36" s="645"/>
      <c r="B36" s="652"/>
      <c r="C36" s="107">
        <v>4</v>
      </c>
      <c r="D36" s="405" t="s">
        <v>497</v>
      </c>
      <c r="E36" s="622"/>
      <c r="F36" s="623"/>
      <c r="G36" s="405" t="s">
        <v>498</v>
      </c>
      <c r="H36" s="622"/>
      <c r="I36" s="623"/>
      <c r="J36" s="301">
        <v>1760</v>
      </c>
      <c r="K36" s="14">
        <v>2.7190332326283945E-2</v>
      </c>
      <c r="L36" s="301">
        <v>8.9999999999999858E-2</v>
      </c>
      <c r="M36" s="284">
        <v>158.39999999999975</v>
      </c>
      <c r="N36" s="4"/>
      <c r="O36" s="630" t="s">
        <v>499</v>
      </c>
      <c r="P36" s="658"/>
      <c r="R36" s="167"/>
      <c r="S36" s="167"/>
      <c r="T36" s="167"/>
      <c r="U36" s="167"/>
      <c r="V36" s="167"/>
      <c r="W36" s="167"/>
    </row>
    <row r="37" spans="1:23" ht="15.75" customHeight="1" thickBot="1">
      <c r="A37" s="645"/>
      <c r="B37" s="652"/>
      <c r="C37" s="108">
        <v>5</v>
      </c>
      <c r="D37" s="405" t="s">
        <v>225</v>
      </c>
      <c r="E37" s="622"/>
      <c r="F37" s="623"/>
      <c r="G37" s="405" t="s">
        <v>500</v>
      </c>
      <c r="H37" s="622"/>
      <c r="I37" s="623"/>
      <c r="J37" s="301">
        <v>1760</v>
      </c>
      <c r="K37" s="14">
        <v>4.2701092353525476E-2</v>
      </c>
      <c r="L37" s="301">
        <v>8.6000000000000298E-2</v>
      </c>
      <c r="M37" s="284">
        <v>151.36000000000053</v>
      </c>
      <c r="N37" s="4"/>
      <c r="O37" s="630" t="s">
        <v>499</v>
      </c>
      <c r="P37" s="658"/>
      <c r="R37" s="167"/>
      <c r="S37" s="167"/>
      <c r="T37" s="167"/>
      <c r="U37" s="167"/>
      <c r="V37" s="167"/>
      <c r="W37" s="167"/>
    </row>
    <row r="38" spans="1:23" ht="15.75" customHeight="1" thickTop="1" thickBot="1">
      <c r="A38" s="645"/>
      <c r="B38" s="652"/>
      <c r="C38" s="653"/>
      <c r="D38" s="653"/>
      <c r="E38" s="653"/>
      <c r="F38" s="653"/>
      <c r="G38" s="653"/>
      <c r="H38" s="653"/>
      <c r="I38" s="654"/>
      <c r="J38" s="114" t="s">
        <v>73</v>
      </c>
      <c r="K38" s="224">
        <v>9.4979861887109929E-3</v>
      </c>
      <c r="L38" s="114" t="s">
        <v>74</v>
      </c>
      <c r="M38" s="226">
        <v>932.64762000000769</v>
      </c>
      <c r="N38" s="655"/>
      <c r="O38" s="656"/>
      <c r="P38" s="657"/>
      <c r="R38" s="167"/>
      <c r="S38" s="167"/>
      <c r="T38" s="167"/>
      <c r="U38" s="167"/>
      <c r="V38" s="167"/>
      <c r="W38" s="167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703125" defaultRowHeight="15.75" customHeight="1"/>
  <cols>
    <col min="1" max="1" width="5.42578125" style="115" customWidth="1"/>
    <col min="2" max="2" width="7.85546875" style="161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32" t="s">
        <v>363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</row>
    <row r="3" spans="1:17" ht="15.75" customHeight="1">
      <c r="A3" s="540" t="s">
        <v>501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</row>
    <row r="4" spans="1:17" s="116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670"/>
      <c r="N4" s="670"/>
      <c r="O4" s="670"/>
      <c r="P4" s="670"/>
      <c r="Q4" s="670"/>
    </row>
    <row r="5" spans="1:17" ht="15.75" customHeight="1">
      <c r="A5" s="450" t="s">
        <v>442</v>
      </c>
      <c r="B5" s="528">
        <v>1</v>
      </c>
      <c r="C5" s="528"/>
      <c r="D5" s="528">
        <v>2</v>
      </c>
      <c r="E5" s="528"/>
      <c r="F5" s="528">
        <v>3</v>
      </c>
      <c r="G5" s="528"/>
      <c r="H5" s="528">
        <v>4</v>
      </c>
      <c r="I5" s="528"/>
      <c r="J5" s="528">
        <v>5</v>
      </c>
      <c r="K5" s="528"/>
      <c r="L5" s="528">
        <v>6</v>
      </c>
      <c r="M5" s="528"/>
      <c r="N5" s="528">
        <v>7</v>
      </c>
      <c r="O5" s="528"/>
      <c r="P5" s="642">
        <v>8</v>
      </c>
      <c r="Q5" s="642"/>
    </row>
    <row r="6" spans="1:17" ht="15.75" customHeight="1">
      <c r="A6" s="450"/>
      <c r="B6" s="450" t="s">
        <v>403</v>
      </c>
      <c r="C6" s="450"/>
      <c r="D6" s="450" t="s">
        <v>443</v>
      </c>
      <c r="E6" s="450"/>
      <c r="F6" s="450" t="s">
        <v>405</v>
      </c>
      <c r="G6" s="450"/>
      <c r="H6" s="450" t="s">
        <v>414</v>
      </c>
      <c r="I6" s="450"/>
      <c r="J6" s="450" t="s">
        <v>409</v>
      </c>
      <c r="K6" s="450"/>
      <c r="L6" s="450" t="s">
        <v>410</v>
      </c>
      <c r="M6" s="450"/>
      <c r="N6" s="450" t="s">
        <v>411</v>
      </c>
      <c r="O6" s="450"/>
      <c r="P6" s="643" t="s">
        <v>444</v>
      </c>
      <c r="Q6" s="643"/>
    </row>
    <row r="8" spans="1:17" s="122" customFormat="1" ht="15.75" customHeight="1">
      <c r="A8" s="148" t="s">
        <v>442</v>
      </c>
      <c r="B8" s="164" t="s">
        <v>93</v>
      </c>
      <c r="C8" s="668" t="s">
        <v>53</v>
      </c>
      <c r="D8" s="668"/>
      <c r="E8" s="668"/>
      <c r="F8" s="668" t="s">
        <v>62</v>
      </c>
      <c r="G8" s="668"/>
      <c r="H8" s="668"/>
      <c r="I8" s="164" t="s">
        <v>63</v>
      </c>
      <c r="J8" s="165" t="s">
        <v>94</v>
      </c>
      <c r="K8" s="164" t="s">
        <v>95</v>
      </c>
      <c r="L8" s="164" t="s">
        <v>10</v>
      </c>
      <c r="M8" s="671" t="s">
        <v>96</v>
      </c>
      <c r="N8" s="672"/>
      <c r="O8" s="672"/>
      <c r="P8" s="672"/>
      <c r="Q8" s="672"/>
    </row>
    <row r="9" spans="1:17" ht="15.75" customHeight="1">
      <c r="A9" s="668" t="s">
        <v>48</v>
      </c>
      <c r="B9" s="143">
        <v>1</v>
      </c>
      <c r="C9" s="532"/>
      <c r="D9" s="530"/>
      <c r="E9" s="530"/>
      <c r="F9" s="532"/>
      <c r="G9" s="530"/>
      <c r="H9" s="530"/>
      <c r="I9" s="149"/>
      <c r="J9" s="134"/>
      <c r="K9" s="134"/>
      <c r="L9" s="163">
        <f>K9-J9</f>
        <v>0</v>
      </c>
      <c r="M9" s="532"/>
      <c r="N9" s="532"/>
      <c r="O9" s="532"/>
      <c r="P9" s="532"/>
      <c r="Q9" s="532"/>
    </row>
    <row r="10" spans="1:17" ht="15.75" customHeight="1">
      <c r="A10" s="669"/>
      <c r="B10" s="143">
        <v>2</v>
      </c>
      <c r="C10" s="532"/>
      <c r="D10" s="530"/>
      <c r="E10" s="530"/>
      <c r="F10" s="532"/>
      <c r="G10" s="530"/>
      <c r="H10" s="530"/>
      <c r="I10" s="149"/>
      <c r="J10" s="134"/>
      <c r="K10" s="134"/>
      <c r="L10" s="163">
        <f>K10-J10</f>
        <v>0</v>
      </c>
      <c r="M10" s="532"/>
      <c r="N10" s="532"/>
      <c r="O10" s="532"/>
      <c r="P10" s="532"/>
      <c r="Q10" s="532"/>
    </row>
    <row r="11" spans="1:17" ht="15.75" customHeight="1">
      <c r="A11" s="669"/>
      <c r="B11" s="143">
        <v>3</v>
      </c>
      <c r="C11" s="532"/>
      <c r="D11" s="530"/>
      <c r="E11" s="530"/>
      <c r="F11" s="532"/>
      <c r="G11" s="530"/>
      <c r="H11" s="530"/>
      <c r="I11" s="149"/>
      <c r="J11" s="134"/>
      <c r="K11" s="134"/>
      <c r="L11" s="163">
        <f>K11-J11</f>
        <v>0</v>
      </c>
      <c r="M11" s="532"/>
      <c r="N11" s="532"/>
      <c r="O11" s="532"/>
      <c r="P11" s="532"/>
      <c r="Q11" s="532"/>
    </row>
    <row r="12" spans="1:17" ht="15.75" customHeight="1">
      <c r="A12" s="669"/>
      <c r="B12" s="143">
        <v>4</v>
      </c>
      <c r="C12" s="532"/>
      <c r="D12" s="530"/>
      <c r="E12" s="530"/>
      <c r="F12" s="532"/>
      <c r="G12" s="530"/>
      <c r="H12" s="530"/>
      <c r="I12" s="149"/>
      <c r="J12" s="134"/>
      <c r="K12" s="134"/>
      <c r="L12" s="163">
        <f>K12-J12</f>
        <v>0</v>
      </c>
      <c r="M12" s="532"/>
      <c r="N12" s="532"/>
      <c r="O12" s="532"/>
      <c r="P12" s="532"/>
      <c r="Q12" s="532"/>
    </row>
    <row r="13" spans="1:17" ht="15.75" customHeight="1">
      <c r="A13" s="669"/>
      <c r="B13" s="143">
        <v>5</v>
      </c>
      <c r="C13" s="532"/>
      <c r="D13" s="530"/>
      <c r="E13" s="530"/>
      <c r="F13" s="532"/>
      <c r="G13" s="530"/>
      <c r="H13" s="530"/>
      <c r="I13" s="149"/>
      <c r="J13" s="134"/>
      <c r="K13" s="134"/>
      <c r="L13" s="163">
        <f>K13-J13</f>
        <v>0</v>
      </c>
      <c r="M13" s="532"/>
      <c r="N13" s="532"/>
      <c r="O13" s="532"/>
      <c r="P13" s="532"/>
      <c r="Q13" s="532"/>
    </row>
    <row r="14" spans="1:17" ht="15.75" customHeight="1">
      <c r="A14" s="666"/>
      <c r="B14" s="666"/>
      <c r="C14" s="666"/>
      <c r="D14" s="666"/>
      <c r="E14" s="666"/>
      <c r="F14" s="666"/>
      <c r="G14" s="666"/>
      <c r="H14" s="666"/>
      <c r="I14" s="666"/>
      <c r="J14" s="666"/>
      <c r="K14" s="666"/>
      <c r="L14" s="666"/>
      <c r="M14" s="666"/>
      <c r="N14" s="666"/>
      <c r="O14" s="667"/>
    </row>
    <row r="15" spans="1:17" s="122" customFormat="1" ht="15.75" customHeight="1">
      <c r="A15" s="148" t="s">
        <v>442</v>
      </c>
      <c r="B15" s="148" t="s">
        <v>93</v>
      </c>
      <c r="C15" s="665" t="s">
        <v>53</v>
      </c>
      <c r="D15" s="665"/>
      <c r="E15" s="665"/>
      <c r="F15" s="665" t="s">
        <v>62</v>
      </c>
      <c r="G15" s="665"/>
      <c r="H15" s="665"/>
      <c r="I15" s="148" t="s">
        <v>63</v>
      </c>
      <c r="J15" s="162" t="s">
        <v>94</v>
      </c>
      <c r="K15" s="148" t="s">
        <v>95</v>
      </c>
      <c r="L15" s="148" t="s">
        <v>10</v>
      </c>
      <c r="M15" s="665" t="s">
        <v>96</v>
      </c>
      <c r="N15" s="665"/>
      <c r="O15" s="665"/>
      <c r="P15" s="665"/>
      <c r="Q15" s="665"/>
    </row>
    <row r="16" spans="1:17" ht="15.75" customHeight="1">
      <c r="A16" s="665" t="s">
        <v>502</v>
      </c>
      <c r="B16" s="143">
        <v>1</v>
      </c>
      <c r="C16" s="532"/>
      <c r="D16" s="530"/>
      <c r="E16" s="530"/>
      <c r="F16" s="532"/>
      <c r="G16" s="530"/>
      <c r="H16" s="530"/>
      <c r="I16" s="149"/>
      <c r="J16" s="134"/>
      <c r="K16" s="134"/>
      <c r="L16" s="163">
        <f>K16-J16</f>
        <v>0</v>
      </c>
      <c r="M16" s="532"/>
      <c r="N16" s="532"/>
      <c r="O16" s="532"/>
      <c r="P16" s="532"/>
      <c r="Q16" s="532"/>
    </row>
    <row r="17" spans="1:17" ht="15.75" customHeight="1">
      <c r="A17" s="665"/>
      <c r="B17" s="143">
        <v>2</v>
      </c>
      <c r="C17" s="532"/>
      <c r="D17" s="530"/>
      <c r="E17" s="530"/>
      <c r="F17" s="532"/>
      <c r="G17" s="530"/>
      <c r="H17" s="530"/>
      <c r="I17" s="149"/>
      <c r="J17" s="134"/>
      <c r="K17" s="134"/>
      <c r="L17" s="163">
        <f>K17-J17</f>
        <v>0</v>
      </c>
      <c r="M17" s="532"/>
      <c r="N17" s="532"/>
      <c r="O17" s="532"/>
      <c r="P17" s="532"/>
      <c r="Q17" s="532"/>
    </row>
    <row r="18" spans="1:17" ht="15.75" customHeight="1">
      <c r="A18" s="665"/>
      <c r="B18" s="143">
        <v>3</v>
      </c>
      <c r="C18" s="532"/>
      <c r="D18" s="530"/>
      <c r="E18" s="530"/>
      <c r="F18" s="532"/>
      <c r="G18" s="530"/>
      <c r="H18" s="530"/>
      <c r="I18" s="149"/>
      <c r="J18" s="134"/>
      <c r="K18" s="134"/>
      <c r="L18" s="163">
        <f>K18-J18</f>
        <v>0</v>
      </c>
      <c r="M18" s="532"/>
      <c r="N18" s="532"/>
      <c r="O18" s="532"/>
      <c r="P18" s="532"/>
      <c r="Q18" s="532"/>
    </row>
    <row r="19" spans="1:17" ht="15.75" customHeight="1">
      <c r="A19" s="665"/>
      <c r="B19" s="143">
        <v>4</v>
      </c>
      <c r="C19" s="532"/>
      <c r="D19" s="530"/>
      <c r="E19" s="530"/>
      <c r="F19" s="532"/>
      <c r="G19" s="530"/>
      <c r="H19" s="530"/>
      <c r="I19" s="149"/>
      <c r="J19" s="134"/>
      <c r="K19" s="134"/>
      <c r="L19" s="163">
        <f>K19-J19</f>
        <v>0</v>
      </c>
      <c r="M19" s="532"/>
      <c r="N19" s="532"/>
      <c r="O19" s="532"/>
      <c r="P19" s="532"/>
      <c r="Q19" s="532"/>
    </row>
    <row r="20" spans="1:17" ht="15.75" customHeight="1">
      <c r="A20" s="665"/>
      <c r="B20" s="143">
        <v>5</v>
      </c>
      <c r="C20" s="532"/>
      <c r="D20" s="530"/>
      <c r="E20" s="530"/>
      <c r="F20" s="532"/>
      <c r="G20" s="530"/>
      <c r="H20" s="530"/>
      <c r="I20" s="149"/>
      <c r="J20" s="134"/>
      <c r="K20" s="134"/>
      <c r="L20" s="163">
        <f>K20-J20</f>
        <v>0</v>
      </c>
      <c r="M20" s="532"/>
      <c r="N20" s="532"/>
      <c r="O20" s="532"/>
      <c r="P20" s="532"/>
      <c r="Q20" s="53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pane="topRight" activeCell="M12" sqref="M12:Q12"/>
      <selection pane="bottomLeft" activeCell="M12" sqref="M12:Q12"/>
      <selection pane="bottomRight" activeCell="B7" sqref="B7:C26"/>
    </sheetView>
  </sheetViews>
  <sheetFormatPr defaultColWidth="8.85546875" defaultRowHeight="14.25"/>
  <cols>
    <col min="1" max="1" width="8.85546875" style="309"/>
    <col min="2" max="2" width="12.42578125" style="309" customWidth="1"/>
    <col min="3" max="3" width="8.85546875" style="309"/>
    <col min="4" max="4" width="11.5703125" style="309" customWidth="1"/>
    <col min="5" max="5" width="39.28515625" style="309" bestFit="1" customWidth="1"/>
    <col min="6" max="6" width="11.42578125" style="309" bestFit="1" customWidth="1"/>
    <col min="7" max="7" width="14.140625" style="309" customWidth="1"/>
    <col min="8" max="8" width="14" style="309" customWidth="1"/>
    <col min="9" max="9" width="16.85546875" style="309" customWidth="1"/>
    <col min="10" max="10" width="14" style="309" customWidth="1"/>
    <col min="11" max="11" width="11.5703125" style="309" bestFit="1" customWidth="1"/>
    <col min="12" max="12" width="13.42578125" style="309" bestFit="1" customWidth="1"/>
    <col min="13" max="13" width="19.140625" style="309" bestFit="1" customWidth="1"/>
    <col min="14" max="14" width="15.28515625" style="309" bestFit="1" customWidth="1"/>
    <col min="15" max="15" width="12.5703125" style="309" bestFit="1" customWidth="1"/>
    <col min="16" max="16" width="9.7109375" style="309" bestFit="1" customWidth="1"/>
    <col min="17" max="17" width="12.140625" style="309" bestFit="1" customWidth="1"/>
    <col min="18" max="18" width="10.7109375" style="309" customWidth="1"/>
    <col min="19" max="19" width="13.42578125" style="309" bestFit="1" customWidth="1"/>
    <col min="20" max="20" width="12.42578125" style="309" bestFit="1" customWidth="1"/>
    <col min="21" max="21" width="25.28515625" style="309" bestFit="1" customWidth="1"/>
    <col min="22" max="23" width="88.28515625" style="309" hidden="1" customWidth="1"/>
    <col min="24" max="24" width="7.42578125" style="309" hidden="1" customWidth="1"/>
    <col min="25" max="25" width="69.5703125" style="309" hidden="1" customWidth="1"/>
    <col min="26" max="26" width="11.42578125" style="309" hidden="1" customWidth="1"/>
    <col min="27" max="27" width="21.5703125" style="309" customWidth="1"/>
    <col min="28" max="28" width="19.42578125" style="309" bestFit="1" customWidth="1"/>
    <col min="29" max="34" width="14.42578125" style="309" customWidth="1"/>
    <col min="35" max="35" width="11.42578125" style="309" bestFit="1" customWidth="1"/>
    <col min="36" max="16384" width="8.85546875" style="309"/>
  </cols>
  <sheetData>
    <row r="2" spans="2:35" ht="41.1" customHeight="1">
      <c r="B2" s="684" t="s">
        <v>503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AA2" s="310"/>
      <c r="AB2" s="310"/>
    </row>
    <row r="3" spans="2:35" ht="17.100000000000001" customHeight="1">
      <c r="B3" s="686" t="s">
        <v>504</v>
      </c>
      <c r="C3" s="687"/>
      <c r="D3" s="680" t="s">
        <v>505</v>
      </c>
      <c r="E3" s="680"/>
      <c r="F3" s="680"/>
      <c r="G3" s="680" t="s">
        <v>506</v>
      </c>
      <c r="H3" s="680"/>
      <c r="I3" s="680"/>
      <c r="J3" s="680"/>
      <c r="K3" s="680"/>
      <c r="L3" s="680"/>
      <c r="M3" s="680"/>
      <c r="N3" s="680"/>
      <c r="O3" s="680"/>
      <c r="P3" s="680"/>
      <c r="Q3" s="680"/>
      <c r="R3" s="680"/>
      <c r="S3" s="680"/>
      <c r="T3" s="680" t="s">
        <v>507</v>
      </c>
      <c r="U3" s="692" t="s">
        <v>508</v>
      </c>
      <c r="V3" s="695" t="s">
        <v>509</v>
      </c>
      <c r="W3" s="695" t="s">
        <v>510</v>
      </c>
      <c r="X3" s="698" t="s">
        <v>511</v>
      </c>
      <c r="Y3" s="682" t="s">
        <v>512</v>
      </c>
      <c r="AA3" s="680" t="s">
        <v>513</v>
      </c>
      <c r="AB3" s="680"/>
      <c r="AC3" s="680"/>
      <c r="AD3" s="680"/>
      <c r="AE3" s="680"/>
      <c r="AF3" s="680"/>
      <c r="AG3" s="680"/>
      <c r="AH3" s="680"/>
      <c r="AI3" s="680"/>
    </row>
    <row r="4" spans="2:35" ht="17.100000000000001" customHeight="1">
      <c r="B4" s="688"/>
      <c r="C4" s="689"/>
      <c r="D4" s="681" t="s">
        <v>514</v>
      </c>
      <c r="E4" s="680" t="s">
        <v>515</v>
      </c>
      <c r="F4" s="680"/>
      <c r="G4" s="680" t="s">
        <v>516</v>
      </c>
      <c r="H4" s="680"/>
      <c r="I4" s="680"/>
      <c r="J4" s="680"/>
      <c r="K4" s="680"/>
      <c r="L4" s="680"/>
      <c r="M4" s="680"/>
      <c r="N4" s="680"/>
      <c r="O4" s="680" t="s">
        <v>517</v>
      </c>
      <c r="P4" s="680"/>
      <c r="Q4" s="680"/>
      <c r="R4" s="680"/>
      <c r="S4" s="680"/>
      <c r="T4" s="680"/>
      <c r="U4" s="693"/>
      <c r="V4" s="696"/>
      <c r="W4" s="696"/>
      <c r="X4" s="699"/>
      <c r="Y4" s="682"/>
      <c r="AA4" s="680"/>
      <c r="AB4" s="680"/>
      <c r="AC4" s="680"/>
      <c r="AD4" s="680"/>
      <c r="AE4" s="680"/>
      <c r="AF4" s="680"/>
      <c r="AG4" s="680"/>
      <c r="AH4" s="680"/>
      <c r="AI4" s="680"/>
    </row>
    <row r="5" spans="2:35" ht="17.100000000000001" customHeight="1">
      <c r="B5" s="688"/>
      <c r="C5" s="689"/>
      <c r="D5" s="681"/>
      <c r="E5" s="681" t="s">
        <v>518</v>
      </c>
      <c r="F5" s="682" t="s">
        <v>519</v>
      </c>
      <c r="G5" s="683" t="s">
        <v>520</v>
      </c>
      <c r="H5" s="683"/>
      <c r="I5" s="683"/>
      <c r="J5" s="683"/>
      <c r="K5" s="683"/>
      <c r="L5" s="683"/>
      <c r="M5" s="683"/>
      <c r="N5" s="683"/>
      <c r="O5" s="683" t="s">
        <v>521</v>
      </c>
      <c r="P5" s="683"/>
      <c r="Q5" s="683" t="s">
        <v>522</v>
      </c>
      <c r="R5" s="683"/>
      <c r="S5" s="683"/>
      <c r="T5" s="680"/>
      <c r="U5" s="693"/>
      <c r="V5" s="696"/>
      <c r="W5" s="696"/>
      <c r="X5" s="699"/>
      <c r="Y5" s="682"/>
      <c r="AA5" s="680"/>
      <c r="AB5" s="680"/>
      <c r="AC5" s="680"/>
      <c r="AD5" s="680"/>
      <c r="AE5" s="680"/>
      <c r="AF5" s="680"/>
      <c r="AG5" s="680"/>
      <c r="AH5" s="680"/>
      <c r="AI5" s="680"/>
    </row>
    <row r="6" spans="2:35" ht="38.450000000000003" customHeight="1">
      <c r="B6" s="690"/>
      <c r="C6" s="691"/>
      <c r="D6" s="681"/>
      <c r="E6" s="681"/>
      <c r="F6" s="682"/>
      <c r="G6" s="311" t="s">
        <v>523</v>
      </c>
      <c r="H6" s="311" t="s">
        <v>524</v>
      </c>
      <c r="I6" s="311" t="s">
        <v>525</v>
      </c>
      <c r="J6" s="311" t="s">
        <v>526</v>
      </c>
      <c r="K6" s="311" t="s">
        <v>527</v>
      </c>
      <c r="L6" s="311" t="s">
        <v>528</v>
      </c>
      <c r="M6" s="311" t="s">
        <v>529</v>
      </c>
      <c r="N6" s="311" t="s">
        <v>530</v>
      </c>
      <c r="O6" s="312" t="s">
        <v>531</v>
      </c>
      <c r="P6" s="312" t="s">
        <v>532</v>
      </c>
      <c r="Q6" s="312" t="s">
        <v>531</v>
      </c>
      <c r="R6" s="312" t="s">
        <v>532</v>
      </c>
      <c r="S6" s="311" t="s">
        <v>533</v>
      </c>
      <c r="T6" s="680"/>
      <c r="U6" s="694"/>
      <c r="V6" s="697"/>
      <c r="W6" s="697"/>
      <c r="X6" s="700"/>
      <c r="Y6" s="682"/>
      <c r="AA6" s="200" t="s">
        <v>534</v>
      </c>
      <c r="AB6" s="200" t="s">
        <v>446</v>
      </c>
      <c r="AC6" s="299" t="s">
        <v>535</v>
      </c>
      <c r="AD6" s="299" t="s">
        <v>454</v>
      </c>
      <c r="AE6" s="299" t="s">
        <v>536</v>
      </c>
      <c r="AF6" s="299" t="s">
        <v>537</v>
      </c>
      <c r="AG6" s="299" t="s">
        <v>538</v>
      </c>
      <c r="AH6" s="299" t="s">
        <v>474</v>
      </c>
      <c r="AI6" s="299" t="s">
        <v>539</v>
      </c>
    </row>
    <row r="7" spans="2:35" s="325" customFormat="1" ht="27" customHeight="1">
      <c r="B7" s="673" t="s">
        <v>683</v>
      </c>
      <c r="C7" s="674"/>
      <c r="D7" s="313">
        <v>1</v>
      </c>
      <c r="E7" s="314" t="s">
        <v>464</v>
      </c>
      <c r="F7" s="315">
        <v>833.63799999999992</v>
      </c>
      <c r="G7" s="315">
        <v>172.32600000000002</v>
      </c>
      <c r="H7" s="315">
        <v>176.2</v>
      </c>
      <c r="I7" s="316">
        <v>1.0224806471455263</v>
      </c>
      <c r="J7" s="315">
        <v>0</v>
      </c>
      <c r="K7" s="316">
        <v>0</v>
      </c>
      <c r="L7" s="315">
        <v>320.63</v>
      </c>
      <c r="M7" s="316">
        <v>1.0224806471455263</v>
      </c>
      <c r="N7" s="317">
        <v>1242.1206199999892</v>
      </c>
      <c r="O7" s="315">
        <v>2.6</v>
      </c>
      <c r="P7" s="316">
        <v>1.5087682648004362E-2</v>
      </c>
      <c r="Q7" s="318">
        <v>3.8739999999999668</v>
      </c>
      <c r="R7" s="316">
        <v>2.2480647145526306E-2</v>
      </c>
      <c r="S7" s="315">
        <v>1242.1206199999892</v>
      </c>
      <c r="T7" s="326" t="s">
        <v>540</v>
      </c>
      <c r="U7" s="319" t="s">
        <v>414</v>
      </c>
      <c r="V7" s="350" t="s">
        <v>541</v>
      </c>
      <c r="W7" s="350" t="s">
        <v>542</v>
      </c>
      <c r="X7" s="320">
        <v>1</v>
      </c>
      <c r="Y7" s="321" t="s">
        <v>335</v>
      </c>
      <c r="Z7" s="322" t="s">
        <v>543</v>
      </c>
      <c r="AA7" s="323">
        <f>SUM(X7:X26)</f>
        <v>20</v>
      </c>
      <c r="AB7" s="324">
        <f>SUMIF($U$7:$U$26,TRIM(AB6),$X$7:$X$26)</f>
        <v>0</v>
      </c>
      <c r="AC7" s="324">
        <f>SUMIF($U$7:$U$26,TRIM(AC6),$X$7:$X$26)</f>
        <v>3</v>
      </c>
      <c r="AD7" s="324">
        <f t="shared" ref="AD7:AI7" ca="1" si="0">SUMIF($U$7:$U$9710,TRIM(AD6),$X$7:$X$26)</f>
        <v>0</v>
      </c>
      <c r="AE7" s="324">
        <f t="shared" ca="1" si="0"/>
        <v>9</v>
      </c>
      <c r="AF7" s="324">
        <f t="shared" ca="1" si="0"/>
        <v>6</v>
      </c>
      <c r="AG7" s="324">
        <f t="shared" ca="1" si="0"/>
        <v>1</v>
      </c>
      <c r="AH7" s="324">
        <f t="shared" ca="1" si="0"/>
        <v>1</v>
      </c>
      <c r="AI7" s="324">
        <f t="shared" ca="1" si="0"/>
        <v>0</v>
      </c>
    </row>
    <row r="8" spans="2:35" s="325" customFormat="1" ht="27" customHeight="1">
      <c r="B8" s="675"/>
      <c r="C8" s="676"/>
      <c r="D8" s="313">
        <v>2</v>
      </c>
      <c r="E8" s="314" t="s">
        <v>544</v>
      </c>
      <c r="F8" s="315">
        <v>791.71199999999999</v>
      </c>
      <c r="G8" s="315">
        <v>224.31</v>
      </c>
      <c r="H8" s="315">
        <v>236.6</v>
      </c>
      <c r="I8" s="316">
        <v>1.0547902456421916</v>
      </c>
      <c r="J8" s="315">
        <v>0</v>
      </c>
      <c r="K8" s="316">
        <v>0</v>
      </c>
      <c r="L8" s="315">
        <v>109.96</v>
      </c>
      <c r="M8" s="316">
        <v>1.0547902456421916</v>
      </c>
      <c r="N8" s="317">
        <v>1351.4083999999991</v>
      </c>
      <c r="O8" s="315">
        <v>7.2000000000000011</v>
      </c>
      <c r="P8" s="316">
        <v>3.2098435201283942E-2</v>
      </c>
      <c r="Q8" s="318">
        <v>12.289999999999992</v>
      </c>
      <c r="R8" s="316">
        <v>5.4790245642191572E-2</v>
      </c>
      <c r="S8" s="315">
        <v>1351.4083999999991</v>
      </c>
      <c r="T8" s="326" t="s">
        <v>545</v>
      </c>
      <c r="U8" s="319" t="s">
        <v>546</v>
      </c>
      <c r="V8" s="350" t="s">
        <v>547</v>
      </c>
      <c r="W8" s="350" t="s">
        <v>548</v>
      </c>
      <c r="X8" s="320">
        <v>1</v>
      </c>
      <c r="Y8" s="321" t="s">
        <v>549</v>
      </c>
      <c r="AA8" s="323"/>
      <c r="AB8" s="327">
        <f>SUMIF($U$7:$U$26,TRIM(AB6),$F$7:$F$26)</f>
        <v>0</v>
      </c>
      <c r="AC8" s="327">
        <f>SUMIF($U$7:$U$26,TRIM(AC6),$F$7:$F$26)</f>
        <v>2032.4850000000001</v>
      </c>
      <c r="AD8" s="327">
        <f t="shared" ref="AD8:AI8" ca="1" si="1">SUMIF($U$7:$U$176,TRIM(AD6),$F$7:$F$26)</f>
        <v>0</v>
      </c>
      <c r="AE8" s="327">
        <f t="shared" ca="1" si="1"/>
        <v>6182.241</v>
      </c>
      <c r="AF8" s="327">
        <f t="shared" ca="1" si="1"/>
        <v>4126.5310000000009</v>
      </c>
      <c r="AG8" s="327">
        <f t="shared" ca="1" si="1"/>
        <v>780.09999999999991</v>
      </c>
      <c r="AH8" s="327">
        <f t="shared" ca="1" si="1"/>
        <v>631.87</v>
      </c>
      <c r="AI8" s="327">
        <f t="shared" ca="1" si="1"/>
        <v>0</v>
      </c>
    </row>
    <row r="9" spans="2:35" s="325" customFormat="1" ht="27" customHeight="1">
      <c r="B9" s="675"/>
      <c r="C9" s="676"/>
      <c r="D9" s="313">
        <v>3</v>
      </c>
      <c r="E9" s="314" t="s">
        <v>467</v>
      </c>
      <c r="F9" s="315">
        <v>790.94600000000003</v>
      </c>
      <c r="G9" s="315">
        <v>350.42999999999995</v>
      </c>
      <c r="H9" s="315">
        <v>355.2</v>
      </c>
      <c r="I9" s="316">
        <v>1.0136118483006593</v>
      </c>
      <c r="J9" s="315">
        <v>0</v>
      </c>
      <c r="K9" s="316">
        <v>0</v>
      </c>
      <c r="L9" s="315">
        <v>272.74</v>
      </c>
      <c r="M9" s="316">
        <v>1.0136118483006593</v>
      </c>
      <c r="N9" s="317">
        <v>1300.9698000000105</v>
      </c>
      <c r="O9" s="315">
        <v>2.9</v>
      </c>
      <c r="P9" s="316">
        <v>8.2755471848871397E-3</v>
      </c>
      <c r="Q9" s="318">
        <v>4.7700000000000387</v>
      </c>
      <c r="R9" s="316">
        <v>1.3611848300659302E-2</v>
      </c>
      <c r="S9" s="315">
        <v>1300.9698000000105</v>
      </c>
      <c r="T9" s="326" t="s">
        <v>550</v>
      </c>
      <c r="U9" s="319" t="s">
        <v>466</v>
      </c>
      <c r="V9" s="350" t="s">
        <v>551</v>
      </c>
      <c r="W9" s="350" t="s">
        <v>552</v>
      </c>
      <c r="X9" s="320">
        <v>1</v>
      </c>
      <c r="Y9" s="321" t="s">
        <v>291</v>
      </c>
      <c r="AB9" s="402">
        <f>AB7/$AA$7</f>
        <v>0</v>
      </c>
      <c r="AC9" s="402">
        <f t="shared" ref="AC9:AI9" si="2">AC7/$AA$7</f>
        <v>0.15</v>
      </c>
      <c r="AD9" s="402">
        <f t="shared" ca="1" si="2"/>
        <v>0</v>
      </c>
      <c r="AE9" s="402">
        <f t="shared" ca="1" si="2"/>
        <v>0.45</v>
      </c>
      <c r="AF9" s="402">
        <f t="shared" ca="1" si="2"/>
        <v>0.3</v>
      </c>
      <c r="AG9" s="402">
        <f t="shared" ca="1" si="2"/>
        <v>0.05</v>
      </c>
      <c r="AH9" s="402">
        <f t="shared" ca="1" si="2"/>
        <v>0.05</v>
      </c>
      <c r="AI9" s="402">
        <f t="shared" ca="1" si="2"/>
        <v>0</v>
      </c>
    </row>
    <row r="10" spans="2:35" s="325" customFormat="1" ht="27" customHeight="1">
      <c r="B10" s="675"/>
      <c r="C10" s="676"/>
      <c r="D10" s="313">
        <v>4</v>
      </c>
      <c r="E10" s="314" t="s">
        <v>475</v>
      </c>
      <c r="F10" s="315">
        <v>780.09999999999991</v>
      </c>
      <c r="G10" s="315">
        <v>8078</v>
      </c>
      <c r="H10" s="315">
        <v>8136</v>
      </c>
      <c r="I10" s="316">
        <v>1.0071799950482794</v>
      </c>
      <c r="J10" s="315">
        <v>0</v>
      </c>
      <c r="K10" s="316">
        <v>0</v>
      </c>
      <c r="L10" s="315">
        <v>13.45</v>
      </c>
      <c r="M10" s="316">
        <v>1.0071799950482794</v>
      </c>
      <c r="N10" s="317">
        <v>780.09999999999991</v>
      </c>
      <c r="O10" s="315">
        <v>58</v>
      </c>
      <c r="P10" s="316">
        <v>7.1799950482792771E-3</v>
      </c>
      <c r="Q10" s="318">
        <v>58</v>
      </c>
      <c r="R10" s="316">
        <v>7.1799950482792771E-3</v>
      </c>
      <c r="S10" s="315">
        <v>780.09999999999991</v>
      </c>
      <c r="T10" s="319" t="s">
        <v>550</v>
      </c>
      <c r="U10" s="319" t="s">
        <v>473</v>
      </c>
      <c r="V10" s="350" t="s">
        <v>476</v>
      </c>
      <c r="W10" s="350" t="s">
        <v>553</v>
      </c>
      <c r="X10" s="320">
        <v>1</v>
      </c>
      <c r="Y10" s="321" t="s">
        <v>334</v>
      </c>
    </row>
    <row r="11" spans="2:35" s="325" customFormat="1" ht="27" customHeight="1">
      <c r="B11" s="675"/>
      <c r="C11" s="676"/>
      <c r="D11" s="313">
        <v>5</v>
      </c>
      <c r="E11" s="314" t="s">
        <v>469</v>
      </c>
      <c r="F11" s="315">
        <v>745.03200000000004</v>
      </c>
      <c r="G11" s="315">
        <v>95.554999999999993</v>
      </c>
      <c r="H11" s="315">
        <v>99.3</v>
      </c>
      <c r="I11" s="316">
        <v>1.039192088326095</v>
      </c>
      <c r="J11" s="315">
        <v>0</v>
      </c>
      <c r="K11" s="316">
        <v>0</v>
      </c>
      <c r="L11" s="315">
        <v>310.43</v>
      </c>
      <c r="M11" s="316">
        <v>1.039192088326095</v>
      </c>
      <c r="N11" s="317">
        <v>1162.5603500000013</v>
      </c>
      <c r="O11" s="315">
        <v>2.4</v>
      </c>
      <c r="P11" s="316">
        <v>2.5116425095494742E-2</v>
      </c>
      <c r="Q11" s="318">
        <v>3.7450000000000045</v>
      </c>
      <c r="R11" s="316">
        <v>3.919208832609497E-2</v>
      </c>
      <c r="S11" s="315">
        <v>1162.5603500000013</v>
      </c>
      <c r="T11" s="319" t="s">
        <v>550</v>
      </c>
      <c r="U11" s="319" t="s">
        <v>466</v>
      </c>
      <c r="V11" s="350" t="s">
        <v>551</v>
      </c>
      <c r="W11" s="350" t="s">
        <v>552</v>
      </c>
      <c r="X11" s="320">
        <v>1</v>
      </c>
      <c r="Y11" s="321" t="s">
        <v>283</v>
      </c>
    </row>
    <row r="12" spans="2:35" s="325" customFormat="1" ht="27" customHeight="1">
      <c r="B12" s="675"/>
      <c r="C12" s="676"/>
      <c r="D12" s="313">
        <v>6</v>
      </c>
      <c r="E12" s="314" t="s">
        <v>452</v>
      </c>
      <c r="F12" s="315">
        <v>727.79</v>
      </c>
      <c r="G12" s="315">
        <v>671.16000000000008</v>
      </c>
      <c r="H12" s="315">
        <v>685.6</v>
      </c>
      <c r="I12" s="316">
        <v>1.0215149889743131</v>
      </c>
      <c r="J12" s="315">
        <v>0</v>
      </c>
      <c r="K12" s="316">
        <v>0</v>
      </c>
      <c r="L12" s="315">
        <v>103.97</v>
      </c>
      <c r="M12" s="316">
        <v>1.0215149889743131</v>
      </c>
      <c r="N12" s="317">
        <v>1501.3267999999939</v>
      </c>
      <c r="O12" s="315">
        <v>7.0000000000000009</v>
      </c>
      <c r="P12" s="316">
        <v>1.0429703796412181E-2</v>
      </c>
      <c r="Q12" s="318">
        <v>14.439999999999941</v>
      </c>
      <c r="R12" s="316">
        <v>2.1514988974313039E-2</v>
      </c>
      <c r="S12" s="315">
        <v>1501.3267999999939</v>
      </c>
      <c r="T12" s="319" t="s">
        <v>540</v>
      </c>
      <c r="U12" s="319" t="s">
        <v>414</v>
      </c>
      <c r="V12" s="350" t="s">
        <v>554</v>
      </c>
      <c r="W12" s="350" t="s">
        <v>555</v>
      </c>
      <c r="X12" s="320">
        <v>1</v>
      </c>
      <c r="Y12" s="321" t="s">
        <v>297</v>
      </c>
    </row>
    <row r="13" spans="2:35" s="325" customFormat="1" ht="27" customHeight="1">
      <c r="B13" s="675"/>
      <c r="C13" s="676"/>
      <c r="D13" s="313">
        <v>7</v>
      </c>
      <c r="E13" s="314" t="s">
        <v>556</v>
      </c>
      <c r="F13" s="315">
        <v>702.18000000000006</v>
      </c>
      <c r="G13" s="315">
        <v>1074.1000000000001</v>
      </c>
      <c r="H13" s="315">
        <v>1084</v>
      </c>
      <c r="I13" s="316">
        <v>1.0092170188995437</v>
      </c>
      <c r="J13" s="315">
        <v>0</v>
      </c>
      <c r="K13" s="316">
        <v>0</v>
      </c>
      <c r="L13" s="315">
        <v>117.03</v>
      </c>
      <c r="M13" s="316">
        <v>1.0092170188995437</v>
      </c>
      <c r="N13" s="317">
        <v>1158.5969999999841</v>
      </c>
      <c r="O13" s="315">
        <v>6.0000000000000009</v>
      </c>
      <c r="P13" s="316">
        <v>5.5860720603295782E-3</v>
      </c>
      <c r="Q13" s="318">
        <v>9.8999999999998636</v>
      </c>
      <c r="R13" s="316">
        <v>9.2170188995436761E-3</v>
      </c>
      <c r="S13" s="315">
        <v>1158.5969999999841</v>
      </c>
      <c r="T13" s="313" t="s">
        <v>540</v>
      </c>
      <c r="U13" s="319" t="s">
        <v>414</v>
      </c>
      <c r="V13" s="350" t="s">
        <v>557</v>
      </c>
      <c r="W13" s="350" t="s">
        <v>558</v>
      </c>
      <c r="X13" s="320">
        <v>1</v>
      </c>
      <c r="Y13" s="321" t="s">
        <v>302</v>
      </c>
      <c r="AB13" s="325">
        <v>1</v>
      </c>
      <c r="AC13" s="328" t="s">
        <v>446</v>
      </c>
    </row>
    <row r="14" spans="2:35" s="325" customFormat="1" ht="27" customHeight="1">
      <c r="B14" s="675"/>
      <c r="C14" s="676"/>
      <c r="D14" s="313">
        <v>8</v>
      </c>
      <c r="E14" s="314" t="s">
        <v>471</v>
      </c>
      <c r="F14" s="315">
        <v>697.60800000000006</v>
      </c>
      <c r="G14" s="315">
        <v>197.34399999999999</v>
      </c>
      <c r="H14" s="315">
        <v>201.6</v>
      </c>
      <c r="I14" s="316">
        <v>1.0215664018161181</v>
      </c>
      <c r="J14" s="315">
        <v>0</v>
      </c>
      <c r="K14" s="316">
        <v>0</v>
      </c>
      <c r="L14" s="315">
        <v>290.67</v>
      </c>
      <c r="M14" s="316">
        <v>1.0215664018161181</v>
      </c>
      <c r="N14" s="317">
        <v>1237.0915200000002</v>
      </c>
      <c r="O14" s="315">
        <v>2.4</v>
      </c>
      <c r="P14" s="316">
        <v>1.2161504783525215E-2</v>
      </c>
      <c r="Q14" s="318">
        <v>4.2560000000000002</v>
      </c>
      <c r="R14" s="316">
        <v>2.1566401816118051E-2</v>
      </c>
      <c r="S14" s="315">
        <v>1237.0915200000002</v>
      </c>
      <c r="T14" s="319" t="s">
        <v>550</v>
      </c>
      <c r="U14" s="319" t="s">
        <v>466</v>
      </c>
      <c r="V14" s="350" t="s">
        <v>551</v>
      </c>
      <c r="W14" s="350" t="s">
        <v>552</v>
      </c>
      <c r="X14" s="320">
        <v>1</v>
      </c>
      <c r="Y14" s="321" t="s">
        <v>303</v>
      </c>
      <c r="AB14" s="325">
        <v>2</v>
      </c>
      <c r="AC14" s="328" t="s">
        <v>546</v>
      </c>
    </row>
    <row r="15" spans="2:35" s="325" customFormat="1" ht="27" customHeight="1">
      <c r="B15" s="675"/>
      <c r="C15" s="676"/>
      <c r="D15" s="313">
        <v>9</v>
      </c>
      <c r="E15" s="314" t="s">
        <v>459</v>
      </c>
      <c r="F15" s="315">
        <v>696.63900000000001</v>
      </c>
      <c r="G15" s="315">
        <v>387.45</v>
      </c>
      <c r="H15" s="315">
        <v>399.7</v>
      </c>
      <c r="I15" s="316">
        <v>1.0316169828364949</v>
      </c>
      <c r="J15" s="315">
        <v>0</v>
      </c>
      <c r="K15" s="316">
        <v>0</v>
      </c>
      <c r="L15" s="315">
        <v>95.43</v>
      </c>
      <c r="M15" s="316">
        <v>1.0316169828364949</v>
      </c>
      <c r="N15" s="317">
        <v>1169.0175000000002</v>
      </c>
      <c r="O15" s="315">
        <v>7.3000000000000007</v>
      </c>
      <c r="P15" s="316">
        <v>1.8841140792360309E-2</v>
      </c>
      <c r="Q15" s="318">
        <v>12.25</v>
      </c>
      <c r="R15" s="316">
        <v>3.1616982836495035E-2</v>
      </c>
      <c r="S15" s="315">
        <v>1169.0175000000002</v>
      </c>
      <c r="T15" s="319" t="s">
        <v>540</v>
      </c>
      <c r="U15" s="319" t="s">
        <v>414</v>
      </c>
      <c r="V15" s="350" t="s">
        <v>559</v>
      </c>
      <c r="W15" s="350" t="s">
        <v>560</v>
      </c>
      <c r="X15" s="320">
        <v>1</v>
      </c>
      <c r="Y15" s="321" t="s">
        <v>290</v>
      </c>
      <c r="AB15" s="325">
        <v>3</v>
      </c>
      <c r="AC15" s="328" t="s">
        <v>561</v>
      </c>
    </row>
    <row r="16" spans="2:35" s="325" customFormat="1" ht="27" customHeight="1">
      <c r="B16" s="675"/>
      <c r="C16" s="676"/>
      <c r="D16" s="313">
        <v>10</v>
      </c>
      <c r="E16" s="314" t="s">
        <v>463</v>
      </c>
      <c r="F16" s="315">
        <v>688.39199999999994</v>
      </c>
      <c r="G16" s="315">
        <v>873.82399999999996</v>
      </c>
      <c r="H16" s="315">
        <v>883.40000000000009</v>
      </c>
      <c r="I16" s="316">
        <v>1.0109587285311461</v>
      </c>
      <c r="J16" s="315">
        <v>0</v>
      </c>
      <c r="K16" s="316">
        <v>0</v>
      </c>
      <c r="L16" s="315">
        <v>127.48</v>
      </c>
      <c r="M16" s="316">
        <v>1.0109587285311461</v>
      </c>
      <c r="N16" s="317">
        <v>1220.7484800000173</v>
      </c>
      <c r="O16" s="315">
        <v>5.4</v>
      </c>
      <c r="P16" s="316">
        <v>6.1797341341048089E-3</v>
      </c>
      <c r="Q16" s="318">
        <v>9.5760000000001355</v>
      </c>
      <c r="R16" s="316">
        <v>1.0958728531146015E-2</v>
      </c>
      <c r="S16" s="315">
        <v>1220.7484800000173</v>
      </c>
      <c r="T16" s="319" t="s">
        <v>540</v>
      </c>
      <c r="U16" s="319" t="s">
        <v>414</v>
      </c>
      <c r="V16" s="350" t="s">
        <v>554</v>
      </c>
      <c r="W16" s="350" t="s">
        <v>555</v>
      </c>
      <c r="X16" s="320">
        <v>1</v>
      </c>
      <c r="Y16" s="321" t="s">
        <v>354</v>
      </c>
      <c r="AB16" s="325">
        <v>4</v>
      </c>
      <c r="AC16" s="328" t="s">
        <v>562</v>
      </c>
    </row>
    <row r="17" spans="2:29" s="325" customFormat="1" ht="27" customHeight="1">
      <c r="B17" s="675"/>
      <c r="C17" s="676"/>
      <c r="D17" s="313">
        <v>11</v>
      </c>
      <c r="E17" s="314" t="s">
        <v>563</v>
      </c>
      <c r="F17" s="315">
        <v>679.86</v>
      </c>
      <c r="G17" s="315">
        <v>479.09399999999999</v>
      </c>
      <c r="H17" s="315">
        <v>486.29999999999995</v>
      </c>
      <c r="I17" s="316">
        <v>1.0150408896792695</v>
      </c>
      <c r="J17" s="315">
        <v>0</v>
      </c>
      <c r="K17" s="316">
        <v>0</v>
      </c>
      <c r="L17" s="315">
        <v>151.08000000000001</v>
      </c>
      <c r="M17" s="316">
        <v>1.0150408896792695</v>
      </c>
      <c r="N17" s="317">
        <v>1088.682479999994</v>
      </c>
      <c r="O17" s="315">
        <v>4.5</v>
      </c>
      <c r="P17" s="316">
        <v>9.3927287755638765E-3</v>
      </c>
      <c r="Q17" s="318">
        <v>7.2059999999999604</v>
      </c>
      <c r="R17" s="316">
        <v>1.5040889679269538E-2</v>
      </c>
      <c r="S17" s="315">
        <v>1088.682479999994</v>
      </c>
      <c r="T17" s="319" t="s">
        <v>540</v>
      </c>
      <c r="U17" s="319" t="s">
        <v>414</v>
      </c>
      <c r="V17" s="350" t="s">
        <v>541</v>
      </c>
      <c r="W17" s="350" t="s">
        <v>542</v>
      </c>
      <c r="X17" s="320">
        <v>1</v>
      </c>
      <c r="Y17" s="321" t="s">
        <v>339</v>
      </c>
      <c r="AB17" s="325">
        <v>5</v>
      </c>
      <c r="AC17" s="328" t="s">
        <v>466</v>
      </c>
    </row>
    <row r="18" spans="2:29" s="325" customFormat="1" ht="27" customHeight="1">
      <c r="B18" s="675"/>
      <c r="C18" s="676"/>
      <c r="D18" s="313">
        <v>12</v>
      </c>
      <c r="E18" s="314" t="s">
        <v>564</v>
      </c>
      <c r="F18" s="315">
        <v>670.76099999999997</v>
      </c>
      <c r="G18" s="315">
        <v>351.24000000000007</v>
      </c>
      <c r="H18" s="315">
        <v>358.5</v>
      </c>
      <c r="I18" s="316">
        <v>1.0206696276050562</v>
      </c>
      <c r="J18" s="315">
        <v>0</v>
      </c>
      <c r="K18" s="316">
        <v>0</v>
      </c>
      <c r="L18" s="315">
        <v>136.88999999999999</v>
      </c>
      <c r="M18" s="316">
        <v>1.0206696276050562</v>
      </c>
      <c r="N18" s="317">
        <v>993.82139999999083</v>
      </c>
      <c r="O18" s="315">
        <v>4.9000000000000004</v>
      </c>
      <c r="P18" s="316">
        <v>1.3950575105341076E-2</v>
      </c>
      <c r="Q18" s="318">
        <v>7.2599999999999341</v>
      </c>
      <c r="R18" s="316">
        <v>2.0669627605056182E-2</v>
      </c>
      <c r="S18" s="315">
        <v>993.82139999999083</v>
      </c>
      <c r="T18" s="313" t="s">
        <v>550</v>
      </c>
      <c r="U18" s="319" t="s">
        <v>466</v>
      </c>
      <c r="V18" s="350" t="s">
        <v>551</v>
      </c>
      <c r="W18" s="350" t="s">
        <v>552</v>
      </c>
      <c r="X18" s="320">
        <v>1</v>
      </c>
      <c r="Y18" s="321" t="s">
        <v>456</v>
      </c>
      <c r="AB18" s="325">
        <v>6</v>
      </c>
      <c r="AC18" s="328" t="s">
        <v>473</v>
      </c>
    </row>
    <row r="19" spans="2:29" s="325" customFormat="1" ht="27" customHeight="1">
      <c r="B19" s="675"/>
      <c r="C19" s="676"/>
      <c r="D19" s="313">
        <v>13</v>
      </c>
      <c r="E19" s="314" t="s">
        <v>565</v>
      </c>
      <c r="F19" s="315">
        <v>643.5680000000001</v>
      </c>
      <c r="G19" s="315">
        <v>408.09999999999997</v>
      </c>
      <c r="H19" s="315">
        <v>414.09999999999997</v>
      </c>
      <c r="I19" s="316">
        <v>1.0147022788532223</v>
      </c>
      <c r="J19" s="315">
        <v>0</v>
      </c>
      <c r="K19" s="316">
        <v>0</v>
      </c>
      <c r="L19" s="315">
        <v>169.36</v>
      </c>
      <c r="M19" s="316">
        <v>1.0147022788532223</v>
      </c>
      <c r="N19" s="317">
        <v>1016.1600000000001</v>
      </c>
      <c r="O19" s="315">
        <v>3.8000000000000003</v>
      </c>
      <c r="P19" s="316">
        <v>9.3114432737074256E-3</v>
      </c>
      <c r="Q19" s="318">
        <v>6</v>
      </c>
      <c r="R19" s="316">
        <v>1.4702278853222251E-2</v>
      </c>
      <c r="S19" s="315">
        <v>1016.1600000000001</v>
      </c>
      <c r="T19" s="319" t="s">
        <v>540</v>
      </c>
      <c r="U19" s="319" t="s">
        <v>414</v>
      </c>
      <c r="V19" s="350" t="s">
        <v>566</v>
      </c>
      <c r="W19" s="350" t="s">
        <v>567</v>
      </c>
      <c r="X19" s="320">
        <v>1</v>
      </c>
      <c r="Y19" s="321" t="s">
        <v>456</v>
      </c>
      <c r="AB19" s="325">
        <v>7</v>
      </c>
      <c r="AC19" s="328" t="s">
        <v>568</v>
      </c>
    </row>
    <row r="20" spans="2:29" s="325" customFormat="1" ht="27" customHeight="1">
      <c r="B20" s="675"/>
      <c r="C20" s="676"/>
      <c r="D20" s="313">
        <v>14</v>
      </c>
      <c r="E20" s="314" t="s">
        <v>569</v>
      </c>
      <c r="F20" s="315">
        <v>641.654</v>
      </c>
      <c r="G20" s="315">
        <v>74.77</v>
      </c>
      <c r="H20" s="315">
        <v>80.900000000000006</v>
      </c>
      <c r="I20" s="316">
        <v>1.0819847532432796</v>
      </c>
      <c r="J20" s="315">
        <v>0</v>
      </c>
      <c r="K20" s="316">
        <v>0</v>
      </c>
      <c r="L20" s="315">
        <v>139.49</v>
      </c>
      <c r="M20" s="316">
        <v>1.0819847532432796</v>
      </c>
      <c r="N20" s="317">
        <v>855.07370000000139</v>
      </c>
      <c r="O20" s="315">
        <v>4.5999999999999996</v>
      </c>
      <c r="P20" s="316">
        <v>6.1522000802460876E-2</v>
      </c>
      <c r="Q20" s="318">
        <v>6.1300000000000097</v>
      </c>
      <c r="R20" s="316">
        <v>8.1984753243279529E-2</v>
      </c>
      <c r="S20" s="315">
        <v>855.07370000000139</v>
      </c>
      <c r="T20" s="319" t="s">
        <v>545</v>
      </c>
      <c r="U20" s="319" t="s">
        <v>546</v>
      </c>
      <c r="V20" s="350" t="s">
        <v>570</v>
      </c>
      <c r="W20" s="350" t="s">
        <v>571</v>
      </c>
      <c r="X20" s="320">
        <v>1</v>
      </c>
      <c r="Y20" s="321" t="s">
        <v>549</v>
      </c>
      <c r="AB20" s="325">
        <v>8</v>
      </c>
      <c r="AC20" s="329" t="s">
        <v>572</v>
      </c>
    </row>
    <row r="21" spans="2:29" s="325" customFormat="1" ht="27" customHeight="1">
      <c r="B21" s="675"/>
      <c r="C21" s="676"/>
      <c r="D21" s="313">
        <v>15</v>
      </c>
      <c r="E21" s="314" t="s">
        <v>485</v>
      </c>
      <c r="F21" s="315">
        <v>631.87</v>
      </c>
      <c r="G21" s="315">
        <v>17.567999999999998</v>
      </c>
      <c r="H21" s="315">
        <v>18.8</v>
      </c>
      <c r="I21" s="316">
        <v>1.0701275045537342</v>
      </c>
      <c r="J21" s="315">
        <v>0.7</v>
      </c>
      <c r="K21" s="316">
        <v>3.9845173041894354E-2</v>
      </c>
      <c r="L21" s="315">
        <v>631.87</v>
      </c>
      <c r="M21" s="316">
        <v>1.1099726775956285</v>
      </c>
      <c r="N21" s="317">
        <v>778.46384000000182</v>
      </c>
      <c r="O21" s="315">
        <v>1</v>
      </c>
      <c r="P21" s="316">
        <v>5.6921675774134796E-2</v>
      </c>
      <c r="Q21" s="318">
        <v>1.9320000000000022</v>
      </c>
      <c r="R21" s="316">
        <v>0.10997267759562855</v>
      </c>
      <c r="S21" s="315">
        <v>1220.7728400000015</v>
      </c>
      <c r="T21" s="319" t="s">
        <v>550</v>
      </c>
      <c r="U21" s="319" t="s">
        <v>568</v>
      </c>
      <c r="V21" s="350" t="s">
        <v>573</v>
      </c>
      <c r="W21" s="350" t="s">
        <v>574</v>
      </c>
      <c r="X21" s="320">
        <v>1</v>
      </c>
      <c r="Y21" s="321" t="s">
        <v>294</v>
      </c>
      <c r="AC21" s="328"/>
    </row>
    <row r="22" spans="2:29" s="325" customFormat="1" ht="27" customHeight="1">
      <c r="B22" s="675"/>
      <c r="C22" s="676"/>
      <c r="D22" s="313">
        <v>16</v>
      </c>
      <c r="E22" s="314" t="s">
        <v>477</v>
      </c>
      <c r="F22" s="315">
        <v>620.08799999999997</v>
      </c>
      <c r="G22" s="315">
        <v>255.13800000000001</v>
      </c>
      <c r="H22" s="315">
        <v>258.5</v>
      </c>
      <c r="I22" s="316">
        <v>1.0131771825443485</v>
      </c>
      <c r="J22" s="315">
        <v>0.3</v>
      </c>
      <c r="K22" s="316">
        <v>1.1758342544034993E-3</v>
      </c>
      <c r="L22" s="315">
        <v>258.37</v>
      </c>
      <c r="M22" s="316">
        <v>1.014353016798752</v>
      </c>
      <c r="N22" s="317">
        <v>868.63993999999866</v>
      </c>
      <c r="O22" s="315">
        <v>2.4000000000000004</v>
      </c>
      <c r="P22" s="316">
        <v>9.4066740352279962E-3</v>
      </c>
      <c r="Q22" s="318">
        <v>3.6620000000000061</v>
      </c>
      <c r="R22" s="316">
        <v>1.4353016798752071E-2</v>
      </c>
      <c r="S22" s="315">
        <v>946.15094000000158</v>
      </c>
      <c r="T22" s="319" t="s">
        <v>550</v>
      </c>
      <c r="U22" s="319" t="s">
        <v>466</v>
      </c>
      <c r="V22" s="350" t="s">
        <v>551</v>
      </c>
      <c r="W22" s="350" t="s">
        <v>552</v>
      </c>
      <c r="X22" s="320">
        <v>1</v>
      </c>
      <c r="Y22" s="321" t="s">
        <v>289</v>
      </c>
      <c r="AC22" s="328"/>
    </row>
    <row r="23" spans="2:29" s="325" customFormat="1" ht="27" customHeight="1">
      <c r="B23" s="675"/>
      <c r="C23" s="676"/>
      <c r="D23" s="313">
        <v>17</v>
      </c>
      <c r="E23" s="314" t="s">
        <v>490</v>
      </c>
      <c r="F23" s="315">
        <v>609.52200000000005</v>
      </c>
      <c r="G23" s="315">
        <v>754.93599999999992</v>
      </c>
      <c r="H23" s="315">
        <v>764.39999999999986</v>
      </c>
      <c r="I23" s="316">
        <v>1.0125361620057858</v>
      </c>
      <c r="J23" s="315">
        <v>0</v>
      </c>
      <c r="K23" s="316">
        <v>0</v>
      </c>
      <c r="L23" s="315">
        <v>105.09</v>
      </c>
      <c r="M23" s="316">
        <v>1.0125361620057858</v>
      </c>
      <c r="N23" s="317">
        <v>994.5717599999939</v>
      </c>
      <c r="O23" s="315">
        <v>5.8000000000000007</v>
      </c>
      <c r="P23" s="316">
        <v>7.6827704600125057E-3</v>
      </c>
      <c r="Q23" s="318">
        <v>9.4639999999999418</v>
      </c>
      <c r="R23" s="316">
        <v>1.2536162005785846E-2</v>
      </c>
      <c r="S23" s="315">
        <v>994.5717599999939</v>
      </c>
      <c r="T23" s="319" t="s">
        <v>540</v>
      </c>
      <c r="U23" s="319" t="s">
        <v>414</v>
      </c>
      <c r="V23" s="350" t="s">
        <v>541</v>
      </c>
      <c r="W23" s="350" t="s">
        <v>542</v>
      </c>
      <c r="X23" s="320">
        <v>1</v>
      </c>
      <c r="Y23" s="321" t="s">
        <v>339</v>
      </c>
      <c r="AB23" s="330">
        <v>1</v>
      </c>
      <c r="AC23" s="328" t="s">
        <v>545</v>
      </c>
    </row>
    <row r="24" spans="2:29" s="325" customFormat="1" ht="27" customHeight="1">
      <c r="B24" s="675"/>
      <c r="C24" s="676"/>
      <c r="D24" s="313">
        <v>18</v>
      </c>
      <c r="E24" s="314" t="s">
        <v>575</v>
      </c>
      <c r="F24" s="315">
        <v>602.096</v>
      </c>
      <c r="G24" s="315">
        <v>232.95999999999998</v>
      </c>
      <c r="H24" s="315">
        <v>236.3</v>
      </c>
      <c r="I24" s="316">
        <v>1.0143372252747254</v>
      </c>
      <c r="J24" s="315">
        <v>1.1000000000000001</v>
      </c>
      <c r="K24" s="316">
        <v>4.7218406593406599E-3</v>
      </c>
      <c r="L24" s="315">
        <v>273.68</v>
      </c>
      <c r="M24" s="316">
        <v>1.0190590659340661</v>
      </c>
      <c r="N24" s="317">
        <v>914.09120000000871</v>
      </c>
      <c r="O24" s="315">
        <v>2.2000000000000002</v>
      </c>
      <c r="P24" s="316">
        <v>9.4436813186813198E-3</v>
      </c>
      <c r="Q24" s="318">
        <v>4.4400000000000261</v>
      </c>
      <c r="R24" s="316">
        <v>1.9059065934066047E-2</v>
      </c>
      <c r="S24" s="315">
        <v>1215.1392000000071</v>
      </c>
      <c r="T24" s="319" t="s">
        <v>550</v>
      </c>
      <c r="U24" s="319" t="s">
        <v>466</v>
      </c>
      <c r="V24" s="350" t="s">
        <v>551</v>
      </c>
      <c r="W24" s="350" t="s">
        <v>552</v>
      </c>
      <c r="X24" s="320">
        <v>1</v>
      </c>
      <c r="Y24" s="321" t="s">
        <v>281</v>
      </c>
      <c r="AB24" s="325">
        <v>2</v>
      </c>
      <c r="AC24" s="328" t="s">
        <v>576</v>
      </c>
    </row>
    <row r="25" spans="2:29" s="325" customFormat="1" ht="27" customHeight="1">
      <c r="B25" s="675"/>
      <c r="C25" s="676"/>
      <c r="D25" s="313">
        <v>19</v>
      </c>
      <c r="E25" s="314" t="s">
        <v>577</v>
      </c>
      <c r="F25" s="315">
        <v>600.65200000000004</v>
      </c>
      <c r="G25" s="315">
        <v>98.111999999999995</v>
      </c>
      <c r="H25" s="315">
        <v>100</v>
      </c>
      <c r="I25" s="316">
        <v>1.0192433137638617</v>
      </c>
      <c r="J25" s="315">
        <v>0.6</v>
      </c>
      <c r="K25" s="316">
        <v>6.1154598825831708E-3</v>
      </c>
      <c r="L25" s="315">
        <v>462.04</v>
      </c>
      <c r="M25" s="316">
        <v>1.0253587736464449</v>
      </c>
      <c r="N25" s="317">
        <v>872.33152000000246</v>
      </c>
      <c r="O25" s="315">
        <v>1.3</v>
      </c>
      <c r="P25" s="316">
        <v>1.3250163078930203E-2</v>
      </c>
      <c r="Q25" s="318">
        <v>2.4879999999999995</v>
      </c>
      <c r="R25" s="316">
        <v>2.5358773646444874E-2</v>
      </c>
      <c r="S25" s="315">
        <v>1149.5555199999999</v>
      </c>
      <c r="T25" s="319" t="s">
        <v>540</v>
      </c>
      <c r="U25" s="319" t="s">
        <v>414</v>
      </c>
      <c r="V25" s="350" t="s">
        <v>551</v>
      </c>
      <c r="W25" s="350" t="s">
        <v>552</v>
      </c>
      <c r="X25" s="320">
        <v>1</v>
      </c>
      <c r="Y25" s="321" t="s">
        <v>300</v>
      </c>
      <c r="AB25" s="331">
        <v>3</v>
      </c>
      <c r="AC25" s="328" t="s">
        <v>540</v>
      </c>
    </row>
    <row r="26" spans="2:29" s="325" customFormat="1" ht="27" customHeight="1">
      <c r="B26" s="677"/>
      <c r="C26" s="678"/>
      <c r="D26" s="313">
        <v>20</v>
      </c>
      <c r="E26" s="314" t="s">
        <v>578</v>
      </c>
      <c r="F26" s="315">
        <v>599.11900000000014</v>
      </c>
      <c r="G26" s="315">
        <v>49.25</v>
      </c>
      <c r="H26" s="315">
        <v>55.199999999999996</v>
      </c>
      <c r="I26" s="316">
        <v>1.1208121827411166</v>
      </c>
      <c r="J26" s="315">
        <v>0</v>
      </c>
      <c r="K26" s="316">
        <v>0</v>
      </c>
      <c r="L26" s="315">
        <v>139.33000000000001</v>
      </c>
      <c r="M26" s="316">
        <v>1.1208121827411166</v>
      </c>
      <c r="N26" s="317">
        <v>829.01349999999945</v>
      </c>
      <c r="O26" s="315">
        <v>4.3</v>
      </c>
      <c r="P26" s="316">
        <v>8.7309644670050757E-2</v>
      </c>
      <c r="Q26" s="318">
        <v>5.9499999999999957</v>
      </c>
      <c r="R26" s="316">
        <v>0.12081218274111666</v>
      </c>
      <c r="S26" s="315">
        <v>829.01349999999945</v>
      </c>
      <c r="T26" s="319" t="s">
        <v>545</v>
      </c>
      <c r="U26" s="319" t="s">
        <v>546</v>
      </c>
      <c r="V26" s="350" t="s">
        <v>579</v>
      </c>
      <c r="W26" s="350" t="s">
        <v>580</v>
      </c>
      <c r="X26" s="320">
        <v>1</v>
      </c>
      <c r="Y26" s="321" t="s">
        <v>288</v>
      </c>
      <c r="AB26" s="331">
        <v>4</v>
      </c>
      <c r="AC26" s="328" t="s">
        <v>550</v>
      </c>
    </row>
    <row r="27" spans="2:29" ht="29.45" customHeight="1">
      <c r="C27" s="679"/>
      <c r="AB27" s="325"/>
      <c r="AC27" s="328"/>
    </row>
    <row r="28" spans="2:29">
      <c r="C28" s="679"/>
    </row>
    <row r="29" spans="2:29">
      <c r="C29" s="679"/>
    </row>
    <row r="30" spans="2:29">
      <c r="C30" s="679"/>
    </row>
    <row r="31" spans="2:29">
      <c r="C31" s="679"/>
    </row>
    <row r="32" spans="2:29">
      <c r="C32" s="679"/>
    </row>
    <row r="33" spans="3:3">
      <c r="C33" s="679"/>
    </row>
    <row r="34" spans="3:3">
      <c r="C34" s="679"/>
    </row>
    <row r="35" spans="3:3">
      <c r="C35" s="679"/>
    </row>
    <row r="36" spans="3:3">
      <c r="C36" s="679"/>
    </row>
    <row r="67" ht="14.1" customHeight="1"/>
    <row r="77" ht="14.1" customHeight="1"/>
    <row r="87" ht="14.1" customHeight="1"/>
    <row r="112" spans="26:26">
      <c r="Z112" s="332" t="s">
        <v>581</v>
      </c>
    </row>
    <row r="113" spans="26:26">
      <c r="Z113" s="325" t="s">
        <v>582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pane="topRight" activeCell="M12" sqref="M12:Q12"/>
      <selection pane="bottomLeft" activeCell="M12" sqref="M12:Q12"/>
      <selection pane="bottomRight" activeCell="B7" sqref="B7:C26"/>
    </sheetView>
  </sheetViews>
  <sheetFormatPr defaultColWidth="8.85546875" defaultRowHeight="14.25"/>
  <cols>
    <col min="1" max="1" width="8.85546875" style="309"/>
    <col min="2" max="2" width="12.42578125" style="309" customWidth="1"/>
    <col min="3" max="3" width="8.85546875" style="309"/>
    <col min="4" max="4" width="11.5703125" style="309" customWidth="1"/>
    <col min="5" max="5" width="39.28515625" style="309" bestFit="1" customWidth="1"/>
    <col min="6" max="6" width="13.42578125" style="309" bestFit="1" customWidth="1"/>
    <col min="7" max="7" width="14.140625" style="309" customWidth="1"/>
    <col min="8" max="8" width="14" style="309" customWidth="1"/>
    <col min="9" max="9" width="16.85546875" style="309" customWidth="1"/>
    <col min="10" max="10" width="14" style="309" customWidth="1"/>
    <col min="11" max="11" width="11.7109375" style="309" bestFit="1" customWidth="1"/>
    <col min="12" max="12" width="13.42578125" style="309" bestFit="1" customWidth="1"/>
    <col min="13" max="13" width="19.28515625" style="309" bestFit="1" customWidth="1"/>
    <col min="14" max="14" width="15.42578125" style="309" bestFit="1" customWidth="1"/>
    <col min="15" max="15" width="12.7109375" style="309" bestFit="1" customWidth="1"/>
    <col min="16" max="16" width="9.85546875" style="309" bestFit="1" customWidth="1"/>
    <col min="17" max="17" width="12.28515625" style="309" bestFit="1" customWidth="1"/>
    <col min="18" max="18" width="10.7109375" style="309" customWidth="1"/>
    <col min="19" max="19" width="10.7109375" style="309" bestFit="1" customWidth="1"/>
    <col min="20" max="20" width="12.42578125" style="309" bestFit="1" customWidth="1"/>
    <col min="21" max="21" width="25.28515625" style="309" bestFit="1" customWidth="1"/>
    <col min="22" max="23" width="88.28515625" style="309" customWidth="1"/>
    <col min="24" max="24" width="7.42578125" style="309" bestFit="1" customWidth="1"/>
    <col min="25" max="25" width="69.5703125" style="309" bestFit="1" customWidth="1"/>
    <col min="26" max="26" width="11.42578125" style="309" bestFit="1" customWidth="1"/>
    <col min="27" max="27" width="21.5703125" style="309" customWidth="1"/>
    <col min="28" max="28" width="19.42578125" style="309" bestFit="1" customWidth="1"/>
    <col min="29" max="34" width="14.42578125" style="309" customWidth="1"/>
    <col min="35" max="35" width="11.42578125" style="309" bestFit="1" customWidth="1"/>
    <col min="36" max="16384" width="8.85546875" style="309"/>
  </cols>
  <sheetData>
    <row r="2" spans="2:35" ht="41.1" customHeight="1">
      <c r="B2" s="684" t="s">
        <v>583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AA2" s="310"/>
      <c r="AB2" s="310"/>
    </row>
    <row r="3" spans="2:35" ht="17.100000000000001" customHeight="1">
      <c r="B3" s="686" t="s">
        <v>504</v>
      </c>
      <c r="C3" s="687"/>
      <c r="D3" s="680" t="s">
        <v>505</v>
      </c>
      <c r="E3" s="680"/>
      <c r="F3" s="680"/>
      <c r="G3" s="680" t="s">
        <v>506</v>
      </c>
      <c r="H3" s="680"/>
      <c r="I3" s="680"/>
      <c r="J3" s="680"/>
      <c r="K3" s="680"/>
      <c r="L3" s="680"/>
      <c r="M3" s="680"/>
      <c r="N3" s="680"/>
      <c r="O3" s="680"/>
      <c r="P3" s="680"/>
      <c r="Q3" s="680"/>
      <c r="R3" s="680"/>
      <c r="S3" s="680"/>
      <c r="T3" s="680" t="s">
        <v>507</v>
      </c>
      <c r="U3" s="692" t="s">
        <v>508</v>
      </c>
      <c r="V3" s="701" t="s">
        <v>584</v>
      </c>
      <c r="W3" s="701" t="s">
        <v>510</v>
      </c>
      <c r="X3" s="698" t="s">
        <v>511</v>
      </c>
      <c r="Y3" s="682" t="s">
        <v>512</v>
      </c>
      <c r="AA3" s="680" t="s">
        <v>513</v>
      </c>
      <c r="AB3" s="680"/>
      <c r="AC3" s="680"/>
      <c r="AD3" s="680"/>
      <c r="AE3" s="680"/>
      <c r="AF3" s="680"/>
      <c r="AG3" s="680"/>
      <c r="AH3" s="680"/>
      <c r="AI3" s="680"/>
    </row>
    <row r="4" spans="2:35" ht="17.100000000000001" customHeight="1">
      <c r="B4" s="688"/>
      <c r="C4" s="689"/>
      <c r="D4" s="681" t="s">
        <v>514</v>
      </c>
      <c r="E4" s="680" t="s">
        <v>515</v>
      </c>
      <c r="F4" s="680"/>
      <c r="G4" s="680" t="s">
        <v>516</v>
      </c>
      <c r="H4" s="680"/>
      <c r="I4" s="680"/>
      <c r="J4" s="680"/>
      <c r="K4" s="680"/>
      <c r="L4" s="680"/>
      <c r="M4" s="680"/>
      <c r="N4" s="680"/>
      <c r="O4" s="680" t="s">
        <v>517</v>
      </c>
      <c r="P4" s="680"/>
      <c r="Q4" s="680"/>
      <c r="R4" s="680"/>
      <c r="S4" s="680"/>
      <c r="T4" s="680"/>
      <c r="U4" s="693"/>
      <c r="V4" s="699"/>
      <c r="W4" s="702"/>
      <c r="X4" s="699"/>
      <c r="Y4" s="682"/>
      <c r="AA4" s="680"/>
      <c r="AB4" s="680"/>
      <c r="AC4" s="680"/>
      <c r="AD4" s="680"/>
      <c r="AE4" s="680"/>
      <c r="AF4" s="680"/>
      <c r="AG4" s="680"/>
      <c r="AH4" s="680"/>
      <c r="AI4" s="680"/>
    </row>
    <row r="5" spans="2:35" ht="17.100000000000001" customHeight="1">
      <c r="B5" s="688"/>
      <c r="C5" s="689"/>
      <c r="D5" s="681"/>
      <c r="E5" s="681" t="s">
        <v>518</v>
      </c>
      <c r="F5" s="682" t="s">
        <v>585</v>
      </c>
      <c r="G5" s="683" t="s">
        <v>520</v>
      </c>
      <c r="H5" s="683"/>
      <c r="I5" s="683"/>
      <c r="J5" s="683"/>
      <c r="K5" s="683"/>
      <c r="L5" s="683"/>
      <c r="M5" s="683"/>
      <c r="N5" s="683"/>
      <c r="O5" s="683" t="s">
        <v>521</v>
      </c>
      <c r="P5" s="683"/>
      <c r="Q5" s="683" t="s">
        <v>522</v>
      </c>
      <c r="R5" s="683"/>
      <c r="S5" s="683"/>
      <c r="T5" s="680"/>
      <c r="U5" s="693"/>
      <c r="V5" s="699"/>
      <c r="W5" s="702"/>
      <c r="X5" s="699"/>
      <c r="Y5" s="682"/>
      <c r="AA5" s="680"/>
      <c r="AB5" s="680"/>
      <c r="AC5" s="680"/>
      <c r="AD5" s="680"/>
      <c r="AE5" s="680"/>
      <c r="AF5" s="680"/>
      <c r="AG5" s="680"/>
      <c r="AH5" s="680"/>
      <c r="AI5" s="680"/>
    </row>
    <row r="6" spans="2:35" ht="38.450000000000003" customHeight="1">
      <c r="B6" s="690"/>
      <c r="C6" s="691"/>
      <c r="D6" s="681"/>
      <c r="E6" s="681"/>
      <c r="F6" s="682"/>
      <c r="G6" s="311" t="s">
        <v>523</v>
      </c>
      <c r="H6" s="311" t="s">
        <v>524</v>
      </c>
      <c r="I6" s="311" t="s">
        <v>525</v>
      </c>
      <c r="J6" s="311" t="s">
        <v>526</v>
      </c>
      <c r="K6" s="311" t="s">
        <v>527</v>
      </c>
      <c r="L6" s="311" t="s">
        <v>528</v>
      </c>
      <c r="M6" s="311" t="s">
        <v>529</v>
      </c>
      <c r="N6" s="311" t="s">
        <v>530</v>
      </c>
      <c r="O6" s="312" t="s">
        <v>531</v>
      </c>
      <c r="P6" s="312" t="s">
        <v>532</v>
      </c>
      <c r="Q6" s="312" t="s">
        <v>531</v>
      </c>
      <c r="R6" s="312" t="s">
        <v>532</v>
      </c>
      <c r="S6" s="311" t="s">
        <v>533</v>
      </c>
      <c r="T6" s="680"/>
      <c r="U6" s="694"/>
      <c r="V6" s="700"/>
      <c r="W6" s="703"/>
      <c r="X6" s="700"/>
      <c r="Y6" s="682"/>
      <c r="AA6" s="200" t="s">
        <v>534</v>
      </c>
      <c r="AB6" s="200" t="s">
        <v>446</v>
      </c>
      <c r="AC6" s="299" t="s">
        <v>535</v>
      </c>
      <c r="AD6" s="299" t="s">
        <v>454</v>
      </c>
      <c r="AE6" s="299" t="s">
        <v>536</v>
      </c>
      <c r="AF6" s="299" t="s">
        <v>537</v>
      </c>
      <c r="AG6" s="299" t="s">
        <v>538</v>
      </c>
      <c r="AH6" s="299" t="s">
        <v>474</v>
      </c>
      <c r="AI6" s="299" t="s">
        <v>539</v>
      </c>
    </row>
    <row r="7" spans="2:35" s="325" customFormat="1" ht="27" customHeight="1">
      <c r="B7" s="673" t="s">
        <v>683</v>
      </c>
      <c r="C7" s="674"/>
      <c r="D7" s="313">
        <v>1</v>
      </c>
      <c r="E7" s="314" t="s">
        <v>470</v>
      </c>
      <c r="F7" s="315">
        <v>1743.6575999999552</v>
      </c>
      <c r="G7" s="315">
        <v>438.82400000000001</v>
      </c>
      <c r="H7" s="315">
        <v>442.19999999999993</v>
      </c>
      <c r="I7" s="316">
        <v>1.007693289336955</v>
      </c>
      <c r="J7" s="315">
        <v>0.2</v>
      </c>
      <c r="K7" s="316">
        <v>4.5576358631250796E-4</v>
      </c>
      <c r="L7" s="315">
        <v>487.6</v>
      </c>
      <c r="M7" s="316">
        <v>1.0081490529232675</v>
      </c>
      <c r="N7" s="317">
        <v>1646.1375999999609</v>
      </c>
      <c r="O7" s="315">
        <v>0.8</v>
      </c>
      <c r="P7" s="316">
        <v>1.8230543452500319E-3</v>
      </c>
      <c r="Q7" s="315">
        <v>390.08000000000004</v>
      </c>
      <c r="R7" s="318">
        <v>3.5759999999999081</v>
      </c>
      <c r="S7" s="316">
        <v>8.1490529232674334E-3</v>
      </c>
      <c r="T7" s="350" t="s">
        <v>550</v>
      </c>
      <c r="U7" s="319" t="s">
        <v>473</v>
      </c>
      <c r="V7" s="350" t="s">
        <v>586</v>
      </c>
      <c r="W7" s="350" t="s">
        <v>552</v>
      </c>
      <c r="X7" s="320">
        <v>1</v>
      </c>
      <c r="Y7" s="321" t="s">
        <v>306</v>
      </c>
      <c r="Z7" s="322" t="s">
        <v>543</v>
      </c>
      <c r="AA7" s="323">
        <f>SUM(X7:X26)</f>
        <v>20</v>
      </c>
      <c r="AB7" s="324">
        <f>SUMIF($U$7:$U$26,TRIM(AB6),$X$7:$X$26)</f>
        <v>0</v>
      </c>
      <c r="AC7" s="324">
        <f>SUMIF($U$7:$U$26,TRIM(AC6),$X$7:$X$26)</f>
        <v>1</v>
      </c>
      <c r="AD7" s="324">
        <f t="shared" ref="AD7:AI7" ca="1" si="0">SUMIF($U$7:$U$9710,TRIM(AD6),$X$7:$X$26)</f>
        <v>2</v>
      </c>
      <c r="AE7" s="324">
        <f t="shared" ca="1" si="0"/>
        <v>2</v>
      </c>
      <c r="AF7" s="324">
        <f t="shared" ca="1" si="0"/>
        <v>6</v>
      </c>
      <c r="AG7" s="324">
        <f t="shared" ca="1" si="0"/>
        <v>2</v>
      </c>
      <c r="AH7" s="324">
        <f t="shared" ca="1" si="0"/>
        <v>1</v>
      </c>
      <c r="AI7" s="324">
        <f t="shared" ca="1" si="0"/>
        <v>0</v>
      </c>
    </row>
    <row r="8" spans="2:35" s="325" customFormat="1" ht="27" customHeight="1">
      <c r="B8" s="675"/>
      <c r="C8" s="676"/>
      <c r="D8" s="313">
        <v>2</v>
      </c>
      <c r="E8" s="314" t="s">
        <v>452</v>
      </c>
      <c r="F8" s="315">
        <v>1501.3267999999939</v>
      </c>
      <c r="G8" s="315">
        <v>671.16000000000008</v>
      </c>
      <c r="H8" s="315">
        <v>685.6</v>
      </c>
      <c r="I8" s="316">
        <v>1.0215149889743131</v>
      </c>
      <c r="J8" s="315">
        <v>0</v>
      </c>
      <c r="K8" s="316">
        <v>0</v>
      </c>
      <c r="L8" s="315">
        <v>103.97</v>
      </c>
      <c r="M8" s="316">
        <v>1.0215149889743131</v>
      </c>
      <c r="N8" s="317">
        <v>1501.3267999999939</v>
      </c>
      <c r="O8" s="315">
        <v>7.0000000000000009</v>
      </c>
      <c r="P8" s="316">
        <v>1.0429703796412181E-2</v>
      </c>
      <c r="Q8" s="315">
        <v>727.79</v>
      </c>
      <c r="R8" s="318">
        <v>14.439999999999941</v>
      </c>
      <c r="S8" s="316">
        <v>2.1514988974313039E-2</v>
      </c>
      <c r="T8" s="350" t="s">
        <v>540</v>
      </c>
      <c r="U8" s="319" t="s">
        <v>587</v>
      </c>
      <c r="V8" s="350" t="s">
        <v>554</v>
      </c>
      <c r="W8" s="351" t="s">
        <v>555</v>
      </c>
      <c r="X8" s="320">
        <v>1</v>
      </c>
      <c r="Y8" s="321" t="s">
        <v>297</v>
      </c>
      <c r="AA8" s="323"/>
      <c r="AB8" s="327">
        <f>SUMIF($U$7:$U$26,TRIM(AB6),$F$7:$F$26)</f>
        <v>0</v>
      </c>
      <c r="AC8" s="327">
        <f>SUMIF($U$7:$U$26,TRIM(AC6),$F$7:$F$26)</f>
        <v>1351.4083999999991</v>
      </c>
      <c r="AD8" s="327">
        <f t="shared" ref="AD8:AI8" ca="1" si="1">SUMIF($U$7:$U$176,TRIM(AD6),$F$7:$F$26)</f>
        <v>2382.4582500000106</v>
      </c>
      <c r="AE8" s="327">
        <f t="shared" ca="1" si="1"/>
        <v>2411.1381199999896</v>
      </c>
      <c r="AF8" s="327">
        <f t="shared" ca="1" si="1"/>
        <v>7919.6729299999806</v>
      </c>
      <c r="AG8" s="327">
        <f t="shared" ca="1" si="1"/>
        <v>2969.7468799999551</v>
      </c>
      <c r="AH8" s="327">
        <f t="shared" ca="1" si="1"/>
        <v>1220.7728400000015</v>
      </c>
      <c r="AI8" s="327">
        <f t="shared" ca="1" si="1"/>
        <v>0</v>
      </c>
    </row>
    <row r="9" spans="2:35" s="325" customFormat="1" ht="27" customHeight="1">
      <c r="B9" s="675"/>
      <c r="C9" s="676"/>
      <c r="D9" s="313">
        <v>3</v>
      </c>
      <c r="E9" s="314" t="s">
        <v>494</v>
      </c>
      <c r="F9" s="315">
        <v>1498.476449999999</v>
      </c>
      <c r="G9" s="315">
        <v>459.23500000000001</v>
      </c>
      <c r="H9" s="315">
        <v>460.5</v>
      </c>
      <c r="I9" s="316">
        <v>1.0027545809879472</v>
      </c>
      <c r="J9" s="315">
        <v>2.2999999999999998</v>
      </c>
      <c r="K9" s="316">
        <v>5.0083290689951765E-3</v>
      </c>
      <c r="L9" s="315">
        <v>420.33</v>
      </c>
      <c r="M9" s="316">
        <v>1.0077629100569425</v>
      </c>
      <c r="N9" s="317">
        <v>531.7174499999943</v>
      </c>
      <c r="O9" s="315">
        <v>1.4000000000000001</v>
      </c>
      <c r="P9" s="316">
        <v>3.048548128953586E-3</v>
      </c>
      <c r="Q9" s="315">
        <v>588.46199999999999</v>
      </c>
      <c r="R9" s="318">
        <v>3.5649999999999977</v>
      </c>
      <c r="S9" s="316">
        <v>7.7629100569425189E-3</v>
      </c>
      <c r="T9" s="393" t="s">
        <v>550</v>
      </c>
      <c r="U9" s="319" t="s">
        <v>466</v>
      </c>
      <c r="V9" s="350" t="s">
        <v>551</v>
      </c>
      <c r="W9" s="350" t="s">
        <v>552</v>
      </c>
      <c r="X9" s="320">
        <v>1</v>
      </c>
      <c r="Y9" s="321" t="s">
        <v>314</v>
      </c>
      <c r="AB9" s="402">
        <f>AB7/$AA$7</f>
        <v>0</v>
      </c>
      <c r="AC9" s="402">
        <f t="shared" ref="AC9:AI9" si="2">AC7/$AA$7</f>
        <v>0.05</v>
      </c>
      <c r="AD9" s="402">
        <f t="shared" ca="1" si="2"/>
        <v>0.1</v>
      </c>
      <c r="AE9" s="402">
        <f t="shared" ca="1" si="2"/>
        <v>0.1</v>
      </c>
      <c r="AF9" s="402">
        <f t="shared" ca="1" si="2"/>
        <v>0.3</v>
      </c>
      <c r="AG9" s="402">
        <f t="shared" ca="1" si="2"/>
        <v>0.1</v>
      </c>
      <c r="AH9" s="402">
        <f t="shared" ca="1" si="2"/>
        <v>0.05</v>
      </c>
      <c r="AI9" s="402">
        <f t="shared" ca="1" si="2"/>
        <v>0</v>
      </c>
    </row>
    <row r="10" spans="2:35" s="325" customFormat="1" ht="27" customHeight="1">
      <c r="B10" s="675"/>
      <c r="C10" s="676"/>
      <c r="D10" s="313">
        <v>4</v>
      </c>
      <c r="E10" s="314" t="s">
        <v>588</v>
      </c>
      <c r="F10" s="315">
        <v>1445.4852000000137</v>
      </c>
      <c r="G10" s="315">
        <v>1451.1599999999999</v>
      </c>
      <c r="H10" s="315">
        <v>1471.2</v>
      </c>
      <c r="I10" s="316">
        <v>1.0138096419416192</v>
      </c>
      <c r="J10" s="315">
        <v>0</v>
      </c>
      <c r="K10" s="316">
        <v>0</v>
      </c>
      <c r="L10" s="315">
        <v>72.13</v>
      </c>
      <c r="M10" s="316">
        <v>1.0138096419416192</v>
      </c>
      <c r="N10" s="317">
        <v>1445.4852000000137</v>
      </c>
      <c r="O10" s="315">
        <v>7.8</v>
      </c>
      <c r="P10" s="316">
        <v>5.3750103365583397E-3</v>
      </c>
      <c r="Q10" s="315">
        <v>562.61400000000003</v>
      </c>
      <c r="R10" s="318">
        <v>20.040000000000191</v>
      </c>
      <c r="S10" s="316">
        <v>1.3809641941619252E-2</v>
      </c>
      <c r="T10" s="350" t="s">
        <v>540</v>
      </c>
      <c r="U10" s="319" t="s">
        <v>587</v>
      </c>
      <c r="V10" s="350" t="s">
        <v>554</v>
      </c>
      <c r="W10" s="350" t="s">
        <v>555</v>
      </c>
      <c r="X10" s="320">
        <v>1</v>
      </c>
      <c r="Y10" s="321" t="s">
        <v>298</v>
      </c>
    </row>
    <row r="11" spans="2:35" s="325" customFormat="1" ht="27" customHeight="1">
      <c r="B11" s="675"/>
      <c r="C11" s="676"/>
      <c r="D11" s="313">
        <v>5</v>
      </c>
      <c r="E11" s="314" t="s">
        <v>589</v>
      </c>
      <c r="F11" s="315">
        <v>1408.5980999999638</v>
      </c>
      <c r="G11" s="315">
        <v>1669.21</v>
      </c>
      <c r="H11" s="315">
        <v>1679.4999999999998</v>
      </c>
      <c r="I11" s="316">
        <v>1.0061645928313392</v>
      </c>
      <c r="J11" s="315">
        <v>0</v>
      </c>
      <c r="K11" s="316">
        <v>0</v>
      </c>
      <c r="L11" s="315">
        <v>136.88999999999999</v>
      </c>
      <c r="M11" s="316">
        <v>1.0061645928313392</v>
      </c>
      <c r="N11" s="317">
        <v>1408.5980999999638</v>
      </c>
      <c r="O11" s="315">
        <v>4.3</v>
      </c>
      <c r="P11" s="316">
        <v>2.5760689188298654E-3</v>
      </c>
      <c r="Q11" s="315">
        <v>588.62699999999995</v>
      </c>
      <c r="R11" s="318">
        <v>10.289999999999736</v>
      </c>
      <c r="S11" s="316">
        <v>6.1645928313392179E-3</v>
      </c>
      <c r="T11" s="350" t="s">
        <v>550</v>
      </c>
      <c r="U11" s="319" t="s">
        <v>466</v>
      </c>
      <c r="V11" s="350" t="s">
        <v>551</v>
      </c>
      <c r="W11" s="350" t="s">
        <v>552</v>
      </c>
      <c r="X11" s="320">
        <v>1</v>
      </c>
      <c r="Y11" s="321" t="s">
        <v>456</v>
      </c>
    </row>
    <row r="12" spans="2:35" s="325" customFormat="1" ht="27" customHeight="1">
      <c r="B12" s="675"/>
      <c r="C12" s="676"/>
      <c r="D12" s="313">
        <v>6</v>
      </c>
      <c r="E12" s="314" t="s">
        <v>544</v>
      </c>
      <c r="F12" s="315">
        <v>1351.4083999999991</v>
      </c>
      <c r="G12" s="315">
        <v>224.31</v>
      </c>
      <c r="H12" s="315">
        <v>236.6</v>
      </c>
      <c r="I12" s="316">
        <v>1.0547902456421916</v>
      </c>
      <c r="J12" s="315">
        <v>0</v>
      </c>
      <c r="K12" s="316">
        <v>0</v>
      </c>
      <c r="L12" s="315">
        <v>109.96</v>
      </c>
      <c r="M12" s="316">
        <v>1.0547902456421916</v>
      </c>
      <c r="N12" s="317">
        <v>1351.4083999999991</v>
      </c>
      <c r="O12" s="315">
        <v>7.2000000000000011</v>
      </c>
      <c r="P12" s="316">
        <v>3.2098435201283942E-2</v>
      </c>
      <c r="Q12" s="315">
        <v>791.71199999999999</v>
      </c>
      <c r="R12" s="318">
        <v>12.289999999999992</v>
      </c>
      <c r="S12" s="316">
        <v>5.4790245642191572E-2</v>
      </c>
      <c r="T12" s="350" t="s">
        <v>545</v>
      </c>
      <c r="U12" s="319" t="s">
        <v>546</v>
      </c>
      <c r="V12" s="350" t="s">
        <v>590</v>
      </c>
      <c r="W12" s="350" t="s">
        <v>591</v>
      </c>
      <c r="X12" s="320">
        <v>1</v>
      </c>
      <c r="Y12" s="321" t="s">
        <v>549</v>
      </c>
    </row>
    <row r="13" spans="2:35" s="325" customFormat="1" ht="27" customHeight="1">
      <c r="B13" s="675"/>
      <c r="C13" s="676"/>
      <c r="D13" s="313">
        <v>7</v>
      </c>
      <c r="E13" s="314" t="s">
        <v>592</v>
      </c>
      <c r="F13" s="315">
        <v>1346.7133799999783</v>
      </c>
      <c r="G13" s="315">
        <v>1640.9860000000001</v>
      </c>
      <c r="H13" s="315">
        <v>1653.1</v>
      </c>
      <c r="I13" s="316">
        <v>1.0073821470749902</v>
      </c>
      <c r="J13" s="315">
        <v>0</v>
      </c>
      <c r="K13" s="316">
        <v>0</v>
      </c>
      <c r="L13" s="315">
        <v>111.17</v>
      </c>
      <c r="M13" s="316">
        <v>1.0073821470749902</v>
      </c>
      <c r="N13" s="317">
        <v>1346.7133799999783</v>
      </c>
      <c r="O13" s="315">
        <v>5</v>
      </c>
      <c r="P13" s="316">
        <v>3.0469486028521873E-3</v>
      </c>
      <c r="Q13" s="315">
        <v>555.85</v>
      </c>
      <c r="R13" s="318">
        <v>12.113999999999805</v>
      </c>
      <c r="S13" s="316">
        <v>7.3821470749901611E-3</v>
      </c>
      <c r="T13" s="393" t="s">
        <v>540</v>
      </c>
      <c r="U13" s="319" t="s">
        <v>587</v>
      </c>
      <c r="V13" s="350" t="s">
        <v>557</v>
      </c>
      <c r="W13" s="350" t="s">
        <v>558</v>
      </c>
      <c r="X13" s="320">
        <v>1</v>
      </c>
      <c r="Y13" s="321" t="s">
        <v>456</v>
      </c>
      <c r="AB13" s="325">
        <v>1</v>
      </c>
      <c r="AC13" s="328" t="s">
        <v>446</v>
      </c>
    </row>
    <row r="14" spans="2:35" s="325" customFormat="1" ht="27" customHeight="1">
      <c r="B14" s="675"/>
      <c r="C14" s="676"/>
      <c r="D14" s="313">
        <v>8</v>
      </c>
      <c r="E14" s="314" t="s">
        <v>491</v>
      </c>
      <c r="F14" s="315">
        <v>1317.6748000000186</v>
      </c>
      <c r="G14" s="315">
        <v>1766.34</v>
      </c>
      <c r="H14" s="315">
        <v>1784.8000000000002</v>
      </c>
      <c r="I14" s="316">
        <v>1.0104509890508058</v>
      </c>
      <c r="J14" s="315">
        <v>0</v>
      </c>
      <c r="K14" s="316">
        <v>0</v>
      </c>
      <c r="L14" s="315">
        <v>71.38</v>
      </c>
      <c r="M14" s="316">
        <v>1.0104509890508058</v>
      </c>
      <c r="N14" s="317">
        <v>1317.6748000000186</v>
      </c>
      <c r="O14" s="315">
        <v>7.6</v>
      </c>
      <c r="P14" s="316">
        <v>4.3026823827802124E-3</v>
      </c>
      <c r="Q14" s="315">
        <v>542.48799999999994</v>
      </c>
      <c r="R14" s="318">
        <v>18.460000000000264</v>
      </c>
      <c r="S14" s="316">
        <v>1.045098905080577E-2</v>
      </c>
      <c r="T14" s="319" t="s">
        <v>540</v>
      </c>
      <c r="U14" s="319" t="s">
        <v>587</v>
      </c>
      <c r="V14" s="350" t="s">
        <v>593</v>
      </c>
      <c r="W14" s="350" t="s">
        <v>552</v>
      </c>
      <c r="X14" s="320">
        <v>1</v>
      </c>
      <c r="Y14" s="321" t="s">
        <v>289</v>
      </c>
      <c r="AB14" s="325">
        <v>2</v>
      </c>
      <c r="AC14" s="328" t="s">
        <v>546</v>
      </c>
    </row>
    <row r="15" spans="2:35" s="325" customFormat="1" ht="27" customHeight="1">
      <c r="B15" s="675"/>
      <c r="C15" s="676"/>
      <c r="D15" s="313">
        <v>9</v>
      </c>
      <c r="E15" s="314" t="s">
        <v>467</v>
      </c>
      <c r="F15" s="315">
        <v>1300.9698000000105</v>
      </c>
      <c r="G15" s="315">
        <v>350.42999999999995</v>
      </c>
      <c r="H15" s="315">
        <v>355.2</v>
      </c>
      <c r="I15" s="316">
        <v>1.0136118483006593</v>
      </c>
      <c r="J15" s="315">
        <v>0</v>
      </c>
      <c r="K15" s="316">
        <v>0</v>
      </c>
      <c r="L15" s="315">
        <v>272.74</v>
      </c>
      <c r="M15" s="316">
        <v>1.0136118483006593</v>
      </c>
      <c r="N15" s="317">
        <v>1300.9698000000105</v>
      </c>
      <c r="O15" s="315">
        <v>2.9</v>
      </c>
      <c r="P15" s="316">
        <v>8.2755471848871397E-3</v>
      </c>
      <c r="Q15" s="315">
        <v>790.94600000000003</v>
      </c>
      <c r="R15" s="318">
        <v>4.7700000000000387</v>
      </c>
      <c r="S15" s="316">
        <v>1.3611848300659302E-2</v>
      </c>
      <c r="T15" s="393" t="s">
        <v>550</v>
      </c>
      <c r="U15" s="319" t="s">
        <v>466</v>
      </c>
      <c r="V15" s="350" t="s">
        <v>551</v>
      </c>
      <c r="W15" s="350" t="s">
        <v>552</v>
      </c>
      <c r="X15" s="320">
        <v>1</v>
      </c>
      <c r="Y15" s="321" t="s">
        <v>291</v>
      </c>
      <c r="AB15" s="325">
        <v>3</v>
      </c>
      <c r="AC15" s="328" t="s">
        <v>561</v>
      </c>
    </row>
    <row r="16" spans="2:35" s="325" customFormat="1" ht="27" customHeight="1">
      <c r="B16" s="675"/>
      <c r="C16" s="676"/>
      <c r="D16" s="313">
        <v>10</v>
      </c>
      <c r="E16" s="314" t="s">
        <v>594</v>
      </c>
      <c r="F16" s="315">
        <v>1277.7871999999893</v>
      </c>
      <c r="G16" s="315">
        <v>787.77600000000007</v>
      </c>
      <c r="H16" s="315">
        <v>804.19999999999993</v>
      </c>
      <c r="I16" s="316">
        <v>1.0208485660898527</v>
      </c>
      <c r="J16" s="315">
        <v>0</v>
      </c>
      <c r="K16" s="316">
        <v>0</v>
      </c>
      <c r="L16" s="315">
        <v>77.8</v>
      </c>
      <c r="M16" s="316">
        <v>1.0208485660898527</v>
      </c>
      <c r="N16" s="317">
        <v>1277.7871999999893</v>
      </c>
      <c r="O16" s="315">
        <v>6.8000000000000007</v>
      </c>
      <c r="P16" s="316">
        <v>8.6318953611178809E-3</v>
      </c>
      <c r="Q16" s="315">
        <v>529.04</v>
      </c>
      <c r="R16" s="318">
        <v>16.423999999999864</v>
      </c>
      <c r="S16" s="316">
        <v>2.084856608985278E-2</v>
      </c>
      <c r="T16" s="319" t="s">
        <v>540</v>
      </c>
      <c r="U16" s="319" t="s">
        <v>587</v>
      </c>
      <c r="V16" s="350" t="s">
        <v>554</v>
      </c>
      <c r="W16" s="350" t="s">
        <v>555</v>
      </c>
      <c r="X16" s="320">
        <v>1</v>
      </c>
      <c r="Y16" s="321" t="s">
        <v>335</v>
      </c>
      <c r="AB16" s="325">
        <v>4</v>
      </c>
      <c r="AC16" s="328" t="s">
        <v>562</v>
      </c>
    </row>
    <row r="17" spans="2:29" s="325" customFormat="1" ht="27" customHeight="1">
      <c r="B17" s="675"/>
      <c r="C17" s="676"/>
      <c r="D17" s="313">
        <v>11</v>
      </c>
      <c r="E17" s="314" t="s">
        <v>595</v>
      </c>
      <c r="F17" s="315">
        <v>1259.3978599999998</v>
      </c>
      <c r="G17" s="315">
        <v>16.331</v>
      </c>
      <c r="H17" s="315">
        <v>17.7</v>
      </c>
      <c r="I17" s="316">
        <v>1.0838283020023269</v>
      </c>
      <c r="J17" s="315">
        <v>0</v>
      </c>
      <c r="K17" s="316">
        <v>0</v>
      </c>
      <c r="L17" s="315">
        <v>919.94</v>
      </c>
      <c r="M17" s="316">
        <v>1.0838283020023269</v>
      </c>
      <c r="N17" s="317">
        <v>1259.3978599999998</v>
      </c>
      <c r="O17" s="315">
        <v>0.6</v>
      </c>
      <c r="P17" s="316">
        <v>3.6739942440756845E-2</v>
      </c>
      <c r="Q17" s="315">
        <v>551.96400000000006</v>
      </c>
      <c r="R17" s="318">
        <v>1.3689999999999998</v>
      </c>
      <c r="S17" s="316">
        <v>8.3828302002326854E-2</v>
      </c>
      <c r="T17" s="319" t="s">
        <v>550</v>
      </c>
      <c r="U17" s="319" t="s">
        <v>466</v>
      </c>
      <c r="V17" s="350" t="s">
        <v>480</v>
      </c>
      <c r="W17" s="350" t="s">
        <v>552</v>
      </c>
      <c r="X17" s="320">
        <v>1</v>
      </c>
      <c r="Y17" s="321" t="s">
        <v>229</v>
      </c>
      <c r="AB17" s="325">
        <v>5</v>
      </c>
      <c r="AC17" s="328" t="s">
        <v>466</v>
      </c>
    </row>
    <row r="18" spans="2:29" s="325" customFormat="1" ht="27" customHeight="1">
      <c r="B18" s="675"/>
      <c r="C18" s="676"/>
      <c r="D18" s="313">
        <v>12</v>
      </c>
      <c r="E18" s="314" t="s">
        <v>464</v>
      </c>
      <c r="F18" s="315">
        <v>1242.1206199999892</v>
      </c>
      <c r="G18" s="315">
        <v>172.32600000000002</v>
      </c>
      <c r="H18" s="315">
        <v>176.2</v>
      </c>
      <c r="I18" s="316">
        <v>1.0224806471455263</v>
      </c>
      <c r="J18" s="315">
        <v>0</v>
      </c>
      <c r="K18" s="316">
        <v>0</v>
      </c>
      <c r="L18" s="315">
        <v>320.63</v>
      </c>
      <c r="M18" s="316">
        <v>1.0224806471455263</v>
      </c>
      <c r="N18" s="317">
        <v>1242.1206199999892</v>
      </c>
      <c r="O18" s="315">
        <v>2.6</v>
      </c>
      <c r="P18" s="316">
        <v>1.5087682648004362E-2</v>
      </c>
      <c r="Q18" s="315">
        <v>833.63799999999992</v>
      </c>
      <c r="R18" s="318">
        <v>3.8739999999999668</v>
      </c>
      <c r="S18" s="316">
        <v>2.2480647145526306E-2</v>
      </c>
      <c r="T18" s="313" t="s">
        <v>540</v>
      </c>
      <c r="U18" s="319" t="s">
        <v>414</v>
      </c>
      <c r="V18" s="350" t="s">
        <v>541</v>
      </c>
      <c r="W18" s="350" t="s">
        <v>542</v>
      </c>
      <c r="X18" s="320">
        <v>1</v>
      </c>
      <c r="Y18" s="321" t="s">
        <v>335</v>
      </c>
      <c r="AB18" s="325">
        <v>6</v>
      </c>
      <c r="AC18" s="328" t="s">
        <v>473</v>
      </c>
    </row>
    <row r="19" spans="2:29" s="325" customFormat="1" ht="27" customHeight="1">
      <c r="B19" s="675"/>
      <c r="C19" s="676"/>
      <c r="D19" s="313">
        <v>13</v>
      </c>
      <c r="E19" s="314" t="s">
        <v>471</v>
      </c>
      <c r="F19" s="315">
        <v>1237.0915200000002</v>
      </c>
      <c r="G19" s="315">
        <v>197.34399999999999</v>
      </c>
      <c r="H19" s="315">
        <v>201.6</v>
      </c>
      <c r="I19" s="316">
        <v>1.0215664018161181</v>
      </c>
      <c r="J19" s="315">
        <v>0</v>
      </c>
      <c r="K19" s="316">
        <v>0</v>
      </c>
      <c r="L19" s="315">
        <v>290.67</v>
      </c>
      <c r="M19" s="316">
        <v>1.0215664018161181</v>
      </c>
      <c r="N19" s="317">
        <v>1237.0915200000002</v>
      </c>
      <c r="O19" s="315">
        <v>2.4</v>
      </c>
      <c r="P19" s="316">
        <v>1.2161504783525215E-2</v>
      </c>
      <c r="Q19" s="315">
        <v>697.60800000000006</v>
      </c>
      <c r="R19" s="318">
        <v>4.2560000000000002</v>
      </c>
      <c r="S19" s="316">
        <v>2.1566401816118051E-2</v>
      </c>
      <c r="T19" s="393" t="s">
        <v>550</v>
      </c>
      <c r="U19" s="319" t="s">
        <v>466</v>
      </c>
      <c r="V19" s="350" t="s">
        <v>551</v>
      </c>
      <c r="W19" s="350" t="s">
        <v>552</v>
      </c>
      <c r="X19" s="320">
        <v>1</v>
      </c>
      <c r="Y19" s="321" t="s">
        <v>303</v>
      </c>
      <c r="AB19" s="325">
        <v>7</v>
      </c>
      <c r="AC19" s="328" t="s">
        <v>568</v>
      </c>
    </row>
    <row r="20" spans="2:29" s="325" customFormat="1" ht="27" customHeight="1">
      <c r="B20" s="675"/>
      <c r="C20" s="676"/>
      <c r="D20" s="313">
        <v>14</v>
      </c>
      <c r="E20" s="314" t="s">
        <v>596</v>
      </c>
      <c r="F20" s="315">
        <v>1226.0892800000001</v>
      </c>
      <c r="G20" s="315">
        <v>129.744</v>
      </c>
      <c r="H20" s="315">
        <v>132.5</v>
      </c>
      <c r="I20" s="316">
        <v>1.0212418300653594</v>
      </c>
      <c r="J20" s="315">
        <v>0</v>
      </c>
      <c r="K20" s="316">
        <v>0</v>
      </c>
      <c r="L20" s="315">
        <v>444.88</v>
      </c>
      <c r="M20" s="316">
        <v>1.0212418300653594</v>
      </c>
      <c r="N20" s="317">
        <v>1226.0892800000001</v>
      </c>
      <c r="O20" s="315">
        <v>1</v>
      </c>
      <c r="P20" s="316">
        <v>7.7074855099272411E-3</v>
      </c>
      <c r="Q20" s="315">
        <v>444.88</v>
      </c>
      <c r="R20" s="318">
        <v>2.7560000000000002</v>
      </c>
      <c r="S20" s="316">
        <v>2.1241830065359478E-2</v>
      </c>
      <c r="T20" s="319" t="s">
        <v>550</v>
      </c>
      <c r="U20" s="319" t="s">
        <v>473</v>
      </c>
      <c r="V20" s="350" t="s">
        <v>597</v>
      </c>
      <c r="W20" s="350" t="s">
        <v>552</v>
      </c>
      <c r="X20" s="320">
        <v>1</v>
      </c>
      <c r="Y20" s="321" t="s">
        <v>305</v>
      </c>
      <c r="AB20" s="325">
        <v>8</v>
      </c>
      <c r="AC20" s="329" t="s">
        <v>572</v>
      </c>
    </row>
    <row r="21" spans="2:29" s="325" customFormat="1" ht="27" customHeight="1">
      <c r="B21" s="675"/>
      <c r="C21" s="676"/>
      <c r="D21" s="313">
        <v>15</v>
      </c>
      <c r="E21" s="314" t="s">
        <v>485</v>
      </c>
      <c r="F21" s="315">
        <v>1220.7728400000015</v>
      </c>
      <c r="G21" s="315">
        <v>17.567999999999998</v>
      </c>
      <c r="H21" s="315">
        <v>18.8</v>
      </c>
      <c r="I21" s="316">
        <v>1.0701275045537342</v>
      </c>
      <c r="J21" s="315">
        <v>0.7</v>
      </c>
      <c r="K21" s="316">
        <v>3.9845173041894354E-2</v>
      </c>
      <c r="L21" s="315">
        <v>631.87</v>
      </c>
      <c r="M21" s="316">
        <v>1.1099726775956285</v>
      </c>
      <c r="N21" s="317">
        <v>778.46384000000182</v>
      </c>
      <c r="O21" s="315">
        <v>1</v>
      </c>
      <c r="P21" s="316">
        <v>5.6921675774134796E-2</v>
      </c>
      <c r="Q21" s="315">
        <v>631.87</v>
      </c>
      <c r="R21" s="318">
        <v>1.9320000000000022</v>
      </c>
      <c r="S21" s="316">
        <v>0.10997267759562855</v>
      </c>
      <c r="T21" s="313" t="s">
        <v>550</v>
      </c>
      <c r="U21" s="319" t="s">
        <v>568</v>
      </c>
      <c r="V21" s="350" t="s">
        <v>598</v>
      </c>
      <c r="W21" s="350" t="s">
        <v>599</v>
      </c>
      <c r="X21" s="320">
        <v>1</v>
      </c>
      <c r="Y21" s="321" t="s">
        <v>294</v>
      </c>
      <c r="AC21" s="328"/>
    </row>
    <row r="22" spans="2:29" s="325" customFormat="1" ht="27" customHeight="1">
      <c r="B22" s="675"/>
      <c r="C22" s="676"/>
      <c r="D22" s="313">
        <v>16</v>
      </c>
      <c r="E22" s="314" t="s">
        <v>463</v>
      </c>
      <c r="F22" s="315">
        <v>1220.7484800000173</v>
      </c>
      <c r="G22" s="315">
        <v>873.82399999999996</v>
      </c>
      <c r="H22" s="315">
        <v>883.40000000000009</v>
      </c>
      <c r="I22" s="316">
        <v>1.0109587285311461</v>
      </c>
      <c r="J22" s="315">
        <v>0</v>
      </c>
      <c r="K22" s="316">
        <v>0</v>
      </c>
      <c r="L22" s="315">
        <v>127.48</v>
      </c>
      <c r="M22" s="316">
        <v>1.0109587285311461</v>
      </c>
      <c r="N22" s="317">
        <v>1220.7484800000173</v>
      </c>
      <c r="O22" s="315">
        <v>5.4</v>
      </c>
      <c r="P22" s="316">
        <v>6.1797341341048089E-3</v>
      </c>
      <c r="Q22" s="315">
        <v>688.39199999999994</v>
      </c>
      <c r="R22" s="318">
        <v>9.5760000000001355</v>
      </c>
      <c r="S22" s="316">
        <v>1.0958728531146015E-2</v>
      </c>
      <c r="T22" s="319" t="s">
        <v>540</v>
      </c>
      <c r="U22" s="319" t="s">
        <v>587</v>
      </c>
      <c r="V22" s="350" t="s">
        <v>554</v>
      </c>
      <c r="W22" s="350" t="s">
        <v>555</v>
      </c>
      <c r="X22" s="320">
        <v>1</v>
      </c>
      <c r="Y22" s="321" t="s">
        <v>354</v>
      </c>
      <c r="AC22" s="328"/>
    </row>
    <row r="23" spans="2:29" s="325" customFormat="1" ht="27" customHeight="1">
      <c r="B23" s="675"/>
      <c r="C23" s="676"/>
      <c r="D23" s="313">
        <v>17</v>
      </c>
      <c r="E23" s="314" t="s">
        <v>457</v>
      </c>
      <c r="F23" s="315">
        <v>1219.8979000000095</v>
      </c>
      <c r="G23" s="315">
        <v>541.46499999999992</v>
      </c>
      <c r="H23" s="315">
        <v>557.70000000000005</v>
      </c>
      <c r="I23" s="316">
        <v>1.0299834707691173</v>
      </c>
      <c r="J23" s="315">
        <v>0</v>
      </c>
      <c r="K23" s="316">
        <v>0</v>
      </c>
      <c r="L23" s="315">
        <v>75.14</v>
      </c>
      <c r="M23" s="316">
        <v>1.0299834707691173</v>
      </c>
      <c r="N23" s="317">
        <v>1219.8979000000095</v>
      </c>
      <c r="O23" s="315">
        <v>7.6</v>
      </c>
      <c r="P23" s="316">
        <v>1.4035994939654458E-2</v>
      </c>
      <c r="Q23" s="315">
        <v>571.06399999999996</v>
      </c>
      <c r="R23" s="318">
        <v>16.235000000000127</v>
      </c>
      <c r="S23" s="316">
        <v>2.9983470769117358E-2</v>
      </c>
      <c r="T23" s="319" t="s">
        <v>545</v>
      </c>
      <c r="U23" s="319" t="s">
        <v>561</v>
      </c>
      <c r="V23" s="350" t="s">
        <v>541</v>
      </c>
      <c r="W23" s="350" t="s">
        <v>542</v>
      </c>
      <c r="X23" s="320">
        <v>1</v>
      </c>
      <c r="Y23" s="321" t="s">
        <v>456</v>
      </c>
      <c r="AB23" s="330">
        <v>1</v>
      </c>
      <c r="AC23" s="328" t="s">
        <v>545</v>
      </c>
    </row>
    <row r="24" spans="2:29" s="325" customFormat="1" ht="27" customHeight="1">
      <c r="B24" s="675"/>
      <c r="C24" s="676"/>
      <c r="D24" s="313">
        <v>18</v>
      </c>
      <c r="E24" s="314" t="s">
        <v>575</v>
      </c>
      <c r="F24" s="315">
        <v>1215.1392000000071</v>
      </c>
      <c r="G24" s="315">
        <v>232.95999999999998</v>
      </c>
      <c r="H24" s="315">
        <v>236.3</v>
      </c>
      <c r="I24" s="316">
        <v>1.0143372252747254</v>
      </c>
      <c r="J24" s="315">
        <v>1.1000000000000001</v>
      </c>
      <c r="K24" s="316">
        <v>4.7218406593406599E-3</v>
      </c>
      <c r="L24" s="315">
        <v>273.68</v>
      </c>
      <c r="M24" s="316">
        <v>1.0190590659340661</v>
      </c>
      <c r="N24" s="317">
        <v>914.09120000000871</v>
      </c>
      <c r="O24" s="315">
        <v>2.2000000000000002</v>
      </c>
      <c r="P24" s="316">
        <v>9.4436813186813198E-3</v>
      </c>
      <c r="Q24" s="315">
        <v>602.096</v>
      </c>
      <c r="R24" s="318">
        <v>4.4400000000000261</v>
      </c>
      <c r="S24" s="316">
        <v>1.9059065934066047E-2</v>
      </c>
      <c r="T24" s="319" t="s">
        <v>550</v>
      </c>
      <c r="U24" s="319" t="s">
        <v>466</v>
      </c>
      <c r="V24" s="350" t="s">
        <v>597</v>
      </c>
      <c r="W24" s="350" t="s">
        <v>552</v>
      </c>
      <c r="X24" s="320">
        <v>1</v>
      </c>
      <c r="Y24" s="321" t="s">
        <v>281</v>
      </c>
      <c r="AB24" s="325">
        <v>2</v>
      </c>
      <c r="AC24" s="328" t="s">
        <v>576</v>
      </c>
    </row>
    <row r="25" spans="2:29" s="325" customFormat="1" ht="27" customHeight="1">
      <c r="B25" s="675"/>
      <c r="C25" s="676"/>
      <c r="D25" s="313">
        <v>19</v>
      </c>
      <c r="E25" s="314" t="s">
        <v>459</v>
      </c>
      <c r="F25" s="315">
        <v>1169.0175000000002</v>
      </c>
      <c r="G25" s="315">
        <v>387.45</v>
      </c>
      <c r="H25" s="315">
        <v>399.7</v>
      </c>
      <c r="I25" s="316">
        <v>1.0316169828364949</v>
      </c>
      <c r="J25" s="315">
        <v>0</v>
      </c>
      <c r="K25" s="316">
        <v>0</v>
      </c>
      <c r="L25" s="315">
        <v>95.43</v>
      </c>
      <c r="M25" s="316">
        <v>1.0316169828364949</v>
      </c>
      <c r="N25" s="317">
        <v>1169.0175000000002</v>
      </c>
      <c r="O25" s="315">
        <v>7.3000000000000007</v>
      </c>
      <c r="P25" s="316">
        <v>1.8841140792360309E-2</v>
      </c>
      <c r="Q25" s="315">
        <v>696.63900000000001</v>
      </c>
      <c r="R25" s="318">
        <v>12.25</v>
      </c>
      <c r="S25" s="316">
        <v>3.1616982836495035E-2</v>
      </c>
      <c r="T25" s="319" t="s">
        <v>540</v>
      </c>
      <c r="U25" s="319" t="s">
        <v>414</v>
      </c>
      <c r="V25" s="350" t="s">
        <v>559</v>
      </c>
      <c r="W25" s="350" t="s">
        <v>560</v>
      </c>
      <c r="X25" s="320">
        <v>1</v>
      </c>
      <c r="Y25" s="321" t="s">
        <v>290</v>
      </c>
      <c r="AB25" s="331">
        <v>3</v>
      </c>
      <c r="AC25" s="328" t="s">
        <v>540</v>
      </c>
    </row>
    <row r="26" spans="2:29" s="325" customFormat="1" ht="27" customHeight="1">
      <c r="B26" s="677"/>
      <c r="C26" s="678"/>
      <c r="D26" s="313">
        <v>20</v>
      </c>
      <c r="E26" s="314" t="s">
        <v>469</v>
      </c>
      <c r="F26" s="315">
        <v>1162.5603500000013</v>
      </c>
      <c r="G26" s="315">
        <v>95.554999999999993</v>
      </c>
      <c r="H26" s="315">
        <v>99.3</v>
      </c>
      <c r="I26" s="316">
        <v>1.039192088326095</v>
      </c>
      <c r="J26" s="315">
        <v>0</v>
      </c>
      <c r="K26" s="316">
        <v>0</v>
      </c>
      <c r="L26" s="315">
        <v>310.43</v>
      </c>
      <c r="M26" s="316">
        <v>1.039192088326095</v>
      </c>
      <c r="N26" s="317">
        <v>1162.5603500000013</v>
      </c>
      <c r="O26" s="315">
        <v>2.4</v>
      </c>
      <c r="P26" s="316">
        <v>2.5116425095494742E-2</v>
      </c>
      <c r="Q26" s="315">
        <v>745.03200000000004</v>
      </c>
      <c r="R26" s="318">
        <v>3.7450000000000045</v>
      </c>
      <c r="S26" s="316">
        <v>3.919208832609497E-2</v>
      </c>
      <c r="T26" s="319" t="s">
        <v>545</v>
      </c>
      <c r="U26" s="319" t="s">
        <v>561</v>
      </c>
      <c r="V26" s="350" t="s">
        <v>597</v>
      </c>
      <c r="W26" s="350" t="s">
        <v>552</v>
      </c>
      <c r="X26" s="320">
        <v>1</v>
      </c>
      <c r="Y26" s="321" t="s">
        <v>283</v>
      </c>
      <c r="AB26" s="331">
        <v>4</v>
      </c>
      <c r="AC26" s="328" t="s">
        <v>550</v>
      </c>
    </row>
    <row r="27" spans="2:29" ht="29.45" customHeight="1">
      <c r="C27" s="679"/>
      <c r="AB27" s="325"/>
      <c r="AC27" s="328"/>
    </row>
    <row r="28" spans="2:29">
      <c r="C28" s="679"/>
    </row>
    <row r="29" spans="2:29">
      <c r="C29" s="679"/>
    </row>
    <row r="30" spans="2:29">
      <c r="C30" s="679"/>
    </row>
    <row r="31" spans="2:29">
      <c r="C31" s="679"/>
    </row>
    <row r="32" spans="2:29">
      <c r="C32" s="679"/>
    </row>
    <row r="33" spans="3:3">
      <c r="C33" s="679"/>
    </row>
    <row r="34" spans="3:3">
      <c r="C34" s="679"/>
    </row>
    <row r="35" spans="3:3">
      <c r="C35" s="679"/>
    </row>
    <row r="36" spans="3:3">
      <c r="C36" s="679"/>
    </row>
    <row r="67" ht="14.1" customHeight="1"/>
    <row r="77" ht="14.1" customHeight="1"/>
    <row r="87" ht="14.1" customHeight="1"/>
    <row r="112" spans="26:26">
      <c r="Z112" s="332" t="s">
        <v>581</v>
      </c>
    </row>
    <row r="113" spans="26:26">
      <c r="Z113" s="325" t="s">
        <v>582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topLeftCell="A7" zoomScale="75" zoomScaleNormal="75" workbookViewId="0">
      <selection activeCell="U24" sqref="U24"/>
    </sheetView>
  </sheetViews>
  <sheetFormatPr defaultColWidth="8.28515625" defaultRowHeight="15"/>
  <cols>
    <col min="1" max="1" width="18.42578125" style="333" customWidth="1"/>
    <col min="2" max="2" width="21.140625" style="333" bestFit="1" customWidth="1"/>
    <col min="3" max="6" width="14.28515625" style="333" customWidth="1"/>
    <col min="7" max="10" width="18.42578125" style="333" customWidth="1"/>
    <col min="11" max="11" width="17.140625" style="333" bestFit="1" customWidth="1"/>
    <col min="12" max="12" width="16" style="333" customWidth="1"/>
    <col min="13" max="13" width="23.28515625" style="333" bestFit="1" customWidth="1"/>
    <col min="14" max="15" width="13.28515625" style="333" bestFit="1" customWidth="1"/>
    <col min="16" max="16" width="8.28515625" style="333"/>
    <col min="17" max="17" width="12.85546875" style="333" bestFit="1" customWidth="1"/>
    <col min="18" max="16384" width="8.28515625" style="333"/>
  </cols>
  <sheetData>
    <row r="1" spans="1:18" ht="27" customHeight="1">
      <c r="A1" s="706" t="s">
        <v>600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</row>
    <row r="2" spans="1:18" ht="16.5" customHeight="1">
      <c r="A2" s="707" t="s">
        <v>601</v>
      </c>
      <c r="B2" s="707" t="s">
        <v>180</v>
      </c>
      <c r="C2" s="707" t="s">
        <v>602</v>
      </c>
      <c r="D2" s="707" t="s">
        <v>603</v>
      </c>
      <c r="E2" s="707" t="s">
        <v>604</v>
      </c>
      <c r="F2" s="707" t="s">
        <v>605</v>
      </c>
      <c r="G2" s="707" t="s">
        <v>606</v>
      </c>
      <c r="H2" s="707"/>
      <c r="I2" s="707" t="s">
        <v>607</v>
      </c>
      <c r="J2" s="707"/>
      <c r="K2" s="707" t="s">
        <v>608</v>
      </c>
      <c r="L2" s="707"/>
      <c r="M2" s="708" t="s">
        <v>158</v>
      </c>
      <c r="N2" s="708"/>
      <c r="O2" s="708"/>
    </row>
    <row r="3" spans="1:18" ht="37.5" customHeight="1">
      <c r="A3" s="707"/>
      <c r="B3" s="707"/>
      <c r="C3" s="707"/>
      <c r="D3" s="707"/>
      <c r="E3" s="707"/>
      <c r="F3" s="707"/>
      <c r="G3" s="363" t="s">
        <v>609</v>
      </c>
      <c r="H3" s="363" t="s">
        <v>610</v>
      </c>
      <c r="I3" s="363" t="s">
        <v>609</v>
      </c>
      <c r="J3" s="363" t="s">
        <v>610</v>
      </c>
      <c r="K3" s="363" t="s">
        <v>611</v>
      </c>
      <c r="L3" s="363" t="s">
        <v>612</v>
      </c>
      <c r="M3" s="363" t="s">
        <v>180</v>
      </c>
      <c r="N3" s="334" t="s">
        <v>613</v>
      </c>
      <c r="O3" s="334" t="s">
        <v>614</v>
      </c>
    </row>
    <row r="4" spans="1:18" ht="18.75">
      <c r="A4" s="343">
        <v>46021</v>
      </c>
      <c r="B4" s="373">
        <v>7242022</v>
      </c>
      <c r="C4" s="373">
        <v>17730</v>
      </c>
      <c r="D4" s="374">
        <f t="shared" ref="D4:D24" si="0">C4/B4</f>
        <v>2.4482112868477891E-3</v>
      </c>
      <c r="E4" s="375">
        <v>13860.78495535834</v>
      </c>
      <c r="F4" s="376">
        <f t="shared" ref="F4:F24" si="1">E4/B4</f>
        <v>1.9139385319953931E-3</v>
      </c>
      <c r="G4" s="373">
        <v>1551.8680000000002</v>
      </c>
      <c r="H4" s="377">
        <f t="shared" ref="H4:H24" si="2">G4/C4</f>
        <v>8.7527805978567408E-2</v>
      </c>
      <c r="I4" s="378">
        <v>1478.4573799999957</v>
      </c>
      <c r="J4" s="377">
        <f t="shared" ref="J4:J38" si="3">I4/E4</f>
        <v>0.10666476572298668</v>
      </c>
      <c r="K4" s="379">
        <v>2908.5590000000002</v>
      </c>
      <c r="L4" s="380">
        <f t="shared" ref="L4:L38" si="4">K4/C4</f>
        <v>0.16404732092498592</v>
      </c>
      <c r="M4" s="704">
        <f>SUM(B4:B10)</f>
        <v>47077667</v>
      </c>
      <c r="N4" s="705">
        <f>SUM(C4:C10)</f>
        <v>115557</v>
      </c>
      <c r="O4" s="705">
        <f>SUM(E4:E10)</f>
        <v>104545.0793315998</v>
      </c>
    </row>
    <row r="5" spans="1:18" ht="18.75">
      <c r="A5" s="343">
        <f t="shared" ref="A5:A24" si="5">A4+1</f>
        <v>46022</v>
      </c>
      <c r="B5" s="352">
        <v>6261773</v>
      </c>
      <c r="C5" s="352">
        <v>15397</v>
      </c>
      <c r="D5" s="372">
        <f t="shared" si="0"/>
        <v>2.4588882413974444E-3</v>
      </c>
      <c r="E5" s="353">
        <v>15057.042140760561</v>
      </c>
      <c r="F5" s="338">
        <f t="shared" si="1"/>
        <v>2.4045972507723548E-3</v>
      </c>
      <c r="G5" s="352">
        <v>1431.1279999999999</v>
      </c>
      <c r="H5" s="339">
        <f t="shared" si="2"/>
        <v>9.2948496460349417E-2</v>
      </c>
      <c r="I5" s="340">
        <v>1663.9846000000025</v>
      </c>
      <c r="J5" s="339">
        <f t="shared" si="3"/>
        <v>0.11051205040433999</v>
      </c>
      <c r="K5" s="354">
        <v>2598.6219999999989</v>
      </c>
      <c r="L5" s="355">
        <f t="shared" si="4"/>
        <v>0.16877456647398836</v>
      </c>
      <c r="M5" s="704"/>
      <c r="N5" s="705"/>
      <c r="O5" s="705"/>
    </row>
    <row r="6" spans="1:18" ht="18.75">
      <c r="A6" s="343">
        <f t="shared" si="5"/>
        <v>46023</v>
      </c>
      <c r="B6" s="352">
        <v>6681403</v>
      </c>
      <c r="C6" s="352">
        <v>16555</v>
      </c>
      <c r="D6" s="372">
        <f t="shared" si="0"/>
        <v>2.4777730066574341E-3</v>
      </c>
      <c r="E6" s="353">
        <v>14553.432367741105</v>
      </c>
      <c r="F6" s="338">
        <f t="shared" si="1"/>
        <v>2.1782000528543337E-3</v>
      </c>
      <c r="G6" s="352">
        <v>1431.7660000000001</v>
      </c>
      <c r="H6" s="339">
        <f t="shared" si="2"/>
        <v>8.6485412262156447E-2</v>
      </c>
      <c r="I6" s="340">
        <v>1541.748120000002</v>
      </c>
      <c r="J6" s="339">
        <f t="shared" si="3"/>
        <v>0.10593707938049138</v>
      </c>
      <c r="K6" s="354">
        <v>3169.2429999999995</v>
      </c>
      <c r="L6" s="355">
        <f t="shared" si="4"/>
        <v>0.19143720930232555</v>
      </c>
      <c r="M6" s="704"/>
      <c r="N6" s="705"/>
      <c r="O6" s="705"/>
    </row>
    <row r="7" spans="1:18" ht="18.75">
      <c r="A7" s="343">
        <f t="shared" si="5"/>
        <v>46024</v>
      </c>
      <c r="B7" s="352">
        <v>5997913</v>
      </c>
      <c r="C7" s="352">
        <v>14737</v>
      </c>
      <c r="D7" s="372">
        <f t="shared" si="0"/>
        <v>2.4570213005757169E-3</v>
      </c>
      <c r="E7" s="353">
        <v>15731.818678097628</v>
      </c>
      <c r="F7" s="338">
        <f t="shared" si="1"/>
        <v>2.6228821055086374E-3</v>
      </c>
      <c r="G7" s="352">
        <v>1382.627</v>
      </c>
      <c r="H7" s="339">
        <f t="shared" si="2"/>
        <v>9.3820112641650272E-2</v>
      </c>
      <c r="I7" s="340">
        <v>1518.1531999999952</v>
      </c>
      <c r="J7" s="339">
        <f t="shared" si="3"/>
        <v>9.6502078435064823E-2</v>
      </c>
      <c r="K7" s="354">
        <v>2157.0509999999995</v>
      </c>
      <c r="L7" s="355">
        <f t="shared" si="4"/>
        <v>0.14636974960982557</v>
      </c>
      <c r="M7" s="704"/>
      <c r="N7" s="705"/>
      <c r="O7" s="705"/>
    </row>
    <row r="8" spans="1:18" ht="18.75">
      <c r="A8" s="343">
        <f t="shared" si="5"/>
        <v>46025</v>
      </c>
      <c r="B8" s="352">
        <v>6555328</v>
      </c>
      <c r="C8" s="352">
        <v>15989</v>
      </c>
      <c r="D8" s="372">
        <f t="shared" si="0"/>
        <v>2.4390846651761743E-3</v>
      </c>
      <c r="E8" s="353">
        <v>15768.444516305037</v>
      </c>
      <c r="F8" s="338">
        <f t="shared" si="1"/>
        <v>2.4054394404528709E-3</v>
      </c>
      <c r="G8" s="352">
        <v>1401.1350000000002</v>
      </c>
      <c r="H8" s="339">
        <f t="shared" si="2"/>
        <v>8.7631183938958052E-2</v>
      </c>
      <c r="I8" s="340">
        <v>1516.3441500000022</v>
      </c>
      <c r="J8" s="339">
        <f t="shared" si="3"/>
        <v>9.6163204203944003E-2</v>
      </c>
      <c r="K8" s="354">
        <v>2932.7480000000005</v>
      </c>
      <c r="L8" s="355">
        <f t="shared" si="4"/>
        <v>0.183422853211583</v>
      </c>
      <c r="M8" s="704"/>
      <c r="N8" s="705"/>
      <c r="O8" s="705"/>
      <c r="P8" s="344"/>
      <c r="Q8" s="344"/>
      <c r="R8" s="344"/>
    </row>
    <row r="9" spans="1:18" ht="18.75">
      <c r="A9" s="343">
        <f t="shared" si="5"/>
        <v>46026</v>
      </c>
      <c r="B9" s="352">
        <v>7070659</v>
      </c>
      <c r="C9" s="352">
        <v>17401</v>
      </c>
      <c r="D9" s="372">
        <f t="shared" si="0"/>
        <v>2.4610153028168944E-3</v>
      </c>
      <c r="E9" s="353">
        <v>15462.736822210536</v>
      </c>
      <c r="F9" s="338">
        <f t="shared" si="1"/>
        <v>2.1868876468530778E-3</v>
      </c>
      <c r="G9" s="352">
        <v>1429.4880000000003</v>
      </c>
      <c r="H9" s="339">
        <f t="shared" si="2"/>
        <v>8.2149761507959329E-2</v>
      </c>
      <c r="I9" s="340">
        <v>1519.2211700000062</v>
      </c>
      <c r="J9" s="339">
        <f t="shared" si="3"/>
        <v>9.825047062935266E-2</v>
      </c>
      <c r="K9" s="354">
        <v>3071.4409999999998</v>
      </c>
      <c r="L9" s="355">
        <f t="shared" si="4"/>
        <v>0.17650945347968505</v>
      </c>
      <c r="M9" s="704"/>
      <c r="N9" s="705"/>
      <c r="O9" s="705"/>
    </row>
    <row r="10" spans="1:18" ht="19.5" thickBot="1">
      <c r="A10" s="394">
        <f t="shared" si="5"/>
        <v>46027</v>
      </c>
      <c r="B10" s="381">
        <v>7268569</v>
      </c>
      <c r="C10" s="381">
        <v>17748</v>
      </c>
      <c r="D10" s="382">
        <f t="shared" si="0"/>
        <v>2.441746098853846E-3</v>
      </c>
      <c r="E10" s="383">
        <v>14110.819851126595</v>
      </c>
      <c r="F10" s="369">
        <f t="shared" si="1"/>
        <v>1.9413477193552947E-3</v>
      </c>
      <c r="G10" s="381">
        <v>1580.3309999999999</v>
      </c>
      <c r="H10" s="370">
        <f t="shared" si="2"/>
        <v>8.9042765382014874E-2</v>
      </c>
      <c r="I10" s="371">
        <v>1485.0742499999999</v>
      </c>
      <c r="J10" s="370">
        <f t="shared" si="3"/>
        <v>0.10524365456210065</v>
      </c>
      <c r="K10" s="384">
        <v>3262.1099999999992</v>
      </c>
      <c r="L10" s="385">
        <f t="shared" si="4"/>
        <v>0.18380155510480051</v>
      </c>
      <c r="M10" s="704"/>
      <c r="N10" s="705"/>
      <c r="O10" s="705"/>
      <c r="P10" s="404"/>
      <c r="Q10" s="404"/>
    </row>
    <row r="11" spans="1:18" ht="18.75">
      <c r="A11" s="343">
        <f t="shared" si="5"/>
        <v>46028</v>
      </c>
      <c r="B11" s="373">
        <v>7452237</v>
      </c>
      <c r="C11" s="373">
        <v>18258</v>
      </c>
      <c r="D11" s="374">
        <f t="shared" si="0"/>
        <v>2.4500025965357784E-3</v>
      </c>
      <c r="E11" s="375">
        <v>14788.736107549012</v>
      </c>
      <c r="F11" s="376">
        <f t="shared" si="1"/>
        <v>1.9844693757792476E-3</v>
      </c>
      <c r="G11" s="373">
        <v>1498.2779999999998</v>
      </c>
      <c r="H11" s="377">
        <f t="shared" si="2"/>
        <v>8.2061452513966474E-2</v>
      </c>
      <c r="I11" s="378">
        <v>1553.0475616494889</v>
      </c>
      <c r="J11" s="377">
        <f t="shared" si="3"/>
        <v>0.10501557065831509</v>
      </c>
      <c r="K11" s="379">
        <v>3694.261</v>
      </c>
      <c r="L11" s="380">
        <f t="shared" si="4"/>
        <v>0.20233656479351517</v>
      </c>
      <c r="M11" s="704">
        <f>SUM(B11:B17)</f>
        <v>47860768</v>
      </c>
      <c r="N11" s="705">
        <f>SUM(C11:C17)</f>
        <v>117024</v>
      </c>
      <c r="O11" s="705">
        <f>SUM(E11:E17)</f>
        <v>106787.07459785466</v>
      </c>
    </row>
    <row r="12" spans="1:18" ht="18.75">
      <c r="A12" s="343">
        <f t="shared" si="5"/>
        <v>46029</v>
      </c>
      <c r="B12" s="352">
        <v>6995772</v>
      </c>
      <c r="C12" s="352">
        <v>17136</v>
      </c>
      <c r="D12" s="372">
        <f t="shared" si="0"/>
        <v>2.449479485609308E-3</v>
      </c>
      <c r="E12" s="353">
        <v>15639.69385756098</v>
      </c>
      <c r="F12" s="338">
        <f t="shared" si="1"/>
        <v>2.2355922773871105E-3</v>
      </c>
      <c r="G12" s="352">
        <v>1392.71</v>
      </c>
      <c r="H12" s="339">
        <f t="shared" si="2"/>
        <v>8.1273926237161537E-2</v>
      </c>
      <c r="I12" s="340">
        <v>1504.8590699999972</v>
      </c>
      <c r="J12" s="339">
        <f t="shared" si="3"/>
        <v>9.6220494065008572E-2</v>
      </c>
      <c r="K12" s="354">
        <v>3188.5480000000002</v>
      </c>
      <c r="L12" s="355">
        <f t="shared" si="4"/>
        <v>0.18607306255835668</v>
      </c>
      <c r="M12" s="704"/>
      <c r="N12" s="705"/>
      <c r="O12" s="705"/>
    </row>
    <row r="13" spans="1:18" ht="18.75">
      <c r="A13" s="343">
        <f t="shared" si="5"/>
        <v>46030</v>
      </c>
      <c r="B13" s="352">
        <v>6658240</v>
      </c>
      <c r="C13" s="352">
        <v>16185</v>
      </c>
      <c r="D13" s="372">
        <f t="shared" si="0"/>
        <v>2.4308225597154806E-3</v>
      </c>
      <c r="E13" s="353">
        <v>14911.4220751864</v>
      </c>
      <c r="F13" s="338">
        <f t="shared" si="1"/>
        <v>2.2395440950140578E-3</v>
      </c>
      <c r="G13" s="352">
        <v>1338.2190000000001</v>
      </c>
      <c r="H13" s="339">
        <f t="shared" si="2"/>
        <v>8.2682669138090831E-2</v>
      </c>
      <c r="I13" s="340">
        <v>1447.2641500000013</v>
      </c>
      <c r="J13" s="339">
        <f t="shared" si="3"/>
        <v>9.7057419654718605E-2</v>
      </c>
      <c r="K13" s="354">
        <v>2832.8860000000004</v>
      </c>
      <c r="L13" s="355">
        <f t="shared" si="4"/>
        <v>0.17503157244362066</v>
      </c>
      <c r="M13" s="704"/>
      <c r="N13" s="705"/>
      <c r="O13" s="705"/>
    </row>
    <row r="14" spans="1:18" ht="18.75">
      <c r="A14" s="343">
        <f t="shared" si="5"/>
        <v>46031</v>
      </c>
      <c r="B14" s="352">
        <v>6093782</v>
      </c>
      <c r="C14" s="352">
        <v>15126</v>
      </c>
      <c r="D14" s="372">
        <f t="shared" si="0"/>
        <v>2.4822023498707372E-3</v>
      </c>
      <c r="E14" s="353">
        <v>15988.766989156118</v>
      </c>
      <c r="F14" s="338">
        <f t="shared" si="1"/>
        <v>2.6237838815297491E-3</v>
      </c>
      <c r="G14" s="352">
        <v>1348.4479999999999</v>
      </c>
      <c r="H14" s="339">
        <f t="shared" si="2"/>
        <v>8.9147692714531268E-2</v>
      </c>
      <c r="I14" s="340">
        <v>1402.0379299999988</v>
      </c>
      <c r="J14" s="339">
        <f t="shared" si="3"/>
        <v>8.7688933796513963E-2</v>
      </c>
      <c r="K14" s="354">
        <v>3040.1549999999993</v>
      </c>
      <c r="L14" s="355">
        <f t="shared" si="4"/>
        <v>0.2009886949623165</v>
      </c>
      <c r="M14" s="704"/>
      <c r="N14" s="705"/>
      <c r="O14" s="705"/>
    </row>
    <row r="15" spans="1:18" ht="18.75">
      <c r="A15" s="343">
        <f t="shared" si="5"/>
        <v>46032</v>
      </c>
      <c r="B15" s="352">
        <v>6273190</v>
      </c>
      <c r="C15" s="352">
        <v>15308</v>
      </c>
      <c r="D15" s="372">
        <f t="shared" si="0"/>
        <v>2.4402257862427249E-3</v>
      </c>
      <c r="E15" s="353">
        <v>15581.57557634365</v>
      </c>
      <c r="F15" s="338">
        <f t="shared" si="1"/>
        <v>2.4838360668724604E-3</v>
      </c>
      <c r="G15" s="352">
        <v>1471.9940000000001</v>
      </c>
      <c r="H15" s="339">
        <f t="shared" si="2"/>
        <v>9.6158479226548216E-2</v>
      </c>
      <c r="I15" s="340">
        <v>1437.4885800000029</v>
      </c>
      <c r="J15" s="339">
        <f t="shared" si="3"/>
        <v>9.2255662654708373E-2</v>
      </c>
      <c r="K15" s="354">
        <v>2959.4419999999996</v>
      </c>
      <c r="L15" s="355">
        <f t="shared" si="4"/>
        <v>0.19332649594983012</v>
      </c>
      <c r="M15" s="704"/>
      <c r="N15" s="705"/>
      <c r="O15" s="705"/>
    </row>
    <row r="16" spans="1:18" ht="18.75">
      <c r="A16" s="343">
        <f t="shared" si="5"/>
        <v>46033</v>
      </c>
      <c r="B16" s="352">
        <v>7385036</v>
      </c>
      <c r="C16" s="352">
        <v>17952</v>
      </c>
      <c r="D16" s="372">
        <f t="shared" si="0"/>
        <v>2.4308615421779933E-3</v>
      </c>
      <c r="E16" s="353">
        <v>14496.679093469296</v>
      </c>
      <c r="F16" s="338">
        <f t="shared" si="1"/>
        <v>1.9629801524961147E-3</v>
      </c>
      <c r="G16" s="352">
        <v>1492.0139999999999</v>
      </c>
      <c r="H16" s="339">
        <f t="shared" si="2"/>
        <v>8.3111296791443842E-2</v>
      </c>
      <c r="I16" s="340">
        <v>1504.8588299999917</v>
      </c>
      <c r="J16" s="339">
        <f t="shared" si="3"/>
        <v>0.10380714233219976</v>
      </c>
      <c r="K16" s="354">
        <v>3181.4639999999995</v>
      </c>
      <c r="L16" s="355">
        <f t="shared" si="4"/>
        <v>0.1772205882352941</v>
      </c>
      <c r="M16" s="704"/>
      <c r="N16" s="705"/>
      <c r="O16" s="705"/>
    </row>
    <row r="17" spans="1:15" ht="19.5" thickBot="1">
      <c r="A17" s="394">
        <f t="shared" si="5"/>
        <v>46034</v>
      </c>
      <c r="B17" s="381">
        <v>7002511</v>
      </c>
      <c r="C17" s="381">
        <v>17059</v>
      </c>
      <c r="D17" s="382">
        <f t="shared" si="0"/>
        <v>2.4361261267565304E-3</v>
      </c>
      <c r="E17" s="383">
        <v>15380.200898589199</v>
      </c>
      <c r="F17" s="369">
        <f t="shared" si="1"/>
        <v>2.1963836827374066E-3</v>
      </c>
      <c r="G17" s="381">
        <v>1345.057</v>
      </c>
      <c r="H17" s="370">
        <f t="shared" si="2"/>
        <v>7.8847353303241691E-2</v>
      </c>
      <c r="I17" s="371">
        <v>1584.1912000000034</v>
      </c>
      <c r="J17" s="370">
        <f t="shared" si="3"/>
        <v>0.10300198355310942</v>
      </c>
      <c r="K17" s="384">
        <v>2773.8959999999993</v>
      </c>
      <c r="L17" s="385">
        <f t="shared" si="4"/>
        <v>0.16260601442054043</v>
      </c>
      <c r="M17" s="704"/>
      <c r="N17" s="705"/>
      <c r="O17" s="705"/>
    </row>
    <row r="18" spans="1:15" ht="18.75">
      <c r="A18" s="343">
        <f t="shared" si="5"/>
        <v>46035</v>
      </c>
      <c r="B18" s="373">
        <v>6868111</v>
      </c>
      <c r="C18" s="373">
        <v>16826</v>
      </c>
      <c r="D18" s="374">
        <f t="shared" si="0"/>
        <v>2.4498730436942561E-3</v>
      </c>
      <c r="E18" s="375">
        <v>14961.862357385653</v>
      </c>
      <c r="F18" s="376">
        <f t="shared" si="1"/>
        <v>2.1784537782493108E-3</v>
      </c>
      <c r="G18" s="373">
        <v>1506.3160000000003</v>
      </c>
      <c r="H18" s="377">
        <f t="shared" si="2"/>
        <v>8.9523118982527058E-2</v>
      </c>
      <c r="I18" s="378">
        <v>1541.4418099999948</v>
      </c>
      <c r="J18" s="377">
        <f t="shared" si="3"/>
        <v>0.10302472868553626</v>
      </c>
      <c r="K18" s="379">
        <v>2497.8860000000009</v>
      </c>
      <c r="L18" s="380">
        <f t="shared" si="4"/>
        <v>0.14845394033044104</v>
      </c>
      <c r="M18" s="704">
        <f>SUM(B18:B24)</f>
        <v>45268529</v>
      </c>
      <c r="N18" s="705">
        <f>SUM(C18:C24)</f>
        <v>111302</v>
      </c>
      <c r="O18" s="705">
        <f>SUM(E18:E24)</f>
        <v>101893.93253329059</v>
      </c>
    </row>
    <row r="19" spans="1:15" ht="18.75">
      <c r="A19" s="343">
        <f t="shared" si="5"/>
        <v>46036</v>
      </c>
      <c r="B19" s="352">
        <v>6627112</v>
      </c>
      <c r="C19" s="352">
        <v>16369</v>
      </c>
      <c r="D19" s="372">
        <f t="shared" si="0"/>
        <v>2.4700050338669391E-3</v>
      </c>
      <c r="E19" s="353">
        <v>14454.489029672533</v>
      </c>
      <c r="F19" s="338">
        <f t="shared" si="1"/>
        <v>2.1811143420652213E-3</v>
      </c>
      <c r="G19" s="352">
        <v>1394.7640000000001</v>
      </c>
      <c r="H19" s="339">
        <f t="shared" si="2"/>
        <v>8.5207648604068667E-2</v>
      </c>
      <c r="I19" s="340">
        <v>1630.2012099999995</v>
      </c>
      <c r="J19" s="339">
        <f t="shared" si="3"/>
        <v>0.11278165604148871</v>
      </c>
      <c r="K19" s="354">
        <v>2307.4890000000009</v>
      </c>
      <c r="L19" s="355">
        <f t="shared" si="4"/>
        <v>0.14096701081312243</v>
      </c>
      <c r="M19" s="704"/>
      <c r="N19" s="705"/>
      <c r="O19" s="705"/>
    </row>
    <row r="20" spans="1:15" ht="18.75">
      <c r="A20" s="343">
        <f t="shared" si="5"/>
        <v>46037</v>
      </c>
      <c r="B20" s="352">
        <v>6144184</v>
      </c>
      <c r="C20" s="352">
        <v>14952</v>
      </c>
      <c r="D20" s="372">
        <f t="shared" si="0"/>
        <v>2.4335208711197451E-3</v>
      </c>
      <c r="E20" s="353">
        <v>15472.055956674394</v>
      </c>
      <c r="F20" s="338">
        <f t="shared" si="1"/>
        <v>2.5181628604668081E-3</v>
      </c>
      <c r="G20" s="352">
        <v>1278.614</v>
      </c>
      <c r="H20" s="339">
        <f t="shared" si="2"/>
        <v>8.5514579989299094E-2</v>
      </c>
      <c r="I20" s="340">
        <v>1568.219700000001</v>
      </c>
      <c r="J20" s="339">
        <f t="shared" si="3"/>
        <v>0.10135819728104696</v>
      </c>
      <c r="K20" s="354">
        <v>3121.0499999999997</v>
      </c>
      <c r="L20" s="355">
        <f t="shared" si="4"/>
        <v>0.20873796147672549</v>
      </c>
      <c r="M20" s="704"/>
      <c r="N20" s="705"/>
      <c r="O20" s="705"/>
    </row>
    <row r="21" spans="1:15" ht="18.75">
      <c r="A21" s="343">
        <f t="shared" si="5"/>
        <v>46038</v>
      </c>
      <c r="B21" s="352">
        <v>5795971</v>
      </c>
      <c r="C21" s="352">
        <v>14440</v>
      </c>
      <c r="D21" s="372">
        <f t="shared" si="0"/>
        <v>2.4913858264646251E-3</v>
      </c>
      <c r="E21" s="353">
        <v>14942.907753573056</v>
      </c>
      <c r="F21" s="338">
        <f t="shared" si="1"/>
        <v>2.5781543340318742E-3</v>
      </c>
      <c r="G21" s="352">
        <v>1314.8959999999997</v>
      </c>
      <c r="H21" s="339">
        <f t="shared" si="2"/>
        <v>9.1059279778393329E-2</v>
      </c>
      <c r="I21" s="340">
        <v>1651.4298899999947</v>
      </c>
      <c r="J21" s="339">
        <f t="shared" si="3"/>
        <v>0.11051596631887893</v>
      </c>
      <c r="K21" s="354">
        <v>2952.3079999999995</v>
      </c>
      <c r="L21" s="355">
        <f t="shared" si="4"/>
        <v>0.20445346260387809</v>
      </c>
      <c r="M21" s="704"/>
      <c r="N21" s="705"/>
      <c r="O21" s="705"/>
    </row>
    <row r="22" spans="1:15" ht="18.75">
      <c r="A22" s="343">
        <f t="shared" si="5"/>
        <v>46039</v>
      </c>
      <c r="B22" s="352">
        <v>6092113</v>
      </c>
      <c r="C22" s="352">
        <v>15047</v>
      </c>
      <c r="D22" s="372">
        <f t="shared" si="0"/>
        <v>2.4699147898274375E-3</v>
      </c>
      <c r="E22" s="353">
        <v>13969.018506798828</v>
      </c>
      <c r="F22" s="338">
        <f t="shared" si="1"/>
        <v>2.2929677284053707E-3</v>
      </c>
      <c r="G22" s="352">
        <v>1418.0820000000001</v>
      </c>
      <c r="H22" s="339">
        <f t="shared" si="2"/>
        <v>9.4243503688442892E-2</v>
      </c>
      <c r="I22" s="340">
        <v>1351.2676899999979</v>
      </c>
      <c r="J22" s="339">
        <f t="shared" si="3"/>
        <v>9.6733187757058636E-2</v>
      </c>
      <c r="K22" s="354">
        <v>2419.0840000000007</v>
      </c>
      <c r="L22" s="355">
        <f t="shared" si="4"/>
        <v>0.16076852528743277</v>
      </c>
      <c r="M22" s="704"/>
      <c r="N22" s="705"/>
      <c r="O22" s="705"/>
    </row>
    <row r="23" spans="1:15" ht="18.75">
      <c r="A23" s="343">
        <f t="shared" si="5"/>
        <v>46040</v>
      </c>
      <c r="B23" s="352">
        <v>6822501</v>
      </c>
      <c r="C23" s="352">
        <v>16785</v>
      </c>
      <c r="D23" s="372">
        <f t="shared" si="0"/>
        <v>2.4602414862233074E-3</v>
      </c>
      <c r="E23" s="353">
        <v>13483.040700759391</v>
      </c>
      <c r="F23" s="338">
        <f t="shared" si="1"/>
        <v>1.9762607144739723E-3</v>
      </c>
      <c r="G23" s="352">
        <v>1480.0520000000001</v>
      </c>
      <c r="H23" s="339">
        <f t="shared" si="2"/>
        <v>8.8177062853738469E-2</v>
      </c>
      <c r="I23" s="340">
        <v>1448.0752500000081</v>
      </c>
      <c r="J23" s="339">
        <f t="shared" si="3"/>
        <v>0.10739975367117668</v>
      </c>
      <c r="K23" s="354">
        <v>2167.7249999999999</v>
      </c>
      <c r="L23" s="355">
        <f t="shared" si="4"/>
        <v>0.12914655942806078</v>
      </c>
      <c r="M23" s="704"/>
      <c r="N23" s="705"/>
      <c r="O23" s="705"/>
    </row>
    <row r="24" spans="1:15" ht="19.5" thickBot="1">
      <c r="A24" s="394">
        <f t="shared" si="5"/>
        <v>46041</v>
      </c>
      <c r="B24" s="381">
        <v>6918537</v>
      </c>
      <c r="C24" s="381">
        <v>16883</v>
      </c>
      <c r="D24" s="382">
        <f t="shared" si="0"/>
        <v>2.4402557939633769E-3</v>
      </c>
      <c r="E24" s="383">
        <v>14610.558228426722</v>
      </c>
      <c r="F24" s="369">
        <f t="shared" si="1"/>
        <v>2.1117988135969674E-3</v>
      </c>
      <c r="G24" s="381">
        <v>1416.8860000000002</v>
      </c>
      <c r="H24" s="370">
        <f t="shared" si="2"/>
        <v>8.3923828703429501E-2</v>
      </c>
      <c r="I24" s="371">
        <v>1625.7457800000077</v>
      </c>
      <c r="J24" s="370">
        <f t="shared" si="3"/>
        <v>0.1112719825336249</v>
      </c>
      <c r="K24" s="384">
        <v>2200.4609999999998</v>
      </c>
      <c r="L24" s="385">
        <f t="shared" si="4"/>
        <v>0.13033590001776935</v>
      </c>
      <c r="M24" s="704"/>
      <c r="N24" s="705"/>
      <c r="O24" s="705"/>
    </row>
    <row r="25" spans="1:15" ht="18.75">
      <c r="A25" s="343">
        <f t="shared" ref="A25:A38" si="6">A24+1</f>
        <v>46042</v>
      </c>
      <c r="B25" s="373">
        <v>7713415</v>
      </c>
      <c r="C25" s="373">
        <v>18742.491000000002</v>
      </c>
      <c r="D25" s="374">
        <f t="shared" ref="D25:D38" si="7">C25/B25</f>
        <v>2.4298564254613556E-3</v>
      </c>
      <c r="E25" s="375">
        <v>13510.605197049825</v>
      </c>
      <c r="F25" s="376">
        <f t="shared" ref="F25:F38" si="8">E25/B25</f>
        <v>1.7515724483966992E-3</v>
      </c>
      <c r="G25" s="373">
        <v>1430.2260000000003</v>
      </c>
      <c r="H25" s="377">
        <f t="shared" ref="H25:H38" si="9">G25/C25</f>
        <v>7.6309280340590813E-2</v>
      </c>
      <c r="I25" s="378">
        <v>1462.9657299999942</v>
      </c>
      <c r="J25" s="377">
        <f t="shared" ref="J25" si="10">I25/E25</f>
        <v>0.10828276814124117</v>
      </c>
      <c r="K25" s="379">
        <v>3180.5370000000012</v>
      </c>
      <c r="L25" s="380">
        <f t="shared" ref="L25" si="11">K25/C25</f>
        <v>0.16969660009440585</v>
      </c>
      <c r="M25" s="704">
        <f>SUM(B25:B31)</f>
        <v>46317667</v>
      </c>
      <c r="N25" s="705">
        <f>SUM(C25:C31)</f>
        <v>113778.49100000001</v>
      </c>
      <c r="O25" s="705">
        <f>SUM(E25:E31)</f>
        <v>98194.248914419688</v>
      </c>
    </row>
    <row r="26" spans="1:15" ht="18.75">
      <c r="A26" s="343">
        <f t="shared" si="6"/>
        <v>46043</v>
      </c>
      <c r="B26" s="352">
        <v>6863386</v>
      </c>
      <c r="C26" s="352">
        <v>17051</v>
      </c>
      <c r="D26" s="372">
        <f t="shared" si="7"/>
        <v>2.4843422765381401E-3</v>
      </c>
      <c r="E26" s="353">
        <v>13104.912099544388</v>
      </c>
      <c r="F26" s="338">
        <f t="shared" si="8"/>
        <v>1.9093945903005292E-3</v>
      </c>
      <c r="G26" s="352">
        <v>1524.5410000000004</v>
      </c>
      <c r="H26" s="339">
        <f t="shared" si="9"/>
        <v>8.9410650401735986E-2</v>
      </c>
      <c r="I26" s="340">
        <v>1559.2671100000066</v>
      </c>
      <c r="J26" s="339">
        <f t="shared" si="3"/>
        <v>0.11898340852314583</v>
      </c>
      <c r="K26" s="354">
        <v>2646.0109999999995</v>
      </c>
      <c r="L26" s="355">
        <f t="shared" si="4"/>
        <v>0.15518215940414049</v>
      </c>
      <c r="M26" s="704"/>
      <c r="N26" s="705"/>
      <c r="O26" s="705"/>
    </row>
    <row r="27" spans="1:15" ht="18.75">
      <c r="A27" s="343">
        <f t="shared" si="6"/>
        <v>46044</v>
      </c>
      <c r="B27" s="352">
        <v>6394057</v>
      </c>
      <c r="C27" s="352">
        <v>15803</v>
      </c>
      <c r="D27" s="372">
        <f t="shared" si="7"/>
        <v>2.4715137822512371E-3</v>
      </c>
      <c r="E27" s="353">
        <v>14451.982640431066</v>
      </c>
      <c r="F27" s="338">
        <f t="shared" si="8"/>
        <v>2.2602211147681457E-3</v>
      </c>
      <c r="G27" s="352">
        <v>1436.2919999999999</v>
      </c>
      <c r="H27" s="339">
        <f t="shared" si="9"/>
        <v>9.0887299879769665E-2</v>
      </c>
      <c r="I27" s="340">
        <v>1435.7516900000001</v>
      </c>
      <c r="J27" s="339">
        <f t="shared" si="3"/>
        <v>9.9346347537349056E-2</v>
      </c>
      <c r="K27" s="354">
        <v>2779.3319999999999</v>
      </c>
      <c r="L27" s="355">
        <f t="shared" si="4"/>
        <v>0.17587369486806301</v>
      </c>
      <c r="M27" s="704"/>
      <c r="N27" s="705"/>
      <c r="O27" s="705"/>
    </row>
    <row r="28" spans="1:15" ht="18.75">
      <c r="A28" s="343">
        <f t="shared" si="6"/>
        <v>46045</v>
      </c>
      <c r="B28" s="352">
        <v>5574275</v>
      </c>
      <c r="C28" s="352">
        <v>13768</v>
      </c>
      <c r="D28" s="372">
        <f t="shared" si="7"/>
        <v>2.4699176126043295E-3</v>
      </c>
      <c r="E28" s="353">
        <v>14324.519310340756</v>
      </c>
      <c r="F28" s="338">
        <f t="shared" si="8"/>
        <v>2.5697546874420005E-3</v>
      </c>
      <c r="G28" s="352">
        <v>1320.0250000000001</v>
      </c>
      <c r="H28" s="339">
        <f t="shared" si="9"/>
        <v>9.5876307379430564E-2</v>
      </c>
      <c r="I28" s="340">
        <v>1311.8405300000034</v>
      </c>
      <c r="J28" s="339">
        <f t="shared" si="3"/>
        <v>9.1580073409723156E-2</v>
      </c>
      <c r="K28" s="354">
        <v>2105.7939999999999</v>
      </c>
      <c r="L28" s="355">
        <f t="shared" si="4"/>
        <v>0.15294843114468332</v>
      </c>
      <c r="M28" s="704"/>
      <c r="N28" s="705"/>
      <c r="O28" s="705"/>
    </row>
    <row r="29" spans="1:15" ht="18.75">
      <c r="A29" s="343">
        <f t="shared" si="6"/>
        <v>46046</v>
      </c>
      <c r="B29" s="352">
        <v>5940745</v>
      </c>
      <c r="C29" s="352">
        <v>14458</v>
      </c>
      <c r="D29" s="372">
        <f t="shared" si="7"/>
        <v>2.433701497034463E-3</v>
      </c>
      <c r="E29" s="353">
        <v>14873.128520574808</v>
      </c>
      <c r="F29" s="338">
        <f t="shared" si="8"/>
        <v>2.5035796891761568E-3</v>
      </c>
      <c r="G29" s="352">
        <v>1286.221</v>
      </c>
      <c r="H29" s="339">
        <f t="shared" si="9"/>
        <v>8.8962581269885183E-2</v>
      </c>
      <c r="I29" s="340">
        <v>1397.3713199999995</v>
      </c>
      <c r="J29" s="339">
        <f t="shared" si="3"/>
        <v>9.3952749622713189E-2</v>
      </c>
      <c r="K29" s="354">
        <v>2672.2610000000004</v>
      </c>
      <c r="L29" s="355">
        <f t="shared" si="4"/>
        <v>0.18482922949232261</v>
      </c>
      <c r="M29" s="704"/>
      <c r="N29" s="705"/>
      <c r="O29" s="705"/>
    </row>
    <row r="30" spans="1:15" ht="18.75">
      <c r="A30" s="343">
        <f t="shared" si="6"/>
        <v>46047</v>
      </c>
      <c r="B30" s="352">
        <v>7104289</v>
      </c>
      <c r="C30" s="352">
        <v>17403</v>
      </c>
      <c r="D30" s="372">
        <f t="shared" si="7"/>
        <v>2.4496469667830236E-3</v>
      </c>
      <c r="E30" s="353">
        <v>13451.562776921868</v>
      </c>
      <c r="F30" s="338">
        <f t="shared" si="8"/>
        <v>1.8934425073250634E-3</v>
      </c>
      <c r="G30" s="352">
        <v>1429.1320000000001</v>
      </c>
      <c r="H30" s="339">
        <f t="shared" si="9"/>
        <v>8.2119864391196923E-2</v>
      </c>
      <c r="I30" s="340">
        <v>1291.6338600000054</v>
      </c>
      <c r="J30" s="339">
        <f t="shared" si="3"/>
        <v>9.6021100404481849E-2</v>
      </c>
      <c r="K30" s="354">
        <v>2422.7119999999995</v>
      </c>
      <c r="L30" s="355">
        <f t="shared" si="4"/>
        <v>0.13921231971499165</v>
      </c>
      <c r="M30" s="704"/>
      <c r="N30" s="705"/>
      <c r="O30" s="705"/>
    </row>
    <row r="31" spans="1:15" ht="19.5" thickBot="1">
      <c r="A31" s="343">
        <f t="shared" si="6"/>
        <v>46048</v>
      </c>
      <c r="B31" s="381">
        <v>6727500</v>
      </c>
      <c r="C31" s="381">
        <v>16553</v>
      </c>
      <c r="D31" s="382">
        <f t="shared" si="7"/>
        <v>2.4604979561501298E-3</v>
      </c>
      <c r="E31" s="383">
        <v>14477.538369556982</v>
      </c>
      <c r="F31" s="369">
        <f t="shared" si="8"/>
        <v>2.1519938118999601E-3</v>
      </c>
      <c r="G31" s="381">
        <v>1399.4949999999999</v>
      </c>
      <c r="H31" s="370">
        <f t="shared" si="9"/>
        <v>8.4546305805594149E-2</v>
      </c>
      <c r="I31" s="371">
        <v>1335.0641099999991</v>
      </c>
      <c r="J31" s="370">
        <f t="shared" si="3"/>
        <v>9.2216237037046275E-2</v>
      </c>
      <c r="K31" s="384">
        <v>2758.2650000000003</v>
      </c>
      <c r="L31" s="385">
        <f t="shared" si="4"/>
        <v>0.16663233250770254</v>
      </c>
      <c r="M31" s="704"/>
      <c r="N31" s="705"/>
      <c r="O31" s="705"/>
    </row>
    <row r="32" spans="1:15" ht="18.75">
      <c r="A32" s="343">
        <f t="shared" si="6"/>
        <v>46049</v>
      </c>
      <c r="B32" s="373"/>
      <c r="C32" s="373"/>
      <c r="D32" s="374" t="e">
        <f t="shared" si="7"/>
        <v>#DIV/0!</v>
      </c>
      <c r="E32" s="375"/>
      <c r="F32" s="376" t="e">
        <f t="shared" si="8"/>
        <v>#DIV/0!</v>
      </c>
      <c r="G32" s="373"/>
      <c r="H32" s="377" t="e">
        <f t="shared" si="9"/>
        <v>#DIV/0!</v>
      </c>
      <c r="I32" s="378"/>
      <c r="J32" s="377" t="e">
        <f t="shared" si="3"/>
        <v>#DIV/0!</v>
      </c>
      <c r="K32" s="379"/>
      <c r="L32" s="380" t="e">
        <f t="shared" si="4"/>
        <v>#DIV/0!</v>
      </c>
      <c r="M32" s="704">
        <f>SUM(B32:B38)</f>
        <v>0</v>
      </c>
      <c r="N32" s="705">
        <f>SUM(C32:C38)</f>
        <v>0</v>
      </c>
      <c r="O32" s="705">
        <f>SUM(E32:E38)</f>
        <v>0</v>
      </c>
    </row>
    <row r="33" spans="1:15" ht="18.75">
      <c r="A33" s="343">
        <f t="shared" si="6"/>
        <v>46050</v>
      </c>
      <c r="B33" s="352"/>
      <c r="C33" s="352"/>
      <c r="D33" s="372" t="e">
        <f t="shared" si="7"/>
        <v>#DIV/0!</v>
      </c>
      <c r="E33" s="353"/>
      <c r="F33" s="338" t="e">
        <f t="shared" si="8"/>
        <v>#DIV/0!</v>
      </c>
      <c r="G33" s="352"/>
      <c r="H33" s="339" t="e">
        <f t="shared" si="9"/>
        <v>#DIV/0!</v>
      </c>
      <c r="I33" s="340"/>
      <c r="J33" s="339" t="e">
        <f t="shared" si="3"/>
        <v>#DIV/0!</v>
      </c>
      <c r="K33" s="354"/>
      <c r="L33" s="355" t="e">
        <f t="shared" si="4"/>
        <v>#DIV/0!</v>
      </c>
      <c r="M33" s="704"/>
      <c r="N33" s="705"/>
      <c r="O33" s="705"/>
    </row>
    <row r="34" spans="1:15" ht="18.75">
      <c r="A34" s="343">
        <f t="shared" si="6"/>
        <v>46051</v>
      </c>
      <c r="B34" s="352"/>
      <c r="C34" s="352"/>
      <c r="D34" s="372" t="e">
        <f t="shared" si="7"/>
        <v>#DIV/0!</v>
      </c>
      <c r="E34" s="353"/>
      <c r="F34" s="338" t="e">
        <f t="shared" si="8"/>
        <v>#DIV/0!</v>
      </c>
      <c r="G34" s="352"/>
      <c r="H34" s="339" t="e">
        <f t="shared" si="9"/>
        <v>#DIV/0!</v>
      </c>
      <c r="I34" s="340"/>
      <c r="J34" s="339" t="e">
        <f t="shared" si="3"/>
        <v>#DIV/0!</v>
      </c>
      <c r="K34" s="354"/>
      <c r="L34" s="355" t="e">
        <f t="shared" si="4"/>
        <v>#DIV/0!</v>
      </c>
      <c r="M34" s="704"/>
      <c r="N34" s="705"/>
      <c r="O34" s="705"/>
    </row>
    <row r="35" spans="1:15" ht="18.75">
      <c r="A35" s="343">
        <f t="shared" si="6"/>
        <v>46052</v>
      </c>
      <c r="B35" s="352"/>
      <c r="C35" s="352"/>
      <c r="D35" s="372" t="e">
        <f t="shared" si="7"/>
        <v>#DIV/0!</v>
      </c>
      <c r="E35" s="353"/>
      <c r="F35" s="338" t="e">
        <f t="shared" si="8"/>
        <v>#DIV/0!</v>
      </c>
      <c r="G35" s="352"/>
      <c r="H35" s="339" t="e">
        <f t="shared" si="9"/>
        <v>#DIV/0!</v>
      </c>
      <c r="I35" s="340"/>
      <c r="J35" s="339" t="e">
        <f t="shared" si="3"/>
        <v>#DIV/0!</v>
      </c>
      <c r="K35" s="354"/>
      <c r="L35" s="355" t="e">
        <f t="shared" si="4"/>
        <v>#DIV/0!</v>
      </c>
      <c r="M35" s="704"/>
      <c r="N35" s="705"/>
      <c r="O35" s="705"/>
    </row>
    <row r="36" spans="1:15" ht="18.75">
      <c r="A36" s="343">
        <f t="shared" si="6"/>
        <v>46053</v>
      </c>
      <c r="B36" s="352"/>
      <c r="C36" s="352"/>
      <c r="D36" s="372" t="e">
        <f t="shared" si="7"/>
        <v>#DIV/0!</v>
      </c>
      <c r="E36" s="353"/>
      <c r="F36" s="338" t="e">
        <f t="shared" si="8"/>
        <v>#DIV/0!</v>
      </c>
      <c r="G36" s="352"/>
      <c r="H36" s="339" t="e">
        <f t="shared" si="9"/>
        <v>#DIV/0!</v>
      </c>
      <c r="I36" s="340"/>
      <c r="J36" s="339" t="e">
        <f t="shared" si="3"/>
        <v>#DIV/0!</v>
      </c>
      <c r="K36" s="354"/>
      <c r="L36" s="355" t="e">
        <f t="shared" si="4"/>
        <v>#DIV/0!</v>
      </c>
      <c r="M36" s="704"/>
      <c r="N36" s="705"/>
      <c r="O36" s="705"/>
    </row>
    <row r="37" spans="1:15" ht="18.75">
      <c r="A37" s="343">
        <f t="shared" si="6"/>
        <v>46054</v>
      </c>
      <c r="B37" s="352"/>
      <c r="C37" s="352"/>
      <c r="D37" s="372" t="e">
        <f t="shared" si="7"/>
        <v>#DIV/0!</v>
      </c>
      <c r="E37" s="353"/>
      <c r="F37" s="338" t="e">
        <f t="shared" si="8"/>
        <v>#DIV/0!</v>
      </c>
      <c r="G37" s="352"/>
      <c r="H37" s="339" t="e">
        <f t="shared" si="9"/>
        <v>#DIV/0!</v>
      </c>
      <c r="I37" s="340"/>
      <c r="J37" s="339" t="e">
        <f t="shared" si="3"/>
        <v>#DIV/0!</v>
      </c>
      <c r="K37" s="354"/>
      <c r="L37" s="355" t="e">
        <f t="shared" si="4"/>
        <v>#DIV/0!</v>
      </c>
      <c r="M37" s="704"/>
      <c r="N37" s="705"/>
      <c r="O37" s="705"/>
    </row>
    <row r="38" spans="1:15" ht="19.5" thickBot="1">
      <c r="A38" s="394">
        <f t="shared" si="6"/>
        <v>46055</v>
      </c>
      <c r="B38" s="381"/>
      <c r="C38" s="381"/>
      <c r="D38" s="382" t="e">
        <f t="shared" si="7"/>
        <v>#DIV/0!</v>
      </c>
      <c r="E38" s="383"/>
      <c r="F38" s="369" t="e">
        <f t="shared" si="8"/>
        <v>#DIV/0!</v>
      </c>
      <c r="G38" s="381"/>
      <c r="H38" s="370" t="e">
        <f t="shared" si="9"/>
        <v>#DIV/0!</v>
      </c>
      <c r="I38" s="371"/>
      <c r="J38" s="370" t="e">
        <f t="shared" si="3"/>
        <v>#DIV/0!</v>
      </c>
      <c r="K38" s="384"/>
      <c r="L38" s="385" t="e">
        <f t="shared" si="4"/>
        <v>#DIV/0!</v>
      </c>
      <c r="M38" s="704"/>
      <c r="N38" s="705"/>
      <c r="O38" s="705"/>
    </row>
    <row r="39" spans="1:15" ht="18.75">
      <c r="A39" s="343" t="s">
        <v>615</v>
      </c>
      <c r="B39" s="335">
        <f>AVERAGE(B4:B38)</f>
        <v>6661593.9642857146</v>
      </c>
      <c r="C39" s="335">
        <f>AVERAGE(C4:C38)</f>
        <v>16345.053249999999</v>
      </c>
      <c r="D39" s="336">
        <f t="shared" ref="D39:D40" si="12">C39/B39</f>
        <v>2.4536249638794352E-3</v>
      </c>
      <c r="E39" s="337">
        <f>AVERAGE(E4:E38)</f>
        <v>14693.583406327311</v>
      </c>
      <c r="F39" s="346">
        <f t="shared" ref="F39" si="13">E39/B39</f>
        <v>2.2057158519571858E-3</v>
      </c>
      <c r="G39" s="335">
        <f>AVERAGE(G4:G38)</f>
        <v>1418.9501785714285</v>
      </c>
      <c r="H39" s="347">
        <f t="shared" ref="H39:H40" si="14">G39/C39</f>
        <v>8.6812208982643024E-2</v>
      </c>
      <c r="I39" s="366">
        <f>AVERAGE(I4:I38)</f>
        <v>1491.6787811303388</v>
      </c>
      <c r="J39" s="347">
        <f t="shared" ref="J39:J40" si="15">I39/E39</f>
        <v>0.10151906038713444</v>
      </c>
      <c r="K39" s="341">
        <f>AVERAGE(K4:K38)</f>
        <v>2785.7621785714286</v>
      </c>
      <c r="L39" s="342">
        <f t="shared" ref="L39:L40" si="16">K39/C39</f>
        <v>0.17043457344327886</v>
      </c>
      <c r="M39" s="367"/>
      <c r="N39" s="368"/>
      <c r="O39" s="368"/>
    </row>
    <row r="40" spans="1:15" ht="18.75">
      <c r="A40" s="343" t="s">
        <v>616</v>
      </c>
      <c r="B40" s="335">
        <f>SUM(B4:B38)</f>
        <v>186524631</v>
      </c>
      <c r="C40" s="335">
        <f>SUM(C4:C38)</f>
        <v>457661.49099999998</v>
      </c>
      <c r="D40" s="336">
        <f t="shared" si="12"/>
        <v>2.4536249638794352E-3</v>
      </c>
      <c r="E40" s="335">
        <f>SUM(E4:E38)</f>
        <v>411420.33537716471</v>
      </c>
      <c r="F40" s="346">
        <f>E40/B40</f>
        <v>2.2057158519571858E-3</v>
      </c>
      <c r="G40" s="335">
        <f>SUM(G4:G38)</f>
        <v>39730.604999999996</v>
      </c>
      <c r="H40" s="347">
        <f t="shared" si="14"/>
        <v>8.6812208982643024E-2</v>
      </c>
      <c r="I40" s="335">
        <f>SUM(I4:I38)</f>
        <v>41767.00587164949</v>
      </c>
      <c r="J40" s="347">
        <f t="shared" si="15"/>
        <v>0.10151906038713444</v>
      </c>
      <c r="K40" s="335">
        <f>SUM(K4:K38)</f>
        <v>78001.341</v>
      </c>
      <c r="L40" s="342">
        <f t="shared" si="16"/>
        <v>0.17043457344327886</v>
      </c>
      <c r="M40" s="342"/>
      <c r="N40" s="345"/>
      <c r="O40" s="345"/>
    </row>
    <row r="41" spans="1:15" ht="18.75">
      <c r="A41" s="348"/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</row>
    <row r="42" spans="1:15" ht="18.75">
      <c r="A42" s="348"/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</row>
    <row r="43" spans="1:15" ht="18.75">
      <c r="A43" s="348"/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</row>
    <row r="44" spans="1:15" ht="18.75">
      <c r="A44" s="348"/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</row>
    <row r="45" spans="1:15" ht="18.75">
      <c r="A45" s="348"/>
      <c r="B45" s="348"/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</row>
    <row r="46" spans="1:15" ht="18.75">
      <c r="A46" s="348"/>
      <c r="B46" s="348"/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</row>
    <row r="47" spans="1:15" ht="18.75">
      <c r="A47" s="348"/>
      <c r="B47" s="348"/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</row>
    <row r="48" spans="1:15" ht="18.75">
      <c r="A48" s="348"/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</row>
    <row r="49" spans="1:13" ht="18.75">
      <c r="A49" s="348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</row>
    <row r="50" spans="1:13" ht="18.75">
      <c r="A50" s="348"/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</row>
    <row r="51" spans="1:13" ht="18.75">
      <c r="A51" s="348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</row>
    <row r="52" spans="1:13" ht="18.75">
      <c r="A52" s="348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</row>
    <row r="53" spans="1:13" ht="18.75">
      <c r="A53" s="348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</row>
    <row r="54" spans="1:13" ht="18.75">
      <c r="A54" s="348"/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</row>
    <row r="55" spans="1:13" ht="18.75">
      <c r="A55" s="348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</row>
    <row r="56" spans="1:13" ht="18.75">
      <c r="A56" s="348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</row>
    <row r="57" spans="1:13" ht="18.75">
      <c r="A57" s="348"/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</row>
    <row r="58" spans="1:13" ht="18.75">
      <c r="A58" s="348"/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</row>
    <row r="59" spans="1:13" ht="18.75">
      <c r="A59" s="348"/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</row>
    <row r="60" spans="1:13" ht="18.75">
      <c r="A60" s="348"/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</row>
    <row r="61" spans="1:13" ht="18.75">
      <c r="A61" s="348"/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</row>
    <row r="62" spans="1:13" ht="18.75">
      <c r="A62" s="348"/>
      <c r="B62" s="348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</row>
    <row r="63" spans="1:13" ht="18.75">
      <c r="A63" s="348"/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</row>
    <row r="64" spans="1:13" ht="18.75">
      <c r="A64" s="348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</row>
    <row r="65" spans="1:13" ht="18.75">
      <c r="A65" s="348"/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</row>
    <row r="66" spans="1:13" ht="18.75">
      <c r="A66" s="348"/>
      <c r="B66" s="348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</row>
    <row r="67" spans="1:13" ht="18.75">
      <c r="A67" s="348"/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</row>
    <row r="68" spans="1:13" ht="18.75">
      <c r="A68" s="348"/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</row>
  </sheetData>
  <mergeCells count="26">
    <mergeCell ref="O25:O31"/>
    <mergeCell ref="M4:M10"/>
    <mergeCell ref="N4:N10"/>
    <mergeCell ref="O4:O10"/>
    <mergeCell ref="M18:M24"/>
    <mergeCell ref="N18:N24"/>
    <mergeCell ref="O18:O24"/>
    <mergeCell ref="M11:M17"/>
    <mergeCell ref="N11:N17"/>
    <mergeCell ref="O11:O17"/>
    <mergeCell ref="M32:M38"/>
    <mergeCell ref="N32:N38"/>
    <mergeCell ref="O32:O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25:M31"/>
    <mergeCell ref="N25:N31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87"/>
    <col min="3" max="3" width="14" style="187" bestFit="1" customWidth="1"/>
    <col min="4" max="4" width="0.28515625" style="187" customWidth="1"/>
    <col min="5" max="5" width="8.7109375" style="187"/>
    <col min="6" max="6" width="16.28515625" style="187" bestFit="1" customWidth="1"/>
    <col min="7" max="16384" width="8.7109375" style="187"/>
  </cols>
  <sheetData>
    <row r="2" spans="2:7" ht="15.75">
      <c r="B2" s="709" t="s">
        <v>617</v>
      </c>
      <c r="C2" s="709"/>
      <c r="D2" s="709"/>
      <c r="E2" s="709"/>
      <c r="F2" s="709"/>
    </row>
    <row r="3" spans="2:7" ht="15">
      <c r="B3" s="188" t="s">
        <v>618</v>
      </c>
      <c r="C3" s="188" t="s">
        <v>619</v>
      </c>
      <c r="D3" s="189"/>
      <c r="E3" s="188" t="s">
        <v>620</v>
      </c>
      <c r="F3" s="188" t="s">
        <v>621</v>
      </c>
      <c r="G3" s="189"/>
    </row>
    <row r="4" spans="2:7" ht="15">
      <c r="B4" s="190" t="s">
        <v>622</v>
      </c>
      <c r="C4" s="190" t="s">
        <v>623</v>
      </c>
      <c r="D4" s="189"/>
      <c r="E4" s="190" t="s">
        <v>624</v>
      </c>
      <c r="F4" s="190" t="s">
        <v>625</v>
      </c>
      <c r="G4" s="189"/>
    </row>
    <row r="5" spans="2:7" ht="15">
      <c r="B5" s="190" t="s">
        <v>626</v>
      </c>
      <c r="C5" s="190" t="s">
        <v>627</v>
      </c>
      <c r="D5" s="189"/>
      <c r="E5" s="190" t="s">
        <v>628</v>
      </c>
      <c r="F5" s="190" t="s">
        <v>629</v>
      </c>
      <c r="G5" s="189"/>
    </row>
    <row r="6" spans="2:7" ht="15">
      <c r="B6" s="190" t="s">
        <v>630</v>
      </c>
      <c r="C6" s="190" t="s">
        <v>631</v>
      </c>
      <c r="D6" s="189"/>
      <c r="E6" s="191" t="s">
        <v>632</v>
      </c>
      <c r="F6" s="191" t="s">
        <v>345</v>
      </c>
      <c r="G6" s="189"/>
    </row>
    <row r="7" spans="2:7" ht="15">
      <c r="B7" s="191" t="s">
        <v>633</v>
      </c>
      <c r="C7" s="191" t="s">
        <v>634</v>
      </c>
      <c r="D7" s="189"/>
      <c r="E7" s="190" t="s">
        <v>635</v>
      </c>
      <c r="F7" s="190" t="s">
        <v>636</v>
      </c>
      <c r="G7" s="189"/>
    </row>
    <row r="8" spans="2:7" ht="15">
      <c r="B8" s="190" t="s">
        <v>637</v>
      </c>
      <c r="C8" s="190" t="s">
        <v>638</v>
      </c>
      <c r="D8" s="189"/>
      <c r="E8" s="190" t="s">
        <v>639</v>
      </c>
      <c r="F8" s="190" t="s">
        <v>640</v>
      </c>
      <c r="G8" s="189"/>
    </row>
    <row r="9" spans="2:7" ht="15">
      <c r="B9" s="190" t="s">
        <v>641</v>
      </c>
      <c r="C9" s="190" t="s">
        <v>642</v>
      </c>
      <c r="D9" s="189"/>
      <c r="E9" s="191" t="s">
        <v>643</v>
      </c>
      <c r="F9" s="191" t="s">
        <v>332</v>
      </c>
      <c r="G9" s="189"/>
    </row>
    <row r="10" spans="2:7" ht="15">
      <c r="B10" s="190" t="s">
        <v>644</v>
      </c>
      <c r="C10" s="190" t="s">
        <v>645</v>
      </c>
      <c r="D10" s="189"/>
      <c r="E10" s="190" t="s">
        <v>646</v>
      </c>
      <c r="F10" s="190" t="s">
        <v>647</v>
      </c>
      <c r="G10" s="189"/>
    </row>
    <row r="11" spans="2:7" ht="15">
      <c r="B11" s="190" t="s">
        <v>648</v>
      </c>
      <c r="C11" s="190" t="s">
        <v>649</v>
      </c>
      <c r="D11" s="189"/>
      <c r="E11" s="190" t="s">
        <v>650</v>
      </c>
      <c r="F11" s="190" t="s">
        <v>640</v>
      </c>
      <c r="G11" s="189"/>
    </row>
    <row r="12" spans="2:7" ht="15">
      <c r="B12" s="190" t="s">
        <v>651</v>
      </c>
      <c r="C12" s="190" t="s">
        <v>652</v>
      </c>
      <c r="D12" s="189"/>
      <c r="E12" s="190" t="s">
        <v>653</v>
      </c>
      <c r="F12" s="190" t="s">
        <v>654</v>
      </c>
      <c r="G12" s="189"/>
    </row>
    <row r="13" spans="2:7" ht="15">
      <c r="B13" s="191" t="s">
        <v>655</v>
      </c>
      <c r="C13" s="191" t="s">
        <v>370</v>
      </c>
      <c r="D13" s="189"/>
      <c r="E13" s="190" t="s">
        <v>656</v>
      </c>
      <c r="F13" s="190" t="s">
        <v>657</v>
      </c>
      <c r="G13" s="189"/>
    </row>
    <row r="14" spans="2:7" ht="15">
      <c r="B14" s="190" t="s">
        <v>658</v>
      </c>
      <c r="C14" s="190" t="s">
        <v>659</v>
      </c>
      <c r="D14" s="189"/>
      <c r="E14" s="191" t="s">
        <v>660</v>
      </c>
      <c r="F14" s="191" t="s">
        <v>661</v>
      </c>
      <c r="G14" s="189"/>
    </row>
    <row r="15" spans="2:7" ht="15">
      <c r="B15" s="191" t="s">
        <v>662</v>
      </c>
      <c r="C15" s="191" t="s">
        <v>663</v>
      </c>
      <c r="D15" s="189"/>
      <c r="E15" s="190" t="s">
        <v>664</v>
      </c>
      <c r="F15" s="190" t="s">
        <v>661</v>
      </c>
      <c r="G15" s="189"/>
    </row>
    <row r="16" spans="2:7" ht="15">
      <c r="B16" s="190" t="s">
        <v>665</v>
      </c>
      <c r="C16" s="190" t="s">
        <v>666</v>
      </c>
      <c r="D16" s="189"/>
      <c r="E16" s="191" t="s">
        <v>667</v>
      </c>
      <c r="F16" s="191" t="s">
        <v>668</v>
      </c>
      <c r="G16" s="189"/>
    </row>
    <row r="17" spans="2:7" ht="15">
      <c r="B17" s="190" t="s">
        <v>669</v>
      </c>
      <c r="C17" s="190" t="s">
        <v>670</v>
      </c>
      <c r="D17" s="189"/>
      <c r="E17" s="190" t="s">
        <v>671</v>
      </c>
      <c r="F17" s="190" t="s">
        <v>672</v>
      </c>
      <c r="G17" s="189"/>
    </row>
    <row r="18" spans="2:7" ht="15">
      <c r="B18" s="190" t="s">
        <v>673</v>
      </c>
      <c r="C18" s="190" t="s">
        <v>674</v>
      </c>
      <c r="D18" s="189"/>
      <c r="E18" s="190" t="s">
        <v>675</v>
      </c>
      <c r="F18" s="190" t="s">
        <v>676</v>
      </c>
      <c r="G18" s="189"/>
    </row>
    <row r="19" spans="2:7" ht="15">
      <c r="B19" s="190" t="s">
        <v>677</v>
      </c>
      <c r="C19" s="190" t="s">
        <v>678</v>
      </c>
      <c r="D19" s="189"/>
      <c r="E19" s="190" t="s">
        <v>679</v>
      </c>
      <c r="F19" s="190" t="s">
        <v>680</v>
      </c>
      <c r="G19" s="189"/>
    </row>
    <row r="20" spans="2:7" ht="15">
      <c r="B20" s="190" t="s">
        <v>681</v>
      </c>
      <c r="C20" s="190" t="s">
        <v>682</v>
      </c>
      <c r="D20" s="189"/>
      <c r="G20" s="189"/>
    </row>
    <row r="21" spans="2:7" ht="15">
      <c r="D21" s="189"/>
      <c r="G21" s="189"/>
    </row>
    <row r="22" spans="2:7" ht="15">
      <c r="D22" s="189"/>
      <c r="G22" s="189"/>
    </row>
    <row r="23" spans="2:7" ht="15">
      <c r="D23" s="189"/>
      <c r="G23" s="189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55578-27A3-4D30-A99B-855364C0481A}">
  <ds:schemaRefs>
    <ds:schemaRef ds:uri="http://schemas.microsoft.com/office/2006/metadata/properties"/>
    <ds:schemaRef ds:uri="http://schemas.microsoft.com/office/infopath/2007/PartnerControls"/>
    <ds:schemaRef ds:uri="85de06e7-71af-4d71-a190-84eae70d6c46"/>
    <ds:schemaRef ds:uri="d017f4fe-1359-4419-afdf-e2560bdfb30b"/>
  </ds:schemaRefs>
</ds:datastoreItem>
</file>

<file path=customXml/itemProps2.xml><?xml version="1.0" encoding="utf-8"?>
<ds:datastoreItem xmlns:ds="http://schemas.openxmlformats.org/officeDocument/2006/customXml" ds:itemID="{C2088487-CF7A-49BD-B620-36F439961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49EB44-C013-45C0-87C6-ACA85D477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7f4fe-1359-4419-afdf-e2560bdfb30b"/>
    <ds:schemaRef ds:uri="85de06e7-71af-4d71-a190-84eae70d6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林奕德</cp:lastModifiedBy>
  <cp:revision/>
  <dcterms:created xsi:type="dcterms:W3CDTF">2025-07-03T16:36:59Z</dcterms:created>
  <dcterms:modified xsi:type="dcterms:W3CDTF">2026-02-25T02:37:01Z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